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одвал\"/>
    </mc:Choice>
  </mc:AlternateContent>
  <xr:revisionPtr revIDLastSave="0" documentId="13_ncr:1_{2B8EA337-5EBE-44A0-BF3D-7092B5064E1C}" xr6:coauthVersionLast="47" xr6:coauthVersionMax="47" xr10:uidLastSave="{00000000-0000-0000-0000-000000000000}"/>
  <bookViews>
    <workbookView xWindow="-120" yWindow="-120" windowWidth="19440" windowHeight="15000" activeTab="2" xr2:uid="{00000000-000D-0000-FFFF-FFFF00000000}"/>
  </bookViews>
  <sheets>
    <sheet name="CRM" sheetId="3" r:id="rId1"/>
    <sheet name="реестр просрочников (ЗАЕМЩИК)" sheetId="1" r:id="rId2"/>
    <sheet name="200К и более" sheetId="5" r:id="rId3"/>
    <sheet name="коммент" sheetId="7" r:id="rId4"/>
    <sheet name="прочее" sheetId="6" r:id="rId5"/>
    <sheet name="xforms" sheetId="4" r:id="rId6"/>
  </sheets>
  <functionGroups builtInGroupCount="19"/>
  <definedNames>
    <definedName name="_xlnm._FilterDatabase" localSheetId="1" hidden="1">'реестр просрочников (ЗАЕМЩИК)'!$A$16:$F$80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5" l="1"/>
  <c r="F3" i="5"/>
  <c r="G3" i="5"/>
  <c r="H3" i="5"/>
  <c r="E4" i="5"/>
  <c r="F4" i="5"/>
  <c r="G4" i="5"/>
  <c r="H4" i="5"/>
  <c r="E5" i="5"/>
  <c r="F5" i="5"/>
  <c r="G5" i="5"/>
  <c r="H5" i="5"/>
  <c r="E6" i="5"/>
  <c r="F6" i="5"/>
  <c r="G6" i="5"/>
  <c r="H6" i="5"/>
  <c r="E7" i="5"/>
  <c r="F7" i="5"/>
  <c r="G7" i="5"/>
  <c r="H7" i="5"/>
  <c r="E8" i="5"/>
  <c r="F8" i="5"/>
  <c r="G8" i="5"/>
  <c r="H8" i="5"/>
  <c r="E9" i="5"/>
  <c r="F9" i="5"/>
  <c r="G9" i="5"/>
  <c r="H9" i="5"/>
  <c r="E10" i="5"/>
  <c r="F10" i="5"/>
  <c r="G10" i="5"/>
  <c r="H10" i="5"/>
  <c r="E11" i="5"/>
  <c r="F11" i="5"/>
  <c r="G11" i="5"/>
  <c r="H11" i="5"/>
  <c r="E12" i="5"/>
  <c r="F12" i="5"/>
  <c r="G12" i="5"/>
  <c r="H12" i="5"/>
  <c r="E13" i="5"/>
  <c r="F13" i="5"/>
  <c r="G13" i="5"/>
  <c r="H13" i="5"/>
  <c r="E14" i="5"/>
  <c r="F14" i="5"/>
  <c r="G14" i="5"/>
  <c r="H14" i="5"/>
  <c r="E15" i="5"/>
  <c r="F15" i="5"/>
  <c r="G15" i="5"/>
  <c r="H15" i="5"/>
  <c r="E16" i="5"/>
  <c r="F16" i="5"/>
  <c r="G16" i="5"/>
  <c r="H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8" i="5"/>
  <c r="F28" i="5"/>
  <c r="G28" i="5"/>
  <c r="H28" i="5"/>
  <c r="H29" i="5"/>
  <c r="E30" i="5"/>
  <c r="F30" i="5"/>
  <c r="G30" i="5"/>
  <c r="H30" i="5"/>
  <c r="H31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27" i="5"/>
  <c r="F27" i="5"/>
  <c r="G27" i="5"/>
  <c r="H27" i="5"/>
  <c r="H2" i="5"/>
  <c r="G2" i="5"/>
  <c r="F2" i="5"/>
  <c r="E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8" i="5"/>
  <c r="B30" i="5"/>
  <c r="B32" i="5"/>
  <c r="B33" i="5"/>
  <c r="B34" i="5"/>
  <c r="B35" i="5"/>
  <c r="B36" i="5"/>
  <c r="B27" i="5"/>
  <c r="B2" i="5"/>
  <c r="M1" i="5"/>
  <c r="M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B29" i="5" s="1"/>
  <c r="M30" i="5"/>
  <c r="M31" i="5"/>
  <c r="E31" i="5" s="1"/>
  <c r="M32" i="5"/>
  <c r="E32" i="5" s="1"/>
  <c r="M33" i="5"/>
  <c r="M34" i="5"/>
  <c r="M35" i="5"/>
  <c r="M36" i="5"/>
  <c r="F63" i="1"/>
  <c r="F64" i="1"/>
  <c r="B18" i="1"/>
  <c r="F18" i="1" s="1"/>
  <c r="B19" i="1"/>
  <c r="F19" i="1" s="1"/>
  <c r="B20" i="1"/>
  <c r="F20" i="1" s="1"/>
  <c r="B21" i="1"/>
  <c r="F21" i="1" s="1"/>
  <c r="B22" i="1"/>
  <c r="F22" i="1" s="1"/>
  <c r="B23" i="1"/>
  <c r="F23" i="1" s="1"/>
  <c r="B26" i="1"/>
  <c r="F26" i="1" s="1"/>
  <c r="B27" i="1"/>
  <c r="F27" i="1" s="1"/>
  <c r="B28" i="1"/>
  <c r="F28" i="1" s="1"/>
  <c r="B29" i="1"/>
  <c r="F29" i="1" s="1"/>
  <c r="B30" i="1"/>
  <c r="F30" i="1" s="1"/>
  <c r="B31" i="1"/>
  <c r="F31" i="1" s="1"/>
  <c r="B33" i="1"/>
  <c r="F33" i="1" s="1"/>
  <c r="B34" i="1"/>
  <c r="F34" i="1" s="1"/>
  <c r="B35" i="1"/>
  <c r="F35" i="1" s="1"/>
  <c r="B37" i="1"/>
  <c r="F37" i="1" s="1"/>
  <c r="B38" i="1"/>
  <c r="F38" i="1" s="1"/>
  <c r="B39" i="1"/>
  <c r="F39" i="1" s="1"/>
  <c r="B41" i="1"/>
  <c r="F41" i="1" s="1"/>
  <c r="B42" i="1"/>
  <c r="F42" i="1" s="1"/>
  <c r="B43" i="1"/>
  <c r="F43" i="1" s="1"/>
  <c r="B44" i="1"/>
  <c r="F44" i="1" s="1"/>
  <c r="B45" i="1"/>
  <c r="F45" i="1" s="1"/>
  <c r="B46" i="1"/>
  <c r="F46" i="1" s="1"/>
  <c r="B47" i="1"/>
  <c r="F47" i="1" s="1"/>
  <c r="B48" i="1"/>
  <c r="F48" i="1" s="1"/>
  <c r="B49" i="1"/>
  <c r="F49" i="1" s="1"/>
  <c r="B50" i="1"/>
  <c r="F50" i="1" s="1"/>
  <c r="B51" i="1"/>
  <c r="F51" i="1" s="1"/>
  <c r="B52" i="1"/>
  <c r="F52" i="1" s="1"/>
  <c r="B53" i="1"/>
  <c r="F53" i="1" s="1"/>
  <c r="B54" i="1"/>
  <c r="F54" i="1" s="1"/>
  <c r="B55" i="1"/>
  <c r="F55" i="1" s="1"/>
  <c r="B56" i="1"/>
  <c r="F56" i="1" s="1"/>
  <c r="B58" i="1"/>
  <c r="F58" i="1" s="1"/>
  <c r="B59" i="1"/>
  <c r="F59" i="1" s="1"/>
  <c r="B60" i="1"/>
  <c r="F60" i="1" s="1"/>
  <c r="B61" i="1"/>
  <c r="F61" i="1" s="1"/>
  <c r="B62" i="1"/>
  <c r="F62" i="1" s="1"/>
  <c r="B63" i="1"/>
  <c r="B64" i="1"/>
  <c r="B65" i="1"/>
  <c r="F65" i="1" s="1"/>
  <c r="B66" i="1"/>
  <c r="F66" i="1" s="1"/>
  <c r="B67" i="1"/>
  <c r="F67" i="1" s="1"/>
  <c r="B68" i="1"/>
  <c r="F68" i="1" s="1"/>
  <c r="B69" i="1"/>
  <c r="F69" i="1" s="1"/>
  <c r="B70" i="1"/>
  <c r="F70" i="1" s="1"/>
  <c r="B71" i="1"/>
  <c r="F71" i="1" s="1"/>
  <c r="B72" i="1"/>
  <c r="F72" i="1" s="1"/>
  <c r="B73" i="1"/>
  <c r="F73" i="1" s="1"/>
  <c r="B74" i="1"/>
  <c r="F74" i="1" s="1"/>
  <c r="B76" i="1"/>
  <c r="F76" i="1" s="1"/>
  <c r="B77" i="1"/>
  <c r="F77" i="1" s="1"/>
  <c r="B78" i="1"/>
  <c r="F78" i="1" s="1"/>
  <c r="B79" i="1"/>
  <c r="F79" i="1" s="1"/>
  <c r="H18" i="1"/>
  <c r="H19" i="1"/>
  <c r="H20" i="1"/>
  <c r="H21" i="1"/>
  <c r="H22" i="1"/>
  <c r="H23" i="1"/>
  <c r="H24" i="1"/>
  <c r="B24" i="1" s="1"/>
  <c r="F24" i="1" s="1"/>
  <c r="H25" i="1"/>
  <c r="B25" i="1" s="1"/>
  <c r="F25" i="1" s="1"/>
  <c r="H26" i="1"/>
  <c r="H27" i="1"/>
  <c r="H28" i="1"/>
  <c r="H29" i="1"/>
  <c r="H30" i="1"/>
  <c r="H31" i="1"/>
  <c r="H32" i="1"/>
  <c r="B32" i="1" s="1"/>
  <c r="F32" i="1" s="1"/>
  <c r="H33" i="1"/>
  <c r="H34" i="1"/>
  <c r="H35" i="1"/>
  <c r="H36" i="1"/>
  <c r="B36" i="1" s="1"/>
  <c r="F36" i="1" s="1"/>
  <c r="H37" i="1"/>
  <c r="H38" i="1"/>
  <c r="H39" i="1"/>
  <c r="H40" i="1"/>
  <c r="B40" i="1" s="1"/>
  <c r="F40" i="1" s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B57" i="1" s="1"/>
  <c r="F57" i="1" s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B75" i="1" s="1"/>
  <c r="F75" i="1" s="1"/>
  <c r="H76" i="1"/>
  <c r="H77" i="1"/>
  <c r="H78" i="1"/>
  <c r="H79" i="1"/>
  <c r="H80" i="1"/>
  <c r="B80" i="1" s="1"/>
  <c r="F80" i="1" s="1"/>
  <c r="H17" i="1"/>
  <c r="B17" i="1" s="1"/>
  <c r="F17" i="1" s="1"/>
  <c r="E1" i="5"/>
  <c r="F1" i="5"/>
  <c r="G1" i="5"/>
  <c r="H1" i="5"/>
  <c r="B1" i="5"/>
  <c r="B31" i="5" l="1"/>
  <c r="G32" i="5"/>
  <c r="G29" i="5"/>
  <c r="F32" i="5"/>
  <c r="F29" i="5"/>
  <c r="E29" i="5"/>
  <c r="G31" i="5"/>
  <c r="F31" i="5"/>
  <c r="K5" i="4"/>
  <c r="K1" i="5" l="1"/>
  <c r="K16" i="5"/>
  <c r="K29" i="5"/>
  <c r="K15" i="5"/>
  <c r="K2" i="5"/>
  <c r="K28" i="5"/>
  <c r="K14" i="5"/>
  <c r="K27" i="5"/>
  <c r="K26" i="5"/>
  <c r="K13" i="5"/>
  <c r="K36" i="5"/>
  <c r="K25" i="5"/>
  <c r="K12" i="5"/>
  <c r="K35" i="5"/>
  <c r="K24" i="5"/>
  <c r="K11" i="5"/>
  <c r="K34" i="5"/>
  <c r="K23" i="5"/>
  <c r="K10" i="5"/>
  <c r="K33" i="5"/>
  <c r="K9" i="5"/>
  <c r="K32" i="5"/>
  <c r="K22" i="5"/>
  <c r="K8" i="5"/>
  <c r="K31" i="5"/>
  <c r="K21" i="5"/>
  <c r="K7" i="5"/>
  <c r="K6" i="5"/>
  <c r="K19" i="5"/>
  <c r="K5" i="5"/>
  <c r="K18" i="5"/>
  <c r="K4" i="5"/>
  <c r="K20" i="5"/>
  <c r="K30" i="5"/>
  <c r="K17" i="5"/>
  <c r="K3" i="5"/>
</calcChain>
</file>

<file path=xl/sharedStrings.xml><?xml version="1.0" encoding="utf-8"?>
<sst xmlns="http://schemas.openxmlformats.org/spreadsheetml/2006/main" count="1639" uniqueCount="1176">
  <si>
    <t>Заемщик</t>
  </si>
  <si>
    <t>просрочка</t>
  </si>
  <si>
    <t>Просроченно</t>
  </si>
  <si>
    <t>ОД</t>
  </si>
  <si>
    <t>Договор</t>
  </si>
  <si>
    <t>ООП</t>
  </si>
  <si>
    <t>дата звонка</t>
  </si>
  <si>
    <t xml:space="preserve">коммент </t>
  </si>
  <si>
    <t>Сегодня</t>
  </si>
  <si>
    <t>Касутин Евгений Дмитриевич</t>
  </si>
  <si>
    <t>Емельяненко Александр Николаевич</t>
  </si>
  <si>
    <t>Пахомов Михаил Юрьевич</t>
  </si>
  <si>
    <t>Балыкина Марина Олеговна</t>
  </si>
  <si>
    <t>Тришина Екатерина Викторовна</t>
  </si>
  <si>
    <t>Билтуев Юнади Юсупович</t>
  </si>
  <si>
    <t>Ермакова Кристина Алексеевна</t>
  </si>
  <si>
    <t>Муминов Фирдавс Юсуфович</t>
  </si>
  <si>
    <t>Базарнова Татьяна Леонидовна</t>
  </si>
  <si>
    <t>Шаматава Давид Роиниевич</t>
  </si>
  <si>
    <t>Погосян Мелания Гарниковна</t>
  </si>
  <si>
    <t>Базаров Атаджан Алланурович</t>
  </si>
  <si>
    <t>Громов Вячеслав Александрович</t>
  </si>
  <si>
    <t>Журавлева Анастасия Александровна</t>
  </si>
  <si>
    <t>Кваско Сергей [ Выход ]</t>
  </si>
  <si>
    <t>   Проверка анкет</t>
  </si>
  <si>
    <t>   ОСК</t>
  </si>
  <si>
    <t>   Агенты</t>
  </si>
  <si>
    <t>   Займы</t>
  </si>
  <si>
    <t>   Юротдел</t>
  </si>
  <si>
    <t>   Поддержка</t>
  </si>
  <si>
    <t>События TTY</t>
  </si>
  <si>
    <t>Нет событий</t>
  </si>
  <si>
    <t>Сопровождение клиентов</t>
  </si>
  <si>
    <t>Просрочники</t>
  </si>
  <si>
    <t>История</t>
  </si>
  <si>
    <t>Предварительные</t>
  </si>
  <si>
    <t>Правила</t>
  </si>
  <si>
    <t>Модерация</t>
  </si>
  <si>
    <t>Экспорт</t>
  </si>
  <si>
    <t>ИНСТРУМЕНТЫ</t>
  </si>
  <si>
    <t>Свернуть</t>
  </si>
  <si>
    <t>Поиск по таблице Начните ввод</t>
  </si>
  <si>
    <t>Сотрудник</t>
  </si>
  <si>
    <t>                                                     </t>
  </si>
  <si>
    <t>Дней просрочки</t>
  </si>
  <si>
    <t>Регион</t>
  </si>
  <si>
    <t>ФИО</t>
  </si>
  <si>
    <t>Город</t>
  </si>
  <si>
    <t>Время клиента</t>
  </si>
  <si>
    <t>Номер договора</t>
  </si>
  <si>
    <t>Телефон</t>
  </si>
  <si>
    <t>Дата договора</t>
  </si>
  <si>
    <t>Остаток ОД</t>
  </si>
  <si>
    <t>Последний результат</t>
  </si>
  <si>
    <t>Дата прозвона</t>
  </si>
  <si>
    <t>Мытищи</t>
  </si>
  <si>
    <t>--</t>
  </si>
  <si>
    <t>Санкт-Петербург</t>
  </si>
  <si>
    <t>Орехово-Зуево</t>
  </si>
  <si>
    <t>Чистильников Алексей Вячеславович</t>
  </si>
  <si>
    <t>Москва</t>
  </si>
  <si>
    <t>В-16757/КЛ.Транш-1</t>
  </si>
  <si>
    <t>276347.07</t>
  </si>
  <si>
    <t>Сельцова Наталья Юрьевна</t>
  </si>
  <si>
    <t>В-00439/КЛ.Транш-2</t>
  </si>
  <si>
    <t>83565.05</t>
  </si>
  <si>
    <t>Салимов Шерзод Тохирович</t>
  </si>
  <si>
    <t>Артем</t>
  </si>
  <si>
    <t>В-20442/КЛ.Транш-1</t>
  </si>
  <si>
    <t>188912.94</t>
  </si>
  <si>
    <t>Барышникова Александра Андреевна</t>
  </si>
  <si>
    <t>Балашиха</t>
  </si>
  <si>
    <t>В-00772/АЗ</t>
  </si>
  <si>
    <t>158470.23</t>
  </si>
  <si>
    <t>Стрельцов Денис Николаевич</t>
  </si>
  <si>
    <t>В-09213/КЛ.Транш-1</t>
  </si>
  <si>
    <t>970670.89</t>
  </si>
  <si>
    <t>Еременко Сергей Артурович</t>
  </si>
  <si>
    <t>Подольск</t>
  </si>
  <si>
    <t>В-19349/КЛ.Транш-1</t>
  </si>
  <si>
    <t>88294.39</t>
  </si>
  <si>
    <t>Иванченко Сергей Александрович</t>
  </si>
  <si>
    <t>В-12551/КЛ.Транш-1</t>
  </si>
  <si>
    <t>168483.97</t>
  </si>
  <si>
    <t>Лещев Андрей Николаевич</t>
  </si>
  <si>
    <t>В-15085/КЛ.Транш-1</t>
  </si>
  <si>
    <t>981181.77</t>
  </si>
  <si>
    <t>Царев Кирилл Сергеевич</t>
  </si>
  <si>
    <t>В-13051/КЛ.Транш-1</t>
  </si>
  <si>
    <t>99741.92</t>
  </si>
  <si>
    <t>Лебедева Евгения Александровна</t>
  </si>
  <si>
    <t>В-20855/КЛ.Транш-1</t>
  </si>
  <si>
    <t>499935.38</t>
  </si>
  <si>
    <t>Гавриш Наталья Николаевна</t>
  </si>
  <si>
    <t>Краснодар</t>
  </si>
  <si>
    <t>В-00763/АЗ</t>
  </si>
  <si>
    <t>147350.24</t>
  </si>
  <si>
    <t>Любушкин Сергей Васильевич</t>
  </si>
  <si>
    <t>В-02961/КЛ.Транш-1</t>
  </si>
  <si>
    <t>208680.37</t>
  </si>
  <si>
    <t>Белолипцев Дмитрий Олегович</t>
  </si>
  <si>
    <t>В-17458/КЛ.Транш-1</t>
  </si>
  <si>
    <t>217155.4</t>
  </si>
  <si>
    <t>Байтемиров Ахметхан Магарамович</t>
  </si>
  <si>
    <t>Сочи</t>
  </si>
  <si>
    <t>В-22173/КЛ.Транш-1</t>
  </si>
  <si>
    <t>284090.9</t>
  </si>
  <si>
    <t>Харагезян Армен Вартересович</t>
  </si>
  <si>
    <t>В-19862/КЛ.Транш-1</t>
  </si>
  <si>
    <t>336705.85</t>
  </si>
  <si>
    <t>Насонов Александр Александрович</t>
  </si>
  <si>
    <t>Новокузнецк</t>
  </si>
  <si>
    <t>В-22201/КЛ.Транш-1</t>
  </si>
  <si>
    <t>545454.5</t>
  </si>
  <si>
    <t>Магомедов Ахмед Багаутдинович</t>
  </si>
  <si>
    <t>В-18163/КЛ.Транш-1</t>
  </si>
  <si>
    <t>81433.66</t>
  </si>
  <si>
    <t>972361.22</t>
  </si>
  <si>
    <t>Тимошинин Сергей Сергеевич</t>
  </si>
  <si>
    <t>В-00553/КЛ.Транш-8</t>
  </si>
  <si>
    <t>146526.62</t>
  </si>
  <si>
    <t>Красногорск</t>
  </si>
  <si>
    <t>В-22434/АЗ</t>
  </si>
  <si>
    <t>Касутина Виктория Алексеевна (П)</t>
  </si>
  <si>
    <t>В-22436/АЗ</t>
  </si>
  <si>
    <t>Трунова Екатерина Юрьевна</t>
  </si>
  <si>
    <t>В-14335/КЛ.Транш-1</t>
  </si>
  <si>
    <t>361437.93</t>
  </si>
  <si>
    <t>Бендас Евгений Васильевич</t>
  </si>
  <si>
    <t>Кострома</t>
  </si>
  <si>
    <t>В-10934/КЛ.Транш-2</t>
  </si>
  <si>
    <t>90238.12</t>
  </si>
  <si>
    <t>Глухов Максим Сергеевич</t>
  </si>
  <si>
    <t>Пенза</t>
  </si>
  <si>
    <t>В-12410/КЛ.Транш-1</t>
  </si>
  <si>
    <t>151160.95</t>
  </si>
  <si>
    <t>Галёна Ольга Владимировна</t>
  </si>
  <si>
    <t>В-00137/АЗ</t>
  </si>
  <si>
    <t>Глухов Василий Александрович</t>
  </si>
  <si>
    <t>Щ</t>
  </si>
  <si>
    <t>В-07147/КЛ.Транш-2</t>
  </si>
  <si>
    <t>244197.85</t>
  </si>
  <si>
    <t>Сосков Иван Сергеевич</t>
  </si>
  <si>
    <t>Чита</t>
  </si>
  <si>
    <t>В-18022/КЛ.Транш-1</t>
  </si>
  <si>
    <t>187978.77</t>
  </si>
  <si>
    <t>Усиков Андрей Васильевич</t>
  </si>
  <si>
    <t>Озеры</t>
  </si>
  <si>
    <t>В-04682/КЛ.Транш-3</t>
  </si>
  <si>
    <t>57780.17</t>
  </si>
  <si>
    <t>Панамарев Денис Олегович</t>
  </si>
  <si>
    <t>Киров</t>
  </si>
  <si>
    <t>В-15675/КЛ.Транш-1</t>
  </si>
  <si>
    <t>291708.39</t>
  </si>
  <si>
    <t>Тараканов Евгений Валерьевич (П)</t>
  </si>
  <si>
    <t>В-01133/АЗ</t>
  </si>
  <si>
    <t>Казак Татьяна Петровна (П)</t>
  </si>
  <si>
    <t>В-01134/АЗ</t>
  </si>
  <si>
    <t>483245.48</t>
  </si>
  <si>
    <t>Цуриков Яков Владимирович</t>
  </si>
  <si>
    <t>Ростов-на-Дону</t>
  </si>
  <si>
    <t>В-17030/КЛ.Транш-1</t>
  </si>
  <si>
    <t>92553.21</t>
  </si>
  <si>
    <t>Забиров Ринат Шавкатович</t>
  </si>
  <si>
    <t>В-01179/АЗ</t>
  </si>
  <si>
    <t>346911.57</t>
  </si>
  <si>
    <t>В-14529/КЛ.Транш-1</t>
  </si>
  <si>
    <t>849321.77</t>
  </si>
  <si>
    <t>Аминжонов Уктам Раимжонович</t>
  </si>
  <si>
    <t>Раменское</t>
  </si>
  <si>
    <t>В-14860/КЛ.Транш-1</t>
  </si>
  <si>
    <t>134332.74</t>
  </si>
  <si>
    <t>Рожкова Наталья Петровна</t>
  </si>
  <si>
    <t>Люберцы</t>
  </si>
  <si>
    <t>В-11595/КЛ.Транш-1</t>
  </si>
  <si>
    <t>283787.75</t>
  </si>
  <si>
    <t>Мамонтов Геннадий Юрьевич</t>
  </si>
  <si>
    <t>Усть-Лабинск</t>
  </si>
  <si>
    <t>В-01159/АЗ</t>
  </si>
  <si>
    <t>248335.46</t>
  </si>
  <si>
    <t>Башленко Илья Васильевич</t>
  </si>
  <si>
    <t>В-19655/КЛ.Транш-1</t>
  </si>
  <si>
    <t>81945.58</t>
  </si>
  <si>
    <t>Мачнева Галина Петровна</t>
  </si>
  <si>
    <t>Долгопрудный</t>
  </si>
  <si>
    <t>В-13104/КЛ.Транш-1</t>
  </si>
  <si>
    <t>67010.84</t>
  </si>
  <si>
    <t>В-13136/КЛ.Транш-1</t>
  </si>
  <si>
    <t>616697.28</t>
  </si>
  <si>
    <t>Бибнева Анастасия Дмитриевна</t>
  </si>
  <si>
    <t>В-13254/КЛ.Транш-1</t>
  </si>
  <si>
    <t>216835.87</t>
  </si>
  <si>
    <t>В-16229/КЛ.Транш-1</t>
  </si>
  <si>
    <t>Кострыгина Юлия Викторовна</t>
  </si>
  <si>
    <t>Чехов</t>
  </si>
  <si>
    <t>В-22100/КЛ.Транш-1</t>
  </si>
  <si>
    <t>201803.89</t>
  </si>
  <si>
    <t>Тамбов</t>
  </si>
  <si>
    <t>В-21146/КЛ.Транш-1</t>
  </si>
  <si>
    <t>560402.75</t>
  </si>
  <si>
    <t>Первушина Юлия Владимировна</t>
  </si>
  <si>
    <t>В-15165/КЛ.Транш-1</t>
  </si>
  <si>
    <t>295793.08</t>
  </si>
  <si>
    <t>Шопронку Сергей Харитонович</t>
  </si>
  <si>
    <t>В-02154/КЛ.Транш-1</t>
  </si>
  <si>
    <t>275813.67</t>
  </si>
  <si>
    <t>Иваново</t>
  </si>
  <si>
    <t>В-14288/КЛ.Транш-1</t>
  </si>
  <si>
    <t>864915.92</t>
  </si>
  <si>
    <t>В-23325/АЗ</t>
  </si>
  <si>
    <t>Ермаков Владислав Олегович (П)</t>
  </si>
  <si>
    <t>В-23339/АЗ</t>
  </si>
  <si>
    <t>Чащин Александр Станиславович</t>
  </si>
  <si>
    <t>В-12279/КЛ.Транш-1</t>
  </si>
  <si>
    <t>127345.12</t>
  </si>
  <si>
    <t>Спиридонов Константин Александрович</t>
  </si>
  <si>
    <t>В-15512/КЛ.Транш-1</t>
  </si>
  <si>
    <t>147106.74</t>
  </si>
  <si>
    <t>В-01147/АЗ</t>
  </si>
  <si>
    <t>Карманов Виталий Петрович</t>
  </si>
  <si>
    <t>В-17597/КЛ.Транш-2</t>
  </si>
  <si>
    <t>81805.16</t>
  </si>
  <si>
    <t>Лапшин Владимир Николаевич</t>
  </si>
  <si>
    <t>Ярославль</t>
  </si>
  <si>
    <t>Владимир</t>
  </si>
  <si>
    <t>В-17708/КЛ.Транш-1</t>
  </si>
  <si>
    <t>Ермаков Кирилл Андреевич</t>
  </si>
  <si>
    <t>В-01015/КЛ.Транш-3</t>
  </si>
  <si>
    <t>240138.28</t>
  </si>
  <si>
    <t>ИП Арутюнян Ваге Андреасович</t>
  </si>
  <si>
    <t>В-00021/КЭ</t>
  </si>
  <si>
    <t>63825.09</t>
  </si>
  <si>
    <t>Киселев Андрей Владимирович</t>
  </si>
  <si>
    <t>В-14178/КЛ.Транш-1</t>
  </si>
  <si>
    <t>81112.83</t>
  </si>
  <si>
    <t>Муравьев Сергей Сергеевич</t>
  </si>
  <si>
    <t>Болхов</t>
  </si>
  <si>
    <t>В-20490/КЛ.Транш-1</t>
  </si>
  <si>
    <t>221104.65</t>
  </si>
  <si>
    <t>Павлюк Павел Михайлович</t>
  </si>
  <si>
    <t>В-22293/КЛ.Транш-1</t>
  </si>
  <si>
    <t>Лещинский Михаил Дмитриевич</t>
  </si>
  <si>
    <t>Сертолово</t>
  </si>
  <si>
    <t>В-01107/АЗ</t>
  </si>
  <si>
    <t>161317.15</t>
  </si>
  <si>
    <t>В-18705/КЛ.Транш-1</t>
  </si>
  <si>
    <t>904417.34</t>
  </si>
  <si>
    <t>Правдивцева Наталья Владимировна (П)</t>
  </si>
  <si>
    <t>В-08745/КЛ.Транш-1</t>
  </si>
  <si>
    <t>152695.82</t>
  </si>
  <si>
    <t>Матвеев Андрей Александрович</t>
  </si>
  <si>
    <t>В-09795/КЛ.Транш-1</t>
  </si>
  <si>
    <t>202744.17</t>
  </si>
  <si>
    <t>Широков Иван Андреевич</t>
  </si>
  <si>
    <t>Рязань</t>
  </si>
  <si>
    <t>В-10198/КЛ.Транш-6</t>
  </si>
  <si>
    <t>87157.22</t>
  </si>
  <si>
    <t>ВАЛИГУРСКИЙ ДМИТРИЙ ИВАНОВИЧ</t>
  </si>
  <si>
    <t>В-01032/АЗ</t>
  </si>
  <si>
    <t>78359.95</t>
  </si>
  <si>
    <t>ООО "ТК МЕЖРЕГИОНСЕРВИС-77" (П)</t>
  </si>
  <si>
    <t>В-00034/КЭ</t>
  </si>
  <si>
    <t>1547256.3</t>
  </si>
  <si>
    <t>Ногинск</t>
  </si>
  <si>
    <t>В-01151/АЗ</t>
  </si>
  <si>
    <t>573327.55</t>
  </si>
  <si>
    <t>Костанян Нерсик Арамович (П)</t>
  </si>
  <si>
    <t>В-01152/АЗ</t>
  </si>
  <si>
    <t>Мальсагов Махмуд Салманович</t>
  </si>
  <si>
    <t>А-04859/АЗ</t>
  </si>
  <si>
    <t>15660.6</t>
  </si>
  <si>
    <t>Юров Михаил Витальевич</t>
  </si>
  <si>
    <t>Т-01906/АЗ_Т-20211028/Ц</t>
  </si>
  <si>
    <t>79606005503,79636265263,79671852262</t>
  </si>
  <si>
    <t>114707.68</t>
  </si>
  <si>
    <t>Климахина Татьяна Сергеевна</t>
  </si>
  <si>
    <t>В-09890/КЛ.Транш-1</t>
  </si>
  <si>
    <t>209932.32</t>
  </si>
  <si>
    <t>Ханбеков Валерий Рифатович</t>
  </si>
  <si>
    <t>В-17073/КЛ.Транш-1</t>
  </si>
  <si>
    <t>214163.06</t>
  </si>
  <si>
    <t>Диденко Роман Владимирович</t>
  </si>
  <si>
    <t>В-12256/КЛ.Транш-1</t>
  </si>
  <si>
    <t>173723.39</t>
  </si>
  <si>
    <t>Базарова Нафиса Ибрагимжановна</t>
  </si>
  <si>
    <t>Новосибирск</t>
  </si>
  <si>
    <t>В-15908/КЛ.Транш-1</t>
  </si>
  <si>
    <t>174287.07</t>
  </si>
  <si>
    <t>Хохлова Ирина Игоревна</t>
  </si>
  <si>
    <t>В-22833/КЛ.Транш-1</t>
  </si>
  <si>
    <t>294771.98</t>
  </si>
  <si>
    <t>Барт Денис Михайлович</t>
  </si>
  <si>
    <t>В-01174/АЗ</t>
  </si>
  <si>
    <t>382337.39</t>
  </si>
  <si>
    <t>Ломакин Алексей Алексеевич</t>
  </si>
  <si>
    <t>Липецк</t>
  </si>
  <si>
    <t>В-20546/КЛ.Транш-1</t>
  </si>
  <si>
    <t>122469.68</t>
  </si>
  <si>
    <t>Кутанов Егор Сергеевич (П)</t>
  </si>
  <si>
    <t>В-15451/КЛ.Транш-1</t>
  </si>
  <si>
    <t>327067.34</t>
  </si>
  <si>
    <t>Акимцева Юлия Анатольевна</t>
  </si>
  <si>
    <t>А-05360/АЗ</t>
  </si>
  <si>
    <t>Грабовская Вероника Викторовна</t>
  </si>
  <si>
    <t>В-00017/КЛ.Транш-2</t>
  </si>
  <si>
    <t>387167.21</t>
  </si>
  <si>
    <t>Мухамедсалин Алибек Булатович</t>
  </si>
  <si>
    <t>Крюков Сергей Викторович</t>
  </si>
  <si>
    <t>А-05392/АЗ</t>
  </si>
  <si>
    <t>195635.47</t>
  </si>
  <si>
    <t>Фейзуллаев Альберт Нефтуллаевич</t>
  </si>
  <si>
    <t>Мурино</t>
  </si>
  <si>
    <t>В-04210/КЛ.Транш-1</t>
  </si>
  <si>
    <t>233058.35</t>
  </si>
  <si>
    <t>Акиньшин Олег Алексеевич</t>
  </si>
  <si>
    <t>В-18334/КЛ.Транш-1</t>
  </si>
  <si>
    <t>67774.42</t>
  </si>
  <si>
    <t>В-00951/АЗ</t>
  </si>
  <si>
    <t>849570.3</t>
  </si>
  <si>
    <t>Ковригина Ирина Евгеньевна</t>
  </si>
  <si>
    <t>В-17380/КЛ.Транш-1</t>
  </si>
  <si>
    <t>179300.74</t>
  </si>
  <si>
    <t>Ивкин Александр Викторович</t>
  </si>
  <si>
    <t>В-17362/КЛ.Транш-1</t>
  </si>
  <si>
    <t>71720.32</t>
  </si>
  <si>
    <t>Логвинчук Василий Святославович</t>
  </si>
  <si>
    <t>Наро-Фоминск</t>
  </si>
  <si>
    <t>В-18366/КЛ.Транш-1</t>
  </si>
  <si>
    <t>212219.16</t>
  </si>
  <si>
    <t>В-22991/КЛ.Транш-1</t>
  </si>
  <si>
    <t>565039.25</t>
  </si>
  <si>
    <t>В-01098/АЗ</t>
  </si>
  <si>
    <t>657144.94</t>
  </si>
  <si>
    <t>Султанов Салим Исламович</t>
  </si>
  <si>
    <t>В-24072/АЗ</t>
  </si>
  <si>
    <t>Битюцких Александр Александрович</t>
  </si>
  <si>
    <t>Т-01914/АЗ_Т-20211028/Ц</t>
  </si>
  <si>
    <t>204166.39</t>
  </si>
  <si>
    <t>Воронко Александр Иванович</t>
  </si>
  <si>
    <t>В-13179/КЛ.Транш-1</t>
  </si>
  <si>
    <t>145851.05</t>
  </si>
  <si>
    <t>Гавриленко Денис Владимирович</t>
  </si>
  <si>
    <t>В-02707/КЛ.Транш-1</t>
  </si>
  <si>
    <t>52016.54</t>
  </si>
  <si>
    <t>Ростовцев Александр Петрович</t>
  </si>
  <si>
    <t>Т-01868/АЗ_Т-20211028/Ц</t>
  </si>
  <si>
    <t>87854.74</t>
  </si>
  <si>
    <t>Лебедовский Максим Юрьевич</t>
  </si>
  <si>
    <t>В-20046/КЛ.Транш-1</t>
  </si>
  <si>
    <t>142516.7</t>
  </si>
  <si>
    <t>Химки</t>
  </si>
  <si>
    <t>Одинцово</t>
  </si>
  <si>
    <t>Аксененко Александр Сергеевич</t>
  </si>
  <si>
    <t>Михайловск</t>
  </si>
  <si>
    <t>В-22137/КЛ.Транш-1</t>
  </si>
  <si>
    <t>215693.68</t>
  </si>
  <si>
    <t>Мусаев Саид Рамазанович</t>
  </si>
  <si>
    <t>355107.64</t>
  </si>
  <si>
    <t>Сироткин Игорь Маркович</t>
  </si>
  <si>
    <t>Хачикян Давид Алексеевич</t>
  </si>
  <si>
    <t>В-11825/КЛ.Транш-1</t>
  </si>
  <si>
    <t>115005.63</t>
  </si>
  <si>
    <t>Павлов Владимир Геннадьевич</t>
  </si>
  <si>
    <t>Михалев Дмитрий Андреевич</t>
  </si>
  <si>
    <t>В-23191/КЛ.Транш-1</t>
  </si>
  <si>
    <t>215658.62</t>
  </si>
  <si>
    <t>Капустин Виталий Сергеевич</t>
  </si>
  <si>
    <t>Журавлева Наталья Юрьевна</t>
  </si>
  <si>
    <t>Сергеев Сергей Сергеевич</t>
  </si>
  <si>
    <t xml:space="preserve"> =ЕСЛИОШИБКА(ВПР(A2;CRM!A:J;9;0);ЕСЛИОШИБКА(ВПР(ЕСЛИ(ПОИСК("ООО";A2);"ООО "&amp;""""&amp;ЛЕВСИМВ(A2;ПОИСК("ООО";A2)-2)&amp;""""&amp;" (П)");CRM!A:J;9;0);ЕСЛИОШИБКА(ВПР(ЕСЛИ(ПОИСК("ЗАО";A2);"ЗАО "&amp;""""&amp;ЛЕВСИМВ(A2;ПОИСК("ЗАО";A2)-2)&amp;""""&amp;" (П)");CRM!A:J;9;0);ЕСЛИОШИБКА(ВПР(ЕСЛИ(ПОИСК("ИП ";A2);ПОДСТАВИТЬ(A2;"ИП ";""));CRM!A:J;9;0);ЕСЛИОШИБКА(ВПР(A2&amp;" (П)";CRM!A:J;9;0);ЕСЛИОШИБКА(ЕСЛИ(ПОИСК("ГТ.Билдинг ООО";A2);ВПР("ООО "&amp;СИМВОЛ(34)&amp;"ГРАНД ТЕХНОЛОДЖИ. БИЛДИНГ"&amp;СИМВОЛ(34)&amp;" (П)";CRM!A:J;9;0));ЕСЛИОШИБКА(ЕСЛИ(ПОИСК("ТРАНСЛОГ";A2);ВПР("ООО "&amp;СИМВОЛ(34)&amp;"ТРАНСЛОГ"&amp;СИМВОЛ(34)&amp;" (П)";CRM!A:J;9;0));"ПилиМ")))))))</t>
  </si>
  <si>
    <t xml:space="preserve"> =ЕСЛИОШИБКА(ВПР(A2;CRM!A:J;10;0);ЕСЛИОШИБКА(ВПР(ЕСЛИ(ПОИСК("ООО";A2);"ООО "&amp;""""&amp;ЛЕВСИМВ(A2;ПОИСК("ООО";A2)-2)&amp;""""&amp;" (П)");CRM!A:J;10;0);ЕСЛИОШИБКА(ВПР(ЕСЛИ(ПОИСК("ЗАО";A2);"ЗАО "&amp;""""&amp;ЛЕВСИМВ(A2;ПОИСК("ЗАО";A2)-2)&amp;""""&amp;" (П)");CRM!A:J;10;0);ЕСЛИОШИБКА(ВПР(ЕСЛИ(ПОИСК("ИП ";A2);ПОДСТАВИТЬ(A2;"ИП ";""));CRM!A:J;10;0);ЕСЛИОШИБКА(ВПР(A2&amp;" (П)";CRM!A:J;10;0);ЕСЛИОШИБКА(ЕСЛИ(ПОИСК("ГТ.Билдинг ООО";A2);ВПР("ООО "&amp;СИМВОЛ(34)&amp;"ГРАНД ТЕХНОЛОДЖИ. БИЛДИНГ"&amp;СИМВОЛ(34)&amp;" (П)";CRM!A:J;10;0));ЕСЛИОШИБКА(ЕСЛИ(ПОИСК("ТРАНСЛОГ";A2);ВПР("ООО "&amp;СИМВОЛ(34)&amp;"ТРАНСЛОГ"&amp;СИМВОЛ(34)&amp;" (П)";CRM!A:J;10;0));"ПилиМ")))))))</t>
  </si>
  <si>
    <t xml:space="preserve"> =ЕСЛИОШИБКА(ВПР(A2;CRM!A:I;6;0);ЕСЛИОШИБКА(ВПР(ЕСЛИ(ПОИСК("ООО";A2);"ООО "&amp;""""&amp;ЛЕВСИМВ(A2;ПОИСК("ООО";A2)-2)&amp;""""&amp;" (П)");CRM!A:I;6;0);ЕСЛИОШИБКА(ВПР(ЕСЛИ(ПОИСК("ЗАО";A2);"ЗАО "&amp;""""&amp;ЛЕВСИМВ(A2;ПОИСК("ЗАО";A2)-2)&amp;""""&amp;" (П)");CRM!A:I;6;0);ЕСЛИОШИБКА(ВПР(ЕСЛИ(ПОИСК("ИП ";A2);ПОДСТАВИТЬ(A2;"ИП ";""));CRM!A:I;6;0);ЕСЛИОШИБКА(ВПР(A2&amp;" (П)";CRM!A:I;6;0);ЕСЛИОШИБКА(ЕСЛИ(ПОИСК("ГТ.Билдинг ООО";A2);ВПР("ООО "&amp;СИМВОЛ(34)&amp;"ГРАНД ТЕХНОЛОДЖИ. БИЛДИНГ"&amp;СИМВОЛ(34)&amp;" (П)";CRM!A:I;6;0));ЕСЛИОШИБКА(ЕСЛИ(ПОИСК("ТРАНСЛОГ";A2);ВПР("ООО "&amp;СИМВОЛ(34)&amp;"ТРАНСЛОГ"&amp;СИМВОЛ(34)&amp;" (П)";CRM!A:I;6;0));"ПилиМ")))))))</t>
  </si>
  <si>
    <t xml:space="preserve"> =ЕСЛИОШИБКА(ЕСЛИ(($K$1-ДАТА(ГОД(E2);МЕСЯЦ(E2)+1;ДЕНЬ(E2))-B2)&lt;30;"первый платеж";"уже просирал");"ПилиМ")</t>
  </si>
  <si>
    <t>В-15030/КЛ.Транш-1</t>
  </si>
  <si>
    <t>347335.81</t>
  </si>
  <si>
    <t>В-19828/КЛ.Транш-1</t>
  </si>
  <si>
    <t>26780.27</t>
  </si>
  <si>
    <t>[T] ООП. см. комент ниже ↓. 17.12.2021.</t>
  </si>
  <si>
    <t>Лобня</t>
  </si>
  <si>
    <t>В-21208/КЛ.Транш-1</t>
  </si>
  <si>
    <t>340862.6</t>
  </si>
  <si>
    <t>Межевов Александр Васильевич</t>
  </si>
  <si>
    <t>Электросталь</t>
  </si>
  <si>
    <t>В-00271/КЛ.Транш-3</t>
  </si>
  <si>
    <t>177899.71</t>
  </si>
  <si>
    <t>Озерских Илья Андреевич</t>
  </si>
  <si>
    <t>В-00981/АЗ</t>
  </si>
  <si>
    <t>11143.33</t>
  </si>
  <si>
    <t>Хасанов Рамзан Вахаевич</t>
  </si>
  <si>
    <t>В-15200/КЛ.Транш-1</t>
  </si>
  <si>
    <t>491588.35</t>
  </si>
  <si>
    <t>Саакян Оганнес Мнацаканович</t>
  </si>
  <si>
    <t>Кохма</t>
  </si>
  <si>
    <t>В-18654/КЛ.Транш-1</t>
  </si>
  <si>
    <t>500752.57</t>
  </si>
  <si>
    <t>Макаров Станислав Васильевич</t>
  </si>
  <si>
    <t>В-01196/АЗ</t>
  </si>
  <si>
    <t>364821.77</t>
  </si>
  <si>
    <t>Пономарчук Андрей Борисович</t>
  </si>
  <si>
    <t>В-07595/КЛ.Транш-1</t>
  </si>
  <si>
    <t>557925.43</t>
  </si>
  <si>
    <t>Щербаков Сергей Васильевич</t>
  </si>
  <si>
    <t>Орск</t>
  </si>
  <si>
    <t>В-12818/КЛ.Транш-1</t>
  </si>
  <si>
    <t>145732.93</t>
  </si>
  <si>
    <t>Толстиков Евгений Геннадьевич</t>
  </si>
  <si>
    <t>В-15293/КЛ.Транш-1</t>
  </si>
  <si>
    <t>400263.75</t>
  </si>
  <si>
    <t>Саутин Александр Юрьевич</t>
  </si>
  <si>
    <t>Гречкин Сергей Петрович</t>
  </si>
  <si>
    <t>Сапунов Дмитрий Владимирович</t>
  </si>
  <si>
    <t>ООП. ВА, собирает деньги, уточнял инфу по суммам, просил время до 25 декабря, отказал, предоставил максимум до 20 декабря. 20.12.2021.</t>
  </si>
  <si>
    <t>ООП. с рт 1130 перезвонить 20.12 , если получится, оплатит раньше. 20.12.2021.</t>
  </si>
  <si>
    <t>ООО "КРАЙСАВТО" (П)</t>
  </si>
  <si>
    <t>В-00014/КЭ</t>
  </si>
  <si>
    <t>623337.58</t>
  </si>
  <si>
    <t>Воронеж</t>
  </si>
  <si>
    <t>В-12391/КЛ.Транш-2</t>
  </si>
  <si>
    <t>549658.63</t>
  </si>
  <si>
    <t>В-01188/АЗ</t>
  </si>
  <si>
    <t>105759.77</t>
  </si>
  <si>
    <t>Волжский</t>
  </si>
  <si>
    <t>В-22026/КЛ.Транш-1</t>
  </si>
  <si>
    <t>225088.84</t>
  </si>
  <si>
    <t>Корнилов Александр Дмитриевич</t>
  </si>
  <si>
    <t>Спицын Антон Вадимович</t>
  </si>
  <si>
    <t>Пронина Кристина Яковлевна</t>
  </si>
  <si>
    <t>Шевченко Евгений Вячеславович</t>
  </si>
  <si>
    <t>Тульнова Ольга Владимировна</t>
  </si>
  <si>
    <t>В-12067/КЛ.Транш-1</t>
  </si>
  <si>
    <t>102722.89</t>
  </si>
  <si>
    <t>В-20109/КЛ.Транш-1</t>
  </si>
  <si>
    <t>257341.17</t>
  </si>
  <si>
    <t>В-22352/АЗ</t>
  </si>
  <si>
    <t>В-24267/КЛ.Транш-1</t>
  </si>
  <si>
    <t>В-13202/КЛ.Транш-1</t>
  </si>
  <si>
    <t>61098.14</t>
  </si>
  <si>
    <t>В-20140/КЛ.Транш-1</t>
  </si>
  <si>
    <t>242049.6</t>
  </si>
  <si>
    <t>Толкачева Елена Владимировна</t>
  </si>
  <si>
    <t>В-03761/КЛ.Транш-1</t>
  </si>
  <si>
    <t>300264.08</t>
  </si>
  <si>
    <t>Дмитров</t>
  </si>
  <si>
    <t>Прусаков Максим Владимирович</t>
  </si>
  <si>
    <t>Брянск</t>
  </si>
  <si>
    <t>В-16261/КЛ.Транш-1</t>
  </si>
  <si>
    <t>95867.7</t>
  </si>
  <si>
    <t>Самойленко Роман Владимирович (П)</t>
  </si>
  <si>
    <t>В-01200/АЗ</t>
  </si>
  <si>
    <t>360185.02</t>
  </si>
  <si>
    <t>ООО "ОРБИТА" (П)</t>
  </si>
  <si>
    <t>В-00055/КЭ</t>
  </si>
  <si>
    <t>1950329.88</t>
  </si>
  <si>
    <t>В-12579/КЛ.Транш-1</t>
  </si>
  <si>
    <t>40273.8</t>
  </si>
  <si>
    <t>ООП. мт, оплатит по акции до 18 декабря. 17.12.2021.</t>
  </si>
  <si>
    <t>[T] ООП. ВА, полдня лежит под капельницей, полдня работает, видела сообщение об акции, планирует РК, говорит, что авто разбили, требует ремонт, так же по кв долги говорит, думает к концу недели сможет оплатить сумму % на РК. Говорит, что тяжелая жизненная ситуация сложилась, благодарит, что идем ей навстречу, она все обязательно выплатит. 20.12.2021.</t>
  </si>
  <si>
    <t>ООП. ВА, вероятно, сможет погасить пз ближе к концу декабря. 24.12.2021.</t>
  </si>
  <si>
    <t>ООП. Эл почта, снова говорит про пятницу (возможно тянет время). 17.12.2021.</t>
  </si>
  <si>
    <t>[T] ООП. ВА, До четверга я приеду и оплачу всё. Честное слово мне не отдали деньги, их сегодня только и отправили завтра они будут на счету и день два мне нужно обналичить. 17.12.2021.</t>
  </si>
  <si>
    <t>ООП. как ранее договорилась с Юлией, доплатит 18 декабря. 17.12.2021.</t>
  </si>
  <si>
    <t>Сутько Максим Николаевич</t>
  </si>
  <si>
    <t>Отрадное</t>
  </si>
  <si>
    <t>В-01013/КЛ.Транш-1</t>
  </si>
  <si>
    <t>86835.81</t>
  </si>
  <si>
    <t>Лямин Сергей Александрович</t>
  </si>
  <si>
    <t>В-00814/АЗ</t>
  </si>
  <si>
    <t>385446.93</t>
  </si>
  <si>
    <t>ООП. мт, 20к внес, как обещал, 16.12. погасит ост часть. 17.12.2021.</t>
  </si>
  <si>
    <t>Романов Евгений Юрьевич</t>
  </si>
  <si>
    <t>В-00955/АЗ</t>
  </si>
  <si>
    <t>753645.37</t>
  </si>
  <si>
    <t>Магомедтагиров Ибрахим Мухамадович</t>
  </si>
  <si>
    <t>Видное</t>
  </si>
  <si>
    <t>В-22426/КЛ.Транш-1</t>
  </si>
  <si>
    <t>522404.91</t>
  </si>
  <si>
    <t>Захаркин Алексей Викторович</t>
  </si>
  <si>
    <t>Королев</t>
  </si>
  <si>
    <t>В-01898/КЛ.Транш-1</t>
  </si>
  <si>
    <t>201642.92</t>
  </si>
  <si>
    <t>Мылов Сергей Геннадьевич</t>
  </si>
  <si>
    <t>В-05402/КЛ.Транш-4</t>
  </si>
  <si>
    <t>601815.43</t>
  </si>
  <si>
    <t>Михель Евгений Павлович</t>
  </si>
  <si>
    <t>В-14496/КЛ.Транш-1</t>
  </si>
  <si>
    <t>30967.45</t>
  </si>
  <si>
    <t>Юшков Юрий Валерьевич</t>
  </si>
  <si>
    <t>Екатеринбург</t>
  </si>
  <si>
    <t>В-15400/КЛ.Транш-1</t>
  </si>
  <si>
    <t>441682.53</t>
  </si>
  <si>
    <t>Науменко Андрей Михайлович</t>
  </si>
  <si>
    <t>Омск</t>
  </si>
  <si>
    <t>В-15487/КЛ.Транш-1</t>
  </si>
  <si>
    <t>345521.6</t>
  </si>
  <si>
    <t>Апухтина Виолетта Байрамовна</t>
  </si>
  <si>
    <t>В-17805/КЛ.Транш-1</t>
  </si>
  <si>
    <t>215672.81</t>
  </si>
  <si>
    <t>ООП. ВХ оплата 20.12, находится на лечении, тел. для связи 89537334623. 20.12.2021.</t>
  </si>
  <si>
    <t>Пустовойтов Сергей Николаевич</t>
  </si>
  <si>
    <t>В-21454/КЛ.Транш-1</t>
  </si>
  <si>
    <t>328001.98</t>
  </si>
  <si>
    <t>Караева Татьяна Сергеевна</t>
  </si>
  <si>
    <t>А-05151/АЗ</t>
  </si>
  <si>
    <t>76168.27</t>
  </si>
  <si>
    <t>Сорокина Екатерина Васильевна</t>
  </si>
  <si>
    <t>В-10701/КЛ.Транш-1</t>
  </si>
  <si>
    <t>559982.52</t>
  </si>
  <si>
    <t>Спирина Полина Витальевна</t>
  </si>
  <si>
    <t>В-03765/КЛ.Транш-13</t>
  </si>
  <si>
    <t>Алексеев Михаил Александрович</t>
  </si>
  <si>
    <t>В-05105/КЛ.Транш-1</t>
  </si>
  <si>
    <t>Дмитриев Алексей Евгеньевич</t>
  </si>
  <si>
    <t>Т-01890/АЗ_Т-20211028/Ц</t>
  </si>
  <si>
    <t>276063.82</t>
  </si>
  <si>
    <t>Шашков Константин Вячеславович</t>
  </si>
  <si>
    <t>В-06035/КЛ.Транш-1</t>
  </si>
  <si>
    <t>146260.82</t>
  </si>
  <si>
    <t>Ларина Анна Ильинична</t>
  </si>
  <si>
    <t>В-10050/КЛ.Транш-1</t>
  </si>
  <si>
    <t>218388.36</t>
  </si>
  <si>
    <t>Егоян Вард Баласанович</t>
  </si>
  <si>
    <t>В-01038/АЗ</t>
  </si>
  <si>
    <t>934361.9</t>
  </si>
  <si>
    <t>Члоян Геворк Мамбреович (П)</t>
  </si>
  <si>
    <t>В-01039/АЗ</t>
  </si>
  <si>
    <t>943152.91</t>
  </si>
  <si>
    <t>Парфенов Дмитрий Юрьевич</t>
  </si>
  <si>
    <t>В-01082/АЗ</t>
  </si>
  <si>
    <t>491486.07</t>
  </si>
  <si>
    <t>Зинина Анна Вячеславовна</t>
  </si>
  <si>
    <t>Саратов</t>
  </si>
  <si>
    <t>498052.27</t>
  </si>
  <si>
    <t>Джумаева Муслима Султоновна (П)</t>
  </si>
  <si>
    <t>В-01148/АЗ</t>
  </si>
  <si>
    <t>Клюев Павел Валерьевич</t>
  </si>
  <si>
    <t>В-16768/КЛ.Транш-1</t>
  </si>
  <si>
    <t>411644.47</t>
  </si>
  <si>
    <t>Евстигнеев Дмитрий Станиславович</t>
  </si>
  <si>
    <t>В-01175/АЗ</t>
  </si>
  <si>
    <t>645232.58</t>
  </si>
  <si>
    <t>Тимохин Иван Алексеевич</t>
  </si>
  <si>
    <t>В-20329/КЛ.Транш-1</t>
  </si>
  <si>
    <t>254348.97</t>
  </si>
  <si>
    <t>Мартазов Вадим Алексеевич</t>
  </si>
  <si>
    <t>Руза</t>
  </si>
  <si>
    <t>В-20497/КЛ.Транш-2</t>
  </si>
  <si>
    <t>285113.6</t>
  </si>
  <si>
    <t>Тетерин Александр Викторович</t>
  </si>
  <si>
    <t>В-23596/АЗ</t>
  </si>
  <si>
    <t>390639.7</t>
  </si>
  <si>
    <t>Саламатин Максим Витальевич</t>
  </si>
  <si>
    <t>ООП. 6785 манго оплатит до 17,12 включ.. 17.12.2021.</t>
  </si>
  <si>
    <t>ООП. 8331 до 20,12 оплатит. 21.12.2021.</t>
  </si>
  <si>
    <t>ООП. 5256 гарантирует погашение до 17.12.. 17.12.2021.</t>
  </si>
  <si>
    <t>ООП. 5256(Вард) гарантирует погашение до 17.12.. 17.12.2021.</t>
  </si>
  <si>
    <t>ООП. 2009 оплатит до 17,12, может быть и завтра, ждет поступления дс от поставщиков.. 17.12.2021.</t>
  </si>
  <si>
    <t>ИП Керимов Азер Байрам Оглы</t>
  </si>
  <si>
    <t>Дьячук Анна Анатольевна</t>
  </si>
  <si>
    <t>Кончаков Дмитрий Валерьевич</t>
  </si>
  <si>
    <t>Ханамиров Ханамир Казахмедович</t>
  </si>
  <si>
    <t>Варданян Армен Вазгенович</t>
  </si>
  <si>
    <t>Алхименков Даниил Андреевич</t>
  </si>
  <si>
    <t>Попов Роман Николаевич</t>
  </si>
  <si>
    <t>Кукушкин Сергей Петрович</t>
  </si>
  <si>
    <t>Ерохин Владимир Васильевич</t>
  </si>
  <si>
    <t>[T] ООП. ВА потребовал еще раз, пояснения ситуации с отчуждением ТС . 16.12.2021.</t>
  </si>
  <si>
    <t>[T] ООП. нет контакта ВА написал, чтобы назвала причину, зачем ее ждать, а не изъять ТС . 16.12.2021.</t>
  </si>
  <si>
    <t>[T] ООП. ВХ, переживает, что выставили требование, сразу его попросил предоставить актуальные фото ТС со всеми дефектами(занервничал) просит дать возможность оплатить по графику с акцией по тр2( сказал, что согласую с руководством возможность оплатить только просрочку, а не досрочно)б. 17.12.2021.</t>
  </si>
  <si>
    <t>ООП. нет контакта. 16.12.2021.</t>
  </si>
  <si>
    <t>ООП. ВА уточнил, по договоренности оплаты на завтра . 16.12.2021.</t>
  </si>
  <si>
    <t>ООП. нет контакта, ЗАБИРОВ РАМИЛЬ ШАВКАТОВИЧ 1985.06.28 мт 79650762076 нб, ВХ 2076 говорит, что клиент не работает у него, информацию передаст только в пятницу. . 16.12.2021.</t>
  </si>
  <si>
    <t>ООП. мт, 6032 до 17 декабря оплатит по акции. 17.12.2021.</t>
  </si>
  <si>
    <t>[T] ООП. вх на мт, оплатит по акции до 17 декабря, в среду ждет поступления дс от заказчика. 17.12.2021.</t>
  </si>
  <si>
    <t>ООП. ответ WA;"Приветствую! Вас , да конечно я согласна предложение очень интерес. И очень выгодное Конечно мы внесём с моим Супругом данную сумму до этого времени 17.12.2021 , хотим извениться , и поблагодарить , за то что вошли в положение и понимание. Спасибо Вам!". Сообщил, что предложение действует также при ПДП и предоставлении залога.. 17.12.2021.</t>
  </si>
  <si>
    <t>ООП. ВА, попросил еще неделю, якобы задерживают зп. 20.12.2021.</t>
  </si>
  <si>
    <t>ООП. ВХ оплата до 17.12. 17.12.2021.</t>
  </si>
  <si>
    <t>ООП. ВА, сетует на трагедию, ранее пережитую, смерть матери, до нового года обещает закрыть пз и внести платеж очередной, после нг восстановится в графике. 27.12.2021.</t>
  </si>
  <si>
    <t>ООП. с рт оплатит до 17.12, пришла смс от 14,12 на списание всех пеней при оплате до 17.12. доход от сдачи коммерческой недвиж-и, но арендаторы задерживают с оплатой, так же работает в ночной клубе. просит звонить после 16.00. 17.12.2021.</t>
  </si>
  <si>
    <t>ООП. 1872 до сих пор не выдали зп, обещают на днях, предложила перенести ДП, тк постоянные просрочки Кредитора не устраивают.. 17.12.2021.</t>
  </si>
  <si>
    <t>ООП. ВХ оплата 17.12 после перечисления от заказчика. 17.12.2021.</t>
  </si>
  <si>
    <t>147727.3</t>
  </si>
  <si>
    <t>В-17687/КЛ.Транш-1</t>
  </si>
  <si>
    <t>-</t>
  </si>
  <si>
    <t>ООП. 8470 ждет зп, , до 17,12 погасит, извинялась за просрочку.. 17.12.2021.</t>
  </si>
  <si>
    <t>[T] ООП. 6858 говорит, что им вообще перестали платить деньги, на 20,12 рассчитывает оплатить. 21.12.2021.</t>
  </si>
  <si>
    <t>ООП. 4533 оплатит до конца нед. .до 17.12,имеются непредвиденные расходы. 17.12.2021.</t>
  </si>
  <si>
    <t>В-05256/КЛ.Транш-3</t>
  </si>
  <si>
    <t>172743.1</t>
  </si>
  <si>
    <t>ООП. оплата 20.12 после перечисления зп. 20.12.2021.</t>
  </si>
  <si>
    <t>ООП. с рт 5733 17.12 закроет досрочно займ в кассе офиса . 17.12.2021.</t>
  </si>
  <si>
    <t>ООП. 0400 обещает оплатить 17.12 , пз из-за отсутствия поступлений дс.. 17.12.2021.</t>
  </si>
  <si>
    <t>В-02554/КЛ.Транш-6</t>
  </si>
  <si>
    <t>В-03460/КЛ.Транш-1</t>
  </si>
  <si>
    <t>119618.78</t>
  </si>
  <si>
    <t>Смоленск</t>
  </si>
  <si>
    <t>В-07963/КЛ.Транш-1</t>
  </si>
  <si>
    <t>155213.42</t>
  </si>
  <si>
    <t>В-11946/КЛ.Транш-2</t>
  </si>
  <si>
    <t>146370.62</t>
  </si>
  <si>
    <t>В-12014/КЛ.Транш-1</t>
  </si>
  <si>
    <t>357826.82</t>
  </si>
  <si>
    <t>ООП. умерла мама, много денег ушло на похороны, не может сказать, когда внесет платежи, старается, как можно скорее это сделать, перезанимает деньги, сказал, что просрочки не любит. 17.12.2021.</t>
  </si>
  <si>
    <t>ООО "Эл-Комплект" (П)</t>
  </si>
  <si>
    <t>В-00039/КЭ</t>
  </si>
  <si>
    <t>ООО "ГРАНД ТЕХНОЛОДЖИ. БИЛДИНГ" (П)</t>
  </si>
  <si>
    <t>В-00044/КЭ</t>
  </si>
  <si>
    <t>3606088.34</t>
  </si>
  <si>
    <t>В-01202/АЗ</t>
  </si>
  <si>
    <t>259851.2</t>
  </si>
  <si>
    <t>В-20592/КЛ.Транш-2</t>
  </si>
  <si>
    <t>336825.85</t>
  </si>
  <si>
    <t>ООП. мт, 9738 но, 3065 до конца недели внесет платеж. 20.12.2021.</t>
  </si>
  <si>
    <t>В-00051/КЭ.Транш-2</t>
  </si>
  <si>
    <t>В-23459/КЛ.Транш-1</t>
  </si>
  <si>
    <t>299659.93</t>
  </si>
  <si>
    <t>Исхаков Олег Дауранович</t>
  </si>
  <si>
    <t>Трененков Александр Николаевич</t>
  </si>
  <si>
    <t>Кошелева Светлана Сергеевна</t>
  </si>
  <si>
    <t>Мазурин Николай Анатольевич</t>
  </si>
  <si>
    <t>Залётов Владимир Александрович</t>
  </si>
  <si>
    <t>Масальский Руслан Иванович</t>
  </si>
  <si>
    <t>Храмков Евгений Александрович</t>
  </si>
  <si>
    <t>Лымарев Александр Александрович</t>
  </si>
  <si>
    <t>Чертов Алексей Владимирович</t>
  </si>
  <si>
    <t>Байрамов Сабир Вагифович</t>
  </si>
  <si>
    <t>[T] ООП. нет контакта . 16.12.2021.</t>
  </si>
  <si>
    <t>[T] ООП. нет контакта . 17.12.2021.</t>
  </si>
  <si>
    <t>[T] ООП. 5100, наглый, несет чушь, что если бы хотел кинуть не брал бы трубки и не платил, на что ему сказал, что он него ничего не зависит и если он бы не платил, то остался без машины, треб оплатить, сроки озвучены . 17.12.2021.</t>
  </si>
  <si>
    <t>[T] ООП. бесконтактная . 16.12.2021.</t>
  </si>
  <si>
    <t>[T] ООП. ВХ ВА, просит перезвонить. 2515, говорит, что нашел покупателя ТС, но пока неясно, скоро будет показывать, предварительно договорились, на РК, к оплате8500 к, говорит, что есть рейс на семечки , и ему тчно дадут аванс, оттуда край в ПН точно сможет оплатить ( параллельно ищет покупателя ). 17.12.2021.</t>
  </si>
  <si>
    <t>[T] ООП. 5759, говорит, что может гарантировать оплату 46к ,точно, но пока рассчитывает на 150к , для полного закрытия просрочки . 17.12.2021.</t>
  </si>
  <si>
    <t>[T] ООП. нет контакта ВА игнорит все предложения . 17.12.2021.</t>
  </si>
  <si>
    <t>[T] ООП. 7943, денег нет, постоянно ждет поступления, инф, что край срок это 17 число . 17.12.2021.</t>
  </si>
  <si>
    <t>[T] ООП. нет контакта, ВА написал . 17.12.2021.</t>
  </si>
  <si>
    <t>[T] Требование. 16.12.2021.</t>
  </si>
  <si>
    <t>[T] ООП. мт, клиент бесконтактный. 17.12.2021.</t>
  </si>
  <si>
    <t>[T] ООП. мт, 6010 нб, 8426 чс, 5691 нд, 0282 вызов не проходит, 2759 на выходном. 17.12.2021.</t>
  </si>
  <si>
    <t>[T] ООП. мт, 1758 нб, 3273 нб, 2041 нд, 88125311347 нб, 88125573135 нб. 17.12.2021.</t>
  </si>
  <si>
    <t>ООП. мт, все номера бесконтактные. 17.12.2021.</t>
  </si>
  <si>
    <t>[T] ООП. ВА, сослался на акцию, оплатит 17 декабря. 20.12.2021.</t>
  </si>
  <si>
    <t>[T] ООП. мт, 0555 нд, 1963 нд, 5557 не в сети, 6230 с клиентом все нормально, обещал ей, что свяжется с нами, сказал, что на связь не выход, попросил вновь передать инфу. 17.12.2021.</t>
  </si>
  <si>
    <t>ООП. мт, клиент бесконтактный. 17.12.2021.</t>
  </si>
  <si>
    <t>ООП. завтра планирует погасить пз. 17.12.2021.</t>
  </si>
  <si>
    <t>ООП. мт, говорит, что счет заблокирован, но сегодня должны поступить деньги, до конца недели должен погасить пз. 20.12.2021.</t>
  </si>
  <si>
    <t>ООП. мт, 9900 Нерсик сказал, что до завтра погасят все договора. 17.12.2021.</t>
  </si>
  <si>
    <t>ООП. ВА, оплатит 20 декабря, не понимает структуру платежа вообще. 21.12.2021.</t>
  </si>
  <si>
    <t>[T] ООП. мт, все номера бесконтактные. 17.12.2021.</t>
  </si>
  <si>
    <t>[T] ООП. см коммент ниже. 17.12.2021.</t>
  </si>
  <si>
    <t>ООП. 8011 перезвонить не стал, т.к. пришло смс о списание всех пеней до 17,12, поэтому оплатит пз данного числа. 17.12.2021.</t>
  </si>
  <si>
    <t>А-04843/АЗ</t>
  </si>
  <si>
    <t>61654.86</t>
  </si>
  <si>
    <t>ООП. ВХ письмо"Здравствуйте оплатил 8112р приходило сообщение о списании всех пений до 17числа", овтетила, что по договору А так же идет акция, мт нд, дт но. 21.12.2021.</t>
  </si>
  <si>
    <t>ООП. 9144 занято, манго пока не получается оплатить, напомнила, что у нас сжатые сроки и договор обеспечен залогом, напомнила про акцию, требование оплатить до 17.12. 17.12.2021.</t>
  </si>
  <si>
    <t>ООП. 3537 старается сегодня погасить пз, напомнила об акции. 17.12.2021.</t>
  </si>
  <si>
    <t>ООП. 4761 подтвердил оплату на сегодня, в 18.00 должны прийти дс. 17.12.2021.</t>
  </si>
  <si>
    <t>[T] ООП. с рт 1326 до 17,12 погасит. работает в лесу, связь плохая, напомнила про акцию. 17.12.2021.</t>
  </si>
  <si>
    <t>ООП. 4698 все так же ждет зачисление средств, контрагенты сообщили, что деньги отправили, напомнила про акцию.. 17.12.2021.</t>
  </si>
  <si>
    <t>ООП. 5907 идет задержка по дс, до 17.12 включительно постарается погасить. 20.12.2021.</t>
  </si>
  <si>
    <t>ООП. ответил "Добрый день. В связи с больничным сдвинулся график оплаты моих услуг. В течение 3-5 дней оплачу с пеней". 20.12.2021.</t>
  </si>
  <si>
    <t>Садигов Нарман Адждар Оглы (П)</t>
  </si>
  <si>
    <t>В-11050/КЛ.Транш-1</t>
  </si>
  <si>
    <t>154162.72</t>
  </si>
  <si>
    <t>ООП. ВХ зв не может оплатить 10к, не проходит оплата, звонила в ВТБ ,сказали,что проблемы на нашей стороне. порекомендовала вбить 10к и заново попробовать оплатить. 22.12.2021.</t>
  </si>
  <si>
    <t>ООП. 9695 завтра 100 % погасит. 17.12.2021.</t>
  </si>
  <si>
    <t>В-02960/КЛ.Транш-7</t>
  </si>
  <si>
    <t>145645.77</t>
  </si>
  <si>
    <t>ООП. 7877 сразу сказал, что оплатит завтра. 17.12.2021.</t>
  </si>
  <si>
    <t>В-00145/КЛ.Транш-1</t>
  </si>
  <si>
    <t>102358.94</t>
  </si>
  <si>
    <t>Старая</t>
  </si>
  <si>
    <t>В-07072/КЛ.Транш-1</t>
  </si>
  <si>
    <t>308234.86</t>
  </si>
  <si>
    <t>В-12368/КЛ.Транш-1</t>
  </si>
  <si>
    <t>181461.25</t>
  </si>
  <si>
    <t>В-01149/АЗ</t>
  </si>
  <si>
    <t>470907.85</t>
  </si>
  <si>
    <t>ООП. 9345 оплатит завтра, задержка по наличным деньгам. 17.12.2021.</t>
  </si>
  <si>
    <t>В-01207/АЗ</t>
  </si>
  <si>
    <t>392744.07</t>
  </si>
  <si>
    <t>ООП. заявление из ЛК: "Добрый день. Приношу свои извинения за задержку с оплатой, в ближайшие два дня оплата поступит в полном объёме.". 17.12.2021.</t>
  </si>
  <si>
    <t>В-20224/КЛ.Транш-1</t>
  </si>
  <si>
    <t>131636.72</t>
  </si>
  <si>
    <t>Курчатов</t>
  </si>
  <si>
    <t>В-20397/КЛ.Транш-1</t>
  </si>
  <si>
    <t>203479.14</t>
  </si>
  <si>
    <t>В-21137/КЛ.Транш-1</t>
  </si>
  <si>
    <t>101312.76</t>
  </si>
  <si>
    <t>В-23633/КЛ.Транш-1</t>
  </si>
  <si>
    <t>337947.11</t>
  </si>
  <si>
    <t>[T] ООП. нет контакта, ВА игнорирует . 16.12.2021.</t>
  </si>
  <si>
    <t>ООП. 7578мт, занят говорил быстро, скорее всего погасит ПЗ 16.12, оплатит онлайн. . 17.12.2021.</t>
  </si>
  <si>
    <t>[T] ООП. ВА утоняет, можно ли оплатить сегодня, треб сегодня оплатить . 17.12.2021.</t>
  </si>
  <si>
    <t>[T] ООП. ВА уточняет, есть ли возможность оплатить по акции за 3 мес, написал, что может оплатить . 17.12.2021.</t>
  </si>
  <si>
    <t>[T] ООП. как всегда все звонки НБ, ВА пишет, что до 15 перезвонит, на что ему написал, что его звонок уже никого не интересует и ничем не поможет, есть время оплатить по акции до завтра, все суммы есть . 17.12.2021.</t>
  </si>
  <si>
    <t>[T] ООП. 7400, ответил и сразу сброс, ВА написал, что надо прислать акт фото Т С. 17.12.2021.</t>
  </si>
  <si>
    <t>ООП. ВА уточняет, что надо сделать для РК, отправил инструкцию . 17.12.2021.</t>
  </si>
  <si>
    <t>ООП. мт, врет, что муж в 2 часа ночи оплачивал, спросит у него чет, чтобы отправить. 17.12.2021.</t>
  </si>
  <si>
    <t>ООП. мт, клиент бесконтактная, в ВА спросил, имеет ли возможность обслуживать договор. 17.12.2021.</t>
  </si>
  <si>
    <t>[T] ООП. мт, клиент бесконтактный, написал в, треб-е предоставить обратную связь. 17.12.2021.</t>
  </si>
  <si>
    <t>ООП. мт, 6030 чс/сброс, 5077 сброс тр, 7119 чс/сброс, 1611 чс, 8050 соединили с клиентом, ссылается на мужа, платит он, она, как я понял, совсем не понимает, что к чему, объяснил ей, что муж лишь конт лицо, всю ответственность за обслуживание несет она, пояснила, что со слов супруга, платеж будет внесен сегодня. 17.12.2021.</t>
  </si>
  <si>
    <t>ООП. мт, 8956 чс, 5100 нд, 79211957549 нб, 8675 но. Написал на эл почту. 17.12.2021.</t>
  </si>
  <si>
    <t>ООП. мт, говорит, что ждет деньги, в течени 2х дней должен погасить пз. 20.12.2021.</t>
  </si>
  <si>
    <t>ООП. 7576 занято, по ВА но, игнор ВА , 6541 но, 7457 переадресация на Совкомбанк кл не знаком.. 17.12.2021.</t>
  </si>
  <si>
    <t>ООП. ВХ 2279 менеджерам, перезвонила, просит отсрочку до 17.12, напомнила про акцию. 17.12.2021.</t>
  </si>
  <si>
    <t>ООП. 0956 нд, 5365 но, 6808 но-смс, 5355 занято-смс, игнор ВА. 17.12.2021.</t>
  </si>
  <si>
    <t>ООП. ВХ смс ВА " Доброе утро! Меня динамят по деньгам, вот номер того, кто ездит на рав 4, звоните, говорите, что необходимо передать автомобиль сегодня-завтра: +7 (921) 962-44-89 Если не передаст, я его сам вам отдам в понедельник! Его зовут Василий Михайлович! Может у Вас получится повлиять на него. Я его предупредил, что вы будете звонить! Этот номер был указан при подписании договора" набрала с рт, объяснила, что требовать с 3-х лиц не имеем право, попросил просто набрать В.М. и передать инфо, он выдает дс на погашение займа., 4489 занято, манго занято, с рт занят. 17.12.2021.</t>
  </si>
  <si>
    <t>ООП. ВХ смс ВА "Доброе утро! Сегодня все сделаю как было обещано, заплачу проценты и перепишу заявление! Извиняюсь много много раз)". 17.12.2021.</t>
  </si>
  <si>
    <t>ООП. 1653 часть дс списала налоговая, ждет на днях зачисление дс, до 17,12 постарается оплатить, уточнял инфо про акцию. 17.12.2021.</t>
  </si>
  <si>
    <t>ООП. 8141 но, 4508 нд, письмо на мейл. 17.12.2021.</t>
  </si>
  <si>
    <t>ООП. 6204 но- смс о недоплате, 2032 нд, 4351 но. 17.12.2021.</t>
  </si>
  <si>
    <t>74771.44</t>
  </si>
  <si>
    <t>В-14560/КЛ.Транш-2</t>
  </si>
  <si>
    <t>ООП. 0001 но, 2771 но, письмо на мейл. 17.12.2021.</t>
  </si>
  <si>
    <t>248142.96</t>
  </si>
  <si>
    <t>Вошел в просрочку. Вошёл в просрочку. 16.12.2021.</t>
  </si>
  <si>
    <t>Рыбаков Виктор Васильевич</t>
  </si>
  <si>
    <t>В-01425/КЛ.Транш-1</t>
  </si>
  <si>
    <t>612176.24</t>
  </si>
  <si>
    <t>Марецкий Андрей Юрьевич</t>
  </si>
  <si>
    <t>В-07093/КЛ.Транш-4</t>
  </si>
  <si>
    <t>124091.65</t>
  </si>
  <si>
    <t>Немод Лазарь Витальевич</t>
  </si>
  <si>
    <t>В-08716/КЛ.Транш-2</t>
  </si>
  <si>
    <t>169389.99</t>
  </si>
  <si>
    <t>Машковцев Алексей Валерьевич</t>
  </si>
  <si>
    <t>В-18757/КЛ.Транш-1</t>
  </si>
  <si>
    <t>227272.7</t>
  </si>
  <si>
    <t>Женихов Александр Николаевич</t>
  </si>
  <si>
    <t>В-20171/КЛ.Транш-1</t>
  </si>
  <si>
    <t>82871.55</t>
  </si>
  <si>
    <t>Исаев Александр Васильевич</t>
  </si>
  <si>
    <t>Белгород</t>
  </si>
  <si>
    <t>В-20430/КЛ.Транш-1</t>
  </si>
  <si>
    <t>221104.78</t>
  </si>
  <si>
    <t>Попов Виктор Вячеславович</t>
  </si>
  <si>
    <t>В-21306/КЛ.Транш-1</t>
  </si>
  <si>
    <t>194765.69</t>
  </si>
  <si>
    <t>Романова Юлия Юрьевна</t>
  </si>
  <si>
    <t>В-23675/КЛ.Транш-1</t>
  </si>
  <si>
    <t>ООО "Особое Мнение" (П)</t>
  </si>
  <si>
    <t>В-00064/КЭ.Транш-1</t>
  </si>
  <si>
    <t>Амбросиенко Павел Сергеевич</t>
  </si>
  <si>
    <t>Ор</t>
  </si>
  <si>
    <t>В-24374/КЛ.Транш-1</t>
  </si>
  <si>
    <t>[T] ООП. 5694 нб, 9987 нб, 9658 нб, РАМИНА ВАЛЕРЬЕВНА 1996.05.31 мт 9646311695 выкл, Алжана Магомедова 29 декабря 1996 г. нет БД, нет по сьрц ВК в тел, . 20.12.2021.</t>
  </si>
  <si>
    <t>[T] ООП. по АР, возможно новое место работы из БД, ГАНПОУ ЛО МЦ СИТИ 78126431665 клиент не работает, ГАЛЕНА ВИКТОР ЮРЬЕВИЧ 79052055422 не прошел звонко, 1 писк. 17.12.2021.</t>
  </si>
  <si>
    <t>ООП. мт, все номера бесконтактные. 20.12.2021.</t>
  </si>
  <si>
    <t>[T] ООП. мт, клиент бесконтактная, в ВА спросил, имеет ли возможность обслуживать договор. 20.12.2021.</t>
  </si>
  <si>
    <t>ООП. Эл. почта, Здравствуйте Александр Сергеевич. Просроченная задолженность вызвана тем, что в октябре я перенёс операцию. По выписки, у меня выявили положительный ПЦР тест и до 7.12 включительно я находился дома. Больничные листы были сданы работодателю и так как произошла смена зарплатного проекта ( карты Мир) мне не перечислили зарабтную плату и не начислили больничные. В связи с болезнью я не мог оформить банковскую карту и предоставить её работодателю, т.к. не имел возможности выходить из дома. В настоящее время все документы сданы в отдел кадров. Поочередно перечисляют больничные. Т.к.открыты они были у терапевта, хирурга и опять терапевта. Я понимаю, что это мои проблемы, но тем не менее вы задали вопрос. Я всегда на связи и доступен, не смотря , что работаю сейчас в ночь и днём могу отдыхать. Всегда перезваниваю сам если вижу от вас пропущенные звонки. В ближайшие три дня закрою просроченную задолженность и внесу следующий платёж. . 20.12.2021.</t>
  </si>
  <si>
    <t>ООП. мт, говорит, ошибся, когда обещал оплатить 15 декабря, 17.12. получит отпускные, с этих денег оплатит. 20.12.2021.</t>
  </si>
  <si>
    <t>ООП. мт, клиент бесконтактная, в ВА спросил, имеет ли возможность обслуживать договор. 20.12.2021.</t>
  </si>
  <si>
    <t>ООП. мт, только сейчас получил деньги, внесет платеж сегодня. 17.12.2021.</t>
  </si>
  <si>
    <t>ООП. мт, 7094 никакой конкретики, денег нет, тяжелое фин положение, не может сейчас обслуживать займ, авто категорически отказывается предоставлять, предупредил, о возможном выставлении требования, ответила, если выставите, значит будем досрочно закрывать. 23.12.2021.</t>
  </si>
  <si>
    <t>ООП. едет в сбербанк класть деньги на карту, говорит, что ориентировочно в течении часа оплатит. 17.12.2021.</t>
  </si>
  <si>
    <t>ООП. ВА, читает и игнорирует, несколько раз звонил с мт, тот сбрасывал, потом взял аллокнул и сбросил, с рт набрал, тот сразу же послал в одно известное место и сказал, что мы его за...(цензура), сброс трубки. 17.12.2021.</t>
  </si>
  <si>
    <t>ООП. 9236 но,8840 передаст инфо, через час нам перезвонит. 17.12.2021.</t>
  </si>
  <si>
    <t>ООП. 2772 но, смс ВА. 17.12.2021.</t>
  </si>
  <si>
    <t>ООП. 8999завтра 24000 р, до 23.12 остальную часть. будет приход дс с др объекта. 23.12.2021.</t>
  </si>
  <si>
    <t>ООП. 1952 но, с рт сброс, по ВА но,6675 но- смс. 17.12.2021.</t>
  </si>
  <si>
    <t>ООП. 1503 нд, по ВА , смс ВА . 17.12.2021.</t>
  </si>
  <si>
    <t>ООП. 0956 сброс, с рт но , 6140 но. 17.12.2021.</t>
  </si>
  <si>
    <t>ООП. 5511 занято, игнор ВА . 17.12.2021.</t>
  </si>
  <si>
    <t>ООП. 2881 нд, 1587 кл в др стране будет через 8-9 дней, смс ВА кл. 17.12.2021.</t>
  </si>
  <si>
    <t>ООП. 1545 оплатит завтра без учета пеней, пришла смс об акции. 20.12.2021.</t>
  </si>
  <si>
    <t>ООП. 1077 нб, 8733 пока нет платежей от заказчиков, ежедневно ожидает, очень надеется, что деньги поступят 20/21.12, обсудили РК. В случае отсутствия платежа созвониться 21.12., обсудить детально РК.. 21.12.2021.</t>
  </si>
  <si>
    <t>ООП. 2293 нб, WA просрочка.. 17.12.2021.</t>
  </si>
  <si>
    <t>ООП. 7788 нб*2, WA просрочка. 17.12.2021.</t>
  </si>
  <si>
    <t>[T] ООП. ВХ, 9281263377, сказал ему, что может не спешить и в течении недели оплачивать всю сумму с учетом пени, очень занервничал, сегодня же оплатит 13к , просит дать возможность внести эту частичную оплату . 17.12.2021.</t>
  </si>
  <si>
    <t>107085.35</t>
  </si>
  <si>
    <t>ООП. ВХ, опять проблемы, человек у которого есть деньги ребенок заболел ковидом, и приехать теперь не могут в МСК из Сочи, потребовал предоставить предмет залога, начал говорить, что он генерал работает с спец войсками(что-то такое фсб фбр), целый штат юристов, ему напомнил, что договор подписывал он, а не юристы и был согласен со всем, сказал, что по факту выставления требования еще раз перезвоню . 20.12.2021.</t>
  </si>
  <si>
    <t>[T] ООП. нет контакта . 20.12.2021.</t>
  </si>
  <si>
    <t>ООП. до 17.12 включительно старается оплатить. 17.12.2021.</t>
  </si>
  <si>
    <t>ООП. мт, клиент бесконтактный, ВА игнорирует вопросы, на которые необходимо отвечать конкретно. 21.12.2021.</t>
  </si>
  <si>
    <t>ООП. мт, клиент бесконтактная. 20.12.2021.</t>
  </si>
  <si>
    <t>[T] ООП. мт, все номера бесконтактные. 20.12.2021.</t>
  </si>
  <si>
    <t>ООП. ВА, каждое слово приходится вытаскивать с него, конкретики нет, оплаты начнут поступать с понедельника. 20.12.2021.</t>
  </si>
  <si>
    <t>ООП. мт, 0743 нб, 0743 нд, 8194 жена передаст клиенту, чтобы перезвонил сегодня на мой мт. 17.12.2021.</t>
  </si>
  <si>
    <t>ООП. вх на мт, неуверенно, ожидает деньги завтра, уточнял сумму, озвучил, с учетом очередного платежа, но без пеней. 20.12.2021.</t>
  </si>
  <si>
    <t>ООП. ВА, сегодня получит зп и внесет 2 платежа. 17.12.2021.</t>
  </si>
  <si>
    <t>ООП. 3616м нб, очень надеяться что деньги будут до 17.12., заинтересована в прощении пени.. 20.12.2021.</t>
  </si>
  <si>
    <t>ООП. 8670мт нб*2, 5491м нб, 0107м говорит, что заемщик должен на днях вернуться из Нижнего Новгорода, передаст инфо, WA акция. . 20.12.2021.</t>
  </si>
  <si>
    <t>ООП. 1538мт нб*2, 8726 нб, 4051м чс, меил треб погасить ПЗ до 19.12.. 17.12.2021.</t>
  </si>
  <si>
    <t>ООП. 1591 но, 9701 нд, смс ВА кл. 17.12.2021.</t>
  </si>
  <si>
    <t>ООП. 4175 но, смс ВА. 17.12.2021.</t>
  </si>
  <si>
    <t>ООП. 1521 занято, манго сегодня оплатит, озвучила сумму без учета пеней. 17.12.2021.</t>
  </si>
  <si>
    <t>ООП. 1891 но, 7727 но, игнор ВА . 17.12.2021.</t>
  </si>
  <si>
    <t>ООП. 8181 но- смс на номер , с рт но, по ВА но, 9894 нд, 2224 сброс. 17.12.2021.</t>
  </si>
  <si>
    <t>ООП. 6050 но- смс на номер , 0555 но, 0555 кг. 17.12.2021.</t>
  </si>
  <si>
    <t>ООП. 1516 звонок, далее сбросил, потом ответил,что оплатит до 20,12, но возможно и 17.12. 21.12.2021.</t>
  </si>
  <si>
    <t>ООП. 6666 нд,4444 нд,4339 нд.. 17.12.2021.</t>
  </si>
  <si>
    <t>ООП. 3355 в офисе бывает редко, связи с кл нет, 8248 ао, с рт подтвердил оплату на сегодня обоих траншей. 17.12.2021.</t>
  </si>
  <si>
    <t>ООП. 6106 но- смс на номер, 4926 передадут инфо. 17.12.2021.</t>
  </si>
  <si>
    <t>ООП. 2967 нд, мт жена нд, смс ВА кл. 17.12.2021.</t>
  </si>
  <si>
    <t>ООП. 1685 нд, письмо на мейл. 17.12.2021.</t>
  </si>
  <si>
    <t>ООП. 9262 задержали зп, выдают налом, сегодня вечером, либо завтра с утра оплатит проср %. 20.12.2021.</t>
  </si>
  <si>
    <t>ООП. 3999 сегодня доплатит, озвучена сумма 306 р без учета пеней. 17.12.2021.</t>
  </si>
  <si>
    <t>ООП. 0419 сегодня оплатили, пришлет п/п мне на ВА . 17.12.2021.</t>
  </si>
  <si>
    <t>ООП. 9491 сброс, 1319 но, 4153 сброс, письмо на мейл. 17.12.2021.</t>
  </si>
  <si>
    <t>ООП. 5516 но, письмо на мейл. 17.12.2021.</t>
  </si>
  <si>
    <t>ООП. 3553 занято, манго занято, письмо на мейл. 17.12.2021.</t>
  </si>
  <si>
    <t>ООП. 7168 сегодня оплатит пз, либо досрочно, записал сумму для пдп. 17.12.2021.</t>
  </si>
  <si>
    <t>ООП. 9491 сброс, смс на номер о недоплате. 17.12.2021.</t>
  </si>
  <si>
    <t>ООП. 3411 но, 7315 но. 17.12.2021.</t>
  </si>
  <si>
    <t>ООП. 2203 завтра погасит ,ждет перечисление дс, уточнил по сумме пз. 20.12.2021.</t>
  </si>
  <si>
    <t>ООП. 9568 доплатит 703р. банковской картой. . 17.12.2021.</t>
  </si>
  <si>
    <t>Звонки (0/0/1/5)</t>
  </si>
  <si>
    <t>Прогноз визитов (159)</t>
  </si>
  <si>
    <t>   TTY (9/181)</t>
  </si>
  <si>
    <t>[T] ООП. бесконтактный . 17.12.2021.</t>
  </si>
  <si>
    <t>В-04953/КЛ.Транш-1</t>
  </si>
  <si>
    <t>,74993904348,74997851190,78926696252,79266962925</t>
  </si>
  <si>
    <t>355527.02</t>
  </si>
  <si>
    <t>ООП. 2925 но, 1190 но,4348 но,смс ВА кл. 16.12.2021.</t>
  </si>
  <si>
    <t>ООП. мт, 8379 нб. 17.12.2021.</t>
  </si>
  <si>
    <t>ООП. мт, 6259 чс. 17.12.2021.</t>
  </si>
  <si>
    <t>ООП. мт, 0459 чс, 1865 мужик говорит, что это номер организации, клиент незнаком. 17.12.2021.</t>
  </si>
  <si>
    <t>ООП. ответ WA: "прислал голосовое, что погасит ПЗ до 17.12., проблемы со здоровьем". 20.12.2021.</t>
  </si>
  <si>
    <t>ООП. мт/рт 8778 ао/чс. 17.12.2021.</t>
  </si>
  <si>
    <t>ООП. 2080 но. 17.12.2021.</t>
  </si>
  <si>
    <t>ООП. 1971 занято. 17.12.2021.</t>
  </si>
  <si>
    <t>ООП. 8009 снова неудобно говорить, перезвонит позже. 17.12.2021.</t>
  </si>
  <si>
    <t>ООП. 6636 но. 17.12.2021.</t>
  </si>
  <si>
    <t>ООП. мт нд, 9622 нд, письмо на мейл. 17.12.2021.</t>
  </si>
  <si>
    <t>ООП. 1372 просит перезвонить через час. 17.12.2021.</t>
  </si>
  <si>
    <t>ООП. мт оплатит завтра. 20.12.2021.</t>
  </si>
  <si>
    <t>ООП. см. комент ниже ↓. 20.12.2021.</t>
  </si>
  <si>
    <t>ООП. 8626 но. 17.12.2021.</t>
  </si>
  <si>
    <t>ООП. 0029 но. 17.12.2021.</t>
  </si>
  <si>
    <t>ООП. 3195 сегодня оплатит. 17.12.2021.</t>
  </si>
  <si>
    <t>Анкеты с 1 по 187 из 187</t>
  </si>
  <si>
    <t>Заявления</t>
  </si>
  <si>
    <t>Портфель задолженности по займам предоставленным</t>
  </si>
  <si>
    <t>Параметры:</t>
  </si>
  <si>
    <t>Включать в задолженность (Пени штрафы и прочие доходы): Нет</t>
  </si>
  <si>
    <t>Диапазоны просрочки по займам: </t>
  </si>
  <si>
    <t>Диапазоны сроков возврата займов: </t>
  </si>
  <si>
    <t>Отбор:</t>
  </si>
  <si>
    <t>Просроченный займ Равно "Да" И</t>
  </si>
  <si>
    <t>( Организация Равно "АТЛАС ООО" ИЛИ</t>
  </si>
  <si>
    <t>Организация Равно "КА АЭК ООО" ИЛИ</t>
  </si>
  <si>
    <t>Организация Равно "ИРБИС ООО" ) И</t>
  </si>
  <si>
    <t>На просрочке с</t>
  </si>
  <si>
    <t>Просрочено</t>
  </si>
  <si>
    <t>Итого</t>
  </si>
  <si>
    <t>Гаврин Валентин Николаевич</t>
  </si>
  <si>
    <t xml:space="preserve"> =ЕСЛИОШИБКА(ВПР($A2;CRM!$A:I;7;0);ЕСЛИОШИБКА(ВПР(ЕСЛИ(ПОИСК("ООО";$A2);"ООО "&amp;""""&amp;ЛЕВСИМВ($A2;ПОИСК("ООО";$A2)-2)&amp;""""&amp;" (П)");CRM!$A:I;7;0);ЕСЛИОШИБКА(ВПР(ЕСЛИ(ПОИСК("ЗАО";$A2);"ЗАО "&amp;""""&amp;ЛЕВСИМВ($A2;ПОИСК("ЗАО";$A2)-2)&amp;""""&amp;" (П)");CRM!$A:I;7;0);ЕСЛИОШИБКА(ВПР(ЕСЛИ(ПОИСК("ИП ";$A2);ПОДСТАВИТЬ($A2;"ИП ";""));CRM!$A:I;7;0);ЕСЛИОШИБКА(ВПР($A2&amp;" (П)";CRM!$A:I;7;0);ЕСЛИОШИБКА(ЕСЛИ(ПОИСК("ГТ.Билдинг ООО";$A2);ВПР("ООО "&amp;СИМВОЛ(34)&amp;"ГРАНД ТЕХНОЛОДЖИ. БИЛДИНГ"&amp;СИМВОЛ(34)&amp;" (П)";CRM!$A:I;7;0));ЕСЛИОШИБКА(ЕСЛИ(ПОИСК("ТРАНСЛОГ";$A2);ВПР("ООО "&amp;СИМВОЛ(34)&amp;"ТРАНСЛОГ"&amp;СИМВОЛ(34)&amp;" (П)";CRM!$A:I;7;0));ЕСЛИОШИБКА(ЕСЛИ(ПОИСК("МСКСТРОЙ";$A2);ВПР("ООО МСКСтрой (П)";CRM!$A:I;7;0));ЕСЛИОШИБКА(ЕСЛИ(ПОИСК("ОФИС КРАФТ";$A2);ВПР("ООО "&amp;"""Офис Крафт""";CRM!$A:I;7;0));ЕСЛИОШИБКА(ЕСЛИ(ПОИСК("Лого-Трейд";$A2);ВПР("ООО "&amp;СИМВОЛ(34)&amp;"ЛОГО-ТРЕЙД"&amp;СИМВОЛ(34);CRM!$A:I;7;0));"ПилиМ"))))))))))</t>
  </si>
  <si>
    <t xml:space="preserve"> =ЕСЛИОШИБКА(ВПР($A2;CRM!$A:I;6;0);ЕСЛИОШИБКА(ВПР(ЕСЛИ(ПОИСК("ООО";$A2);"ООО "&amp;""""&amp;ЛЕВСИМВ($A2;ПОИСК("ООО";$A2)-2)&amp;""""&amp;" (П)");CRM!$A:I;6;0);ЕСЛИОШИБКА(ВПР(ЕСЛИ(ПОИСК("ЗАО";$A2);"ЗАО "&amp;""""&amp;ЛЕВСИМВ($A2;ПОИСК("ЗАО";$A2)-2)&amp;""""&amp;" (П)");CRM!$A:I;6;0);ЕСЛИОШИБКА(ВПР(ЕСЛИ(ПОИСК("ИП ";$A2);ПОДСТАВИТЬ($A2;"ИП ";""));CRM!$A:I;6;0);ЕСЛИОШИБКА(ВПР($A2&amp;" (П)";CRM!$A:I;6;0);ЕСЛИОШИБКА(ЕСЛИ(ПОИСК("ГТ.Билдинг ООО";$A2);ВПР("ООО "&amp;СИМВОЛ(34)&amp;"ГРАНД ТЕХНОЛОДЖИ. БИЛДИНГ"&amp;СИМВОЛ(34)&amp;" (П)";CRM!$A:I;6;0));ЕСЛИОШИБКА(ЕСЛИ(ПОИСК("ТРАНСЛОГ";$A2);ВПР("ООО "&amp;СИМВОЛ(34)&amp;"ТРАНСЛОГ"&amp;СИМВОЛ(34)&amp;" (П)";CRM!$A:I;6;0));ЕСЛИОШИБКА(ЕСЛИ(ПОИСК("МСКСТРОЙ";$A2);ВПР("ООО МСКСтрой (П)";CRM!$A:I;6;0));ЕСЛИОШИБКА(ЕСЛИ(ПОИСК("ОФИС КРАФТ";$A2);ВПР("ООО "&amp;"""Офис Крафт""";CRM!$A:I;6;0));ЕСЛИОШИБКА(ЕСЛИ(ПОИСК("ОФИС КРАФТ";$A2);ВПР("ООО "&amp;"""Офис Крафт""";CRM!$A:I;7;0));ЕСЛИОШИБКА(ЕСЛИ(ПОИСК("Лого-Трейд";$A2);ВПР("ООО "&amp;СИМВОЛ(34)&amp;"ЛОГО-ТРЕЙД"&amp;СИМВОЛ(34);CRM!$A:I;6;0));"ПилиМ")))))))))))</t>
  </si>
  <si>
    <t xml:space="preserve"> =ЕСЛИОШИБКА(ВПР($A2;CRM!$A:J;9;0);ЕСЛИОШИБКА(ВПР(ЕСЛИ(ПОИСК("ООО";$A2);"ООО "&amp;""""&amp;ЛЕВСИМВ($A2;ПОИСК("ООО";$A2)-2)&amp;""""&amp;" (П)");CRM!$A:J;9;0);ЕСЛИОШИБКА(ВПР(ЕСЛИ(ПОИСК("ЗАО";$A2);"ЗАО "&amp;""""&amp;ЛЕВСИМВ($A2;ПОИСК("ЗАО";$A2)-2)&amp;""""&amp;" (П)");CRM!$A:J;9;0);ЕСЛИОШИБКА(ВПР(ЕСЛИ(ПОИСК("ИП ";$A2);ПОДСТАВИТЬ($A2;"ИП ";""));CRM!$A:J;9;0);ЕСЛИОШИБКА(ВПР($A2&amp;" (П)";CRM!$A:J;9;0);ЕСЛИОШИБКА(ЕСЛИ(ПОИСК("ГТ.Билдинг ООО";$A2);ВПР("ООО "&amp;СИМВОЛ(34)&amp;"ГРАНД ТЕХНОЛОДЖИ. БИЛДИНГ"&amp;СИМВОЛ(34)&amp;" (П)";CRM!$A:J;9;0));ЕСЛИОШИБКА(ЕСЛИ(ПОИСК("ТРАНСЛОГ";$A2);ВПР("ООО "&amp;СИМВОЛ(34)&amp;"ТРАНСЛОГ"&amp;СИМВОЛ(34)&amp;" (П)";CRM!$A:J;9;0));ЕСЛИОШИБКА(ЕСЛИ(ПОИСК("МСКСТРОЙ";$A2);ВПР("ООО МСКСтрой (П)";CRM!$A:J;9;0));ЕСЛИОШИБКА(ЕСЛИ(ПОИСК("ОФИС КРАФТ";$A2);ВПР("ООО "&amp;"""Офис Крафт""";CRM!$A:J;9;0));ЕСЛИОШИБКА(ЕСЛИ(ПОИСК("Лого-Трейд";$A2);ВПР("ООО "&amp;СИМВОЛ(34)&amp;"ЛОГО-ТРЕЙД"&amp;СИМВОЛ(34);CRM!$A:J;9;0));"ПилиМ"))))))))))</t>
  </si>
  <si>
    <t xml:space="preserve"> =ЕСЛИОШИБКА(ВПР($A2;CRM!$A:J;10;0);ЕСЛИОШИБКА(ВПР(ЕСЛИ(ПОИСК("ООО";$A2);"ООО "&amp;""""&amp;ЛЕВСИМВ($A2;ПОИСК("ООО";$A2)-2)&amp;""""&amp;" (П)");CRM!$A:J;10;0);ЕСЛИОШИБКА(ВПР(ЕСЛИ(ПОИСК("ЗАО";$A2);"ЗАО "&amp;""""&amp;ЛЕВСИМВ($A2;ПОИСК("ЗАО";$A2)-2)&amp;""""&amp;" (П)");CRM!$A:J;10;0);ЕСЛИОШИБКА(ВПР(ЕСЛИ(ПОИСК("ИП ";$A2);ПОДСТАВИТЬ($A2;"ИП ";""));CRM!$A:J;10;0);ЕСЛИОШИБКА(ВПР($A2&amp;" (П)";CRM!$A:J;10;0);ЕСЛИОШИБКА(ЕСЛИ(ПОИСК("ГТ.Билдинг ООО";$A2);ВПР("ООО "&amp;СИМВОЛ(34)&amp;"ГРАНД ТЕХНОЛОДЖИ. БИЛДИНГ"&amp;СИМВОЛ(34)&amp;" (П)";CRM!$A:J;10;0));ЕСЛИОШИБКА(ЕСЛИ(ПОИСК("ТРАНСЛОГ";$A2);ВПР("ООО "&amp;СИМВОЛ(34)&amp;"ТРАНСЛОГ"&amp;СИМВОЛ(34)&amp;" (П)";CRM!$A:J;10;0));ЕСЛИОШИБКА(ЕСЛИ(ПОИСК("МСКСТРОЙ";$A2);ВПР("ООО МСКСтрой (П)";CRM!$A:J;10;0));ЕСЛИОШИБКА(ЕСЛИ(ПОИСК("ОФИС КРАФТ";$A2);ВПР("ООО "&amp;"""Офис Крафт""";CRM!$A:J;10;0));ЕСЛИОШИБКА(ЕСЛИ(ПОИСК("Лого-Трейд";$A2);ВПР("ООО "&amp;СИМВОЛ(34)&amp;"ЛОГО-ТРЕЙД"&amp;СИМВОЛ(34);CRM!$A:J;10;0));"ПилиМ"))))))))))</t>
  </si>
  <si>
    <t>Джумаева Муслима Султоновна</t>
  </si>
  <si>
    <t>имяCRM</t>
  </si>
  <si>
    <t>   TTY (6/116)</t>
  </si>
  <si>
    <t>Мелоян Вардан Айкович</t>
  </si>
  <si>
    <t>Навоян Георг Анатолевич</t>
  </si>
  <si>
    <t>связан с Навоян Г.А.</t>
  </si>
  <si>
    <t>связан с Мелоян В.А.</t>
  </si>
  <si>
    <t>Варданян Ара Лаврентович</t>
  </si>
  <si>
    <t>Агросоюз ООО</t>
  </si>
  <si>
    <t>Науменко Андрей Николаевич</t>
  </si>
  <si>
    <t>Диакону Сергей Борисович</t>
  </si>
  <si>
    <t>Члоян Геворк Мамбреович</t>
  </si>
  <si>
    <t>Карагезян Шушаник Вачагановна</t>
  </si>
  <si>
    <t>связан Варданян А.Л.</t>
  </si>
  <si>
    <t>связан с Карагезян Ш. В.</t>
  </si>
  <si>
    <t>МСКСТРОЙ ООО</t>
  </si>
  <si>
    <t>Оганесян Ваге Наириович</t>
  </si>
  <si>
    <t>Мурадян Грачья Юрикович</t>
  </si>
  <si>
    <t>Алавердян Аракся Хачиковна</t>
  </si>
  <si>
    <t>Пархоменко Вячеслав Юрьевич</t>
  </si>
  <si>
    <t>Лапкин Руслан Евгеньевич</t>
  </si>
  <si>
    <t>Соколов Сергей Юрьевич</t>
  </si>
  <si>
    <t>связан с Соколов С.Ю.</t>
  </si>
  <si>
    <t>связан с Лапкин С.Ю.</t>
  </si>
  <si>
    <t>связан с Алавердян А.Х.</t>
  </si>
  <si>
    <t>связан с Мурадян ГЮ</t>
  </si>
  <si>
    <t>связан с Оганесян В.Н., Оганисян Н.М.</t>
  </si>
  <si>
    <t>связан с МСКСТРОЙ, Оганесян Н.М.</t>
  </si>
  <si>
    <t>связан с Егоян В.Б.</t>
  </si>
  <si>
    <t>связан с Науменко А.Н., Гаврин В.Н.</t>
  </si>
  <si>
    <t>связан с Диакону С.Б., Гаврин В.Н.</t>
  </si>
  <si>
    <t>Оганесян Наири Миранович</t>
  </si>
  <si>
    <t>связан с МСКСТРОЙ, Оганесян B.Н.</t>
  </si>
  <si>
    <t>связан с Науменко А.Н., Диакону С.Б.</t>
  </si>
  <si>
    <t>связан с Джумаева М.С.</t>
  </si>
  <si>
    <t>связан с Муминов Ф.Ю.</t>
  </si>
  <si>
    <t>связан с Члоян Г.М.</t>
  </si>
  <si>
    <t>связан с Агросюз</t>
  </si>
  <si>
    <t>связан с Пархоменко В.Ю.</t>
  </si>
  <si>
    <t>Прогноз визитов (55)</t>
  </si>
  <si>
    <t>Мордвинцева Елена Александровна</t>
  </si>
  <si>
    <t>Труханкин Анатолий Васильевич</t>
  </si>
  <si>
    <t>связан с Мордвинцева Елена Александровна</t>
  </si>
  <si>
    <t>Заемщик Не в списке "АЭК ООО КА; АТЛАС ООО; МКК ВЗАИМНО ООО; ИРБИС ООО" И</t>
  </si>
  <si>
    <t>Организация Равно "МКК ВЗАИМНО ООО" ИЛИ</t>
  </si>
  <si>
    <t>ИП Светлов Виталий Анатольевич</t>
  </si>
  <si>
    <t>Амирханян Оганес Николаевич</t>
  </si>
  <si>
    <t>Амирханян Эмиль Оганесович</t>
  </si>
  <si>
    <t>Погосян Араик Акобович</t>
  </si>
  <si>
    <t>Платонов Николай Владимирович</t>
  </si>
  <si>
    <t>Попов Михаил Александрович</t>
  </si>
  <si>
    <t>связан с Амирханян Э.О., Погосян А.А.</t>
  </si>
  <si>
    <t>связан с Амирханян О.Н., Погосян А.А.</t>
  </si>
  <si>
    <t>связан с Амирханян Э.О., Амирханян О.Н</t>
  </si>
  <si>
    <t>связан с Попов М.А.</t>
  </si>
  <si>
    <t>связан с Платонов Н.В.</t>
  </si>
  <si>
    <t>Всего</t>
  </si>
  <si>
    <t>Светлов Виталий Анатольевич</t>
  </si>
  <si>
    <t>АС ООО</t>
  </si>
  <si>
    <t>Бархударов Сергей Юрьевич</t>
  </si>
  <si>
    <t>ООО "АС" (П)</t>
  </si>
  <si>
    <t>Багдасарян Рафаэль Арменович</t>
  </si>
  <si>
    <t>Роскошная Евгения Валерьевна</t>
  </si>
  <si>
    <t>связан с Багдасарян Р. А.</t>
  </si>
  <si>
    <t>связан с Бархударов С. Ю.</t>
  </si>
  <si>
    <t>ИП Петров Юрий Викторович</t>
  </si>
  <si>
    <t>свзан с Роскошная Е.В. , АС ООО., Светлов В.А., ИП Светлов Ю.В.</t>
  </si>
  <si>
    <t>свзан с Роскошная Е.В. , ИП Светлов В.А., Светлов В.А., ИП Петров Ю.В.</t>
  </si>
  <si>
    <t>свзан с Роскошная Е.В. , ИП Светлов В.А., АС ООО, ИП Петров Ю.В.</t>
  </si>
  <si>
    <t>свзан с Роскошная Е.В. , АС ООО., Светлов В.А., ИП Петров Ю.В.</t>
  </si>
  <si>
    <t>свзан с АС ООО. , ИП Светлов В.А., Светлов В.А., ИП Петров Ю.В.</t>
  </si>
  <si>
    <t>Дней на просрочке Меньше или равно "95" И</t>
  </si>
  <si>
    <t>Павлов Вячеслав Игоревич</t>
  </si>
  <si>
    <t>Актуальный займ.Договор.Дата передачи в КО (Договоры) Не заполнено</t>
  </si>
  <si>
    <t>Кузьмичев Иван Сергеевич</t>
  </si>
  <si>
    <t>Волгоград</t>
  </si>
  <si>
    <t>Киселев Александр Максимович</t>
  </si>
  <si>
    <t>В-19346/КЛ.Транш-2</t>
  </si>
  <si>
    <t>182301.85</t>
  </si>
  <si>
    <t>Королёв Сергей Николаевич</t>
  </si>
  <si>
    <t>Макси-Строй ООО</t>
  </si>
  <si>
    <t>ООО "Макси-Строй" (П)</t>
  </si>
  <si>
    <t>В-00030/КЭ</t>
  </si>
  <si>
    <t>В-18141/КЛ.Транш-1</t>
  </si>
  <si>
    <t>Добавить</t>
  </si>
  <si>
    <t>Бунаков Алексей Вячеславович</t>
  </si>
  <si>
    <t>В-20731/КЛ.Транш-1</t>
  </si>
  <si>
    <t>212357.23</t>
  </si>
  <si>
    <t>В-27410/КЛ.Транш-1</t>
  </si>
  <si>
    <t>353990.13</t>
  </si>
  <si>
    <t>Савчук Елена Александровна</t>
  </si>
  <si>
    <t>Тихонова Ирина Анатольевна</t>
  </si>
  <si>
    <t>Дробот Роман Вячеславович</t>
  </si>
  <si>
    <t>В-12943/КЛ.Транш-1</t>
  </si>
  <si>
    <t>Клин</t>
  </si>
  <si>
    <t>В-03300/КЛ.Транш-1</t>
  </si>
  <si>
    <t>Самара</t>
  </si>
  <si>
    <t>В-21872/КЛ.Транш-1</t>
  </si>
  <si>
    <t>391114.88</t>
  </si>
  <si>
    <t>84612.47</t>
  </si>
  <si>
    <t>Сидоренко Надежда Алексеевна</t>
  </si>
  <si>
    <t>Смирнов Игорь Александрович</t>
  </si>
  <si>
    <t>Жирнов Игорь Владимирович</t>
  </si>
  <si>
    <t>Белорыбкин Михаил Васильевич</t>
  </si>
  <si>
    <t>292422.81</t>
  </si>
  <si>
    <t>В-19684/КЛ.Транш-1</t>
  </si>
  <si>
    <t>237825.37</t>
  </si>
  <si>
    <t>Севастополь</t>
  </si>
  <si>
    <t>Сергиев</t>
  </si>
  <si>
    <t>В-08644/КЛ.Транш-1</t>
  </si>
  <si>
    <t>75146.45</t>
  </si>
  <si>
    <t>В-24580/КЛ.Транш-1</t>
  </si>
  <si>
    <t>502274.21</t>
  </si>
  <si>
    <t>В-25306/КЛ.Транш-1</t>
  </si>
  <si>
    <t>908272.7</t>
  </si>
  <si>
    <t>Набойченко Юлия Александровна</t>
  </si>
  <si>
    <t>В-25865/КЛ.Транш-1</t>
  </si>
  <si>
    <t>523728.74</t>
  </si>
  <si>
    <t>Шаулов Шаул Рамбомович</t>
  </si>
  <si>
    <t>Яковлев Борис Викторович</t>
  </si>
  <si>
    <t>В-25824/КЛ.Транш-1</t>
  </si>
  <si>
    <t>128388.45</t>
  </si>
  <si>
    <t>77416.46</t>
  </si>
  <si>
    <t>Котельники</t>
  </si>
  <si>
    <t>В-06345/КЛ.Транш-1</t>
  </si>
  <si>
    <t>143099.52</t>
  </si>
  <si>
    <t>90122.66</t>
  </si>
  <si>
    <t>Попова Мария Спиридоновна</t>
  </si>
  <si>
    <t>Голосенин Тимофей Васильевич</t>
  </si>
  <si>
    <t>39349.88</t>
  </si>
  <si>
    <t>Ялта</t>
  </si>
  <si>
    <t>В-08348/КЛ.Транш-7</t>
  </si>
  <si>
    <t>125927.4</t>
  </si>
  <si>
    <t>Ессентуки</t>
  </si>
  <si>
    <t>В-27435/КЛ.Транш-1</t>
  </si>
  <si>
    <t>237322.22</t>
  </si>
  <si>
    <t>96263.72</t>
  </si>
  <si>
    <t>Новоселов Сергей Владимирович</t>
  </si>
  <si>
    <t>Тобольск</t>
  </si>
  <si>
    <t>В-19548/КЛ.Транш-1</t>
  </si>
  <si>
    <t>467640.27</t>
  </si>
  <si>
    <t>Башкатов Егор Иванович</t>
  </si>
  <si>
    <t>Лемкин Николай Иванович</t>
  </si>
  <si>
    <t>Гриценко Дмитрий Владимирович</t>
  </si>
  <si>
    <t>В-25126/КЛ.Транш-1</t>
  </si>
  <si>
    <t>168663.77</t>
  </si>
  <si>
    <t>Набережные</t>
  </si>
  <si>
    <t>В-26664/КЛ.Транш-1</t>
  </si>
  <si>
    <t>209491.73</t>
  </si>
  <si>
    <t>В-00970/АЗ</t>
  </si>
  <si>
    <t>241206.49</t>
  </si>
  <si>
    <t>Никулкин Андрей Викторович</t>
  </si>
  <si>
    <t>Норильск</t>
  </si>
  <si>
    <t>В-24247/КЛ.Транш-1</t>
  </si>
  <si>
    <t>307791.06</t>
  </si>
  <si>
    <t>Борисов Андрей Сергеевич</t>
  </si>
  <si>
    <t>Левченков Георгий Михайлович</t>
  </si>
  <si>
    <t>Самошин Дмитрий Сергеевич</t>
  </si>
  <si>
    <t>Белгер Эрнест Владимирович</t>
  </si>
  <si>
    <t>ИП Артемов Александр Викторович</t>
  </si>
  <si>
    <t>Бондаренко Александр Александрович</t>
  </si>
  <si>
    <t>Грязи</t>
  </si>
  <si>
    <t>В-25659/КЛ.Транш-1_В-20211230/Ц</t>
  </si>
  <si>
    <t>130577.68</t>
  </si>
  <si>
    <t>Вошел в просрочку. Вошёл в просрочку. 08.10.2022.</t>
  </si>
  <si>
    <t>В-03761/КЛ.Транш-1_В-20211230/Ц</t>
  </si>
  <si>
    <t>В-30007/КЭ.Транш-1_В-20211230/Ц</t>
  </si>
  <si>
    <t>В-12574/КЛ.Транш-3</t>
  </si>
  <si>
    <t>В-22163/КЛ.Транш-1</t>
  </si>
  <si>
    <t>Корол</t>
  </si>
  <si>
    <t>В-23923/КЛ.Транш-1</t>
  </si>
  <si>
    <t>273027.95</t>
  </si>
  <si>
    <t>ООП. ответ на мейл:"Добрый день, сейчас испытываю временные финансовые трудности, по возможности до 16.02 все погашу, 16.02 точно (поступят денежные средства) с учетом начисленных пеней. Ранее допускал просрочки, но в назначенную дату постоянно выплачивал." . 16.02.2023.</t>
  </si>
  <si>
    <t>В-28436/АЗ</t>
  </si>
  <si>
    <t>432774.06</t>
  </si>
  <si>
    <t>В-14198/КЛ.Транш-1</t>
  </si>
  <si>
    <t>210350.45</t>
  </si>
  <si>
    <t>ЭНБЕРЛИ ООО</t>
  </si>
  <si>
    <t>Мкртчян Григор Рубикович</t>
  </si>
  <si>
    <t>Сироткин Олег Георгиевич</t>
  </si>
  <si>
    <t>Надеев Алексей Александрович</t>
  </si>
  <si>
    <t>Новиков Артем Дмитриевич</t>
  </si>
  <si>
    <t>Воробьев Андрей Владимирович</t>
  </si>
  <si>
    <t>Галушка Светлана Анатольевна</t>
  </si>
  <si>
    <t>ИП Жаворонков Сергей Владимирович</t>
  </si>
  <si>
    <t>Мокрицкий Константин Александрович</t>
  </si>
  <si>
    <t>Король Маргарита Игоревна</t>
  </si>
  <si>
    <t>Егупов Дмитрий Сергеевич</t>
  </si>
  <si>
    <t>Иванов Антон Олегович</t>
  </si>
  <si>
    <t>Аракелян Михаил Герасимович</t>
  </si>
  <si>
    <t>Смирнов Михаил Львович</t>
  </si>
  <si>
    <t>Тимонин Виктор Викторович</t>
  </si>
  <si>
    <t>Лотонин Александр Олегович</t>
  </si>
  <si>
    <t>Говоруха Андрей Михайлович</t>
  </si>
  <si>
    <t>Журавлёв Денис Сергеевич</t>
  </si>
  <si>
    <t>113728.04</t>
  </si>
  <si>
    <t>[T] Требование. СМС, МЕИЛ требование . 17.02.2023.</t>
  </si>
  <si>
    <t>869258.87</t>
  </si>
  <si>
    <t>[T] ООП. подали заявление-гарантийное письмо (разместил в досье), сообщил о предоставлении рассрочки до 17.02., порекомендовал отправить заявление на ПД. . 17.02.2023.</t>
  </si>
  <si>
    <t>[T] ООП. МЕИЛ, ТГ, ВА уведомил о передаче Договора на принудительную стадию взыскания задолженности 20.02., с указанием суммы без пени. . 20.02.2023.</t>
  </si>
  <si>
    <t>216819.61</t>
  </si>
  <si>
    <t>[T] ООП. 74952413282мт ответила девушка, это не АР-ГО, +79032094949мт врз, 79099743847мт нд, 9878 нб*2, 8181(Максим) говорит, что Елена игнорирует звонки, так как не любит общаться на темы просрочек, деньгами руководит он, в течение февраля надеется погасить займ, но просрочку погасит полностью, договорились созвониться 20.02.. 20.02.2023.</t>
  </si>
  <si>
    <t>30293.29</t>
  </si>
  <si>
    <t>ООП. 2005 долгий содержательный разговор. Сказал, ему, заведомо неисполнимые договоренности Займодавца не интересуют, денег нет платить то необходимо решать вопрос залогом, договорились, что в случае не оплаты 20.02., будем решать вопрос залогом. . 20.02.2023.</t>
  </si>
  <si>
    <t>[T] ООП. долгая переписка, сказал, ему, что либо до 20.02. погашает просрочку, либо ищет покупателя на залог. Что займ изначально дорогой, на просрочке становится еще дороже. . 20.02.2023.</t>
  </si>
  <si>
    <t>ООП. ответ ВА:"Добрый день. На следующей неделе будет ЗП, внесу сразу 2 платежа, чтобы выйти в нормальный график." уточнила по дате, 16,02. 16.02.2023.</t>
  </si>
  <si>
    <t>199289.79</t>
  </si>
  <si>
    <t>ООП. 1478 остаток погасит до 17,02. 17.02.2023.</t>
  </si>
  <si>
    <t>Советск</t>
  </si>
  <si>
    <t>В-25052/КЛ.Транш-1</t>
  </si>
  <si>
    <t>400799.7</t>
  </si>
  <si>
    <t>Ставрополь</t>
  </si>
  <si>
    <t>В-21568/КЛ.Транш-1</t>
  </si>
  <si>
    <t>161001.07</t>
  </si>
  <si>
    <t>В-01143/АЗ</t>
  </si>
  <si>
    <t>266529.09</t>
  </si>
  <si>
    <t>В-19585/КЛ.Транш-1</t>
  </si>
  <si>
    <t>113096.82</t>
  </si>
  <si>
    <t>В-18317/КЛ.Транш-1</t>
  </si>
  <si>
    <t>249380.55</t>
  </si>
  <si>
    <t>В-17095/КЛ.Транш-1</t>
  </si>
  <si>
    <t>71139.97</t>
  </si>
  <si>
    <t>[T] ООП. Вх на ВА, ждет зп 15,02 . 16.02.2023.</t>
  </si>
  <si>
    <t>Жаворонков Сергей Владимирович</t>
  </si>
  <si>
    <t>В-00043/КЭ</t>
  </si>
  <si>
    <t>118250.15</t>
  </si>
  <si>
    <t>Аракелян Михаил Герасимович (П)</t>
  </si>
  <si>
    <t>В-21973/КЛ.Транш-1</t>
  </si>
  <si>
    <t>47682.79</t>
  </si>
  <si>
    <t>В-22052/КЛ.Транш-2</t>
  </si>
  <si>
    <t>102575.17</t>
  </si>
  <si>
    <t>[T] ООП. 2594 оплатит на след. нед, о причине пз отказался общаться. 16.02.2023.</t>
  </si>
  <si>
    <t>В-22935/КЛ.Транш-2</t>
  </si>
  <si>
    <t>200672.62</t>
  </si>
  <si>
    <t>В-28089/КЛ.Транш-1</t>
  </si>
  <si>
    <t>506081.97</t>
  </si>
  <si>
    <t>[T] ООП. ответ ВА :"Добрый день, всё нормально я оплачу постараюсь на этой неделе.". 16.02.2023.</t>
  </si>
  <si>
    <t>В-28968/АЗ</t>
  </si>
  <si>
    <t>201743.03</t>
  </si>
  <si>
    <t>Уфа</t>
  </si>
  <si>
    <t>В-24071/КЛ.Транш-1</t>
  </si>
  <si>
    <t>829872.26</t>
  </si>
  <si>
    <t>Сатка</t>
  </si>
  <si>
    <t>В-25807/АЗ</t>
  </si>
  <si>
    <t>846075.61</t>
  </si>
  <si>
    <t>Попов Михаил Александрович (П)</t>
  </si>
  <si>
    <t>Челябинск</t>
  </si>
  <si>
    <t>В-25810/АЗ</t>
  </si>
  <si>
    <t>В-21321/КЛ.Транш-1</t>
  </si>
  <si>
    <t>181058.27</t>
  </si>
  <si>
    <t>ООП. ответ ВА :"Добрый день! Больше недели болел , сейчас жду оплату больничного. Обязуюсь оплатить в течении недели", дан срок до 17,02. 17.02.2023.</t>
  </si>
  <si>
    <t>В-24137/КЛ.Транш-1</t>
  </si>
  <si>
    <t>125388.36</t>
  </si>
  <si>
    <t>ООП. Вх смс ВА :"Доброе утро, в ближайшее время по транш 1 внесу деньги, ожидаю зп.До 17 точно, край до 20, если задержат"". 20.02.2023.</t>
  </si>
  <si>
    <t>В-03365/КЛ.Транш-3</t>
  </si>
  <si>
    <t>214555.75</t>
  </si>
  <si>
    <t>ООП. 0088 но, 7111 до 17,02 погасит, сместились выплаты на 5 д, предложила перенос ДП. 17.02.2023.</t>
  </si>
  <si>
    <t>В-07559/КЛ.Транш-5</t>
  </si>
  <si>
    <t>204797.26</t>
  </si>
  <si>
    <t>113693.17</t>
  </si>
  <si>
    <t>768475.65</t>
  </si>
  <si>
    <t>ООП. 5256 до 17,02 погасит оба договора В-01039/АЗ. 17.02.2023.</t>
  </si>
  <si>
    <t>788721.25</t>
  </si>
  <si>
    <t>ООО "ЭНБЕРЛИ"</t>
  </si>
  <si>
    <t>В-10014/КЭ.Транш-2</t>
  </si>
  <si>
    <t>2022939.41</t>
  </si>
  <si>
    <t>На конец дня: 15.02.2023</t>
  </si>
  <si>
    <t>Куразян Гарий Рафаэлович</t>
  </si>
  <si>
    <t>Авагян Тигран Агванович</t>
  </si>
  <si>
    <t>Павлюк Татьяна Николаевна</t>
  </si>
  <si>
    <t>Рамазанов Абакар Рамазанович</t>
  </si>
  <si>
    <t>Звонки (0/0/2/2)</t>
  </si>
  <si>
    <t>[T] Требование. бесконтактный МЕИЛ, ВА требование. . 20.02.2023.</t>
  </si>
  <si>
    <t>[T] ООП. 8470мт говорит, что вчера зачислила деньги на карту сбербанка, их сразу списали разбирается, занимает, говорит, что погасит ПЗ до конца недели, с переводом поможет брат, сумму озвучил, сказала оплатит. . 20.02.2023.</t>
  </si>
  <si>
    <t>[T] ООП. с мт 2020 на данный момент болеет, просит перезвонить через пару дней. не может подписать заявление, не приходит код, просит решить данную проблему, сообщила, что необходима оплата проср. % , иначе заявл. будет аннулировано. 16.02.2023.</t>
  </si>
  <si>
    <t>[T] ООП. 9752 чс, 9752 чс. 16.02.2023.</t>
  </si>
  <si>
    <t>[T] ООП. 8888 оплатит сегодня с аванса 10000р. , до 28,02 закроет договор . 16.02.2023.</t>
  </si>
  <si>
    <t>[T] ООП. 8869 нб*2. 16.02.2023.</t>
  </si>
  <si>
    <t>ООП. 0395мт долгий содержательный разговор, подтвердил, что сменил адрес регистрации, треб подать заявление из ЛК, со сканом паспорта, сказал сделает. Желание есть, но денег нет, треб осмыслить ситуацию, и искать покупателя на залог, пока возможно сделать добровольно на выгодных условиях.. 20.02.2023.</t>
  </si>
  <si>
    <t>[T] ООП. оплатил 7К, МЕИЛ, ВА недоплата. 17.02.2023.</t>
  </si>
  <si>
    <t>[T] ООП. 9696мт посторонний шум, понял откуда звонок прервал вызов, сбр, МЕИЛ, ВА напоминание об оплате по договоренности, с указанием суммы ПЗ.. 16.02.2023.</t>
  </si>
  <si>
    <t>[T] ООП. 7119мт нб*2, МЕИЛ, ВА запрос заявления-гарантийного письма. 21.02.2023.</t>
  </si>
  <si>
    <t>[T] ООП. 0413 нб, сбр.. 16.02.2023.</t>
  </si>
  <si>
    <t>[T] ООП. 6128мт сбр, ВА треб погасить ПЗ с указанием суммы. . 16.02.2023.</t>
  </si>
  <si>
    <t>[T] ООП. ВХ 89175909191 новый номер, был длительное время на лечение , завтра оплатит 6000р, 23,02 остаток. 17.02.2023.</t>
  </si>
  <si>
    <t>[T] ООП. 1545мт нб*2, уведомил о прекращении бесмысленных телефонных переговоров по инициативе Займодавца, в связи с многочисленными неисполненными договоренностями. . 21.02.2023.</t>
  </si>
  <si>
    <t>[T] ООП. 8919 чс, 8919 чс., МЕИЛ треб погасить ПЗ(2) до 17.02.. 20.02.2023.</t>
  </si>
  <si>
    <t>[T] ООП. 8855 нб, 8664(Максим) говорит, что заказчик пока не может гарантировать дату перечисления ДС, пока подрабатывает такси, будет перечислять ежедневно от 1К. . 20.02.2023.</t>
  </si>
  <si>
    <t>ООП. 8206 нб*2, ВА треб погасить ПЗ (1) до 16.02. 16.02.2023.</t>
  </si>
  <si>
    <t>[T] ООП. 8283 сбр, сбр. . 16.02.2023.</t>
  </si>
  <si>
    <t>[T] ООП. 5179мт чс, 5179 чс. 21.02.2023.</t>
  </si>
  <si>
    <t>ООП. 7172 ао, 7172мт нд, ВА(Руслан, Валерия) просьба контакта. . 20.02.2023.</t>
  </si>
  <si>
    <t>ООП. 3891мт чс, 3891 ответил помолчал, сбросил, сбр.. 16.02.2023.</t>
  </si>
  <si>
    <t>ООП. 1804мт ао, ВХ(1804)мт молчит, ао, ВА треб погасить ПЗ (1) до 17.02. 17.02.2023.</t>
  </si>
  <si>
    <t>ООП. 3076 ждет приход дс, до 17,02 обещает точно погасить, предложила перенос ДП на 16 число. 17.02.2023.</t>
  </si>
  <si>
    <t>[T] ООП. ответ ВА:"Добрый день. Да, я знаю. Ищу возможность. Чтобы не быть голословным, конкретную дату назвать не могу. Была речь о том, что передадите на взыскание, если не будет оплаты в феврале. Я постараюсь." предупредила, что в конце мес дог. может быть передан на принуд. взыскание, напомнила про ежеднев. начисление пени, предложила созвониться 17,02 и обсудить реализацию ТС. т.к. продать в досуд. порядке гораздо выгоднее. 17.02.2023.</t>
  </si>
  <si>
    <t>ООП. 5350 оплатит сег, если перечислят зп, если нет, то 21,02. 21.02.2023.</t>
  </si>
  <si>
    <t>ООП. 4997 хочет приехать и оплатить наличкой, деньги в кармане, сообщила, что офиса в Краснодаре нет, треб. сегодня погасить пз. 16.02.2023.</t>
  </si>
  <si>
    <t>ООП. смс Ва с напоминанием об оплате. 16.02.2023.</t>
  </si>
  <si>
    <t>[T] ООП. 1416 идет сделка по продажи компании, обещает сег- завтра погасить пз, либо досрочно. 16.02.2023.</t>
  </si>
  <si>
    <t>ООП. с мт 8029 причину неоплаты называть отказывается. снова обещ внести сегодня до вечера, надеется, что это последний разговор со мной. 17.02.2023.</t>
  </si>
  <si>
    <t>ООП. +79104212400 ждет поступление средств от контрагентов, точную дату оплаты назвать не может. как только будут деньги, сразу "попрощается" с нами, созвон 22,02. 22.02.2023.</t>
  </si>
  <si>
    <t>ООП. Вх зв 0081 обещают сегодня выплатить зп. 17.02.2023.</t>
  </si>
  <si>
    <t>[T] ООП. 3609 но, 7172 но, 3154 но.. 16.02.2023.</t>
  </si>
  <si>
    <t>ООП. 0712 ждет денег за поездку, должны перечислить 200к, озвучена сумма пз на сегодня без учета пени. 16.02.2023.</t>
  </si>
  <si>
    <t>ООП. 6983 ждет денег сегодня- завтра, попросила перезвонить 15,02 в случае неоплаты написала ВА наши контактные номера. 16.02.2023.</t>
  </si>
  <si>
    <t>ООП. 3358 ждет зачисление средств, дата платежа не подходит, источник денег называть отказался, предложила перенос ДП . 16.02.2023.</t>
  </si>
  <si>
    <t>ООП. ответ ВА :"Здравствуйте потому-то крайний срок переноса был до 12 числа Платеже все будут внесены до 17 числа". 17.02.2023.</t>
  </si>
  <si>
    <t>ООП. 5733 но, 1089 но, смс ВА кл, 84991324998 но, 79295956446 но . 16.02.2023.</t>
  </si>
  <si>
    <t>ООП. ответ ВА :"К сожалению, нет пока такой возможности. Рассчитываем в ближайшее время получить от заказчика оплату и погасить задолженность."- созвон 17,02 . 17.02.2023.</t>
  </si>
  <si>
    <t>122344.87</t>
  </si>
  <si>
    <t>ООП. не успела написать письмо, вх смс ВА :"Здравствуйте до вечера переведу".. 16.02.2023.</t>
  </si>
  <si>
    <t>В-17916/КЛ.Транш-1</t>
  </si>
  <si>
    <t>162893.03</t>
  </si>
  <si>
    <t>ООП. 0120 но, 79674063636 но, 2706 но, смс ВА, ждет зачисление денег, поменялось начальство, идут задержки, запрос места работы и конкретной даты погашения зп, ответил, что занимаются крышами, офиц не трудоустроен. 17.02.2023.</t>
  </si>
  <si>
    <t>57520.23</t>
  </si>
  <si>
    <t>ООП. 7877 оплатит 20,02, причина пз нет средств. 21.02.2023.</t>
  </si>
  <si>
    <t>В-02064/КЛ.Транш-2</t>
  </si>
  <si>
    <t>341735.76</t>
  </si>
  <si>
    <t>ООП. 7090 перепутал числа, постарается сегодня оплатить. 16.02.2023.</t>
  </si>
  <si>
    <t>В-17747/КЛ.Транш-2</t>
  </si>
  <si>
    <t>249818.48</t>
  </si>
  <si>
    <t>ООП. 4902 но,Т.2 оплатит завтра, Т.1 22,02. 22.02.2023.</t>
  </si>
  <si>
    <t>В-20384/КЛ.Транш-1</t>
  </si>
  <si>
    <t>415798.98</t>
  </si>
  <si>
    <t>ООП. ответ Ва :"Я в Луганске ! Сегодня ночью выезжаю у меня на руках сумма для полного досрочного погашения я таможню пройду , и заявление буду в личном кабинете для полного погашения", прописала сумму для пдп на 16,02. 17.02.2023.</t>
  </si>
  <si>
    <t>Анкеты с 1 по 62 из 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</si>
</sst>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trike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43" fontId="3" fillId="2" borderId="0" xfId="1" applyFont="1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 wrapText="1"/>
    </xf>
    <xf numFmtId="164" fontId="3" fillId="2" borderId="0" xfId="0" applyNumberFormat="1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4" fillId="0" borderId="1" xfId="0" applyNumberFormat="1" applyFont="1" applyBorder="1"/>
    <xf numFmtId="14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/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4" borderId="0" xfId="0" applyFill="1"/>
    <xf numFmtId="0" fontId="0" fillId="3" borderId="0" xfId="0" applyFill="1"/>
    <xf numFmtId="43" fontId="0" fillId="0" borderId="0" xfId="1" applyFont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</cellXfs>
  <cellStyles count="2">
    <cellStyle name="Обычный" xfId="0" builtinId="0"/>
    <cellStyle name="Финансовый" xfId="1" builtinId="3"/>
  </cellStyles>
  <dxfs count="49"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31935</xdr:colOff>
      <xdr:row>0</xdr:row>
      <xdr:rowOff>0</xdr:rowOff>
    </xdr:from>
    <xdr:to>
      <xdr:col>12</xdr:col>
      <xdr:colOff>539564</xdr:colOff>
      <xdr:row>5</xdr:row>
      <xdr:rowOff>73037</xdr:rowOff>
    </xdr:to>
    <xdr:sp macro="[0]!clearsheetNEW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23376CA7-A035-4E85-92C0-E63E95C0A936}"/>
            </a:ext>
          </a:extLst>
        </xdr:cNvPr>
        <xdr:cNvSpPr/>
      </xdr:nvSpPr>
      <xdr:spPr>
        <a:xfrm>
          <a:off x="8547285" y="0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574860</xdr:colOff>
      <xdr:row>0</xdr:row>
      <xdr:rowOff>36010</xdr:rowOff>
    </xdr:from>
    <xdr:ext cx="1117229" cy="1025537"/>
    <xdr:sp macro="[0]!clearsheetNEW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7B40940-A9A9-458F-80AF-3F7EBF43E58C}"/>
            </a:ext>
          </a:extLst>
        </xdr:cNvPr>
        <xdr:cNvSpPr/>
      </xdr:nvSpPr>
      <xdr:spPr>
        <a:xfrm>
          <a:off x="10223685" y="36010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🧹</a:t>
          </a:r>
        </a:p>
      </xdr:txBody>
    </xdr:sp>
    <xdr:clientData/>
  </xdr:oneCellAnchor>
  <xdr:oneCellAnchor>
    <xdr:from>
      <xdr:col>14</xdr:col>
      <xdr:colOff>22410</xdr:colOff>
      <xdr:row>0</xdr:row>
      <xdr:rowOff>55060</xdr:rowOff>
    </xdr:from>
    <xdr:ext cx="1117229" cy="1025537"/>
    <xdr:sp macro="[0]!more500KNEW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46CEB38-5ABF-4BAC-BDF2-DE64AD822B6C}"/>
            </a:ext>
          </a:extLst>
        </xdr:cNvPr>
        <xdr:cNvSpPr/>
      </xdr:nvSpPr>
      <xdr:spPr>
        <a:xfrm>
          <a:off x="11500035" y="55060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🚀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CFB2A-EBDE-4EAE-A13F-75C167407275}">
  <sheetPr codeName="Лист1"/>
  <dimension ref="A1:J99"/>
  <sheetViews>
    <sheetView workbookViewId="0">
      <selection sqref="A1:K99"/>
    </sheetView>
  </sheetViews>
  <sheetFormatPr defaultRowHeight="15" x14ac:dyDescent="0.25"/>
  <cols>
    <col min="1" max="1" width="36.28515625" customWidth="1"/>
  </cols>
  <sheetData>
    <row r="1" spans="1:1" x14ac:dyDescent="0.25">
      <c r="A1" t="s">
        <v>23</v>
      </c>
    </row>
    <row r="4" spans="1:1" x14ac:dyDescent="0.25">
      <c r="A4" t="s">
        <v>1120</v>
      </c>
    </row>
    <row r="5" spans="1:1" x14ac:dyDescent="0.25">
      <c r="A5" t="s">
        <v>888</v>
      </c>
    </row>
    <row r="6" spans="1:1" x14ac:dyDescent="0.25">
      <c r="A6" t="s">
        <v>851</v>
      </c>
    </row>
    <row r="7" spans="1:1" x14ac:dyDescent="0.25">
      <c r="A7" t="s">
        <v>24</v>
      </c>
    </row>
    <row r="8" spans="1:1" x14ac:dyDescent="0.25">
      <c r="A8" t="s">
        <v>25</v>
      </c>
    </row>
    <row r="9" spans="1:1" x14ac:dyDescent="0.25">
      <c r="A9" t="s">
        <v>26</v>
      </c>
    </row>
    <row r="10" spans="1:1" x14ac:dyDescent="0.25">
      <c r="A10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35</v>
      </c>
    </row>
    <row r="19" spans="1:1" x14ac:dyDescent="0.25">
      <c r="A19" t="s">
        <v>36</v>
      </c>
    </row>
    <row r="20" spans="1:1" x14ac:dyDescent="0.25">
      <c r="A20" t="s">
        <v>37</v>
      </c>
    </row>
    <row r="21" spans="1:1" x14ac:dyDescent="0.25">
      <c r="A21" t="s">
        <v>38</v>
      </c>
    </row>
    <row r="22" spans="1:1" x14ac:dyDescent="0.25">
      <c r="A22" t="s">
        <v>830</v>
      </c>
    </row>
    <row r="23" spans="1:1" x14ac:dyDescent="0.25">
      <c r="A23" t="s">
        <v>39</v>
      </c>
    </row>
    <row r="24" spans="1:1" x14ac:dyDescent="0.25">
      <c r="A24" t="s">
        <v>40</v>
      </c>
    </row>
    <row r="27" spans="1:1" x14ac:dyDescent="0.25">
      <c r="A27" t="s">
        <v>41</v>
      </c>
    </row>
    <row r="28" spans="1:1" x14ac:dyDescent="0.25">
      <c r="A28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43</v>
      </c>
    </row>
    <row r="32" spans="1:1" x14ac:dyDescent="0.25">
      <c r="A32" t="s">
        <v>45</v>
      </c>
    </row>
    <row r="33" spans="1:10" x14ac:dyDescent="0.25">
      <c r="A33" t="s">
        <v>43</v>
      </c>
    </row>
    <row r="36" spans="1:10" x14ac:dyDescent="0.25">
      <c r="A36" t="s">
        <v>46</v>
      </c>
      <c r="B36" t="s">
        <v>47</v>
      </c>
      <c r="C36" t="s">
        <v>48</v>
      </c>
      <c r="D36" t="s">
        <v>49</v>
      </c>
      <c r="E36" t="s">
        <v>50</v>
      </c>
      <c r="F36" t="s">
        <v>51</v>
      </c>
      <c r="G36" t="s">
        <v>44</v>
      </c>
      <c r="H36" t="s">
        <v>52</v>
      </c>
      <c r="I36" t="s">
        <v>53</v>
      </c>
      <c r="J36" t="s">
        <v>54</v>
      </c>
    </row>
    <row r="37" spans="1:10" x14ac:dyDescent="0.25">
      <c r="A37" t="s">
        <v>1009</v>
      </c>
      <c r="B37" t="s">
        <v>1010</v>
      </c>
      <c r="C37" s="9">
        <v>0.7729166666666667</v>
      </c>
      <c r="D37" t="s">
        <v>1011</v>
      </c>
      <c r="E37">
        <v>79005980224.795197</v>
      </c>
      <c r="F37" s="8">
        <v>44537</v>
      </c>
      <c r="G37">
        <v>131</v>
      </c>
      <c r="H37" t="s">
        <v>1012</v>
      </c>
      <c r="I37" t="s">
        <v>1013</v>
      </c>
      <c r="J37" t="s">
        <v>582</v>
      </c>
    </row>
    <row r="38" spans="1:10" x14ac:dyDescent="0.25">
      <c r="A38" t="s">
        <v>923</v>
      </c>
      <c r="B38" t="s">
        <v>60</v>
      </c>
      <c r="C38" t="s">
        <v>56</v>
      </c>
      <c r="D38" t="s">
        <v>935</v>
      </c>
      <c r="E38">
        <v>79996794623</v>
      </c>
      <c r="F38" s="8">
        <v>44408</v>
      </c>
      <c r="G38">
        <v>77</v>
      </c>
      <c r="H38" t="s">
        <v>953</v>
      </c>
      <c r="I38" t="s">
        <v>1121</v>
      </c>
      <c r="J38" s="8">
        <v>44977</v>
      </c>
    </row>
    <row r="39" spans="1:10" x14ac:dyDescent="0.25">
      <c r="A39" t="s">
        <v>439</v>
      </c>
      <c r="C39" s="9">
        <v>0.7729166666666667</v>
      </c>
      <c r="D39" t="s">
        <v>1014</v>
      </c>
      <c r="E39">
        <v>79104938470</v>
      </c>
      <c r="F39" s="8">
        <v>43886</v>
      </c>
      <c r="G39">
        <v>69</v>
      </c>
      <c r="H39" t="s">
        <v>1044</v>
      </c>
      <c r="I39" t="s">
        <v>1122</v>
      </c>
      <c r="J39" s="8">
        <v>44977</v>
      </c>
    </row>
    <row r="40" spans="1:10" x14ac:dyDescent="0.25">
      <c r="A40" t="s">
        <v>925</v>
      </c>
      <c r="B40" t="s">
        <v>742</v>
      </c>
      <c r="C40" s="9">
        <v>0.7729166666666667</v>
      </c>
      <c r="D40" t="s">
        <v>926</v>
      </c>
      <c r="E40">
        <v>79538131690.799606</v>
      </c>
      <c r="F40" s="8">
        <v>44512</v>
      </c>
      <c r="G40">
        <v>65</v>
      </c>
      <c r="H40" t="s">
        <v>927</v>
      </c>
      <c r="I40" t="s">
        <v>1045</v>
      </c>
      <c r="J40" s="8">
        <v>44974</v>
      </c>
    </row>
    <row r="41" spans="1:10" x14ac:dyDescent="0.25">
      <c r="A41" t="s">
        <v>1008</v>
      </c>
      <c r="C41" t="s">
        <v>56</v>
      </c>
      <c r="D41" t="s">
        <v>1015</v>
      </c>
      <c r="E41">
        <v>79184334107</v>
      </c>
      <c r="F41" s="8">
        <v>44396</v>
      </c>
      <c r="G41">
        <v>58</v>
      </c>
      <c r="H41" t="s">
        <v>1046</v>
      </c>
      <c r="I41" t="s">
        <v>1047</v>
      </c>
      <c r="J41" s="8">
        <v>44974</v>
      </c>
    </row>
    <row r="42" spans="1:10" x14ac:dyDescent="0.25">
      <c r="A42" t="s">
        <v>928</v>
      </c>
      <c r="B42" t="s">
        <v>57</v>
      </c>
      <c r="C42" s="9">
        <v>0.7729166666666667</v>
      </c>
      <c r="D42" t="s">
        <v>932</v>
      </c>
      <c r="E42">
        <v>79119272677</v>
      </c>
      <c r="F42" s="8">
        <v>44336</v>
      </c>
      <c r="G42">
        <v>57</v>
      </c>
      <c r="H42" t="s">
        <v>936</v>
      </c>
      <c r="I42" t="s">
        <v>1048</v>
      </c>
      <c r="J42" s="8">
        <v>44977</v>
      </c>
    </row>
    <row r="43" spans="1:10" x14ac:dyDescent="0.25">
      <c r="A43" t="s">
        <v>934</v>
      </c>
      <c r="B43" t="s">
        <v>60</v>
      </c>
      <c r="C43" s="9">
        <v>0.7729166666666667</v>
      </c>
      <c r="D43" t="s">
        <v>937</v>
      </c>
      <c r="E43">
        <v>79654272020</v>
      </c>
      <c r="F43" s="8">
        <v>44583</v>
      </c>
      <c r="G43">
        <v>55</v>
      </c>
      <c r="H43" t="s">
        <v>938</v>
      </c>
      <c r="I43" t="s">
        <v>1123</v>
      </c>
      <c r="J43" s="8">
        <v>44973</v>
      </c>
    </row>
    <row r="44" spans="1:10" x14ac:dyDescent="0.25">
      <c r="A44" t="s">
        <v>941</v>
      </c>
      <c r="B44" t="s">
        <v>924</v>
      </c>
      <c r="C44" s="9">
        <v>0.81458333333333333</v>
      </c>
      <c r="D44" t="s">
        <v>942</v>
      </c>
      <c r="E44">
        <v>79270689752</v>
      </c>
      <c r="F44" s="8">
        <v>44188</v>
      </c>
      <c r="G44">
        <v>54</v>
      </c>
      <c r="H44" t="s">
        <v>1049</v>
      </c>
      <c r="I44" t="s">
        <v>1124</v>
      </c>
      <c r="J44" s="8">
        <v>44973</v>
      </c>
    </row>
    <row r="45" spans="1:10" x14ac:dyDescent="0.25">
      <c r="A45" t="s">
        <v>940</v>
      </c>
      <c r="B45" t="s">
        <v>943</v>
      </c>
      <c r="C45" s="9">
        <v>0.7729166666666667</v>
      </c>
      <c r="D45" t="s">
        <v>944</v>
      </c>
      <c r="E45">
        <v>79153008651</v>
      </c>
      <c r="F45" s="8">
        <v>43871</v>
      </c>
      <c r="G45">
        <v>53</v>
      </c>
      <c r="H45" t="s">
        <v>985</v>
      </c>
      <c r="I45" t="s">
        <v>1125</v>
      </c>
      <c r="J45" s="8">
        <v>44973</v>
      </c>
    </row>
    <row r="46" spans="1:10" x14ac:dyDescent="0.25">
      <c r="A46" t="s">
        <v>939</v>
      </c>
      <c r="B46" t="s">
        <v>945</v>
      </c>
      <c r="C46" s="9">
        <v>0.81458333333333333</v>
      </c>
      <c r="D46" t="s">
        <v>946</v>
      </c>
      <c r="E46">
        <v>79651191818.796494</v>
      </c>
      <c r="F46" s="8">
        <v>44432</v>
      </c>
      <c r="G46">
        <v>53</v>
      </c>
      <c r="H46" t="s">
        <v>947</v>
      </c>
      <c r="I46" t="s">
        <v>1050</v>
      </c>
      <c r="J46" s="8">
        <v>44977</v>
      </c>
    </row>
    <row r="47" spans="1:10" x14ac:dyDescent="0.25">
      <c r="A47" t="s">
        <v>307</v>
      </c>
      <c r="B47" t="s">
        <v>194</v>
      </c>
      <c r="C47" t="s">
        <v>56</v>
      </c>
      <c r="D47" t="s">
        <v>308</v>
      </c>
      <c r="E47">
        <v>79037968869</v>
      </c>
      <c r="F47" s="8">
        <v>43719</v>
      </c>
      <c r="G47">
        <v>52</v>
      </c>
      <c r="H47" t="s">
        <v>1051</v>
      </c>
      <c r="I47" t="s">
        <v>1126</v>
      </c>
      <c r="J47" s="8">
        <v>44973</v>
      </c>
    </row>
    <row r="48" spans="1:10" x14ac:dyDescent="0.25">
      <c r="A48" t="s">
        <v>952</v>
      </c>
      <c r="B48" t="s">
        <v>57</v>
      </c>
      <c r="C48" s="9">
        <v>0.7729166666666667</v>
      </c>
      <c r="D48" t="s">
        <v>954</v>
      </c>
      <c r="E48">
        <v>79641320395</v>
      </c>
      <c r="F48" s="8">
        <v>44375</v>
      </c>
      <c r="G48">
        <v>49</v>
      </c>
      <c r="H48" t="s">
        <v>955</v>
      </c>
      <c r="I48" t="s">
        <v>1127</v>
      </c>
      <c r="J48" s="8">
        <v>44977</v>
      </c>
    </row>
    <row r="49" spans="1:10" x14ac:dyDescent="0.25">
      <c r="A49" t="s">
        <v>951</v>
      </c>
      <c r="B49" t="s">
        <v>957</v>
      </c>
      <c r="C49" s="9">
        <v>0.7729166666666667</v>
      </c>
      <c r="D49" t="s">
        <v>958</v>
      </c>
      <c r="E49">
        <v>79997159400</v>
      </c>
      <c r="F49" s="8">
        <v>44076</v>
      </c>
      <c r="G49">
        <v>44</v>
      </c>
      <c r="H49" t="s">
        <v>959</v>
      </c>
      <c r="I49" t="s">
        <v>1128</v>
      </c>
      <c r="J49" s="8">
        <v>44974</v>
      </c>
    </row>
    <row r="50" spans="1:10" x14ac:dyDescent="0.25">
      <c r="A50" t="s">
        <v>950</v>
      </c>
      <c r="B50" t="s">
        <v>60</v>
      </c>
      <c r="C50" s="9">
        <v>0.7729166666666667</v>
      </c>
      <c r="D50" t="s">
        <v>960</v>
      </c>
      <c r="E50">
        <v>79646299696</v>
      </c>
      <c r="F50" s="8">
        <v>44510</v>
      </c>
      <c r="G50">
        <v>36</v>
      </c>
      <c r="H50" t="s">
        <v>961</v>
      </c>
      <c r="I50" t="s">
        <v>1129</v>
      </c>
      <c r="J50" s="8">
        <v>44973</v>
      </c>
    </row>
    <row r="51" spans="1:10" x14ac:dyDescent="0.25">
      <c r="A51" t="s">
        <v>949</v>
      </c>
      <c r="B51" t="s">
        <v>104</v>
      </c>
      <c r="C51" s="9">
        <v>0.7729166666666667</v>
      </c>
      <c r="D51" t="s">
        <v>962</v>
      </c>
      <c r="E51">
        <v>79184037119</v>
      </c>
      <c r="F51" s="8">
        <v>44529</v>
      </c>
      <c r="G51">
        <v>36</v>
      </c>
      <c r="H51" t="s">
        <v>963</v>
      </c>
      <c r="I51" t="s">
        <v>1130</v>
      </c>
      <c r="J51" s="8">
        <v>44978</v>
      </c>
    </row>
    <row r="52" spans="1:10" x14ac:dyDescent="0.25">
      <c r="A52" t="s">
        <v>964</v>
      </c>
      <c r="B52" t="s">
        <v>956</v>
      </c>
      <c r="C52" s="9">
        <v>0.7729166666666667</v>
      </c>
      <c r="D52" t="s">
        <v>965</v>
      </c>
      <c r="E52">
        <v>79787200413</v>
      </c>
      <c r="F52" s="8">
        <v>44541</v>
      </c>
      <c r="G52">
        <v>35</v>
      </c>
      <c r="H52" t="s">
        <v>966</v>
      </c>
      <c r="I52" t="s">
        <v>1131</v>
      </c>
      <c r="J52" s="8">
        <v>44973</v>
      </c>
    </row>
    <row r="53" spans="1:10" x14ac:dyDescent="0.25">
      <c r="A53" t="s">
        <v>968</v>
      </c>
      <c r="B53" t="s">
        <v>60</v>
      </c>
      <c r="C53" s="9">
        <v>0.7729166666666667</v>
      </c>
      <c r="D53" t="s">
        <v>969</v>
      </c>
      <c r="E53">
        <v>79645796128</v>
      </c>
      <c r="F53" s="8">
        <v>44543</v>
      </c>
      <c r="G53">
        <v>33</v>
      </c>
      <c r="H53" t="s">
        <v>970</v>
      </c>
      <c r="I53" t="s">
        <v>1132</v>
      </c>
      <c r="J53" s="8">
        <v>44973</v>
      </c>
    </row>
    <row r="54" spans="1:10" x14ac:dyDescent="0.25">
      <c r="A54" t="s">
        <v>624</v>
      </c>
      <c r="B54" t="s">
        <v>263</v>
      </c>
      <c r="C54" s="9">
        <v>0.7729166666666667</v>
      </c>
      <c r="D54" t="s">
        <v>685</v>
      </c>
      <c r="E54">
        <v>79013396636.791702</v>
      </c>
      <c r="F54" s="8">
        <v>44409</v>
      </c>
      <c r="G54">
        <v>32</v>
      </c>
      <c r="H54" t="s">
        <v>971</v>
      </c>
      <c r="I54" t="s">
        <v>1133</v>
      </c>
      <c r="J54" s="8">
        <v>44974</v>
      </c>
    </row>
    <row r="55" spans="1:10" x14ac:dyDescent="0.25">
      <c r="A55" t="s">
        <v>967</v>
      </c>
      <c r="B55" t="s">
        <v>972</v>
      </c>
      <c r="C55" s="9">
        <v>0.7729166666666667</v>
      </c>
      <c r="D55" t="s">
        <v>973</v>
      </c>
      <c r="E55">
        <v>79269492005.796799</v>
      </c>
      <c r="F55" s="8">
        <v>44058</v>
      </c>
      <c r="G55">
        <v>31</v>
      </c>
      <c r="H55" t="s">
        <v>974</v>
      </c>
      <c r="I55" t="s">
        <v>1052</v>
      </c>
      <c r="J55" s="8">
        <v>44977</v>
      </c>
    </row>
    <row r="56" spans="1:10" x14ac:dyDescent="0.25">
      <c r="A56" t="s">
        <v>410</v>
      </c>
      <c r="B56" t="s">
        <v>169</v>
      </c>
      <c r="C56" s="9">
        <v>0.7729166666666667</v>
      </c>
      <c r="D56" t="s">
        <v>419</v>
      </c>
      <c r="E56">
        <v>79912401545</v>
      </c>
      <c r="F56" s="8">
        <v>44353</v>
      </c>
      <c r="G56">
        <v>31</v>
      </c>
      <c r="H56" t="s">
        <v>975</v>
      </c>
      <c r="I56" t="s">
        <v>1134</v>
      </c>
      <c r="J56" s="8">
        <v>44978</v>
      </c>
    </row>
    <row r="57" spans="1:10" x14ac:dyDescent="0.25">
      <c r="A57" t="s">
        <v>921</v>
      </c>
      <c r="B57" t="s">
        <v>60</v>
      </c>
      <c r="C57" s="9">
        <v>0.7729166666666667</v>
      </c>
      <c r="D57" t="s">
        <v>1016</v>
      </c>
      <c r="E57">
        <v>79636718919</v>
      </c>
      <c r="F57" s="8">
        <v>44305</v>
      </c>
      <c r="G57">
        <v>27</v>
      </c>
      <c r="H57" t="s">
        <v>948</v>
      </c>
      <c r="I57" t="s">
        <v>1135</v>
      </c>
      <c r="J57" s="8">
        <v>44977</v>
      </c>
    </row>
    <row r="58" spans="1:10" x14ac:dyDescent="0.25">
      <c r="A58" t="s">
        <v>930</v>
      </c>
      <c r="C58" t="s">
        <v>56</v>
      </c>
      <c r="D58" t="s">
        <v>931</v>
      </c>
      <c r="E58">
        <v>79774938664</v>
      </c>
      <c r="F58" s="8">
        <v>44246</v>
      </c>
      <c r="G58">
        <v>26</v>
      </c>
      <c r="H58" t="s">
        <v>978</v>
      </c>
      <c r="I58" t="s">
        <v>1136</v>
      </c>
      <c r="J58" s="8">
        <v>44977</v>
      </c>
    </row>
    <row r="59" spans="1:10" x14ac:dyDescent="0.25">
      <c r="A59" t="s">
        <v>977</v>
      </c>
      <c r="B59" t="s">
        <v>979</v>
      </c>
      <c r="C59" s="9">
        <v>0.7729166666666667</v>
      </c>
      <c r="D59" t="s">
        <v>980</v>
      </c>
      <c r="E59">
        <v>79785538206</v>
      </c>
      <c r="F59" s="8">
        <v>44460</v>
      </c>
      <c r="G59">
        <v>25</v>
      </c>
      <c r="H59" t="s">
        <v>981</v>
      </c>
      <c r="I59" t="s">
        <v>1137</v>
      </c>
      <c r="J59" s="8">
        <v>44973</v>
      </c>
    </row>
    <row r="60" spans="1:10" x14ac:dyDescent="0.25">
      <c r="A60" t="s">
        <v>976</v>
      </c>
      <c r="B60" t="s">
        <v>982</v>
      </c>
      <c r="C60" s="9">
        <v>0.7729166666666667</v>
      </c>
      <c r="D60" t="s">
        <v>983</v>
      </c>
      <c r="E60">
        <v>79383128283</v>
      </c>
      <c r="F60" s="8">
        <v>44582</v>
      </c>
      <c r="G60">
        <v>25</v>
      </c>
      <c r="H60" t="s">
        <v>984</v>
      </c>
      <c r="I60" t="s">
        <v>1138</v>
      </c>
      <c r="J60" s="8">
        <v>44973</v>
      </c>
    </row>
    <row r="61" spans="1:10" x14ac:dyDescent="0.25">
      <c r="A61" t="s">
        <v>986</v>
      </c>
      <c r="B61" t="s">
        <v>987</v>
      </c>
      <c r="C61" s="9">
        <v>0.85625000000000007</v>
      </c>
      <c r="D61" t="s">
        <v>988</v>
      </c>
      <c r="E61">
        <v>79129303509.794998</v>
      </c>
      <c r="F61" s="8">
        <v>44372</v>
      </c>
      <c r="G61">
        <v>21</v>
      </c>
      <c r="H61" t="s">
        <v>989</v>
      </c>
      <c r="I61" t="s">
        <v>1139</v>
      </c>
      <c r="J61" s="8">
        <v>44978</v>
      </c>
    </row>
    <row r="62" spans="1:10" x14ac:dyDescent="0.25">
      <c r="A62" t="s">
        <v>992</v>
      </c>
      <c r="C62" s="9">
        <v>0.81458333333333333</v>
      </c>
      <c r="D62" t="s">
        <v>993</v>
      </c>
      <c r="E62">
        <v>79379741600</v>
      </c>
      <c r="F62" s="8">
        <v>44524</v>
      </c>
      <c r="G62">
        <v>18</v>
      </c>
      <c r="H62" t="s">
        <v>994</v>
      </c>
      <c r="I62" t="s">
        <v>1053</v>
      </c>
      <c r="J62" s="8">
        <v>44977</v>
      </c>
    </row>
    <row r="63" spans="1:10" x14ac:dyDescent="0.25">
      <c r="A63" t="s">
        <v>991</v>
      </c>
      <c r="B63" t="s">
        <v>995</v>
      </c>
      <c r="C63" s="9">
        <v>0.7729166666666667</v>
      </c>
      <c r="D63" t="s">
        <v>996</v>
      </c>
      <c r="E63">
        <v>79172851122</v>
      </c>
      <c r="F63" s="8">
        <v>44558</v>
      </c>
      <c r="G63">
        <v>18</v>
      </c>
      <c r="H63" t="s">
        <v>997</v>
      </c>
      <c r="I63" t="s">
        <v>1054</v>
      </c>
      <c r="J63" s="8">
        <v>44973</v>
      </c>
    </row>
    <row r="64" spans="1:10" x14ac:dyDescent="0.25">
      <c r="A64" t="s">
        <v>990</v>
      </c>
      <c r="C64" s="9">
        <v>0.7729166666666667</v>
      </c>
      <c r="D64" t="s">
        <v>998</v>
      </c>
      <c r="E64">
        <v>79119677172.795197</v>
      </c>
      <c r="F64" s="8">
        <v>44041</v>
      </c>
      <c r="G64">
        <v>17</v>
      </c>
      <c r="H64" t="s">
        <v>999</v>
      </c>
      <c r="I64" t="s">
        <v>1140</v>
      </c>
      <c r="J64" s="8">
        <v>44977</v>
      </c>
    </row>
    <row r="65" spans="1:10" x14ac:dyDescent="0.25">
      <c r="A65" t="s">
        <v>1000</v>
      </c>
      <c r="B65" t="s">
        <v>1001</v>
      </c>
      <c r="C65" t="s">
        <v>56</v>
      </c>
      <c r="D65" t="s">
        <v>1002</v>
      </c>
      <c r="E65">
        <v>79069003891</v>
      </c>
      <c r="F65" s="8">
        <v>44500</v>
      </c>
      <c r="G65">
        <v>15</v>
      </c>
      <c r="H65" t="s">
        <v>1003</v>
      </c>
      <c r="I65" t="s">
        <v>1141</v>
      </c>
      <c r="J65" s="8">
        <v>44973</v>
      </c>
    </row>
    <row r="66" spans="1:10" x14ac:dyDescent="0.25">
      <c r="A66" t="s">
        <v>1007</v>
      </c>
      <c r="B66" t="s">
        <v>956</v>
      </c>
      <c r="C66" s="9">
        <v>0.7729166666666667</v>
      </c>
      <c r="D66" t="s">
        <v>1017</v>
      </c>
      <c r="E66">
        <v>79780081478</v>
      </c>
      <c r="F66" s="8">
        <v>44440</v>
      </c>
      <c r="G66">
        <v>14</v>
      </c>
      <c r="H66" t="s">
        <v>1055</v>
      </c>
      <c r="I66" t="s">
        <v>1056</v>
      </c>
      <c r="J66" s="8">
        <v>44974</v>
      </c>
    </row>
    <row r="67" spans="1:10" x14ac:dyDescent="0.25">
      <c r="A67" t="s">
        <v>1006</v>
      </c>
      <c r="B67" t="s">
        <v>1018</v>
      </c>
      <c r="C67" s="9">
        <v>0.7729166666666667</v>
      </c>
      <c r="D67" t="s">
        <v>1019</v>
      </c>
      <c r="E67">
        <v>79778016312</v>
      </c>
      <c r="F67" s="8">
        <v>44491</v>
      </c>
      <c r="G67">
        <v>14</v>
      </c>
      <c r="H67" t="s">
        <v>1020</v>
      </c>
      <c r="I67" t="s">
        <v>1021</v>
      </c>
      <c r="J67" s="8">
        <v>44973</v>
      </c>
    </row>
    <row r="68" spans="1:10" x14ac:dyDescent="0.25">
      <c r="A68" t="s">
        <v>1005</v>
      </c>
      <c r="B68" t="s">
        <v>160</v>
      </c>
      <c r="C68" s="9">
        <v>0.7729166666666667</v>
      </c>
      <c r="D68" t="s">
        <v>1022</v>
      </c>
      <c r="E68">
        <v>79185881804</v>
      </c>
      <c r="F68" s="8">
        <v>44611</v>
      </c>
      <c r="G68">
        <v>14</v>
      </c>
      <c r="H68" t="s">
        <v>1023</v>
      </c>
      <c r="I68" t="s">
        <v>1142</v>
      </c>
      <c r="J68" s="8">
        <v>44974</v>
      </c>
    </row>
    <row r="69" spans="1:10" x14ac:dyDescent="0.25">
      <c r="A69" t="s">
        <v>1004</v>
      </c>
      <c r="B69" t="s">
        <v>350</v>
      </c>
      <c r="C69" s="9">
        <v>0.7729166666666667</v>
      </c>
      <c r="D69" t="s">
        <v>1024</v>
      </c>
      <c r="E69">
        <v>79261353076</v>
      </c>
      <c r="F69" s="8">
        <v>44229</v>
      </c>
      <c r="G69">
        <v>13</v>
      </c>
      <c r="H69" t="s">
        <v>1025</v>
      </c>
      <c r="I69" t="s">
        <v>1143</v>
      </c>
      <c r="J69" s="8">
        <v>44974</v>
      </c>
    </row>
    <row r="70" spans="1:10" x14ac:dyDescent="0.25">
      <c r="A70" t="s">
        <v>1043</v>
      </c>
      <c r="B70" t="s">
        <v>1057</v>
      </c>
      <c r="C70" s="9">
        <v>0.7729166666666667</v>
      </c>
      <c r="D70" t="s">
        <v>1058</v>
      </c>
      <c r="E70">
        <v>79229271317</v>
      </c>
      <c r="F70" s="8">
        <v>44525</v>
      </c>
      <c r="G70">
        <v>10</v>
      </c>
      <c r="H70" t="s">
        <v>1059</v>
      </c>
      <c r="I70" t="s">
        <v>1144</v>
      </c>
      <c r="J70" s="8">
        <v>44974</v>
      </c>
    </row>
    <row r="71" spans="1:10" x14ac:dyDescent="0.25">
      <c r="A71" t="s">
        <v>1042</v>
      </c>
      <c r="B71" t="s">
        <v>1060</v>
      </c>
      <c r="C71" s="9">
        <v>0.7729166666666667</v>
      </c>
      <c r="D71" t="s">
        <v>1061</v>
      </c>
      <c r="E71">
        <v>79197535350</v>
      </c>
      <c r="F71" s="8">
        <v>44445</v>
      </c>
      <c r="G71">
        <v>9</v>
      </c>
      <c r="H71" t="s">
        <v>1062</v>
      </c>
      <c r="I71" t="s">
        <v>1145</v>
      </c>
      <c r="J71" s="8">
        <v>44978</v>
      </c>
    </row>
    <row r="72" spans="1:10" x14ac:dyDescent="0.25">
      <c r="A72" t="s">
        <v>1040</v>
      </c>
      <c r="B72" t="s">
        <v>94</v>
      </c>
      <c r="C72" s="9">
        <v>0.7729166666666667</v>
      </c>
      <c r="D72" t="s">
        <v>1063</v>
      </c>
      <c r="E72">
        <v>79189414997</v>
      </c>
      <c r="F72" s="8">
        <v>44293</v>
      </c>
      <c r="G72">
        <v>8</v>
      </c>
      <c r="H72" t="s">
        <v>1064</v>
      </c>
      <c r="I72" t="s">
        <v>1146</v>
      </c>
      <c r="J72" s="8">
        <v>44973</v>
      </c>
    </row>
    <row r="73" spans="1:10" x14ac:dyDescent="0.25">
      <c r="A73" t="s">
        <v>1041</v>
      </c>
      <c r="B73" t="s">
        <v>57</v>
      </c>
      <c r="C73" s="9">
        <v>0.7729166666666667</v>
      </c>
      <c r="D73" t="s">
        <v>1065</v>
      </c>
      <c r="E73">
        <v>79045527952</v>
      </c>
      <c r="F73" s="8">
        <v>44372</v>
      </c>
      <c r="G73">
        <v>8</v>
      </c>
      <c r="H73" t="s">
        <v>1066</v>
      </c>
      <c r="I73" t="s">
        <v>1147</v>
      </c>
      <c r="J73" s="8">
        <v>44973</v>
      </c>
    </row>
    <row r="74" spans="1:10" x14ac:dyDescent="0.25">
      <c r="A74" t="s">
        <v>1039</v>
      </c>
      <c r="B74" t="s">
        <v>60</v>
      </c>
      <c r="C74" s="9">
        <v>0.7729166666666667</v>
      </c>
      <c r="D74" t="s">
        <v>1067</v>
      </c>
      <c r="E74">
        <v>79036121416</v>
      </c>
      <c r="F74" s="8">
        <v>44340</v>
      </c>
      <c r="G74">
        <v>7</v>
      </c>
      <c r="H74" t="s">
        <v>1068</v>
      </c>
      <c r="I74" t="s">
        <v>1148</v>
      </c>
      <c r="J74" s="8">
        <v>44973</v>
      </c>
    </row>
    <row r="75" spans="1:10" x14ac:dyDescent="0.25">
      <c r="A75" t="s">
        <v>1037</v>
      </c>
      <c r="B75" t="s">
        <v>121</v>
      </c>
      <c r="C75" s="9">
        <v>0.7729166666666667</v>
      </c>
      <c r="D75" t="s">
        <v>1069</v>
      </c>
      <c r="E75">
        <v>79206859288</v>
      </c>
      <c r="F75" s="8">
        <v>44312</v>
      </c>
      <c r="G75">
        <v>6</v>
      </c>
      <c r="H75" t="s">
        <v>1070</v>
      </c>
      <c r="I75" t="s">
        <v>1071</v>
      </c>
      <c r="J75" s="8">
        <v>44973</v>
      </c>
    </row>
    <row r="76" spans="1:10" x14ac:dyDescent="0.25">
      <c r="A76" t="s">
        <v>1072</v>
      </c>
      <c r="B76" t="s">
        <v>60</v>
      </c>
      <c r="C76" s="9">
        <v>0.7729166666666667</v>
      </c>
      <c r="D76" t="s">
        <v>1073</v>
      </c>
      <c r="E76">
        <v>79255898029</v>
      </c>
      <c r="F76" s="8">
        <v>44386</v>
      </c>
      <c r="G76">
        <v>6</v>
      </c>
      <c r="H76" t="s">
        <v>1074</v>
      </c>
      <c r="I76" t="s">
        <v>1149</v>
      </c>
      <c r="J76" s="8">
        <v>44974</v>
      </c>
    </row>
    <row r="77" spans="1:10" x14ac:dyDescent="0.25">
      <c r="A77" t="s">
        <v>1075</v>
      </c>
      <c r="B77" t="s">
        <v>351</v>
      </c>
      <c r="C77" s="9">
        <v>0.7729166666666667</v>
      </c>
      <c r="D77" t="s">
        <v>1076</v>
      </c>
      <c r="E77">
        <v>79104212400</v>
      </c>
      <c r="F77" s="8">
        <v>44434</v>
      </c>
      <c r="G77">
        <v>6</v>
      </c>
      <c r="H77" t="s">
        <v>1077</v>
      </c>
      <c r="I77" t="s">
        <v>1150</v>
      </c>
      <c r="J77" s="8">
        <v>44979</v>
      </c>
    </row>
    <row r="78" spans="1:10" x14ac:dyDescent="0.25">
      <c r="A78" t="s">
        <v>1034</v>
      </c>
      <c r="B78" t="s">
        <v>60</v>
      </c>
      <c r="C78" s="9">
        <v>0.7729166666666667</v>
      </c>
      <c r="D78" t="s">
        <v>1078</v>
      </c>
      <c r="E78">
        <v>79165312594</v>
      </c>
      <c r="F78" s="8">
        <v>44570</v>
      </c>
      <c r="G78">
        <v>6</v>
      </c>
      <c r="H78" t="s">
        <v>1079</v>
      </c>
      <c r="I78" t="s">
        <v>1080</v>
      </c>
      <c r="J78" s="8">
        <v>44973</v>
      </c>
    </row>
    <row r="79" spans="1:10" x14ac:dyDescent="0.25">
      <c r="A79" t="s">
        <v>1035</v>
      </c>
      <c r="C79" t="s">
        <v>56</v>
      </c>
      <c r="D79" t="s">
        <v>1081</v>
      </c>
      <c r="E79">
        <v>79189780081</v>
      </c>
      <c r="F79" s="8">
        <v>44539</v>
      </c>
      <c r="G79">
        <v>6</v>
      </c>
      <c r="H79" t="s">
        <v>1082</v>
      </c>
      <c r="I79" t="s">
        <v>1151</v>
      </c>
      <c r="J79" s="8">
        <v>44974</v>
      </c>
    </row>
    <row r="80" spans="1:10" x14ac:dyDescent="0.25">
      <c r="A80" t="s">
        <v>1032</v>
      </c>
      <c r="B80" t="s">
        <v>78</v>
      </c>
      <c r="C80" s="9">
        <v>0.7729166666666667</v>
      </c>
      <c r="D80" t="s">
        <v>1083</v>
      </c>
      <c r="E80">
        <v>79689820536</v>
      </c>
      <c r="F80" s="8">
        <v>44601</v>
      </c>
      <c r="G80">
        <v>6</v>
      </c>
      <c r="H80" t="s">
        <v>1084</v>
      </c>
      <c r="I80" t="s">
        <v>1085</v>
      </c>
      <c r="J80" s="8">
        <v>44973</v>
      </c>
    </row>
    <row r="81" spans="1:10" x14ac:dyDescent="0.25">
      <c r="A81" t="s">
        <v>1036</v>
      </c>
      <c r="B81" t="s">
        <v>924</v>
      </c>
      <c r="C81" s="9">
        <v>0.81458333333333333</v>
      </c>
      <c r="D81" t="s">
        <v>1086</v>
      </c>
      <c r="E81">
        <v>79023113609</v>
      </c>
      <c r="F81" s="8">
        <v>44629</v>
      </c>
      <c r="G81">
        <v>6</v>
      </c>
      <c r="H81" t="s">
        <v>1087</v>
      </c>
      <c r="I81" t="s">
        <v>1152</v>
      </c>
      <c r="J81" s="8">
        <v>44973</v>
      </c>
    </row>
    <row r="82" spans="1:10" x14ac:dyDescent="0.25">
      <c r="A82" t="s">
        <v>1031</v>
      </c>
      <c r="B82" t="s">
        <v>1088</v>
      </c>
      <c r="C82" s="9">
        <v>0.85625000000000007</v>
      </c>
      <c r="D82" t="s">
        <v>1089</v>
      </c>
      <c r="E82">
        <v>79177570712.792694</v>
      </c>
      <c r="F82" s="8">
        <v>44496</v>
      </c>
      <c r="G82">
        <v>5</v>
      </c>
      <c r="H82" t="s">
        <v>1090</v>
      </c>
      <c r="I82" t="s">
        <v>1153</v>
      </c>
      <c r="J82" s="8">
        <v>44973</v>
      </c>
    </row>
    <row r="83" spans="1:10" x14ac:dyDescent="0.25">
      <c r="A83" t="s">
        <v>898</v>
      </c>
      <c r="B83" t="s">
        <v>1091</v>
      </c>
      <c r="C83" s="9">
        <v>0.85625000000000007</v>
      </c>
      <c r="D83" t="s">
        <v>1092</v>
      </c>
      <c r="E83">
        <v>79821136983</v>
      </c>
      <c r="F83" s="8">
        <v>44540</v>
      </c>
      <c r="G83">
        <v>5</v>
      </c>
      <c r="H83" t="s">
        <v>1093</v>
      </c>
      <c r="I83" t="s">
        <v>1154</v>
      </c>
      <c r="J83" s="8">
        <v>44973</v>
      </c>
    </row>
    <row r="84" spans="1:10" x14ac:dyDescent="0.25">
      <c r="A84" t="s">
        <v>1094</v>
      </c>
      <c r="B84" t="s">
        <v>1095</v>
      </c>
      <c r="C84" s="9">
        <v>0.85625000000000007</v>
      </c>
      <c r="D84" t="s">
        <v>1096</v>
      </c>
      <c r="E84">
        <v>79821033358</v>
      </c>
      <c r="F84" s="8">
        <v>44540</v>
      </c>
      <c r="G84">
        <v>5</v>
      </c>
      <c r="H84" t="s">
        <v>1093</v>
      </c>
      <c r="I84" t="s">
        <v>1155</v>
      </c>
      <c r="J84" s="8">
        <v>44973</v>
      </c>
    </row>
    <row r="85" spans="1:10" x14ac:dyDescent="0.25">
      <c r="A85" t="s">
        <v>1029</v>
      </c>
      <c r="B85" t="s">
        <v>60</v>
      </c>
      <c r="C85" t="s">
        <v>56</v>
      </c>
      <c r="D85" t="s">
        <v>1097</v>
      </c>
      <c r="E85">
        <v>79160417078</v>
      </c>
      <c r="F85" s="8">
        <v>44414</v>
      </c>
      <c r="G85">
        <v>4</v>
      </c>
      <c r="H85" t="s">
        <v>1098</v>
      </c>
      <c r="I85" t="s">
        <v>1099</v>
      </c>
      <c r="J85" s="8">
        <v>44974</v>
      </c>
    </row>
    <row r="86" spans="1:10" x14ac:dyDescent="0.25">
      <c r="A86" t="s">
        <v>1030</v>
      </c>
      <c r="B86" t="s">
        <v>60</v>
      </c>
      <c r="C86" s="9">
        <v>0.7729166666666667</v>
      </c>
      <c r="D86" t="s">
        <v>1100</v>
      </c>
      <c r="E86">
        <v>79150153386</v>
      </c>
      <c r="F86" s="8">
        <v>44497</v>
      </c>
      <c r="G86">
        <v>4</v>
      </c>
      <c r="H86" t="s">
        <v>1101</v>
      </c>
      <c r="I86" t="s">
        <v>1102</v>
      </c>
      <c r="J86" s="8">
        <v>44977</v>
      </c>
    </row>
    <row r="87" spans="1:10" x14ac:dyDescent="0.25">
      <c r="A87" t="s">
        <v>1028</v>
      </c>
      <c r="B87" t="s">
        <v>57</v>
      </c>
      <c r="C87" s="9">
        <v>0.7729166666666667</v>
      </c>
      <c r="D87" t="s">
        <v>1103</v>
      </c>
      <c r="E87">
        <v>79211820088.792099</v>
      </c>
      <c r="F87" s="8">
        <v>44267</v>
      </c>
      <c r="G87">
        <v>3</v>
      </c>
      <c r="H87" t="s">
        <v>1104</v>
      </c>
      <c r="I87" t="s">
        <v>1105</v>
      </c>
      <c r="J87" s="8">
        <v>44974</v>
      </c>
    </row>
    <row r="88" spans="1:10" x14ac:dyDescent="0.25">
      <c r="A88" t="s">
        <v>1027</v>
      </c>
      <c r="B88" t="s">
        <v>71</v>
      </c>
      <c r="C88" s="9">
        <v>0.7729166666666667</v>
      </c>
      <c r="D88" t="s">
        <v>1106</v>
      </c>
      <c r="E88">
        <v>79688871144</v>
      </c>
      <c r="F88" s="8">
        <v>44529</v>
      </c>
      <c r="G88">
        <v>3</v>
      </c>
      <c r="H88" t="s">
        <v>1107</v>
      </c>
      <c r="I88" t="s">
        <v>1156</v>
      </c>
      <c r="J88" s="8">
        <v>44974</v>
      </c>
    </row>
    <row r="89" spans="1:10" x14ac:dyDescent="0.25">
      <c r="A89" t="s">
        <v>517</v>
      </c>
      <c r="B89" t="s">
        <v>60</v>
      </c>
      <c r="C89" s="9">
        <v>0.7729166666666667</v>
      </c>
      <c r="D89" t="s">
        <v>518</v>
      </c>
      <c r="E89">
        <v>79685265733</v>
      </c>
      <c r="F89" s="8">
        <v>44116</v>
      </c>
      <c r="G89">
        <v>3</v>
      </c>
      <c r="H89" t="s">
        <v>1108</v>
      </c>
      <c r="I89" t="s">
        <v>1157</v>
      </c>
      <c r="J89" s="8">
        <v>44973</v>
      </c>
    </row>
    <row r="90" spans="1:10" x14ac:dyDescent="0.25">
      <c r="A90" t="s">
        <v>520</v>
      </c>
      <c r="C90" s="9">
        <v>0.7729166666666667</v>
      </c>
      <c r="D90" t="s">
        <v>521</v>
      </c>
      <c r="E90">
        <v>79032135256</v>
      </c>
      <c r="F90" s="8">
        <v>44147</v>
      </c>
      <c r="G90">
        <v>3</v>
      </c>
      <c r="H90" t="s">
        <v>1109</v>
      </c>
      <c r="I90" t="s">
        <v>1110</v>
      </c>
      <c r="J90" s="8">
        <v>44974</v>
      </c>
    </row>
    <row r="91" spans="1:10" x14ac:dyDescent="0.25">
      <c r="A91" t="s">
        <v>523</v>
      </c>
      <c r="B91" t="s">
        <v>173</v>
      </c>
      <c r="C91" s="9">
        <v>0.7729166666666667</v>
      </c>
      <c r="D91" t="s">
        <v>524</v>
      </c>
      <c r="E91">
        <v>79032437959</v>
      </c>
      <c r="F91" s="8">
        <v>44147</v>
      </c>
      <c r="G91">
        <v>3</v>
      </c>
      <c r="H91" t="s">
        <v>1111</v>
      </c>
      <c r="I91" t="s">
        <v>1110</v>
      </c>
      <c r="J91" s="8">
        <v>44974</v>
      </c>
    </row>
    <row r="92" spans="1:10" x14ac:dyDescent="0.25">
      <c r="A92" t="s">
        <v>1112</v>
      </c>
      <c r="C92" t="s">
        <v>56</v>
      </c>
      <c r="D92" t="s">
        <v>1113</v>
      </c>
      <c r="E92">
        <v>79215912156</v>
      </c>
      <c r="F92" s="8">
        <v>44620</v>
      </c>
      <c r="G92">
        <v>3</v>
      </c>
      <c r="H92" t="s">
        <v>1114</v>
      </c>
      <c r="I92" t="s">
        <v>1158</v>
      </c>
      <c r="J92" s="8">
        <v>44974</v>
      </c>
    </row>
    <row r="93" spans="1:10" x14ac:dyDescent="0.25">
      <c r="A93" t="s">
        <v>561</v>
      </c>
      <c r="B93" t="s">
        <v>594</v>
      </c>
      <c r="C93" s="9">
        <v>0.7729166666666667</v>
      </c>
      <c r="D93" t="s">
        <v>595</v>
      </c>
      <c r="E93">
        <v>79056956259</v>
      </c>
      <c r="F93" s="8">
        <v>44056</v>
      </c>
      <c r="G93">
        <v>2</v>
      </c>
      <c r="H93" t="s">
        <v>1159</v>
      </c>
      <c r="I93" t="s">
        <v>1160</v>
      </c>
      <c r="J93" s="8">
        <v>44973</v>
      </c>
    </row>
    <row r="94" spans="1:10" x14ac:dyDescent="0.25">
      <c r="A94" t="s">
        <v>1119</v>
      </c>
      <c r="B94" t="s">
        <v>173</v>
      </c>
      <c r="C94" s="9">
        <v>0.7729166666666667</v>
      </c>
      <c r="D94" t="s">
        <v>1161</v>
      </c>
      <c r="E94">
        <v>79674060120</v>
      </c>
      <c r="F94" s="8">
        <v>44329</v>
      </c>
      <c r="G94">
        <v>2</v>
      </c>
      <c r="H94" t="s">
        <v>1162</v>
      </c>
      <c r="I94" t="s">
        <v>1163</v>
      </c>
      <c r="J94" s="8">
        <v>44974</v>
      </c>
    </row>
    <row r="95" spans="1:10" x14ac:dyDescent="0.25">
      <c r="A95" t="s">
        <v>621</v>
      </c>
      <c r="B95" t="s">
        <v>350</v>
      </c>
      <c r="C95" s="9">
        <v>0.7729166666666667</v>
      </c>
      <c r="D95" t="s">
        <v>664</v>
      </c>
      <c r="E95">
        <v>79686377877</v>
      </c>
      <c r="F95" s="8">
        <v>44483</v>
      </c>
      <c r="G95">
        <v>1</v>
      </c>
      <c r="H95" t="s">
        <v>1164</v>
      </c>
      <c r="I95" t="s">
        <v>1165</v>
      </c>
      <c r="J95" s="8">
        <v>44978</v>
      </c>
    </row>
    <row r="96" spans="1:10" x14ac:dyDescent="0.25">
      <c r="A96" t="s">
        <v>1117</v>
      </c>
      <c r="B96" t="s">
        <v>60</v>
      </c>
      <c r="C96" t="s">
        <v>56</v>
      </c>
      <c r="D96" t="s">
        <v>1166</v>
      </c>
      <c r="E96">
        <v>79015017090</v>
      </c>
      <c r="F96" s="8">
        <v>44361</v>
      </c>
      <c r="G96">
        <v>1</v>
      </c>
      <c r="H96" t="s">
        <v>1167</v>
      </c>
      <c r="I96" t="s">
        <v>1168</v>
      </c>
      <c r="J96" s="8">
        <v>44973</v>
      </c>
    </row>
    <row r="97" spans="1:10" x14ac:dyDescent="0.25">
      <c r="A97" t="s">
        <v>1118</v>
      </c>
      <c r="B97" t="s">
        <v>60</v>
      </c>
      <c r="C97" s="9">
        <v>0.7729166666666667</v>
      </c>
      <c r="D97" t="s">
        <v>1169</v>
      </c>
      <c r="E97">
        <v>79629134902</v>
      </c>
      <c r="F97" s="8">
        <v>44391</v>
      </c>
      <c r="G97">
        <v>1</v>
      </c>
      <c r="H97" t="s">
        <v>1170</v>
      </c>
      <c r="I97" t="s">
        <v>1171</v>
      </c>
      <c r="J97" s="8">
        <v>44979</v>
      </c>
    </row>
    <row r="98" spans="1:10" x14ac:dyDescent="0.25">
      <c r="A98" t="s">
        <v>1116</v>
      </c>
      <c r="B98" t="s">
        <v>160</v>
      </c>
      <c r="C98" s="9">
        <v>0.7729166666666667</v>
      </c>
      <c r="D98" t="s">
        <v>1172</v>
      </c>
      <c r="E98">
        <v>79897033074</v>
      </c>
      <c r="F98" s="8">
        <v>44391</v>
      </c>
      <c r="G98">
        <v>1</v>
      </c>
      <c r="H98" t="s">
        <v>1173</v>
      </c>
      <c r="I98" t="s">
        <v>1174</v>
      </c>
      <c r="J98" s="8">
        <v>44974</v>
      </c>
    </row>
    <row r="99" spans="1:10" x14ac:dyDescent="0.25">
      <c r="A99" t="s">
        <v>1175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 filterMode="1"/>
  <dimension ref="A1:K80"/>
  <sheetViews>
    <sheetView topLeftCell="B1" workbookViewId="0">
      <selection activeCell="D17" sqref="D17:E80"/>
    </sheetView>
  </sheetViews>
  <sheetFormatPr defaultRowHeight="15" x14ac:dyDescent="0.25"/>
  <cols>
    <col min="1" max="1" width="41" customWidth="1"/>
    <col min="2" max="2" width="9.140625" customWidth="1"/>
    <col min="3" max="3" width="14.85546875" bestFit="1" customWidth="1"/>
    <col min="4" max="4" width="17.140625" bestFit="1" customWidth="1"/>
  </cols>
  <sheetData>
    <row r="1" spans="1:11" x14ac:dyDescent="0.25">
      <c r="J1">
        <v>95</v>
      </c>
      <c r="K1">
        <v>200000</v>
      </c>
    </row>
    <row r="2" spans="1:11" x14ac:dyDescent="0.25">
      <c r="A2" t="s">
        <v>831</v>
      </c>
    </row>
    <row r="4" spans="1:11" x14ac:dyDescent="0.25">
      <c r="A4" t="s">
        <v>832</v>
      </c>
      <c r="B4" t="s">
        <v>1115</v>
      </c>
    </row>
    <row r="5" spans="1:11" x14ac:dyDescent="0.25">
      <c r="B5" t="s">
        <v>833</v>
      </c>
    </row>
    <row r="6" spans="1:11" x14ac:dyDescent="0.25">
      <c r="B6" t="s">
        <v>834</v>
      </c>
    </row>
    <row r="7" spans="1:11" x14ac:dyDescent="0.25">
      <c r="B7" t="s">
        <v>835</v>
      </c>
    </row>
    <row r="8" spans="1:11" x14ac:dyDescent="0.25">
      <c r="A8" t="s">
        <v>836</v>
      </c>
      <c r="B8" t="s">
        <v>837</v>
      </c>
    </row>
    <row r="9" spans="1:11" x14ac:dyDescent="0.25">
      <c r="B9" t="s">
        <v>838</v>
      </c>
    </row>
    <row r="10" spans="1:11" x14ac:dyDescent="0.25">
      <c r="B10" t="s">
        <v>893</v>
      </c>
    </row>
    <row r="11" spans="1:11" x14ac:dyDescent="0.25">
      <c r="B11" t="s">
        <v>839</v>
      </c>
    </row>
    <row r="12" spans="1:11" x14ac:dyDescent="0.25">
      <c r="B12" t="s">
        <v>840</v>
      </c>
    </row>
    <row r="13" spans="1:11" x14ac:dyDescent="0.25">
      <c r="B13" t="s">
        <v>892</v>
      </c>
    </row>
    <row r="14" spans="1:11" x14ac:dyDescent="0.25">
      <c r="B14" t="s">
        <v>920</v>
      </c>
    </row>
    <row r="15" spans="1:11" x14ac:dyDescent="0.25">
      <c r="B15" t="s">
        <v>922</v>
      </c>
    </row>
    <row r="16" spans="1:11" ht="15" customHeight="1" x14ac:dyDescent="0.25">
      <c r="F16" t="s">
        <v>933</v>
      </c>
      <c r="H16" t="s">
        <v>850</v>
      </c>
    </row>
    <row r="17" spans="1:8" hidden="1" x14ac:dyDescent="0.25">
      <c r="A17" t="s">
        <v>0</v>
      </c>
      <c r="B17" t="str">
        <f>IFERROR(VLOOKUP(A17,CRM!A:I,7,0),IFERROR(VLOOKUP("*"&amp;H17&amp;"*",CRM!A:I,7,0),"ПилиМ"))</f>
        <v>ПилиМ</v>
      </c>
      <c r="C17" t="s">
        <v>841</v>
      </c>
      <c r="D17" t="s">
        <v>842</v>
      </c>
      <c r="E17" t="s">
        <v>905</v>
      </c>
      <c r="F17" t="str">
        <f>IF(OR(B17="ПилиМ",E17&lt;=$K$1,B17&gt;=$J$1),"нет",IFERROR(IF(VLOOKUP(A17,'200К и более'!A:A,1,0)&lt;&gt;"","нет"),"да"))</f>
        <v>нет</v>
      </c>
      <c r="H17" t="str">
        <f>TRIM(SUBSTITUTE(SUBSTITUTE(SUBSTITUTE(SUBSTITUTE(SUBSTITUTE(A17,"ООО",""),"ЗАО",""),"ИП ",""),"""",""),"СК ",""))</f>
        <v>Заемщик</v>
      </c>
    </row>
    <row r="18" spans="1:8" x14ac:dyDescent="0.25">
      <c r="A18" t="s">
        <v>1116</v>
      </c>
      <c r="B18">
        <f>IFERROR(VLOOKUP(A18,CRM!A:I,7,0),IFERROR(VLOOKUP("*"&amp;H18&amp;"*",CRM!A:I,7,0),"ПилиМ"))</f>
        <v>1</v>
      </c>
      <c r="C18" s="8">
        <v>44971</v>
      </c>
      <c r="D18">
        <v>85410.240000000005</v>
      </c>
      <c r="E18">
        <v>415798.98</v>
      </c>
      <c r="F18" t="str">
        <f>IF(OR(B18="ПилиМ",E18&lt;=$K$1,B18&gt;=$J$1),"нет",IFERROR(IF(VLOOKUP(A18,'200К и более'!A:A,1,0)&lt;&gt;"","нет"),"да"))</f>
        <v>нет</v>
      </c>
      <c r="H18" t="str">
        <f t="shared" ref="H18:H80" si="0">TRIM(SUBSTITUTE(SUBSTITUTE(SUBSTITUTE(SUBSTITUTE(SUBSTITUTE(A18,"ООО",""),"ЗАО",""),"ИП ",""),"""",""),"СК ",""))</f>
        <v>Куразян Гарий Рафаэлович</v>
      </c>
    </row>
    <row r="19" spans="1:8" x14ac:dyDescent="0.25">
      <c r="A19" t="s">
        <v>1117</v>
      </c>
      <c r="B19">
        <f>IFERROR(VLOOKUP(A19,CRM!A:I,7,0),IFERROR(VLOOKUP("*"&amp;H19&amp;"*",CRM!A:I,7,0),"ПилиМ"))</f>
        <v>1</v>
      </c>
      <c r="C19" s="8">
        <v>44971</v>
      </c>
      <c r="D19">
        <v>30073.41</v>
      </c>
      <c r="E19">
        <v>341735.76</v>
      </c>
      <c r="F19" t="str">
        <f>IF(OR(B19="ПилиМ",E19&lt;=$K$1,B19&gt;=$J$1),"нет",IFERROR(IF(VLOOKUP(A19,'200К и более'!A:A,1,0)&lt;&gt;"","нет"),"да"))</f>
        <v>нет</v>
      </c>
      <c r="H19" t="str">
        <f t="shared" si="0"/>
        <v>Авагян Тигран Агванович</v>
      </c>
    </row>
    <row r="20" spans="1:8" hidden="1" x14ac:dyDescent="0.25">
      <c r="A20" t="s">
        <v>1118</v>
      </c>
      <c r="B20">
        <f>IFERROR(VLOOKUP(A20,CRM!A:I,7,0),IFERROR(VLOOKUP("*"&amp;H20&amp;"*",CRM!A:I,7,0),"ПилиМ"))</f>
        <v>1</v>
      </c>
      <c r="C20" s="8">
        <v>44971</v>
      </c>
      <c r="D20">
        <v>7704.32</v>
      </c>
      <c r="E20">
        <v>124093.11</v>
      </c>
      <c r="F20" t="str">
        <f>IF(OR(B20="ПилиМ",E20&lt;=$K$1,B20&gt;=$J$1),"нет",IFERROR(IF(VLOOKUP(A20,'200К и более'!A:A,1,0)&lt;&gt;"","нет"),"да"))</f>
        <v>нет</v>
      </c>
      <c r="H20" t="str">
        <f t="shared" si="0"/>
        <v>Павлюк Татьяна Николаевна</v>
      </c>
    </row>
    <row r="21" spans="1:8" hidden="1" x14ac:dyDescent="0.25">
      <c r="A21" t="s">
        <v>621</v>
      </c>
      <c r="B21">
        <f>IFERROR(VLOOKUP(A21,CRM!A:I,7,0),IFERROR(VLOOKUP("*"&amp;H21&amp;"*",CRM!A:I,7,0),"ПилиМ"))</f>
        <v>1</v>
      </c>
      <c r="C21" s="8">
        <v>44971</v>
      </c>
      <c r="D21">
        <v>11118.65</v>
      </c>
      <c r="E21">
        <v>57520.23</v>
      </c>
      <c r="F21" t="str">
        <f>IF(OR(B21="ПилиМ",E21&lt;=$K$1,B21&gt;=$J$1),"нет",IFERROR(IF(VLOOKUP(A21,'200К и более'!A:A,1,0)&lt;&gt;"","нет"),"да"))</f>
        <v>нет</v>
      </c>
      <c r="H21" t="str">
        <f t="shared" si="0"/>
        <v>Храмков Евгений Александрович</v>
      </c>
    </row>
    <row r="22" spans="1:8" hidden="1" x14ac:dyDescent="0.25">
      <c r="A22" t="s">
        <v>1119</v>
      </c>
      <c r="B22">
        <f>IFERROR(VLOOKUP(A22,CRM!A:I,7,0),IFERROR(VLOOKUP("*"&amp;H22&amp;"*",CRM!A:I,7,0),"ПилиМ"))</f>
        <v>2</v>
      </c>
      <c r="C22" s="8">
        <v>44970</v>
      </c>
      <c r="D22">
        <v>9929.17</v>
      </c>
      <c r="E22">
        <v>162893.03</v>
      </c>
      <c r="F22" t="str">
        <f>IF(OR(B22="ПилиМ",E22&lt;=$K$1,B22&gt;=$J$1),"нет",IFERROR(IF(VLOOKUP(A22,'200К и более'!A:A,1,0)&lt;&gt;"","нет"),"да"))</f>
        <v>нет</v>
      </c>
      <c r="H22" t="str">
        <f t="shared" si="0"/>
        <v>Рамазанов Абакар Рамазанович</v>
      </c>
    </row>
    <row r="23" spans="1:8" hidden="1" x14ac:dyDescent="0.25">
      <c r="A23" t="s">
        <v>561</v>
      </c>
      <c r="B23">
        <f>IFERROR(VLOOKUP(A23,CRM!A:I,7,0),IFERROR(VLOOKUP("*"&amp;H23&amp;"*",CRM!A:I,7,0),"ПилиМ"))</f>
        <v>2</v>
      </c>
      <c r="C23" s="8">
        <v>44970</v>
      </c>
      <c r="D23">
        <v>11000.66</v>
      </c>
      <c r="E23">
        <v>122344.87</v>
      </c>
      <c r="F23" t="str">
        <f>IF(OR(B23="ПилиМ",E23&lt;=$K$1,B23&gt;=$J$1),"нет",IFERROR(IF(VLOOKUP(A23,'200К и более'!A:A,1,0)&lt;&gt;"","нет"),"да"))</f>
        <v>нет</v>
      </c>
      <c r="H23" t="str">
        <f t="shared" si="0"/>
        <v>Алхименков Даниил Андреевич</v>
      </c>
    </row>
    <row r="24" spans="1:8" x14ac:dyDescent="0.25">
      <c r="A24" t="s">
        <v>1026</v>
      </c>
      <c r="B24">
        <f>IFERROR(VLOOKUP(A24,CRM!A:I,7,0),IFERROR(VLOOKUP("*"&amp;H24&amp;"*",CRM!A:I,7,0),"ПилиМ"))</f>
        <v>3</v>
      </c>
      <c r="C24" s="8">
        <v>44969</v>
      </c>
      <c r="D24">
        <v>84426.22</v>
      </c>
      <c r="E24">
        <v>2022939.41</v>
      </c>
      <c r="F24" t="str">
        <f>IF(OR(B24="ПилиМ",E24&lt;=$K$1,B24&gt;=$J$1),"нет",IFERROR(IF(VLOOKUP(A24,'200К и более'!A:A,1,0)&lt;&gt;"","нет"),"да"))</f>
        <v>нет</v>
      </c>
      <c r="H24" t="str">
        <f t="shared" si="0"/>
        <v>ЭНБЕРЛИ</v>
      </c>
    </row>
    <row r="25" spans="1:8" x14ac:dyDescent="0.25">
      <c r="A25" t="s">
        <v>860</v>
      </c>
      <c r="B25">
        <f>IFERROR(VLOOKUP(A25,CRM!A:I,7,0),IFERROR(VLOOKUP("*"&amp;H25&amp;"*",CRM!A:I,7,0),"ПилиМ"))</f>
        <v>3</v>
      </c>
      <c r="C25" s="8">
        <v>44969</v>
      </c>
      <c r="D25">
        <v>69925.429999999993</v>
      </c>
      <c r="E25">
        <v>788721.25</v>
      </c>
      <c r="F25" t="str">
        <f>IF(OR(B25="ПилиМ",E25&lt;=$K$1,B25&gt;=$J$1),"нет",IFERROR(IF(VLOOKUP(A25,'200К и более'!A:A,1,0)&lt;&gt;"","нет"),"да"))</f>
        <v>нет</v>
      </c>
      <c r="H25" t="str">
        <f t="shared" si="0"/>
        <v>Члоян Геворк Мамбреович</v>
      </c>
    </row>
    <row r="26" spans="1:8" x14ac:dyDescent="0.25">
      <c r="A26" t="s">
        <v>520</v>
      </c>
      <c r="B26">
        <f>IFERROR(VLOOKUP(A26,CRM!A:I,7,0),IFERROR(VLOOKUP("*"&amp;H26&amp;"*",CRM!A:I,7,0),"ПилиМ"))</f>
        <v>3</v>
      </c>
      <c r="C26" s="8">
        <v>44969</v>
      </c>
      <c r="D26">
        <v>64731.61</v>
      </c>
      <c r="E26">
        <v>768475.65</v>
      </c>
      <c r="F26" t="str">
        <f>IF(OR(B26="ПилиМ",E26&lt;=$K$1,B26&gt;=$J$1),"нет",IFERROR(IF(VLOOKUP(A26,'200К и более'!A:A,1,0)&lt;&gt;"","нет"),"да"))</f>
        <v>нет</v>
      </c>
      <c r="H26" t="str">
        <f t="shared" si="0"/>
        <v>Егоян Вард Баласанович</v>
      </c>
    </row>
    <row r="27" spans="1:8" x14ac:dyDescent="0.25">
      <c r="A27" t="s">
        <v>1027</v>
      </c>
      <c r="B27">
        <f>IFERROR(VLOOKUP(A27,CRM!A:I,7,0),IFERROR(VLOOKUP("*"&amp;H27&amp;"*",CRM!A:I,7,0),"ПилиМ"))</f>
        <v>3</v>
      </c>
      <c r="C27" s="8">
        <v>44969</v>
      </c>
      <c r="D27">
        <v>14267.8</v>
      </c>
      <c r="E27">
        <v>204797.26</v>
      </c>
      <c r="F27" t="str">
        <f>IF(OR(B27="ПилиМ",E27&lt;=$K$1,B27&gt;=$J$1),"нет",IFERROR(IF(VLOOKUP(A27,'200К и более'!A:A,1,0)&lt;&gt;"","нет"),"да"))</f>
        <v>нет</v>
      </c>
      <c r="H27" t="str">
        <f t="shared" si="0"/>
        <v>Мкртчян Григор Рубикович</v>
      </c>
    </row>
    <row r="28" spans="1:8" hidden="1" x14ac:dyDescent="0.25">
      <c r="A28" t="s">
        <v>517</v>
      </c>
      <c r="B28">
        <f>IFERROR(VLOOKUP(A28,CRM!A:I,7,0),IFERROR(VLOOKUP("*"&amp;H28&amp;"*",CRM!A:I,7,0),"ПилиМ"))</f>
        <v>3</v>
      </c>
      <c r="C28" s="8">
        <v>44969</v>
      </c>
      <c r="D28">
        <v>15845.06</v>
      </c>
      <c r="E28">
        <v>113693.17</v>
      </c>
      <c r="F28" t="str">
        <f>IF(OR(B28="ПилиМ",E28&lt;=$K$1,B28&gt;=$J$1),"нет",IFERROR(IF(VLOOKUP(A28,'200К и более'!A:A,1,0)&lt;&gt;"","нет"),"да"))</f>
        <v>нет</v>
      </c>
      <c r="H28" t="str">
        <f t="shared" si="0"/>
        <v>Ларина Анна Ильинична</v>
      </c>
    </row>
    <row r="29" spans="1:8" hidden="1" x14ac:dyDescent="0.25">
      <c r="A29" t="s">
        <v>1029</v>
      </c>
      <c r="B29">
        <f>IFERROR(VLOOKUP(A29,CRM!A:I,7,0),IFERROR(VLOOKUP("*"&amp;H29&amp;"*",CRM!A:I,7,0),"ПилиМ"))</f>
        <v>4</v>
      </c>
      <c r="C29" s="8">
        <v>44968</v>
      </c>
      <c r="D29">
        <v>31540.14</v>
      </c>
      <c r="E29">
        <v>181058.27</v>
      </c>
      <c r="F29" t="str">
        <f>IF(OR(B29="ПилиМ",E29&lt;=$K$1,B29&gt;=$J$1),"нет",IFERROR(IF(VLOOKUP(A29,'200К и более'!A:A,1,0)&lt;&gt;"","нет"),"да"))</f>
        <v>нет</v>
      </c>
      <c r="H29" t="str">
        <f t="shared" si="0"/>
        <v>Надеев Алексей Александрович</v>
      </c>
    </row>
    <row r="30" spans="1:8" hidden="1" x14ac:dyDescent="0.25">
      <c r="A30" t="s">
        <v>1030</v>
      </c>
      <c r="B30">
        <f>IFERROR(VLOOKUP(A30,CRM!A:I,7,0),IFERROR(VLOOKUP("*"&amp;H30&amp;"*",CRM!A:I,7,0),"ПилиМ"))</f>
        <v>4</v>
      </c>
      <c r="C30" s="8">
        <v>44968</v>
      </c>
      <c r="D30">
        <v>18175.38</v>
      </c>
      <c r="E30">
        <v>125388.36</v>
      </c>
      <c r="F30" t="str">
        <f>IF(OR(B30="ПилиМ",E30&lt;=$K$1,B30&gt;=$J$1),"нет",IFERROR(IF(VLOOKUP(A30,'200К и более'!A:A,1,0)&lt;&gt;"","нет"),"да"))</f>
        <v>нет</v>
      </c>
      <c r="H30" t="str">
        <f t="shared" si="0"/>
        <v>Новиков Артем Дмитриевич</v>
      </c>
    </row>
    <row r="31" spans="1:8" x14ac:dyDescent="0.25">
      <c r="A31" t="s">
        <v>898</v>
      </c>
      <c r="B31">
        <f>IFERROR(VLOOKUP(A31,CRM!A:I,7,0),IFERROR(VLOOKUP("*"&amp;H31&amp;"*",CRM!A:I,7,0),"ПилиМ"))</f>
        <v>5</v>
      </c>
      <c r="C31" s="8">
        <v>44967</v>
      </c>
      <c r="D31">
        <v>69926.09</v>
      </c>
      <c r="E31">
        <v>846075.61</v>
      </c>
      <c r="F31" t="str">
        <f>IF(OR(B31="ПилиМ",E31&lt;=$K$1,B31&gt;=$J$1),"нет",IFERROR(IF(VLOOKUP(A31,'200К и более'!A:A,1,0)&lt;&gt;"","нет"),"да"))</f>
        <v>нет</v>
      </c>
      <c r="H31" t="str">
        <f t="shared" si="0"/>
        <v>Платонов Николай Владимирович</v>
      </c>
    </row>
    <row r="32" spans="1:8" x14ac:dyDescent="0.25">
      <c r="A32" t="s">
        <v>899</v>
      </c>
      <c r="B32">
        <f>IFERROR(VLOOKUP(A32,CRM!A:I,7,0),IFERROR(VLOOKUP("*"&amp;H32&amp;"*",CRM!A:I,7,0),"ПилиМ"))</f>
        <v>5</v>
      </c>
      <c r="C32" s="8">
        <v>44967</v>
      </c>
      <c r="D32">
        <v>69926.09</v>
      </c>
      <c r="E32">
        <v>846075.61</v>
      </c>
      <c r="F32" t="str">
        <f>IF(OR(B32="ПилиМ",E32&lt;=$K$1,B32&gt;=$J$1),"нет",IFERROR(IF(VLOOKUP(A32,'200К и более'!A:A,1,0)&lt;&gt;"","нет"),"да"))</f>
        <v>нет</v>
      </c>
      <c r="H32" t="str">
        <f t="shared" si="0"/>
        <v>Попов Михаил Александрович</v>
      </c>
    </row>
    <row r="33" spans="1:8" x14ac:dyDescent="0.25">
      <c r="A33" t="s">
        <v>1031</v>
      </c>
      <c r="B33">
        <f>IFERROR(VLOOKUP(A33,CRM!A:I,7,0),IFERROR(VLOOKUP("*"&amp;H33&amp;"*",CRM!A:I,7,0),"ПилиМ"))</f>
        <v>5</v>
      </c>
      <c r="C33" s="8">
        <v>44967</v>
      </c>
      <c r="D33">
        <v>70021.460000000006</v>
      </c>
      <c r="E33">
        <v>829872.26</v>
      </c>
      <c r="F33" t="str">
        <f>IF(OR(B33="ПилиМ",E33&lt;=$K$1,B33&gt;=$J$1),"нет",IFERROR(IF(VLOOKUP(A33,'200К и более'!A:A,1,0)&lt;&gt;"","нет"),"да"))</f>
        <v>нет</v>
      </c>
      <c r="H33" t="str">
        <f t="shared" si="0"/>
        <v>Воробьев Андрей Владимирович</v>
      </c>
    </row>
    <row r="34" spans="1:8" hidden="1" x14ac:dyDescent="0.25">
      <c r="A34" t="s">
        <v>1028</v>
      </c>
      <c r="B34">
        <f>IFERROR(VLOOKUP(A34,CRM!A:I,7,0),IFERROR(VLOOKUP("*"&amp;H34&amp;"*",CRM!A:I,7,0),"ПилиМ"))</f>
        <v>3</v>
      </c>
      <c r="C34" s="8">
        <v>44969</v>
      </c>
      <c r="D34">
        <v>17241.48</v>
      </c>
      <c r="E34">
        <v>142636.57</v>
      </c>
      <c r="F34" t="str">
        <f>IF(OR(B34="ПилиМ",E34&lt;=$K$1,B34&gt;=$J$1),"нет",IFERROR(IF(VLOOKUP(A34,'200К и более'!A:A,1,0)&lt;&gt;"","нет"),"да"))</f>
        <v>нет</v>
      </c>
      <c r="H34" t="str">
        <f t="shared" si="0"/>
        <v>Сироткин Олег Георгиевич</v>
      </c>
    </row>
    <row r="35" spans="1:8" x14ac:dyDescent="0.25">
      <c r="A35" t="s">
        <v>1032</v>
      </c>
      <c r="B35">
        <f>IFERROR(VLOOKUP(A35,CRM!A:I,7,0),IFERROR(VLOOKUP("*"&amp;H35&amp;"*",CRM!A:I,7,0),"ПилиМ"))</f>
        <v>6</v>
      </c>
      <c r="C35" s="8">
        <v>44966</v>
      </c>
      <c r="D35">
        <v>60622.51</v>
      </c>
      <c r="E35">
        <v>506081.97</v>
      </c>
      <c r="F35" t="str">
        <f>IF(OR(B35="ПилиМ",E35&lt;=$K$1,B35&gt;=$J$1),"нет",IFERROR(IF(VLOOKUP(A35,'200К и более'!A:A,1,0)&lt;&gt;"","нет"),"да"))</f>
        <v>нет</v>
      </c>
      <c r="H35" t="str">
        <f t="shared" si="0"/>
        <v>Галушка Светлана Анатольевна</v>
      </c>
    </row>
    <row r="36" spans="1:8" hidden="1" x14ac:dyDescent="0.25">
      <c r="A36" t="s">
        <v>1033</v>
      </c>
      <c r="B36">
        <f>IFERROR(VLOOKUP(A36,CRM!A:I,7,0),IFERROR(VLOOKUP("*"&amp;H36&amp;"*",CRM!A:I,7,0),"ПилиМ"))</f>
        <v>6</v>
      </c>
      <c r="C36" s="8">
        <v>44966</v>
      </c>
      <c r="D36">
        <v>23847.88</v>
      </c>
      <c r="E36">
        <v>118250.15</v>
      </c>
      <c r="F36" t="str">
        <f>IF(OR(B36="ПилиМ",E36&lt;=$K$1,B36&gt;=$J$1),"нет",IFERROR(IF(VLOOKUP(A36,'200К и более'!A:A,1,0)&lt;&gt;"","нет"),"да"))</f>
        <v>нет</v>
      </c>
      <c r="H36" t="str">
        <f t="shared" si="0"/>
        <v>Жаворонков Сергей Владимирович</v>
      </c>
    </row>
    <row r="37" spans="1:8" hidden="1" x14ac:dyDescent="0.25">
      <c r="A37" t="s">
        <v>1035</v>
      </c>
      <c r="B37">
        <f>IFERROR(VLOOKUP(A37,CRM!A:I,7,0),IFERROR(VLOOKUP("*"&amp;H37&amp;"*",CRM!A:I,7,0),"ПилиМ"))</f>
        <v>6</v>
      </c>
      <c r="C37" s="8">
        <v>44966</v>
      </c>
      <c r="D37">
        <v>4765.07</v>
      </c>
      <c r="E37">
        <v>88564.05</v>
      </c>
      <c r="F37" t="str">
        <f>IF(OR(B37="ПилиМ",E37&lt;=$K$1,B37&gt;=$J$1),"нет",IFERROR(IF(VLOOKUP(A37,'200К и более'!A:A,1,0)&lt;&gt;"","нет"),"да"))</f>
        <v>нет</v>
      </c>
      <c r="H37" t="str">
        <f t="shared" si="0"/>
        <v>Король Маргарита Игоревна</v>
      </c>
    </row>
    <row r="38" spans="1:8" hidden="1" x14ac:dyDescent="0.25">
      <c r="A38" t="s">
        <v>1036</v>
      </c>
      <c r="B38">
        <f>IFERROR(VLOOKUP(A38,CRM!A:I,7,0),IFERROR(VLOOKUP("*"&amp;H38&amp;"*",CRM!A:I,7,0),"ПилиМ"))</f>
        <v>6</v>
      </c>
      <c r="C38" s="8">
        <v>44966</v>
      </c>
      <c r="D38">
        <v>10490.03</v>
      </c>
      <c r="E38">
        <v>81323.820000000007</v>
      </c>
      <c r="F38" t="str">
        <f>IF(OR(B38="ПилиМ",E38&lt;=$K$1,B38&gt;=$J$1),"нет",IFERROR(IF(VLOOKUP(A38,'200К и более'!A:A,1,0)&lt;&gt;"","нет"),"да"))</f>
        <v>нет</v>
      </c>
      <c r="H38" t="str">
        <f t="shared" si="0"/>
        <v>Егупов Дмитрий Сергеевич</v>
      </c>
    </row>
    <row r="39" spans="1:8" hidden="1" x14ac:dyDescent="0.25">
      <c r="A39" t="s">
        <v>1037</v>
      </c>
      <c r="B39">
        <f>IFERROR(VLOOKUP(A39,CRM!A:I,7,0),IFERROR(VLOOKUP("*"&amp;H39&amp;"*",CRM!A:I,7,0),"ПилиМ"))</f>
        <v>6</v>
      </c>
      <c r="C39" s="8">
        <v>44966</v>
      </c>
      <c r="D39">
        <v>6274.47</v>
      </c>
      <c r="E39">
        <v>71139.97</v>
      </c>
      <c r="F39" t="str">
        <f>IF(OR(B39="ПилиМ",E39&lt;=$K$1,B39&gt;=$J$1),"нет",IFERROR(IF(VLOOKUP(A39,'200К и более'!A:A,1,0)&lt;&gt;"","нет"),"да"))</f>
        <v>нет</v>
      </c>
      <c r="H39" t="str">
        <f t="shared" si="0"/>
        <v>Иванов Антон Олегович</v>
      </c>
    </row>
    <row r="40" spans="1:8" hidden="1" x14ac:dyDescent="0.25">
      <c r="A40" t="s">
        <v>1038</v>
      </c>
      <c r="B40">
        <f>IFERROR(VLOOKUP(A40,CRM!A:I,7,0),IFERROR(VLOOKUP("*"&amp;H40&amp;"*",CRM!A:I,7,0),"ПилиМ"))</f>
        <v>6</v>
      </c>
      <c r="C40" s="8">
        <v>44966</v>
      </c>
      <c r="D40">
        <v>38522.76</v>
      </c>
      <c r="E40">
        <v>47682.79</v>
      </c>
      <c r="F40" t="str">
        <f>IF(OR(B40="ПилиМ",E40&lt;=$K$1,B40&gt;=$J$1),"нет",IFERROR(IF(VLOOKUP(A40,'200К и более'!A:A,1,0)&lt;&gt;"","нет"),"да"))</f>
        <v>нет</v>
      </c>
      <c r="H40" t="str">
        <f t="shared" si="0"/>
        <v>Аракелян Михаил Герасимович</v>
      </c>
    </row>
    <row r="41" spans="1:8" x14ac:dyDescent="0.25">
      <c r="A41" t="s">
        <v>1039</v>
      </c>
      <c r="B41">
        <f>IFERROR(VLOOKUP(A41,CRM!A:I,7,0),IFERROR(VLOOKUP("*"&amp;H41&amp;"*",CRM!A:I,7,0),"ПилиМ"))</f>
        <v>7</v>
      </c>
      <c r="C41" s="8">
        <v>44965</v>
      </c>
      <c r="D41">
        <v>56042</v>
      </c>
      <c r="E41">
        <v>249380.55</v>
      </c>
      <c r="F41" t="str">
        <f>IF(OR(B41="ПилиМ",E41&lt;=$K$1,B41&gt;=$J$1),"нет",IFERROR(IF(VLOOKUP(A41,'200К и более'!A:A,1,0)&lt;&gt;"","нет"),"да"))</f>
        <v>нет</v>
      </c>
      <c r="H41" t="str">
        <f t="shared" si="0"/>
        <v>Смирнов Михаил Львович</v>
      </c>
    </row>
    <row r="42" spans="1:8" x14ac:dyDescent="0.25">
      <c r="A42" t="s">
        <v>1040</v>
      </c>
      <c r="B42">
        <f>IFERROR(VLOOKUP(A42,CRM!A:I,7,0),IFERROR(VLOOKUP("*"&amp;H42&amp;"*",CRM!A:I,7,0),"ПилиМ"))</f>
        <v>8</v>
      </c>
      <c r="C42" s="8">
        <v>44964</v>
      </c>
      <c r="D42">
        <v>18837.330000000002</v>
      </c>
      <c r="E42">
        <v>266529.09000000003</v>
      </c>
      <c r="F42" t="str">
        <f>IF(OR(B42="ПилиМ",E42&lt;=$K$1,B42&gt;=$J$1),"нет",IFERROR(IF(VLOOKUP(A42,'200К и более'!A:A,1,0)&lt;&gt;"","нет"),"да"))</f>
        <v>нет</v>
      </c>
      <c r="H42" t="str">
        <f t="shared" si="0"/>
        <v>Тимонин Виктор Викторович</v>
      </c>
    </row>
    <row r="43" spans="1:8" x14ac:dyDescent="0.25">
      <c r="A43" t="s">
        <v>1034</v>
      </c>
      <c r="B43">
        <f>IFERROR(VLOOKUP(A43,CRM!A:I,7,0),IFERROR(VLOOKUP("*"&amp;H43&amp;"*",CRM!A:I,7,0),"ПилиМ"))</f>
        <v>6</v>
      </c>
      <c r="C43" s="8">
        <v>44966</v>
      </c>
      <c r="D43">
        <v>27151.919999999998</v>
      </c>
      <c r="E43">
        <v>203970.77</v>
      </c>
      <c r="F43" t="str">
        <f>IF(OR(B43="ПилиМ",E43&lt;=$K$1,B43&gt;=$J$1),"нет",IFERROR(IF(VLOOKUP(A43,'200К и более'!A:A,1,0)&lt;&gt;"","нет"),"да"))</f>
        <v>нет</v>
      </c>
      <c r="H43" t="str">
        <f t="shared" si="0"/>
        <v>Мокрицкий Константин Александрович</v>
      </c>
    </row>
    <row r="44" spans="1:8" hidden="1" x14ac:dyDescent="0.25">
      <c r="A44" t="s">
        <v>1041</v>
      </c>
      <c r="B44">
        <f>IFERROR(VLOOKUP(A44,CRM!A:I,7,0),IFERROR(VLOOKUP("*"&amp;H44&amp;"*",CRM!A:I,7,0),"ПилиМ"))</f>
        <v>8</v>
      </c>
      <c r="C44" s="8">
        <v>44964</v>
      </c>
      <c r="D44">
        <v>4902.3</v>
      </c>
      <c r="E44">
        <v>113096.82</v>
      </c>
      <c r="F44" t="str">
        <f>IF(OR(B44="ПилиМ",E44&lt;=$K$1,B44&gt;=$J$1),"нет",IFERROR(IF(VLOOKUP(A44,'200К и более'!A:A,1,0)&lt;&gt;"","нет"),"да"))</f>
        <v>нет</v>
      </c>
      <c r="H44" t="str">
        <f t="shared" si="0"/>
        <v>Лотонин Александр Олегович</v>
      </c>
    </row>
    <row r="45" spans="1:8" hidden="1" x14ac:dyDescent="0.25">
      <c r="A45" t="s">
        <v>1042</v>
      </c>
      <c r="B45">
        <f>IFERROR(VLOOKUP(A45,CRM!A:I,7,0),IFERROR(VLOOKUP("*"&amp;H45&amp;"*",CRM!A:I,7,0),"ПилиМ"))</f>
        <v>9</v>
      </c>
      <c r="C45" s="8">
        <v>44963</v>
      </c>
      <c r="D45">
        <v>14997.65</v>
      </c>
      <c r="E45">
        <v>161001.07</v>
      </c>
      <c r="F45" t="str">
        <f>IF(OR(B45="ПилиМ",E45&lt;=$K$1,B45&gt;=$J$1),"нет",IFERROR(IF(VLOOKUP(A45,'200К и более'!A:A,1,0)&lt;&gt;"","нет"),"да"))</f>
        <v>нет</v>
      </c>
      <c r="H45" t="str">
        <f t="shared" si="0"/>
        <v>Говоруха Андрей Михайлович</v>
      </c>
    </row>
    <row r="46" spans="1:8" x14ac:dyDescent="0.25">
      <c r="A46" t="s">
        <v>1043</v>
      </c>
      <c r="B46">
        <f>IFERROR(VLOOKUP(A46,CRM!A:I,7,0),IFERROR(VLOOKUP("*"&amp;H46&amp;"*",CRM!A:I,7,0),"ПилиМ"))</f>
        <v>10</v>
      </c>
      <c r="C46" s="8">
        <v>44962</v>
      </c>
      <c r="D46">
        <v>29098.79</v>
      </c>
      <c r="E46">
        <v>400799.7</v>
      </c>
      <c r="F46" t="str">
        <f>IF(OR(B46="ПилиМ",E46&lt;=$K$1,B46&gt;=$J$1),"нет",IFERROR(IF(VLOOKUP(A46,'200К и более'!A:A,1,0)&lt;&gt;"","нет"),"да"))</f>
        <v>нет</v>
      </c>
      <c r="H46" t="str">
        <f t="shared" si="0"/>
        <v>Журавлёв Денис Сергеевич</v>
      </c>
    </row>
    <row r="47" spans="1:8" x14ac:dyDescent="0.25">
      <c r="A47" t="s">
        <v>1004</v>
      </c>
      <c r="B47">
        <f>IFERROR(VLOOKUP(A47,CRM!A:I,7,0),IFERROR(VLOOKUP("*"&amp;H47&amp;"*",CRM!A:I,7,0),"ПилиМ"))</f>
        <v>13</v>
      </c>
      <c r="C47" s="8">
        <v>44959</v>
      </c>
      <c r="D47">
        <v>24710.36</v>
      </c>
      <c r="E47">
        <v>210350.45</v>
      </c>
      <c r="F47" t="str">
        <f>IF(OR(B47="ПилиМ",E47&lt;=$K$1,B47&gt;=$J$1),"нет",IFERROR(IF(VLOOKUP(A47,'200К и более'!A:A,1,0)&lt;&gt;"","нет"),"да"))</f>
        <v>нет</v>
      </c>
      <c r="H47" t="str">
        <f t="shared" si="0"/>
        <v>Борисов Андрей Сергеевич</v>
      </c>
    </row>
    <row r="48" spans="1:8" x14ac:dyDescent="0.25">
      <c r="A48" t="s">
        <v>1005</v>
      </c>
      <c r="B48">
        <f>IFERROR(VLOOKUP(A48,CRM!A:I,7,0),IFERROR(VLOOKUP("*"&amp;H48&amp;"*",CRM!A:I,7,0),"ПилиМ"))</f>
        <v>14</v>
      </c>
      <c r="C48" s="8">
        <v>44958</v>
      </c>
      <c r="D48">
        <v>30691.15</v>
      </c>
      <c r="E48">
        <v>432774.06</v>
      </c>
      <c r="F48" t="str">
        <f>IF(OR(B48="ПилиМ",E48&lt;=$K$1,B48&gt;=$J$1),"нет",IFERROR(IF(VLOOKUP(A48,'200К и более'!A:A,1,0)&lt;&gt;"","нет"),"да"))</f>
        <v>нет</v>
      </c>
      <c r="H48" t="str">
        <f t="shared" si="0"/>
        <v>Левченков Георгий Михайлович</v>
      </c>
    </row>
    <row r="49" spans="1:8" x14ac:dyDescent="0.25">
      <c r="A49" t="s">
        <v>1006</v>
      </c>
      <c r="B49">
        <f>IFERROR(VLOOKUP(A49,CRM!A:I,7,0),IFERROR(VLOOKUP("*"&amp;H49&amp;"*",CRM!A:I,7,0),"ПилиМ"))</f>
        <v>14</v>
      </c>
      <c r="C49" s="8">
        <v>44958</v>
      </c>
      <c r="D49">
        <v>19410.07</v>
      </c>
      <c r="E49">
        <v>273027.95</v>
      </c>
      <c r="F49" t="str">
        <f>IF(OR(B49="ПилиМ",E49&lt;=$K$1,B49&gt;=$J$1),"нет",IFERROR(IF(VLOOKUP(A49,'200К и более'!A:A,1,0)&lt;&gt;"","нет"),"да"))</f>
        <v>нет</v>
      </c>
      <c r="H49" t="str">
        <f t="shared" si="0"/>
        <v>Самошин Дмитрий Сергеевич</v>
      </c>
    </row>
    <row r="50" spans="1:8" hidden="1" x14ac:dyDescent="0.25">
      <c r="A50" t="s">
        <v>1007</v>
      </c>
      <c r="B50">
        <f>IFERROR(VLOOKUP(A50,CRM!A:I,7,0),IFERROR(VLOOKUP("*"&amp;H50&amp;"*",CRM!A:I,7,0),"ПилиМ"))</f>
        <v>14</v>
      </c>
      <c r="C50" s="8">
        <v>44958</v>
      </c>
      <c r="D50">
        <v>10811.94</v>
      </c>
      <c r="E50">
        <v>199289.79</v>
      </c>
      <c r="F50" t="str">
        <f>IF(OR(B50="ПилиМ",E50&lt;=$K$1,B50&gt;=$J$1),"нет",IFERROR(IF(VLOOKUP(A50,'200К и более'!A:A,1,0)&lt;&gt;"","нет"),"да"))</f>
        <v>нет</v>
      </c>
      <c r="H50" t="str">
        <f t="shared" si="0"/>
        <v>Белгер Эрнест Владимирович</v>
      </c>
    </row>
    <row r="51" spans="1:8" x14ac:dyDescent="0.25">
      <c r="A51" t="s">
        <v>1000</v>
      </c>
      <c r="B51">
        <f>IFERROR(VLOOKUP(A51,CRM!A:I,7,0),IFERROR(VLOOKUP("*"&amp;H51&amp;"*",CRM!A:I,7,0),"ПилиМ"))</f>
        <v>15</v>
      </c>
      <c r="C51" s="8">
        <v>44957</v>
      </c>
      <c r="D51">
        <v>19899.5</v>
      </c>
      <c r="E51">
        <v>307791.06</v>
      </c>
      <c r="F51" t="str">
        <f>IF(OR(B51="ПилиМ",E51&lt;=$K$1,B51&gt;=$J$1),"нет",IFERROR(IF(VLOOKUP(A51,'200К и более'!A:A,1,0)&lt;&gt;"","нет"),"да"))</f>
        <v>нет</v>
      </c>
      <c r="H51" t="str">
        <f t="shared" si="0"/>
        <v>Никулкин Андрей Викторович</v>
      </c>
    </row>
    <row r="52" spans="1:8" x14ac:dyDescent="0.25">
      <c r="A52" t="s">
        <v>990</v>
      </c>
      <c r="B52">
        <f>IFERROR(VLOOKUP(A52,CRM!A:I,7,0),IFERROR(VLOOKUP("*"&amp;H52&amp;"*",CRM!A:I,7,0),"ПилиМ"))</f>
        <v>17</v>
      </c>
      <c r="C52" s="8">
        <v>44955</v>
      </c>
      <c r="D52">
        <v>18806.12</v>
      </c>
      <c r="E52">
        <v>241206.49</v>
      </c>
      <c r="F52" t="str">
        <f>IF(OR(B52="ПилиМ",E52&lt;=$K$1,B52&gt;=$J$1),"нет",IFERROR(IF(VLOOKUP(A52,'200К и более'!A:A,1,0)&lt;&gt;"","нет"),"да"))</f>
        <v>нет</v>
      </c>
      <c r="H52" t="str">
        <f t="shared" si="0"/>
        <v>Башкатов Егор Иванович</v>
      </c>
    </row>
    <row r="53" spans="1:8" x14ac:dyDescent="0.25">
      <c r="A53" t="s">
        <v>991</v>
      </c>
      <c r="B53">
        <f>IFERROR(VLOOKUP(A53,CRM!A:I,7,0),IFERROR(VLOOKUP("*"&amp;H53&amp;"*",CRM!A:I,7,0),"ПилиМ"))</f>
        <v>18</v>
      </c>
      <c r="C53" s="8">
        <v>44954</v>
      </c>
      <c r="D53">
        <v>13269.8</v>
      </c>
      <c r="E53">
        <v>209491.73</v>
      </c>
      <c r="F53" t="str">
        <f>IF(OR(B53="ПилиМ",E53&lt;=$K$1,B53&gt;=$J$1),"нет",IFERROR(IF(VLOOKUP(A53,'200К и более'!A:A,1,0)&lt;&gt;"","нет"),"да"))</f>
        <v>нет</v>
      </c>
      <c r="H53" t="str">
        <f t="shared" si="0"/>
        <v>Лемкин Николай Иванович</v>
      </c>
    </row>
    <row r="54" spans="1:8" x14ac:dyDescent="0.25">
      <c r="A54" t="s">
        <v>986</v>
      </c>
      <c r="B54">
        <f>IFERROR(VLOOKUP(A54,CRM!A:I,7,0),IFERROR(VLOOKUP("*"&amp;H54&amp;"*",CRM!A:I,7,0),"ПилиМ"))</f>
        <v>21</v>
      </c>
      <c r="C54" s="8">
        <v>44951</v>
      </c>
      <c r="D54">
        <v>27779.65</v>
      </c>
      <c r="E54">
        <v>467640.27</v>
      </c>
      <c r="F54" t="str">
        <f>IF(OR(B54="ПилиМ",E54&lt;=$K$1,B54&gt;=$J$1),"нет",IFERROR(IF(VLOOKUP(A54,'200К и более'!A:A,1,0)&lt;&gt;"","нет"),"да"))</f>
        <v>нет</v>
      </c>
      <c r="H54" t="str">
        <f t="shared" si="0"/>
        <v>Новоселов Сергей Владимирович</v>
      </c>
    </row>
    <row r="55" spans="1:8" x14ac:dyDescent="0.25">
      <c r="A55" t="s">
        <v>976</v>
      </c>
      <c r="B55">
        <f>IFERROR(VLOOKUP(A55,CRM!A:I,7,0),IFERROR(VLOOKUP("*"&amp;H55&amp;"*",CRM!A:I,7,0),"ПилиМ"))</f>
        <v>25</v>
      </c>
      <c r="C55" s="8">
        <v>44947</v>
      </c>
      <c r="D55">
        <v>14811.85</v>
      </c>
      <c r="E55">
        <v>237322.22</v>
      </c>
      <c r="F55" t="str">
        <f>IF(OR(B55="ПилиМ",E55&lt;=$K$1,B55&gt;=$J$1),"нет",IFERROR(IF(VLOOKUP(A55,'200К и более'!A:A,1,0)&lt;&gt;"","нет"),"да"))</f>
        <v>нет</v>
      </c>
      <c r="H55" t="str">
        <f t="shared" si="0"/>
        <v>Попова Мария Спиридоновна</v>
      </c>
    </row>
    <row r="56" spans="1:8" hidden="1" x14ac:dyDescent="0.25">
      <c r="A56" t="s">
        <v>977</v>
      </c>
      <c r="B56">
        <f>IFERROR(VLOOKUP(A56,CRM!A:I,7,0),IFERROR(VLOOKUP("*"&amp;H56&amp;"*",CRM!A:I,7,0),"ПилиМ"))</f>
        <v>25</v>
      </c>
      <c r="C56" s="8">
        <v>44947</v>
      </c>
      <c r="D56">
        <v>7917.85</v>
      </c>
      <c r="E56">
        <v>125927.4</v>
      </c>
      <c r="F56" t="str">
        <f>IF(OR(B56="ПилиМ",E56&lt;=$K$1,B56&gt;=$J$1),"нет",IFERROR(IF(VLOOKUP(A56,'200К и более'!A:A,1,0)&lt;&gt;"","нет"),"да"))</f>
        <v>нет</v>
      </c>
      <c r="H56" t="str">
        <f t="shared" si="0"/>
        <v>Голосенин Тимофей Васильевич</v>
      </c>
    </row>
    <row r="57" spans="1:8" hidden="1" x14ac:dyDescent="0.25">
      <c r="A57" t="s">
        <v>929</v>
      </c>
      <c r="B57">
        <f>IFERROR(VLOOKUP(A57,CRM!A:I,7,0),IFERROR(VLOOKUP("*"&amp;H57&amp;"*",CRM!A:I,7,0),"ПилиМ"))</f>
        <v>26</v>
      </c>
      <c r="C57" s="8">
        <v>44946</v>
      </c>
      <c r="D57">
        <v>22577.68</v>
      </c>
      <c r="E57">
        <v>39349.879999999997</v>
      </c>
      <c r="F57" t="str">
        <f>IF(OR(B57="ПилиМ",E57&lt;=$K$1,B57&gt;=$J$1),"нет",IFERROR(IF(VLOOKUP(A57,'200К и более'!A:A,1,0)&lt;&gt;"","нет"),"да"))</f>
        <v>нет</v>
      </c>
      <c r="H57" t="str">
        <f t="shared" si="0"/>
        <v>Макси-Строй</v>
      </c>
    </row>
    <row r="58" spans="1:8" hidden="1" x14ac:dyDescent="0.25">
      <c r="A58" t="s">
        <v>921</v>
      </c>
      <c r="B58">
        <f>IFERROR(VLOOKUP(A58,CRM!A:I,7,0),IFERROR(VLOOKUP("*"&amp;H58&amp;"*",CRM!A:I,7,0),"ПилиМ"))</f>
        <v>27</v>
      </c>
      <c r="C58" s="8">
        <v>44945</v>
      </c>
      <c r="D58">
        <v>6087.61</v>
      </c>
      <c r="E58">
        <v>84612.47</v>
      </c>
      <c r="F58" t="str">
        <f>IF(OR(B58="ПилиМ",E58&lt;=$K$1,B58&gt;=$J$1),"нет",IFERROR(IF(VLOOKUP(A58,'200К и более'!A:A,1,0)&lt;&gt;"","нет"),"да"))</f>
        <v>нет</v>
      </c>
      <c r="H58" t="str">
        <f t="shared" si="0"/>
        <v>Павлов Вячеслав Игоревич</v>
      </c>
    </row>
    <row r="59" spans="1:8" hidden="1" x14ac:dyDescent="0.25">
      <c r="A59" t="s">
        <v>967</v>
      </c>
      <c r="B59">
        <f>IFERROR(VLOOKUP(A59,CRM!A:I,7,0),IFERROR(VLOOKUP("*"&amp;H59&amp;"*",CRM!A:I,7,0),"ПилиМ"))</f>
        <v>31</v>
      </c>
      <c r="C59" s="8">
        <v>44941</v>
      </c>
      <c r="D59">
        <v>10865.59</v>
      </c>
      <c r="E59">
        <v>143099.51999999999</v>
      </c>
      <c r="F59" t="str">
        <f>IF(OR(B59="ПилиМ",E59&lt;=$K$1,B59&gt;=$J$1),"нет",IFERROR(IF(VLOOKUP(A59,'200К и более'!A:A,1,0)&lt;&gt;"","нет"),"да"))</f>
        <v>нет</v>
      </c>
      <c r="H59" t="str">
        <f t="shared" si="0"/>
        <v>Шаулов Шаул Рамбомович</v>
      </c>
    </row>
    <row r="60" spans="1:8" hidden="1" x14ac:dyDescent="0.25">
      <c r="A60" t="s">
        <v>410</v>
      </c>
      <c r="B60">
        <f>IFERROR(VLOOKUP(A60,CRM!A:I,7,0),IFERROR(VLOOKUP("*"&amp;H60&amp;"*",CRM!A:I,7,0),"ПилиМ"))</f>
        <v>31</v>
      </c>
      <c r="C60" s="8">
        <v>44941</v>
      </c>
      <c r="D60">
        <v>8954.59</v>
      </c>
      <c r="E60">
        <v>90122.66</v>
      </c>
      <c r="F60" t="str">
        <f>IF(OR(B60="ПилиМ",E60&lt;=$K$1,B60&gt;=$J$1),"нет",IFERROR(IF(VLOOKUP(A60,'200К и более'!A:A,1,0)&lt;&gt;"","нет"),"да"))</f>
        <v>нет</v>
      </c>
      <c r="H60" t="str">
        <f t="shared" si="0"/>
        <v>Сапунов Дмитрий Владимирович</v>
      </c>
    </row>
    <row r="61" spans="1:8" hidden="1" x14ac:dyDescent="0.25">
      <c r="A61" t="s">
        <v>624</v>
      </c>
      <c r="B61">
        <f>IFERROR(VLOOKUP(A61,CRM!A:I,7,0),IFERROR(VLOOKUP("*"&amp;H61&amp;"*",CRM!A:I,7,0),"ПилиМ"))</f>
        <v>32</v>
      </c>
      <c r="C61" s="8">
        <v>44940</v>
      </c>
      <c r="D61">
        <v>11674.03</v>
      </c>
      <c r="E61">
        <v>77416.460000000006</v>
      </c>
      <c r="F61" t="str">
        <f>IF(OR(B61="ПилиМ",E61&lt;=$K$1,B61&gt;=$J$1),"нет",IFERROR(IF(VLOOKUP(A61,'200К и более'!A:A,1,0)&lt;&gt;"","нет"),"да"))</f>
        <v>нет</v>
      </c>
      <c r="H61" t="str">
        <f t="shared" si="0"/>
        <v>Байрамов Сабир Вагифович</v>
      </c>
    </row>
    <row r="62" spans="1:8" hidden="1" x14ac:dyDescent="0.25">
      <c r="A62" t="s">
        <v>968</v>
      </c>
      <c r="B62">
        <f>IFERROR(VLOOKUP(A62,CRM!A:I,7,0),IFERROR(VLOOKUP("*"&amp;H62&amp;"*",CRM!A:I,7,0),"ПилиМ"))</f>
        <v>33</v>
      </c>
      <c r="C62" s="8">
        <v>44939</v>
      </c>
      <c r="D62">
        <v>29447.19</v>
      </c>
      <c r="E62">
        <v>128388.45</v>
      </c>
      <c r="F62" t="str">
        <f>IF(OR(B62="ПилиМ",E62&lt;=$K$1,B62&gt;=$J$1),"нет",IFERROR(IF(VLOOKUP(A62,'200К и более'!A:A,1,0)&lt;&gt;"","нет"),"да"))</f>
        <v>нет</v>
      </c>
      <c r="H62" t="str">
        <f t="shared" si="0"/>
        <v>Яковлев Борис Викторович</v>
      </c>
    </row>
    <row r="63" spans="1:8" x14ac:dyDescent="0.25">
      <c r="A63" t="s">
        <v>964</v>
      </c>
      <c r="B63">
        <f>IFERROR(VLOOKUP(A63,CRM!A:I,7,0),IFERROR(VLOOKUP("*"&amp;H63&amp;"*",CRM!A:I,7,0),"ПилиМ"))</f>
        <v>35</v>
      </c>
      <c r="C63" s="8">
        <v>44937</v>
      </c>
      <c r="D63">
        <v>66373.94</v>
      </c>
      <c r="E63">
        <v>523728.74</v>
      </c>
      <c r="F63" t="str">
        <f>IF(OR(B63="ПилиМ",E63&lt;=$K$1,B63&gt;=$J$1),"нет",IFERROR(IF(VLOOKUP(A63,'200К и более'!A:A,1,0)&lt;&gt;"","нет"),"да"))</f>
        <v>нет</v>
      </c>
      <c r="H63" t="str">
        <f t="shared" si="0"/>
        <v>Набойченко Юлия Александровна</v>
      </c>
    </row>
    <row r="64" spans="1:8" x14ac:dyDescent="0.25">
      <c r="A64" t="s">
        <v>949</v>
      </c>
      <c r="B64">
        <f>IFERROR(VLOOKUP(A64,CRM!A:I,7,0),IFERROR(VLOOKUP("*"&amp;H64&amp;"*",CRM!A:I,7,0),"ПилиМ"))</f>
        <v>36</v>
      </c>
      <c r="C64" s="8">
        <v>44936</v>
      </c>
      <c r="D64">
        <v>176969.81</v>
      </c>
      <c r="E64">
        <v>908272.7</v>
      </c>
      <c r="F64" t="str">
        <f>IF(OR(B64="ПилиМ",E64&lt;=$K$1,B64&gt;=$J$1),"нет",IFERROR(IF(VLOOKUP(A64,'200К и более'!A:A,1,0)&lt;&gt;"","нет"),"да"))</f>
        <v>нет</v>
      </c>
      <c r="H64" t="str">
        <f t="shared" si="0"/>
        <v>Сидоренко Надежда Алексеевна</v>
      </c>
    </row>
    <row r="65" spans="1:8" x14ac:dyDescent="0.25">
      <c r="A65" t="s">
        <v>950</v>
      </c>
      <c r="B65">
        <f>IFERROR(VLOOKUP(A65,CRM!A:I,7,0),IFERROR(VLOOKUP("*"&amp;H65&amp;"*",CRM!A:I,7,0),"ПилиМ"))</f>
        <v>36</v>
      </c>
      <c r="C65" s="8">
        <v>44936</v>
      </c>
      <c r="D65">
        <v>55467.95</v>
      </c>
      <c r="E65">
        <v>502274.21</v>
      </c>
      <c r="F65" t="str">
        <f>IF(OR(B65="ПилиМ",E65&lt;=$K$1,B65&gt;=$J$1),"нет",IFERROR(IF(VLOOKUP(A65,'200К и более'!A:A,1,0)&lt;&gt;"","нет"),"да"))</f>
        <v>нет</v>
      </c>
      <c r="H65" t="str">
        <f t="shared" si="0"/>
        <v>Смирнов Игорь Александрович</v>
      </c>
    </row>
    <row r="66" spans="1:8" x14ac:dyDescent="0.25">
      <c r="A66" t="s">
        <v>992</v>
      </c>
      <c r="B66">
        <f>IFERROR(VLOOKUP(A66,CRM!A:I,7,0),IFERROR(VLOOKUP("*"&amp;H66&amp;"*",CRM!A:I,7,0),"ПилиМ"))</f>
        <v>18</v>
      </c>
      <c r="C66" s="8">
        <v>44954</v>
      </c>
      <c r="D66">
        <v>15646.4</v>
      </c>
      <c r="E66">
        <v>258272.75</v>
      </c>
      <c r="F66" t="str">
        <f>IF(OR(B66="ПилиМ",E66&lt;=$K$1,B66&gt;=$J$1),"нет",IFERROR(IF(VLOOKUP(A66,'200К и более'!A:A,1,0)&lt;&gt;"","нет"),"да"))</f>
        <v>нет</v>
      </c>
      <c r="H66" t="str">
        <f t="shared" si="0"/>
        <v>Гриценко Дмитрий Владимирович</v>
      </c>
    </row>
    <row r="67" spans="1:8" hidden="1" x14ac:dyDescent="0.25">
      <c r="A67" t="s">
        <v>951</v>
      </c>
      <c r="B67">
        <f>IFERROR(VLOOKUP(A67,CRM!A:I,7,0),IFERROR(VLOOKUP("*"&amp;H67&amp;"*",CRM!A:I,7,0),"ПилиМ"))</f>
        <v>44</v>
      </c>
      <c r="C67" s="8">
        <v>44928</v>
      </c>
      <c r="D67">
        <v>6134.49</v>
      </c>
      <c r="E67">
        <v>75146.45</v>
      </c>
      <c r="F67" t="str">
        <f>IF(OR(B67="ПилиМ",E67&lt;=$K$1,B67&gt;=$J$1),"нет",IFERROR(IF(VLOOKUP(A67,'200К и более'!A:A,1,0)&lt;&gt;"","нет"),"да"))</f>
        <v>нет</v>
      </c>
      <c r="H67" t="str">
        <f t="shared" si="0"/>
        <v>Жирнов Игорь Владимирович</v>
      </c>
    </row>
    <row r="68" spans="1:8" x14ac:dyDescent="0.25">
      <c r="A68" t="s">
        <v>952</v>
      </c>
      <c r="B68">
        <f>IFERROR(VLOOKUP(A68,CRM!A:I,7,0),IFERROR(VLOOKUP("*"&amp;H68&amp;"*",CRM!A:I,7,0),"ПилиМ"))</f>
        <v>49</v>
      </c>
      <c r="C68" s="8">
        <v>44923</v>
      </c>
      <c r="D68">
        <v>27921.94</v>
      </c>
      <c r="E68">
        <v>237825.37</v>
      </c>
      <c r="F68" t="str">
        <f>IF(OR(B68="ПилиМ",E68&lt;=$K$1,B68&gt;=$J$1),"нет",IFERROR(IF(VLOOKUP(A68,'200К и более'!A:A,1,0)&lt;&gt;"","нет"),"да"))</f>
        <v>нет</v>
      </c>
      <c r="H68" t="str">
        <f t="shared" si="0"/>
        <v>Белорыбкин Михаил Васильевич</v>
      </c>
    </row>
    <row r="69" spans="1:8" x14ac:dyDescent="0.25">
      <c r="A69" t="s">
        <v>939</v>
      </c>
      <c r="B69">
        <f>IFERROR(VLOOKUP(A69,CRM!A:I,7,0),IFERROR(VLOOKUP("*"&amp;H69&amp;"*",CRM!A:I,7,0),"ПилиМ"))</f>
        <v>53</v>
      </c>
      <c r="C69" s="8">
        <v>44919</v>
      </c>
      <c r="D69">
        <v>110301.39</v>
      </c>
      <c r="E69">
        <v>391114.88</v>
      </c>
      <c r="F69" t="str">
        <f>IF(OR(B69="ПилиМ",E69&lt;=$K$1,B69&gt;=$J$1),"нет",IFERROR(IF(VLOOKUP(A69,'200К и более'!A:A,1,0)&lt;&gt;"","нет"),"да"))</f>
        <v>нет</v>
      </c>
      <c r="H69" t="str">
        <f t="shared" si="0"/>
        <v>Савчук Елена Александровна</v>
      </c>
    </row>
    <row r="70" spans="1:8" hidden="1" x14ac:dyDescent="0.25">
      <c r="A70" t="s">
        <v>940</v>
      </c>
      <c r="B70">
        <f>IFERROR(VLOOKUP(A70,CRM!A:I,7,0),IFERROR(VLOOKUP("*"&amp;H70&amp;"*",CRM!A:I,7,0),"ПилиМ"))</f>
        <v>53</v>
      </c>
      <c r="C70" s="8">
        <v>44919</v>
      </c>
      <c r="D70">
        <v>63377.89</v>
      </c>
      <c r="E70">
        <v>96263.72</v>
      </c>
      <c r="F70" t="str">
        <f>IF(OR(B70="ПилиМ",E70&lt;=$K$1,B70&gt;=$J$1),"нет",IFERROR(IF(VLOOKUP(A70,'200К и более'!A:A,1,0)&lt;&gt;"","нет"),"да"))</f>
        <v>нет</v>
      </c>
      <c r="H70" t="str">
        <f t="shared" si="0"/>
        <v>Тихонова Ирина Анатольевна</v>
      </c>
    </row>
    <row r="71" spans="1:8" x14ac:dyDescent="0.25">
      <c r="A71" t="s">
        <v>941</v>
      </c>
      <c r="B71">
        <f>IFERROR(VLOOKUP(A71,CRM!A:I,7,0),IFERROR(VLOOKUP("*"&amp;H71&amp;"*",CRM!A:I,7,0),"ПилиМ"))</f>
        <v>54</v>
      </c>
      <c r="C71" s="8">
        <v>44918</v>
      </c>
      <c r="D71">
        <v>19804.05</v>
      </c>
      <c r="E71">
        <v>216819.61</v>
      </c>
      <c r="F71" t="str">
        <f>IF(OR(B71="ПилиМ",E71&lt;=$K$1,B71&gt;=$J$1),"нет",IFERROR(IF(VLOOKUP(A71,'200К и более'!A:A,1,0)&lt;&gt;"","нет"),"да"))</f>
        <v>нет</v>
      </c>
      <c r="H71" t="str">
        <f t="shared" si="0"/>
        <v>Дробот Роман Вячеславович</v>
      </c>
    </row>
    <row r="72" spans="1:8" x14ac:dyDescent="0.25">
      <c r="A72" t="s">
        <v>934</v>
      </c>
      <c r="B72">
        <f>IFERROR(VLOOKUP(A72,CRM!A:I,7,0),IFERROR(VLOOKUP("*"&amp;H72&amp;"*",CRM!A:I,7,0),"ПилиМ"))</f>
        <v>55</v>
      </c>
      <c r="C72" s="8">
        <v>44917</v>
      </c>
      <c r="D72">
        <v>72427.839999999997</v>
      </c>
      <c r="E72">
        <v>353990.13</v>
      </c>
      <c r="F72" t="str">
        <f>IF(OR(B72="ПилиМ",E72&lt;=$K$1,B72&gt;=$J$1),"нет",IFERROR(IF(VLOOKUP(A72,'200К и более'!A:A,1,0)&lt;&gt;"","нет"),"да"))</f>
        <v>нет</v>
      </c>
      <c r="H72" t="str">
        <f t="shared" si="0"/>
        <v>Бунаков Алексей Вячеславович</v>
      </c>
    </row>
    <row r="73" spans="1:8" x14ac:dyDescent="0.25">
      <c r="A73" t="s">
        <v>928</v>
      </c>
      <c r="B73">
        <f>IFERROR(VLOOKUP(A73,CRM!A:I,7,0),IFERROR(VLOOKUP("*"&amp;H73&amp;"*",CRM!A:I,7,0),"ПилиМ"))</f>
        <v>57</v>
      </c>
      <c r="C73" s="8">
        <v>44915</v>
      </c>
      <c r="D73">
        <v>23433.86</v>
      </c>
      <c r="E73">
        <v>212357.23</v>
      </c>
      <c r="F73" t="str">
        <f>IF(OR(B73="ПилиМ",E73&lt;=$K$1,B73&gt;=$J$1),"нет",IFERROR(IF(VLOOKUP(A73,'200К и более'!A:A,1,0)&lt;&gt;"","нет"),"да"))</f>
        <v>нет</v>
      </c>
      <c r="H73" t="str">
        <f t="shared" si="0"/>
        <v>Королёв Сергей Николаевич</v>
      </c>
    </row>
    <row r="74" spans="1:8" hidden="1" x14ac:dyDescent="0.25">
      <c r="A74" t="s">
        <v>439</v>
      </c>
      <c r="B74">
        <f>IFERROR(VLOOKUP(A74,CRM!A:I,7,0),IFERROR(VLOOKUP("*"&amp;H74&amp;"*",CRM!A:I,7,0),"ПилиМ"))</f>
        <v>69</v>
      </c>
      <c r="C74" s="8">
        <v>44903</v>
      </c>
      <c r="D74">
        <v>83805.820000000007</v>
      </c>
      <c r="E74">
        <v>113728.04</v>
      </c>
      <c r="F74" t="str">
        <f>IF(OR(B74="ПилиМ",E74&lt;=$K$1,B74&gt;=$J$1),"нет",IFERROR(IF(VLOOKUP(A74,'200К и более'!A:A,1,0)&lt;&gt;"","нет"),"да"))</f>
        <v>нет</v>
      </c>
      <c r="H74" t="str">
        <f t="shared" si="0"/>
        <v>Толкачева Елена Владимировна</v>
      </c>
    </row>
    <row r="75" spans="1:8" hidden="1" x14ac:dyDescent="0.25">
      <c r="A75" t="s">
        <v>861</v>
      </c>
      <c r="B75" t="str">
        <f>IFERROR(VLOOKUP(A75,CRM!A:I,7,0),IFERROR(VLOOKUP("*"&amp;H75&amp;"*",CRM!A:I,7,0),"ПилиМ"))</f>
        <v>ПилиМ</v>
      </c>
      <c r="C75" s="8">
        <v>44877</v>
      </c>
      <c r="D75">
        <v>685560.12</v>
      </c>
      <c r="E75">
        <v>579146.26</v>
      </c>
      <c r="F75" t="str">
        <f>IF(OR(B75="ПилиМ",E75&lt;=$K$1,B75&gt;=$J$1),"нет",IFERROR(IF(VLOOKUP(A75,'200К и более'!A:A,1,0)&lt;&gt;"","нет"),"да"))</f>
        <v>нет</v>
      </c>
      <c r="H75" t="str">
        <f t="shared" si="0"/>
        <v>Карагезян Шушаник Вачагановна</v>
      </c>
    </row>
    <row r="76" spans="1:8" x14ac:dyDescent="0.25">
      <c r="A76" t="s">
        <v>1008</v>
      </c>
      <c r="B76">
        <f>IFERROR(VLOOKUP(A76,CRM!A:I,7,0),IFERROR(VLOOKUP("*"&amp;H76&amp;"*",CRM!A:I,7,0),"ПилиМ"))</f>
        <v>58</v>
      </c>
      <c r="C76" s="8">
        <v>44914</v>
      </c>
      <c r="D76">
        <v>205285.63</v>
      </c>
      <c r="E76">
        <v>965946.09</v>
      </c>
      <c r="F76" t="str">
        <f>IF(OR(B76="ПилиМ",E76&lt;=$K$1,B76&gt;=$J$1),"нет",IFERROR(IF(VLOOKUP(A76,'200К и более'!A:A,1,0)&lt;&gt;"","нет"),"да"))</f>
        <v>нет</v>
      </c>
      <c r="H76" t="str">
        <f t="shared" si="0"/>
        <v>Артемов Александр Викторович</v>
      </c>
    </row>
    <row r="77" spans="1:8" hidden="1" x14ac:dyDescent="0.25">
      <c r="A77" t="s">
        <v>307</v>
      </c>
      <c r="B77">
        <f>IFERROR(VLOOKUP(A77,CRM!A:I,7,0),IFERROR(VLOOKUP("*"&amp;H77&amp;"*",CRM!A:I,7,0),"ПилиМ"))</f>
        <v>52</v>
      </c>
      <c r="C77" s="8">
        <v>44920</v>
      </c>
      <c r="D77">
        <v>31594.240000000002</v>
      </c>
      <c r="E77">
        <v>60107.19</v>
      </c>
      <c r="F77" t="str">
        <f>IF(OR(B77="ПилиМ",E77&lt;=$K$1,B77&gt;=$J$1),"нет",IFERROR(IF(VLOOKUP(A77,'200К и более'!A:A,1,0)&lt;&gt;"","нет"),"да"))</f>
        <v>нет</v>
      </c>
      <c r="H77" t="str">
        <f t="shared" si="0"/>
        <v>Крюков Сергей Викторович</v>
      </c>
    </row>
    <row r="78" spans="1:8" x14ac:dyDescent="0.25">
      <c r="A78" t="s">
        <v>925</v>
      </c>
      <c r="B78">
        <f>IFERROR(VLOOKUP(A78,CRM!A:I,7,0),IFERROR(VLOOKUP("*"&amp;H78&amp;"*",CRM!A:I,7,0),"ПилиМ"))</f>
        <v>65</v>
      </c>
      <c r="C78" s="8">
        <v>44907</v>
      </c>
      <c r="D78">
        <v>35370.28</v>
      </c>
      <c r="E78">
        <v>284157.11</v>
      </c>
      <c r="F78" t="str">
        <f>IF(OR(B78="ПилиМ",E78&lt;=$K$1,B78&gt;=$J$1),"нет",IFERROR(IF(VLOOKUP(A78,'200К и более'!A:A,1,0)&lt;&gt;"","нет"),"да"))</f>
        <v>нет</v>
      </c>
      <c r="H78" t="str">
        <f t="shared" si="0"/>
        <v>Киселев Александр Максимович</v>
      </c>
    </row>
    <row r="79" spans="1:8" x14ac:dyDescent="0.25">
      <c r="A79" t="s">
        <v>923</v>
      </c>
      <c r="B79">
        <f>IFERROR(VLOOKUP(A79,CRM!A:I,7,0),IFERROR(VLOOKUP("*"&amp;H79&amp;"*",CRM!A:I,7,0),"ПилиМ"))</f>
        <v>77</v>
      </c>
      <c r="C79" s="8">
        <v>44895</v>
      </c>
      <c r="D79">
        <v>109744.98</v>
      </c>
      <c r="E79">
        <v>899867.24</v>
      </c>
      <c r="F79" t="str">
        <f>IF(OR(B79="ПилиМ",E79&lt;=$K$1,B79&gt;=$J$1),"нет",IFERROR(IF(VLOOKUP(A79,'200К и более'!A:A,1,0)&lt;&gt;"","нет"),"да"))</f>
        <v>нет</v>
      </c>
      <c r="H79" t="str">
        <f t="shared" si="0"/>
        <v>Кузьмичев Иван Сергеевич</v>
      </c>
    </row>
    <row r="80" spans="1:8" hidden="1" x14ac:dyDescent="0.25">
      <c r="A80" t="s">
        <v>843</v>
      </c>
      <c r="B80" t="str">
        <f>IFERROR(VLOOKUP(A80,CRM!A:I,7,0),IFERROR(VLOOKUP("*"&amp;H80&amp;"*",CRM!A:I,7,0),"ПилиМ"))</f>
        <v>ПилиМ</v>
      </c>
      <c r="C80" s="8">
        <v>44877</v>
      </c>
      <c r="D80">
        <v>3043751.53</v>
      </c>
      <c r="E80">
        <v>20348768.73</v>
      </c>
      <c r="F80" t="str">
        <f>IF(OR(B80="ПилиМ",E80&lt;=$K$1,B80&gt;=$J$1),"нет",IFERROR(IF(VLOOKUP(A80,'200К и более'!A:A,1,0)&lt;&gt;"","нет"),"да"))</f>
        <v>нет</v>
      </c>
      <c r="H80" t="str">
        <f t="shared" si="0"/>
        <v>Итого</v>
      </c>
    </row>
  </sheetData>
  <autoFilter ref="A16:F80" xr:uid="{00000000-0001-0000-0000-000000000000}">
    <filterColumn colId="1">
      <customFilters>
        <customFilter operator="lessThanOrEqual" val="95"/>
      </customFilters>
    </filterColumn>
    <filterColumn colId="4">
      <customFilters>
        <customFilter operator="greaterThanOrEqual" val="200000"/>
      </customFilters>
    </filterColumn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D3A50-01C0-4876-A05A-6C9FC3DFD552}">
  <sheetPr codeName="Лист3"/>
  <dimension ref="A1:M36"/>
  <sheetViews>
    <sheetView tabSelected="1" workbookViewId="0">
      <selection activeCell="A2" sqref="A2"/>
    </sheetView>
  </sheetViews>
  <sheetFormatPr defaultRowHeight="15" x14ac:dyDescent="0.25"/>
  <cols>
    <col min="1" max="1" width="38" bestFit="1" customWidth="1"/>
    <col min="2" max="2" width="10.5703125" customWidth="1"/>
    <col min="3" max="3" width="14.85546875" style="27" customWidth="1"/>
    <col min="4" max="4" width="12.85546875" style="27" customWidth="1"/>
    <col min="5" max="5" width="10.140625" style="8" customWidth="1"/>
    <col min="6" max="6" width="60.140625" style="10" customWidth="1"/>
    <col min="7" max="7" width="11.7109375" style="8" customWidth="1"/>
    <col min="8" max="8" width="9.85546875" bestFit="1" customWidth="1"/>
    <col min="11" max="11" width="11.28515625" bestFit="1" customWidth="1"/>
  </cols>
  <sheetData>
    <row r="1" spans="1:13" ht="30" x14ac:dyDescent="0.25">
      <c r="A1" s="26" t="s">
        <v>923</v>
      </c>
      <c r="B1" s="13">
        <f>IFERROR(VLOOKUP(A1,CRM!A:I,7,0),IFERROR(VLOOKUP("*"&amp;M1&amp;"*",CRM!A:I,7,0),"ПилиМ"))</f>
        <v>77</v>
      </c>
      <c r="C1" s="27">
        <v>27570.5</v>
      </c>
      <c r="D1" s="27">
        <v>499880.82</v>
      </c>
      <c r="E1" s="14">
        <f>IFERROR(VLOOKUP(A1,CRM!A:I,6,0),IFERROR(VLOOKUP("*"&amp;M1&amp;"*",CRM!A:I,6,0),"ПилиМ"))</f>
        <v>44408</v>
      </c>
      <c r="F1" s="15" t="str">
        <f>IFERROR(VLOOKUP(A1,CRM!A:J,9,0),IFERROR(VLOOKUP("*"&amp;M1&amp;"*",CRM!A:J,9,0),"ПилиМ"))</f>
        <v>[T] Требование. бесконтактный МЕИЛ, ВА требование. . 20.02.2023.</v>
      </c>
      <c r="G1" s="14">
        <f>IFERROR(VLOOKUP(A1,CRM!A:J,10,0),IFERROR(VLOOKUP("*"&amp;M1&amp;"*",CRM!A:J,10,0),"ПилиМ"))</f>
        <v>44977</v>
      </c>
      <c r="H1" t="str">
        <f>IFERROR(VLOOKUP(A1,коммент!A:B,2,0),"")</f>
        <v/>
      </c>
      <c r="K1" t="str">
        <f>IFERROR(IF((#REF!-DATE(YEAR(E1),MONTH(E1)+1,DAY(E1))-B1)&lt;30,"первый платеж","уже просирал"),"ПилиМ")</f>
        <v>ПилиМ</v>
      </c>
      <c r="M1" t="str">
        <f>IFERROR(IF(VLOOKUP(A1,коммент!E:E,1,0)&lt;&gt;"",VLOOKUP(A1,коммент!E:F,2,0)),TRIM(SUBSTITUTE(SUBSTITUTE(SUBSTITUTE(SUBSTITUTE(SUBSTITUTE(A1,"ООО",""),"ЗАО",""),"ИП ",""),"""",""),"СК ","")))</f>
        <v>Кузьмичев Иван Сергеевич</v>
      </c>
    </row>
    <row r="2" spans="1:13" x14ac:dyDescent="0.25">
      <c r="A2" s="26" t="s">
        <v>925</v>
      </c>
      <c r="B2" s="13">
        <f>IFERROR(VLOOKUP(A2,CRM!A:I,7,0),IFERROR(VLOOKUP("*"&amp;M2&amp;"*",CRM!A:I,7,0),"ПилиМ"))</f>
        <v>65</v>
      </c>
      <c r="C2" s="27">
        <v>14296.84</v>
      </c>
      <c r="D2" s="27">
        <v>284157.11</v>
      </c>
      <c r="E2" s="14">
        <f>IFERROR(VLOOKUP(A2,CRM!A:I,6,0),IFERROR(VLOOKUP("*"&amp;M2&amp;"*",CRM!A:I,6,0),"ПилиМ"))</f>
        <v>44512</v>
      </c>
      <c r="F2" s="15" t="str">
        <f>IFERROR(VLOOKUP(A2,CRM!A:J,9,0),IFERROR(VLOOKUP("*"&amp;M2&amp;"*",CRM!A:J,9,0),"ПилиМ"))</f>
        <v>[T] Требование. СМС, МЕИЛ требование . 17.02.2023.</v>
      </c>
      <c r="G2" s="14">
        <f>IFERROR(VLOOKUP(A2,CRM!A:J,10,0),IFERROR(VLOOKUP("*"&amp;M2&amp;"*",CRM!A:J,10,0),"ПилиМ"))</f>
        <v>44974</v>
      </c>
      <c r="H2" t="str">
        <f>IFERROR(VLOOKUP(A2,коммент!A:B,2,0),"")</f>
        <v/>
      </c>
      <c r="K2" t="str">
        <f>IFERROR(IF((#REF!-DATE(YEAR(E2),MONTH(E2)+1,DAY(E2))-B2)&lt;30,"первый платеж","уже просирал"),"ПилиМ")</f>
        <v>ПилиМ</v>
      </c>
      <c r="M2" t="str">
        <f>IFERROR(IF(VLOOKUP(A2,коммент!E:E,1,0)&lt;&gt;"",VLOOKUP(A2,коммент!E:F,2,0)),TRIM(SUBSTITUTE(SUBSTITUTE(SUBSTITUTE(SUBSTITUTE(SUBSTITUTE(A2,"ООО",""),"ЗАО",""),"ИП ",""),"""",""),"СК ","")))</f>
        <v>Киселев Александр Максимович</v>
      </c>
    </row>
    <row r="3" spans="1:13" ht="45" x14ac:dyDescent="0.25">
      <c r="A3" s="25" t="s">
        <v>1008</v>
      </c>
      <c r="B3" s="13">
        <f>IFERROR(VLOOKUP(A3,CRM!A:I,7,0),IFERROR(VLOOKUP("*"&amp;M3&amp;"*",CRM!A:I,7,0),"ПилиМ"))</f>
        <v>58</v>
      </c>
      <c r="C3" s="27">
        <v>1323671.8600000001</v>
      </c>
      <c r="D3" s="27">
        <v>1122441.31</v>
      </c>
      <c r="E3" s="14">
        <f>IFERROR(VLOOKUP(A3,CRM!A:I,6,0),IFERROR(VLOOKUP("*"&amp;M3&amp;"*",CRM!A:I,6,0),"ПилиМ"))</f>
        <v>44396</v>
      </c>
      <c r="F3" s="15" t="str">
        <f>IFERROR(VLOOKUP(A3,CRM!A:J,9,0),IFERROR(VLOOKUP("*"&amp;M3&amp;"*",CRM!A:J,9,0),"ПилиМ"))</f>
        <v>[T] ООП. подали заявление-гарантийное письмо (разместил в досье), сообщил о предоставлении рассрочки до 17.02., порекомендовал отправить заявление на ПД. . 17.02.2023.</v>
      </c>
      <c r="G3" s="14">
        <f>IFERROR(VLOOKUP(A3,CRM!A:J,10,0),IFERROR(VLOOKUP("*"&amp;M3&amp;"*",CRM!A:J,10,0),"ПилиМ"))</f>
        <v>44974</v>
      </c>
      <c r="H3" t="str">
        <f>IFERROR(VLOOKUP(A3,коммент!A:B,2,0),"")</f>
        <v/>
      </c>
      <c r="K3" t="str">
        <f>IFERROR(IF((#REF!-DATE(YEAR(E3),MONTH(E3)+1,DAY(E3))-B3)&lt;30,"первый платеж","уже просирал"),"ПилиМ")</f>
        <v>ПилиМ</v>
      </c>
      <c r="M3" t="str">
        <f>IFERROR(IF(VLOOKUP(A3,коммент!E:E,1,0)&lt;&gt;"",VLOOKUP(A3,коммент!E:F,2,0)),TRIM(SUBSTITUTE(SUBSTITUTE(SUBSTITUTE(SUBSTITUTE(SUBSTITUTE(A3,"ООО",""),"ЗАО",""),"ИП ",""),"""",""),"СК ","")))</f>
        <v>Артемов Александр Викторович</v>
      </c>
    </row>
    <row r="4" spans="1:13" ht="45" x14ac:dyDescent="0.25">
      <c r="A4" s="25" t="s">
        <v>928</v>
      </c>
      <c r="B4" s="13">
        <f>IFERROR(VLOOKUP(A4,CRM!A:I,7,0),IFERROR(VLOOKUP("*"&amp;M4&amp;"*",CRM!A:I,7,0),"ПилиМ"))</f>
        <v>57</v>
      </c>
      <c r="C4" s="27">
        <v>12509.68</v>
      </c>
      <c r="D4" s="27">
        <v>212357.23</v>
      </c>
      <c r="E4" s="14">
        <f>IFERROR(VLOOKUP(A4,CRM!A:I,6,0),IFERROR(VLOOKUP("*"&amp;M4&amp;"*",CRM!A:I,6,0),"ПилиМ"))</f>
        <v>44336</v>
      </c>
      <c r="F4" s="15" t="str">
        <f>IFERROR(VLOOKUP(A4,CRM!A:J,9,0),IFERROR(VLOOKUP("*"&amp;M4&amp;"*",CRM!A:J,9,0),"ПилиМ"))</f>
        <v>[T] ООП. МЕИЛ, ТГ, ВА уведомил о передаче Договора на принудительную стадию взыскания задолженности 20.02., с указанием суммы без пени. . 20.02.2023.</v>
      </c>
      <c r="G4" s="14">
        <f>IFERROR(VLOOKUP(A4,CRM!A:J,10,0),IFERROR(VLOOKUP("*"&amp;M4&amp;"*",CRM!A:J,10,0),"ПилиМ"))</f>
        <v>44977</v>
      </c>
      <c r="H4" t="str">
        <f>IFERROR(VLOOKUP(A4,коммент!A:B,2,0),"")</f>
        <v/>
      </c>
      <c r="K4" t="str">
        <f>IFERROR(IF((#REF!-DATE(YEAR(E4),MONTH(E4)+1,DAY(E4))-B4)&lt;30,"первый платеж","уже просирал"),"ПилиМ")</f>
        <v>ПилиМ</v>
      </c>
      <c r="M4" t="str">
        <f>IFERROR(IF(VLOOKUP(A4,коммент!E:E,1,0)&lt;&gt;"",VLOOKUP(A4,коммент!E:F,2,0)),TRIM(SUBSTITUTE(SUBSTITUTE(SUBSTITUTE(SUBSTITUTE(SUBSTITUTE(A4,"ООО",""),"ЗАО",""),"ИП ",""),"""",""),"СК ","")))</f>
        <v>Королёв Сергей Николаевич</v>
      </c>
    </row>
    <row r="5" spans="1:13" ht="75" x14ac:dyDescent="0.25">
      <c r="A5" s="25" t="s">
        <v>934</v>
      </c>
      <c r="B5" s="13">
        <f>IFERROR(VLOOKUP(A5,CRM!A:I,7,0),IFERROR(VLOOKUP("*"&amp;M5&amp;"*",CRM!A:I,7,0),"ПилиМ"))</f>
        <v>55</v>
      </c>
      <c r="C5" s="27">
        <v>35098.39</v>
      </c>
      <c r="D5" s="27">
        <v>353990.13</v>
      </c>
      <c r="E5" s="14">
        <f>IFERROR(VLOOKUP(A5,CRM!A:I,6,0),IFERROR(VLOOKUP("*"&amp;M5&amp;"*",CRM!A:I,6,0),"ПилиМ"))</f>
        <v>44583</v>
      </c>
      <c r="F5" s="15" t="str">
        <f>IFERROR(VLOOKUP(A5,CRM!A:J,9,0),IFERROR(VLOOKUP("*"&amp;M5&amp;"*",CRM!A:J,9,0),"ПилиМ"))</f>
        <v>[T] ООП. с мт 2020 на данный момент болеет, просит перезвонить через пару дней. не может подписать заявление, не приходит код, просит решить данную проблему, сообщила, что необходима оплата проср. % , иначе заявл. будет аннулировано. 16.02.2023.</v>
      </c>
      <c r="G5" s="14">
        <f>IFERROR(VLOOKUP(A5,CRM!A:J,10,0),IFERROR(VLOOKUP("*"&amp;M5&amp;"*",CRM!A:J,10,0),"ПилиМ"))</f>
        <v>44973</v>
      </c>
      <c r="H5" t="str">
        <f>IFERROR(VLOOKUP(A5,коммент!A:B,2,0),"")</f>
        <v/>
      </c>
      <c r="K5" t="str">
        <f>IFERROR(IF((#REF!-DATE(YEAR(E5),MONTH(E5)+1,DAY(E5))-B5)&lt;30,"первый платеж","уже просирал"),"ПилиМ")</f>
        <v>ПилиМ</v>
      </c>
      <c r="M5" t="str">
        <f>IFERROR(IF(VLOOKUP(A5,коммент!E:E,1,0)&lt;&gt;"",VLOOKUP(A5,коммент!E:F,2,0)),TRIM(SUBSTITUTE(SUBSTITUTE(SUBSTITUTE(SUBSTITUTE(SUBSTITUTE(A5,"ООО",""),"ЗАО",""),"ИП ",""),"""",""),"СК ","")))</f>
        <v>Бунаков Алексей Вячеславович</v>
      </c>
    </row>
    <row r="6" spans="1:13" x14ac:dyDescent="0.25">
      <c r="A6" s="26" t="s">
        <v>941</v>
      </c>
      <c r="B6" s="13">
        <f>IFERROR(VLOOKUP(A6,CRM!A:I,7,0),IFERROR(VLOOKUP("*"&amp;M6&amp;"*",CRM!A:I,7,0),"ПилиМ"))</f>
        <v>54</v>
      </c>
      <c r="C6" s="27">
        <v>22783.33</v>
      </c>
      <c r="D6" s="27">
        <v>224499.72</v>
      </c>
      <c r="E6" s="14">
        <f>IFERROR(VLOOKUP(A6,CRM!A:I,6,0),IFERROR(VLOOKUP("*"&amp;M6&amp;"*",CRM!A:I,6,0),"ПилиМ"))</f>
        <v>44188</v>
      </c>
      <c r="F6" s="15" t="str">
        <f>IFERROR(VLOOKUP(A6,CRM!A:J,9,0),IFERROR(VLOOKUP("*"&amp;M6&amp;"*",CRM!A:J,9,0),"ПилиМ"))</f>
        <v>[T] ООП. 9752 чс, 9752 чс. 16.02.2023.</v>
      </c>
      <c r="G6" s="14">
        <f>IFERROR(VLOOKUP(A6,CRM!A:J,10,0),IFERROR(VLOOKUP("*"&amp;M6&amp;"*",CRM!A:J,10,0),"ПилиМ"))</f>
        <v>44973</v>
      </c>
      <c r="H6" t="str">
        <f>IFERROR(VLOOKUP(A6,коммент!A:B,2,0),"")</f>
        <v/>
      </c>
      <c r="K6" t="str">
        <f>IFERROR(IF((#REF!-DATE(YEAR(E6),MONTH(E6)+1,DAY(E6))-B6)&lt;30,"первый платеж","уже просирал"),"ПилиМ")</f>
        <v>ПилиМ</v>
      </c>
      <c r="M6" t="str">
        <f>IFERROR(IF(VLOOKUP(A6,коммент!E:E,1,0)&lt;&gt;"",VLOOKUP(A6,коммент!E:F,2,0)),TRIM(SUBSTITUTE(SUBSTITUTE(SUBSTITUTE(SUBSTITUTE(SUBSTITUTE(A6,"ООО",""),"ЗАО",""),"ИП ",""),"""",""),"СК ","")))</f>
        <v>Дробот Роман Вячеславович</v>
      </c>
    </row>
    <row r="7" spans="1:13" ht="105" x14ac:dyDescent="0.25">
      <c r="A7" s="26" t="s">
        <v>939</v>
      </c>
      <c r="B7" s="13">
        <f>IFERROR(VLOOKUP(A7,CRM!A:I,7,0),IFERROR(VLOOKUP("*"&amp;M7&amp;"*",CRM!A:I,7,0),"ПилиМ"))</f>
        <v>53</v>
      </c>
      <c r="C7" s="27">
        <v>53328.23</v>
      </c>
      <c r="D7" s="27">
        <v>391114.88</v>
      </c>
      <c r="E7" s="14">
        <f>IFERROR(VLOOKUP(A7,CRM!A:I,6,0),IFERROR(VLOOKUP("*"&amp;M7&amp;"*",CRM!A:I,6,0),"ПилиМ"))</f>
        <v>44432</v>
      </c>
      <c r="F7" s="15" t="str">
        <f>IFERROR(VLOOKUP(A7,CRM!A:J,9,0),IFERROR(VLOOKUP("*"&amp;M7&amp;"*",CRM!A:J,9,0),"ПилиМ"))</f>
        <v>[T] ООП. 74952413282мт ответила девушка, это не АР-ГО, +79032094949мт врз, 79099743847мт нд, 9878 нб*2, 8181(Максим) говорит, что Елена игнорирует звонки, так как не любит общаться на темы просрочек, деньгами руководит он, в течение февраля надеется погасить займ, но просрочку погасит полностью, договорились созвониться 20.02.. 20.02.2023.</v>
      </c>
      <c r="G7" s="14">
        <f>IFERROR(VLOOKUP(A7,CRM!A:J,10,0),IFERROR(VLOOKUP("*"&amp;M7&amp;"*",CRM!A:J,10,0),"ПилиМ"))</f>
        <v>44977</v>
      </c>
      <c r="H7" t="str">
        <f>IFERROR(VLOOKUP(A7,коммент!A:B,2,0),"")</f>
        <v/>
      </c>
      <c r="K7" t="str">
        <f>IFERROR(IF((#REF!-DATE(YEAR(E7),MONTH(E7)+1,DAY(E7))-B7)&lt;30,"первый платеж","уже просирал"),"ПилиМ")</f>
        <v>ПилиМ</v>
      </c>
      <c r="M7" t="str">
        <f>IFERROR(IF(VLOOKUP(A7,коммент!E:E,1,0)&lt;&gt;"",VLOOKUP(A7,коммент!E:F,2,0)),TRIM(SUBSTITUTE(SUBSTITUTE(SUBSTITUTE(SUBSTITUTE(SUBSTITUTE(A7,"ООО",""),"ЗАО",""),"ИП ",""),"""",""),"СК ","")))</f>
        <v>Савчук Елена Александровна</v>
      </c>
    </row>
    <row r="8" spans="1:13" ht="90" x14ac:dyDescent="0.25">
      <c r="A8" s="25" t="s">
        <v>952</v>
      </c>
      <c r="B8" s="13">
        <f>IFERROR(VLOOKUP(A8,CRM!A:I,7,0),IFERROR(VLOOKUP("*"&amp;M8&amp;"*",CRM!A:I,7,0),"ПилиМ"))</f>
        <v>49</v>
      </c>
      <c r="C8" s="27">
        <v>13855.9</v>
      </c>
      <c r="D8" s="27">
        <v>237825.37</v>
      </c>
      <c r="E8" s="14">
        <f>IFERROR(VLOOKUP(A8,CRM!A:I,6,0),IFERROR(VLOOKUP("*"&amp;M8&amp;"*",CRM!A:I,6,0),"ПилиМ"))</f>
        <v>44375</v>
      </c>
      <c r="F8" s="15" t="str">
        <f>IFERROR(VLOOKUP(A8,CRM!A:J,9,0),IFERROR(VLOOKUP("*"&amp;M8&amp;"*",CRM!A:J,9,0),"ПилиМ"))</f>
        <v>ООП. 0395мт долгий содержательный разговор, подтвердил, что сменил адрес регистрации, треб подать заявление из ЛК, со сканом паспорта, сказал сделает. Желание есть, но денег нет, треб осмыслить ситуацию, и искать покупателя на залог, пока возможно сделать добровольно на выгодных условиях.. 20.02.2023.</v>
      </c>
      <c r="G8" s="14">
        <f>IFERROR(VLOOKUP(A8,CRM!A:J,10,0),IFERROR(VLOOKUP("*"&amp;M8&amp;"*",CRM!A:J,10,0),"ПилиМ"))</f>
        <v>44977</v>
      </c>
      <c r="H8" t="str">
        <f>IFERROR(VLOOKUP(A8,коммент!A:B,2,0),"")</f>
        <v/>
      </c>
      <c r="K8" t="str">
        <f>IFERROR(IF((#REF!-DATE(YEAR(E8),MONTH(E8)+1,DAY(E8))-B8)&lt;30,"первый платеж","уже просирал"),"ПилиМ")</f>
        <v>ПилиМ</v>
      </c>
      <c r="M8" t="str">
        <f>IFERROR(IF(VLOOKUP(A8,коммент!E:E,1,0)&lt;&gt;"",VLOOKUP(A8,коммент!E:F,2,0)),TRIM(SUBSTITUTE(SUBSTITUTE(SUBSTITUTE(SUBSTITUTE(SUBSTITUTE(A8,"ООО",""),"ЗАО",""),"ИП ",""),"""",""),"СК ","")))</f>
        <v>Белорыбкин Михаил Васильевич</v>
      </c>
    </row>
    <row r="9" spans="1:13" ht="30" x14ac:dyDescent="0.25">
      <c r="A9" s="26" t="s">
        <v>949</v>
      </c>
      <c r="B9" s="13">
        <f>IFERROR(VLOOKUP(A9,CRM!A:I,7,0),IFERROR(VLOOKUP("*"&amp;M9&amp;"*",CRM!A:I,7,0),"ПилиМ"))</f>
        <v>36</v>
      </c>
      <c r="C9" s="27">
        <v>101042.69</v>
      </c>
      <c r="D9" s="27">
        <v>908272.7</v>
      </c>
      <c r="E9" s="14">
        <f>IFERROR(VLOOKUP(A9,CRM!A:I,6,0),IFERROR(VLOOKUP("*"&amp;M9&amp;"*",CRM!A:I,6,0),"ПилиМ"))</f>
        <v>44529</v>
      </c>
      <c r="F9" s="15" t="str">
        <f>IFERROR(VLOOKUP(A9,CRM!A:J,9,0),IFERROR(VLOOKUP("*"&amp;M9&amp;"*",CRM!A:J,9,0),"ПилиМ"))</f>
        <v>[T] ООП. 7119мт нб*2, МЕИЛ, ВА запрос заявления-гарантийного письма. 21.02.2023.</v>
      </c>
      <c r="G9" s="14">
        <f>IFERROR(VLOOKUP(A9,CRM!A:J,10,0),IFERROR(VLOOKUP("*"&amp;M9&amp;"*",CRM!A:J,10,0),"ПилиМ"))</f>
        <v>44978</v>
      </c>
      <c r="H9" t="str">
        <f>IFERROR(VLOOKUP(A9,коммент!A:B,2,0),"")</f>
        <v/>
      </c>
      <c r="K9" t="str">
        <f>IFERROR(IF((#REF!-DATE(YEAR(E9),MONTH(E9)+1,DAY(E9))-B9)&lt;30,"первый платеж","уже просирал"),"ПилиМ")</f>
        <v>ПилиМ</v>
      </c>
      <c r="M9" t="str">
        <f>IFERROR(IF(VLOOKUP(A9,коммент!E:E,1,0)&lt;&gt;"",VLOOKUP(A9,коммент!E:F,2,0)),TRIM(SUBSTITUTE(SUBSTITUTE(SUBSTITUTE(SUBSTITUTE(SUBSTITUTE(A9,"ООО",""),"ЗАО",""),"ИП ",""),"""",""),"СК ","")))</f>
        <v>Сидоренко Надежда Алексеевна</v>
      </c>
    </row>
    <row r="10" spans="1:13" ht="45" x14ac:dyDescent="0.25">
      <c r="A10" s="26" t="s">
        <v>950</v>
      </c>
      <c r="B10" s="13">
        <f>IFERROR(VLOOKUP(A10,CRM!A:I,7,0),IFERROR(VLOOKUP("*"&amp;M10&amp;"*",CRM!A:I,7,0),"ПилиМ"))</f>
        <v>36</v>
      </c>
      <c r="C10" s="27">
        <v>27566.68</v>
      </c>
      <c r="D10" s="27">
        <v>502274.21</v>
      </c>
      <c r="E10" s="14">
        <f>IFERROR(VLOOKUP(A10,CRM!A:I,6,0),IFERROR(VLOOKUP("*"&amp;M10&amp;"*",CRM!A:I,6,0),"ПилиМ"))</f>
        <v>44510</v>
      </c>
      <c r="F10" s="15" t="str">
        <f>IFERROR(VLOOKUP(A10,CRM!A:J,9,0),IFERROR(VLOOKUP("*"&amp;M10&amp;"*",CRM!A:J,9,0),"ПилиМ"))</f>
        <v>[T] ООП. 9696мт посторонний шум, понял откуда звонок прервал вызов, сбр, МЕИЛ, ВА напоминание об оплате по договоренности, с указанием суммы ПЗ.. 16.02.2023.</v>
      </c>
      <c r="G10" s="14">
        <f>IFERROR(VLOOKUP(A10,CRM!A:J,10,0),IFERROR(VLOOKUP("*"&amp;M10&amp;"*",CRM!A:J,10,0),"ПилиМ"))</f>
        <v>44973</v>
      </c>
      <c r="H10" t="str">
        <f>IFERROR(VLOOKUP(A10,коммент!A:B,2,0),"")</f>
        <v/>
      </c>
      <c r="K10" t="str">
        <f>IFERROR(IF((#REF!-DATE(YEAR(E10),MONTH(E10)+1,DAY(E10))-B10)&lt;30,"первый платеж","уже просирал"),"ПилиМ")</f>
        <v>ПилиМ</v>
      </c>
      <c r="M10" t="str">
        <f>IFERROR(IF(VLOOKUP(A10,коммент!E:E,1,0)&lt;&gt;"",VLOOKUP(A10,коммент!E:F,2,0)),TRIM(SUBSTITUTE(SUBSTITUTE(SUBSTITUTE(SUBSTITUTE(SUBSTITUTE(A10,"ООО",""),"ЗАО",""),"ИП ",""),"""",""),"СК ","")))</f>
        <v>Смирнов Игорь Александрович</v>
      </c>
    </row>
    <row r="11" spans="1:13" x14ac:dyDescent="0.25">
      <c r="A11" s="26" t="s">
        <v>964</v>
      </c>
      <c r="B11" s="13">
        <f>IFERROR(VLOOKUP(A11,CRM!A:I,7,0),IFERROR(VLOOKUP("*"&amp;M11&amp;"*",CRM!A:I,7,0),"ПилиМ"))</f>
        <v>35</v>
      </c>
      <c r="C11" s="27">
        <v>33045.72</v>
      </c>
      <c r="D11" s="27">
        <v>523728.74</v>
      </c>
      <c r="E11" s="14">
        <f>IFERROR(VLOOKUP(A11,CRM!A:I,6,0),IFERROR(VLOOKUP("*"&amp;M11&amp;"*",CRM!A:I,6,0),"ПилиМ"))</f>
        <v>44541</v>
      </c>
      <c r="F11" s="15" t="str">
        <f>IFERROR(VLOOKUP(A11,CRM!A:J,9,0),IFERROR(VLOOKUP("*"&amp;M11&amp;"*",CRM!A:J,9,0),"ПилиМ"))</f>
        <v>[T] ООП. 0413 нб, сбр.. 16.02.2023.</v>
      </c>
      <c r="G11" s="14">
        <f>IFERROR(VLOOKUP(A11,CRM!A:J,10,0),IFERROR(VLOOKUP("*"&amp;M11&amp;"*",CRM!A:J,10,0),"ПилиМ"))</f>
        <v>44973</v>
      </c>
      <c r="H11" t="str">
        <f>IFERROR(VLOOKUP(A11,коммент!A:B,2,0),"")</f>
        <v/>
      </c>
      <c r="K11" t="str">
        <f>IFERROR(IF((#REF!-DATE(YEAR(E11),MONTH(E11)+1,DAY(E11))-B11)&lt;30,"первый платеж","уже просирал"),"ПилиМ")</f>
        <v>ПилиМ</v>
      </c>
      <c r="M11" t="str">
        <f>IFERROR(IF(VLOOKUP(A11,коммент!E:E,1,0)&lt;&gt;"",VLOOKUP(A11,коммент!E:F,2,0)),TRIM(SUBSTITUTE(SUBSTITUTE(SUBSTITUTE(SUBSTITUTE(SUBSTITUTE(A11,"ООО",""),"ЗАО",""),"ИП ",""),"""",""),"СК ","")))</f>
        <v>Набойченко Юлия Александровна</v>
      </c>
    </row>
    <row r="12" spans="1:13" ht="30" x14ac:dyDescent="0.25">
      <c r="A12" s="26" t="s">
        <v>921</v>
      </c>
      <c r="B12" s="13">
        <f>IFERROR(VLOOKUP(A12,CRM!A:I,7,0),IFERROR(VLOOKUP("*"&amp;M12&amp;"*",CRM!A:I,7,0),"ПилиМ"))</f>
        <v>27</v>
      </c>
      <c r="C12" s="27">
        <v>17023.16</v>
      </c>
      <c r="D12" s="27">
        <v>245020.19</v>
      </c>
      <c r="E12" s="14">
        <f>IFERROR(VLOOKUP(A12,CRM!A:I,6,0),IFERROR(VLOOKUP("*"&amp;M12&amp;"*",CRM!A:I,6,0),"ПилиМ"))</f>
        <v>44305</v>
      </c>
      <c r="F12" s="15" t="str">
        <f>IFERROR(VLOOKUP(A12,CRM!A:J,9,0),IFERROR(VLOOKUP("*"&amp;M12&amp;"*",CRM!A:J,9,0),"ПилиМ"))</f>
        <v>[T] ООП. 8919 чс, 8919 чс., МЕИЛ треб погасить ПЗ(2) до 17.02.. 20.02.2023.</v>
      </c>
      <c r="G12" s="14">
        <f>IFERROR(VLOOKUP(A12,CRM!A:J,10,0),IFERROR(VLOOKUP("*"&amp;M12&amp;"*",CRM!A:J,10,0),"ПилиМ"))</f>
        <v>44977</v>
      </c>
      <c r="H12" t="str">
        <f>IFERROR(VLOOKUP(A12,коммент!A:B,2,0),"")</f>
        <v/>
      </c>
      <c r="K12" t="str">
        <f>IFERROR(IF((#REF!-DATE(YEAR(E12),MONTH(E12)+1,DAY(E12))-B12)&lt;30,"первый платеж","уже просирал"),"ПилиМ")</f>
        <v>ПилиМ</v>
      </c>
      <c r="M12" t="str">
        <f>IFERROR(IF(VLOOKUP(A12,коммент!E:E,1,0)&lt;&gt;"",VLOOKUP(A12,коммент!E:F,2,0)),TRIM(SUBSTITUTE(SUBSTITUTE(SUBSTITUTE(SUBSTITUTE(SUBSTITUTE(A12,"ООО",""),"ЗАО",""),"ИП ",""),"""",""),"СК ","")))</f>
        <v>Павлов Вячеслав Игоревич</v>
      </c>
    </row>
    <row r="13" spans="1:13" x14ac:dyDescent="0.25">
      <c r="A13" s="26" t="s">
        <v>976</v>
      </c>
      <c r="B13" s="13">
        <f>IFERROR(VLOOKUP(A13,CRM!A:I,7,0),IFERROR(VLOOKUP("*"&amp;M13&amp;"*",CRM!A:I,7,0),"ПилиМ"))</f>
        <v>25</v>
      </c>
      <c r="C13" s="27">
        <v>14510.52</v>
      </c>
      <c r="D13" s="27">
        <v>237322.22</v>
      </c>
      <c r="E13" s="14">
        <f>IFERROR(VLOOKUP(A13,CRM!A:I,6,0),IFERROR(VLOOKUP("*"&amp;M13&amp;"*",CRM!A:I,6,0),"ПилиМ"))</f>
        <v>44582</v>
      </c>
      <c r="F13" s="15" t="str">
        <f>IFERROR(VLOOKUP(A13,CRM!A:J,9,0),IFERROR(VLOOKUP("*"&amp;M13&amp;"*",CRM!A:J,9,0),"ПилиМ"))</f>
        <v>[T] ООП. 8283 сбр, сбр. . 16.02.2023.</v>
      </c>
      <c r="G13" s="14">
        <f>IFERROR(VLOOKUP(A13,CRM!A:J,10,0),IFERROR(VLOOKUP("*"&amp;M13&amp;"*",CRM!A:J,10,0),"ПилиМ"))</f>
        <v>44973</v>
      </c>
      <c r="H13" t="str">
        <f>IFERROR(VLOOKUP(A13,коммент!A:B,2,0),"")</f>
        <v/>
      </c>
      <c r="K13" t="str">
        <f>IFERROR(IF((#REF!-DATE(YEAR(E13),MONTH(E13)+1,DAY(E13))-B13)&lt;30,"первый платеж","уже просирал"),"ПилиМ")</f>
        <v>ПилиМ</v>
      </c>
      <c r="M13" t="str">
        <f>IFERROR(IF(VLOOKUP(A13,коммент!E:E,1,0)&lt;&gt;"",VLOOKUP(A13,коммент!E:F,2,0)),TRIM(SUBSTITUTE(SUBSTITUTE(SUBSTITUTE(SUBSTITUTE(SUBSTITUTE(A13,"ООО",""),"ЗАО",""),"ИП ",""),"""",""),"СК ","")))</f>
        <v>Попова Мария Спиридоновна</v>
      </c>
    </row>
    <row r="14" spans="1:13" x14ac:dyDescent="0.25">
      <c r="A14" s="26" t="s">
        <v>986</v>
      </c>
      <c r="B14" s="13">
        <f>IFERROR(VLOOKUP(A14,CRM!A:I,7,0),IFERROR(VLOOKUP("*"&amp;M14&amp;"*",CRM!A:I,7,0),"ПилиМ"))</f>
        <v>21</v>
      </c>
      <c r="C14" s="27">
        <v>27558.16</v>
      </c>
      <c r="D14" s="27">
        <v>467640.27</v>
      </c>
      <c r="E14" s="14">
        <f>IFERROR(VLOOKUP(A14,CRM!A:I,6,0),IFERROR(VLOOKUP("*"&amp;M14&amp;"*",CRM!A:I,6,0),"ПилиМ"))</f>
        <v>44372</v>
      </c>
      <c r="F14" s="15" t="str">
        <f>IFERROR(VLOOKUP(A14,CRM!A:J,9,0),IFERROR(VLOOKUP("*"&amp;M14&amp;"*",CRM!A:J,9,0),"ПилиМ"))</f>
        <v>[T] ООП. 5179мт чс, 5179 чс. 21.02.2023.</v>
      </c>
      <c r="G14" s="14">
        <f>IFERROR(VLOOKUP(A14,CRM!A:J,10,0),IFERROR(VLOOKUP("*"&amp;M14&amp;"*",CRM!A:J,10,0),"ПилиМ"))</f>
        <v>44978</v>
      </c>
      <c r="H14" t="str">
        <f>IFERROR(VLOOKUP(A14,коммент!A:B,2,0),"")</f>
        <v/>
      </c>
      <c r="K14" t="str">
        <f>IFERROR(IF((#REF!-DATE(YEAR(E14),MONTH(E14)+1,DAY(E14))-B14)&lt;30,"первый платеж","уже просирал"),"ПилиМ")</f>
        <v>ПилиМ</v>
      </c>
      <c r="M14" t="str">
        <f>IFERROR(IF(VLOOKUP(A14,коммент!E:E,1,0)&lt;&gt;"",VLOOKUP(A14,коммент!E:F,2,0)),TRIM(SUBSTITUTE(SUBSTITUTE(SUBSTITUTE(SUBSTITUTE(SUBSTITUTE(A14,"ООО",""),"ЗАО",""),"ИП ",""),"""",""),"СК ","")))</f>
        <v>Новоселов Сергей Владимирович</v>
      </c>
    </row>
    <row r="15" spans="1:13" ht="45" x14ac:dyDescent="0.25">
      <c r="A15" s="25" t="s">
        <v>991</v>
      </c>
      <c r="B15" s="13">
        <f>IFERROR(VLOOKUP(A15,CRM!A:I,7,0),IFERROR(VLOOKUP("*"&amp;M15&amp;"*",CRM!A:I,7,0),"ПилиМ"))</f>
        <v>18</v>
      </c>
      <c r="C15" s="27">
        <v>13218.6</v>
      </c>
      <c r="D15" s="27">
        <v>209491.73</v>
      </c>
      <c r="E15" s="14">
        <f>IFERROR(VLOOKUP(A15,CRM!A:I,6,0),IFERROR(VLOOKUP("*"&amp;M15&amp;"*",CRM!A:I,6,0),"ПилиМ"))</f>
        <v>44558</v>
      </c>
      <c r="F15" s="15" t="str">
        <f>IFERROR(VLOOKUP(A15,CRM!A:J,9,0),IFERROR(VLOOKUP("*"&amp;M15&amp;"*",CRM!A:J,9,0),"ПилиМ"))</f>
        <v>ООП. ответ ВА:"Добрый день. На следующей неделе будет ЗП, внесу сразу 2 платежа, чтобы выйти в нормальный график." уточнила по дате, 16,02. 16.02.2023.</v>
      </c>
      <c r="G15" s="14">
        <f>IFERROR(VLOOKUP(A15,CRM!A:J,10,0),IFERROR(VLOOKUP("*"&amp;M15&amp;"*",CRM!A:J,10,0),"ПилиМ"))</f>
        <v>44973</v>
      </c>
      <c r="H15" t="str">
        <f>IFERROR(VLOOKUP(A15,коммент!A:B,2,0),"")</f>
        <v/>
      </c>
      <c r="K15" t="str">
        <f>IFERROR(IF((#REF!-DATE(YEAR(E15),MONTH(E15)+1,DAY(E15))-B15)&lt;30,"первый платеж","уже просирал"),"ПилиМ")</f>
        <v>ПилиМ</v>
      </c>
      <c r="M15" t="str">
        <f>IFERROR(IF(VLOOKUP(A15,коммент!E:E,1,0)&lt;&gt;"",VLOOKUP(A15,коммент!E:F,2,0)),TRIM(SUBSTITUTE(SUBSTITUTE(SUBSTITUTE(SUBSTITUTE(SUBSTITUTE(A15,"ООО",""),"ЗАО",""),"ИП ",""),"""",""),"СК ","")))</f>
        <v>Лемкин Николай Иванович</v>
      </c>
    </row>
    <row r="16" spans="1:13" ht="60" x14ac:dyDescent="0.25">
      <c r="A16" s="25" t="s">
        <v>992</v>
      </c>
      <c r="B16" s="13">
        <f>IFERROR(VLOOKUP(A16,CRM!A:I,7,0),IFERROR(VLOOKUP("*"&amp;M16&amp;"*",CRM!A:I,7,0),"ПилиМ"))</f>
        <v>18</v>
      </c>
      <c r="C16" s="27">
        <v>15579.91</v>
      </c>
      <c r="D16" s="27">
        <v>258272.75</v>
      </c>
      <c r="E16" s="14">
        <f>IFERROR(VLOOKUP(A16,CRM!A:I,6,0),IFERROR(VLOOKUP("*"&amp;M16&amp;"*",CRM!A:I,6,0),"ПилиМ"))</f>
        <v>44524</v>
      </c>
      <c r="F16" s="15" t="str">
        <f>IFERROR(VLOOKUP(A16,CRM!A:J,9,0),IFERROR(VLOOKUP("*"&amp;M16&amp;"*",CRM!A:J,9,0),"ПилиМ"))</f>
        <v>[T] ООП. долгая переписка, сказал, ему, что либо до 20.02. погашает просрочку, либо ищет покупателя на залог. Что займ изначально дорогой, на просрочке становится еще дороже. . 20.02.2023.</v>
      </c>
      <c r="G16" s="14">
        <f>IFERROR(VLOOKUP(A16,CRM!A:J,10,0),IFERROR(VLOOKUP("*"&amp;M16&amp;"*",CRM!A:J,10,0),"ПилиМ"))</f>
        <v>44977</v>
      </c>
      <c r="H16" t="str">
        <f>IFERROR(VLOOKUP(A16,коммент!A:B,2,0),"")</f>
        <v/>
      </c>
      <c r="K16" t="str">
        <f>IFERROR(IF((#REF!-DATE(YEAR(E16),MONTH(E16)+1,DAY(E16))-B16)&lt;30,"первый платеж","уже просирал"),"ПилиМ")</f>
        <v>ПилиМ</v>
      </c>
      <c r="M16" t="str">
        <f>IFERROR(IF(VLOOKUP(A16,коммент!E:E,1,0)&lt;&gt;"",VLOOKUP(A16,коммент!E:F,2,0)),TRIM(SUBSTITUTE(SUBSTITUTE(SUBSTITUTE(SUBSTITUTE(SUBSTITUTE(A16,"ООО",""),"ЗАО",""),"ИП ",""),"""",""),"СК ","")))</f>
        <v>Гриценко Дмитрий Владимирович</v>
      </c>
    </row>
    <row r="17" spans="1:13" ht="30" x14ac:dyDescent="0.25">
      <c r="A17" s="26" t="s">
        <v>990</v>
      </c>
      <c r="B17" s="13">
        <f>IFERROR(VLOOKUP(A17,CRM!A:I,7,0),IFERROR(VLOOKUP("*"&amp;M17&amp;"*",CRM!A:I,7,0),"ПилиМ"))</f>
        <v>17</v>
      </c>
      <c r="C17" s="27">
        <v>18622.7</v>
      </c>
      <c r="D17" s="27">
        <v>241206.49</v>
      </c>
      <c r="E17" s="14">
        <f>IFERROR(VLOOKUP(A17,CRM!A:I,6,0),IFERROR(VLOOKUP("*"&amp;M17&amp;"*",CRM!A:I,6,0),"ПилиМ"))</f>
        <v>44041</v>
      </c>
      <c r="F17" s="15" t="str">
        <f>IFERROR(VLOOKUP(A17,CRM!A:J,9,0),IFERROR(VLOOKUP("*"&amp;M17&amp;"*",CRM!A:J,9,0),"ПилиМ"))</f>
        <v>ООП. 7172 ао, 7172мт нд, ВА(Руслан, Валерия) просьба контакта. . 20.02.2023.</v>
      </c>
      <c r="G17" s="14">
        <f>IFERROR(VLOOKUP(A17,CRM!A:J,10,0),IFERROR(VLOOKUP("*"&amp;M17&amp;"*",CRM!A:J,10,0),"ПилиМ"))</f>
        <v>44977</v>
      </c>
      <c r="H17" t="str">
        <f>IFERROR(VLOOKUP(A17,коммент!A:B,2,0),"")</f>
        <v/>
      </c>
      <c r="K17" t="str">
        <f>IFERROR(IF((#REF!-DATE(YEAR(E17),MONTH(E17)+1,DAY(E17))-B17)&lt;30,"первый платеж","уже просирал"),"ПилиМ")</f>
        <v>ПилиМ</v>
      </c>
      <c r="M17" t="str">
        <f>IFERROR(IF(VLOOKUP(A17,коммент!E:E,1,0)&lt;&gt;"",VLOOKUP(A17,коммент!E:F,2,0)),TRIM(SUBSTITUTE(SUBSTITUTE(SUBSTITUTE(SUBSTITUTE(SUBSTITUTE(A17,"ООО",""),"ЗАО",""),"ИП ",""),"""",""),"СК ","")))</f>
        <v>Башкатов Егор Иванович</v>
      </c>
    </row>
    <row r="18" spans="1:13" ht="30" x14ac:dyDescent="0.25">
      <c r="A18" s="26" t="s">
        <v>1000</v>
      </c>
      <c r="B18" s="13">
        <f>IFERROR(VLOOKUP(A18,CRM!A:I,7,0),IFERROR(VLOOKUP("*"&amp;M18&amp;"*",CRM!A:I,7,0),"ПилиМ"))</f>
        <v>15</v>
      </c>
      <c r="C18" s="27">
        <v>19823.689999999999</v>
      </c>
      <c r="D18" s="27">
        <v>307791.06</v>
      </c>
      <c r="E18" s="14">
        <f>IFERROR(VLOOKUP(A18,CRM!A:I,6,0),IFERROR(VLOOKUP("*"&amp;M18&amp;"*",CRM!A:I,6,0),"ПилиМ"))</f>
        <v>44500</v>
      </c>
      <c r="F18" s="15" t="str">
        <f>IFERROR(VLOOKUP(A18,CRM!A:J,9,0),IFERROR(VLOOKUP("*"&amp;M18&amp;"*",CRM!A:J,9,0),"ПилиМ"))</f>
        <v>ООП. 3891мт чс, 3891 ответил помолчал, сбросил, сбр.. 16.02.2023.</v>
      </c>
      <c r="G18" s="14">
        <f>IFERROR(VLOOKUP(A18,CRM!A:J,10,0),IFERROR(VLOOKUP("*"&amp;M18&amp;"*",CRM!A:J,10,0),"ПилиМ"))</f>
        <v>44973</v>
      </c>
      <c r="H18" t="str">
        <f>IFERROR(VLOOKUP(A18,коммент!A:B,2,0),"")</f>
        <v/>
      </c>
      <c r="K18" t="str">
        <f>IFERROR(IF((#REF!-DATE(YEAR(E18),MONTH(E18)+1,DAY(E18))-B18)&lt;30,"первый платеж","уже просирал"),"ПилиМ")</f>
        <v>ПилиМ</v>
      </c>
      <c r="M18" t="str">
        <f>IFERROR(IF(VLOOKUP(A18,коммент!E:E,1,0)&lt;&gt;"",VLOOKUP(A18,коммент!E:F,2,0)),TRIM(SUBSTITUTE(SUBSTITUTE(SUBSTITUTE(SUBSTITUTE(SUBSTITUTE(A18,"ООО",""),"ЗАО",""),"ИП ",""),"""",""),"СК ","")))</f>
        <v>Никулкин Андрей Викторович</v>
      </c>
    </row>
    <row r="19" spans="1:13" ht="30" x14ac:dyDescent="0.25">
      <c r="A19" s="26" t="s">
        <v>1005</v>
      </c>
      <c r="B19" s="13">
        <f>IFERROR(VLOOKUP(A19,CRM!A:I,7,0),IFERROR(VLOOKUP("*"&amp;M19&amp;"*",CRM!A:I,7,0),"ПилиМ"))</f>
        <v>14</v>
      </c>
      <c r="C19" s="27">
        <v>27398.86</v>
      </c>
      <c r="D19" s="27">
        <v>432774.06</v>
      </c>
      <c r="E19" s="14">
        <f>IFERROR(VLOOKUP(A19,CRM!A:I,6,0),IFERROR(VLOOKUP("*"&amp;M19&amp;"*",CRM!A:I,6,0),"ПилиМ"))</f>
        <v>44611</v>
      </c>
      <c r="F19" s="15" t="str">
        <f>IFERROR(VLOOKUP(A19,CRM!A:J,9,0),IFERROR(VLOOKUP("*"&amp;M19&amp;"*",CRM!A:J,9,0),"ПилиМ"))</f>
        <v>ООП. 1804мт ао, ВХ(1804)мт молчит, ао, ВА треб погасить ПЗ (1) до 17.02. 17.02.2023.</v>
      </c>
      <c r="G19" s="14">
        <f>IFERROR(VLOOKUP(A19,CRM!A:J,10,0),IFERROR(VLOOKUP("*"&amp;M19&amp;"*",CRM!A:J,10,0),"ПилиМ"))</f>
        <v>44974</v>
      </c>
      <c r="H19" t="str">
        <f>IFERROR(VLOOKUP(A19,коммент!A:B,2,0),"")</f>
        <v/>
      </c>
      <c r="K19" t="str">
        <f>IFERROR(IF((#REF!-DATE(YEAR(E19),MONTH(E19)+1,DAY(E19))-B19)&lt;30,"первый платеж","уже просирал"),"ПилиМ")</f>
        <v>ПилиМ</v>
      </c>
      <c r="M19" t="str">
        <f>IFERROR(IF(VLOOKUP(A19,коммент!E:E,1,0)&lt;&gt;"",VLOOKUP(A19,коммент!E:F,2,0)),TRIM(SUBSTITUTE(SUBSTITUTE(SUBSTITUTE(SUBSTITUTE(SUBSTITUTE(A19,"ООО",""),"ЗАО",""),"ИП ",""),"""",""),"СК ","")))</f>
        <v>Левченков Георгий Михайлович</v>
      </c>
    </row>
    <row r="20" spans="1:13" ht="75" x14ac:dyDescent="0.25">
      <c r="A20" s="25" t="s">
        <v>1006</v>
      </c>
      <c r="B20" s="13">
        <f>IFERROR(VLOOKUP(A20,CRM!A:I,7,0),IFERROR(VLOOKUP("*"&amp;M20&amp;"*",CRM!A:I,7,0),"ПилиМ"))</f>
        <v>14</v>
      </c>
      <c r="C20" s="27">
        <v>16614.95</v>
      </c>
      <c r="D20" s="27">
        <v>273027.95</v>
      </c>
      <c r="E20" s="14">
        <f>IFERROR(VLOOKUP(A20,CRM!A:I,6,0),IFERROR(VLOOKUP("*"&amp;M20&amp;"*",CRM!A:I,6,0),"ПилиМ"))</f>
        <v>44491</v>
      </c>
      <c r="F20" s="15" t="str">
        <f>IFERROR(VLOOKUP(A20,CRM!A:J,9,0),IFERROR(VLOOKUP("*"&amp;M20&amp;"*",CRM!A:J,9,0),"ПилиМ"))</f>
        <v>ООП. ответ на мейл:"Добрый день, сейчас испытываю временные финансовые трудности, по возможности до 16.02 все погашу, 16.02 точно (поступят денежные средства) с учетом начисленных пеней. Ранее допускал просрочки, но в назначенную дату постоянно выплачивал." . 16.02.2023.</v>
      </c>
      <c r="G20" s="14">
        <f>IFERROR(VLOOKUP(A20,CRM!A:J,10,0),IFERROR(VLOOKUP("*"&amp;M20&amp;"*",CRM!A:J,10,0),"ПилиМ"))</f>
        <v>44973</v>
      </c>
      <c r="H20" t="str">
        <f>IFERROR(VLOOKUP(A20,коммент!A:B,2,0),"")</f>
        <v/>
      </c>
      <c r="K20" t="str">
        <f>IFERROR(IF((#REF!-DATE(YEAR(E20),MONTH(E20)+1,DAY(E20))-B20)&lt;30,"первый платеж","уже просирал"),"ПилиМ")</f>
        <v>ПилиМ</v>
      </c>
      <c r="M20" t="str">
        <f>IFERROR(IF(VLOOKUP(A20,коммент!E:E,1,0)&lt;&gt;"",VLOOKUP(A20,коммент!E:F,2,0)),TRIM(SUBSTITUTE(SUBSTITUTE(SUBSTITUTE(SUBSTITUTE(SUBSTITUTE(A20,"ООО",""),"ЗАО",""),"ИП ",""),"""",""),"СК ","")))</f>
        <v>Самошин Дмитрий Сергеевич</v>
      </c>
    </row>
    <row r="21" spans="1:13" x14ac:dyDescent="0.25">
      <c r="A21" s="25" t="s">
        <v>1007</v>
      </c>
      <c r="B21" s="13">
        <f>IFERROR(VLOOKUP(A21,CRM!A:I,7,0),IFERROR(VLOOKUP("*"&amp;M21&amp;"*",CRM!A:I,7,0),"ПилиМ"))</f>
        <v>14</v>
      </c>
      <c r="C21" s="27">
        <v>15160.63</v>
      </c>
      <c r="D21" s="27">
        <v>208294.7</v>
      </c>
      <c r="E21" s="14">
        <f>IFERROR(VLOOKUP(A21,CRM!A:I,6,0),IFERROR(VLOOKUP("*"&amp;M21&amp;"*",CRM!A:I,6,0),"ПилиМ"))</f>
        <v>44440</v>
      </c>
      <c r="F21" s="15" t="str">
        <f>IFERROR(VLOOKUP(A21,CRM!A:J,9,0),IFERROR(VLOOKUP("*"&amp;M21&amp;"*",CRM!A:J,9,0),"ПилиМ"))</f>
        <v>ООП. 1478 остаток погасит до 17,02. 17.02.2023.</v>
      </c>
      <c r="G21" s="14">
        <f>IFERROR(VLOOKUP(A21,CRM!A:J,10,0),IFERROR(VLOOKUP("*"&amp;M21&amp;"*",CRM!A:J,10,0),"ПилиМ"))</f>
        <v>44974</v>
      </c>
      <c r="H21" t="str">
        <f>IFERROR(VLOOKUP(A21,коммент!A:B,2,0),"")</f>
        <v/>
      </c>
      <c r="K21" t="str">
        <f>IFERROR(IF((#REF!-DATE(YEAR(E21),MONTH(E21)+1,DAY(E21))-B21)&lt;30,"первый платеж","уже просирал"),"ПилиМ")</f>
        <v>ПилиМ</v>
      </c>
      <c r="M21" t="str">
        <f>IFERROR(IF(VLOOKUP(A21,коммент!E:E,1,0)&lt;&gt;"",VLOOKUP(A21,коммент!E:F,2,0)),TRIM(SUBSTITUTE(SUBSTITUTE(SUBSTITUTE(SUBSTITUTE(SUBSTITUTE(A21,"ООО",""),"ЗАО",""),"ИП ",""),"""",""),"СК ","")))</f>
        <v>Белгер Эрнест Владимирович</v>
      </c>
    </row>
    <row r="22" spans="1:13" ht="30" x14ac:dyDescent="0.25">
      <c r="A22" s="25" t="s">
        <v>1004</v>
      </c>
      <c r="B22" s="13">
        <f>IFERROR(VLOOKUP(A22,CRM!A:I,7,0),IFERROR(VLOOKUP("*"&amp;M22&amp;"*",CRM!A:I,7,0),"ПилиМ"))</f>
        <v>13</v>
      </c>
      <c r="C22" s="27">
        <v>24011.53</v>
      </c>
      <c r="D22" s="27">
        <v>210350.45</v>
      </c>
      <c r="E22" s="14">
        <f>IFERROR(VLOOKUP(A22,CRM!A:I,6,0),IFERROR(VLOOKUP("*"&amp;M22&amp;"*",CRM!A:I,6,0),"ПилиМ"))</f>
        <v>44229</v>
      </c>
      <c r="F22" s="15" t="str">
        <f>IFERROR(VLOOKUP(A22,CRM!A:J,9,0),IFERROR(VLOOKUP("*"&amp;M22&amp;"*",CRM!A:J,9,0),"ПилиМ"))</f>
        <v>ООП. 3076 ждет приход дс, до 17,02 обещает точно погасить, предложила перенос ДП на 16 число. 17.02.2023.</v>
      </c>
      <c r="G22" s="14">
        <f>IFERROR(VLOOKUP(A22,CRM!A:J,10,0),IFERROR(VLOOKUP("*"&amp;M22&amp;"*",CRM!A:J,10,0),"ПилиМ"))</f>
        <v>44974</v>
      </c>
      <c r="H22" t="str">
        <f>IFERROR(VLOOKUP(A22,коммент!A:B,2,0),"")</f>
        <v/>
      </c>
      <c r="K22" t="str">
        <f>IFERROR(IF((#REF!-DATE(YEAR(E22),MONTH(E22)+1,DAY(E22))-B22)&lt;30,"первый платеж","уже просирал"),"ПилиМ")</f>
        <v>ПилиМ</v>
      </c>
      <c r="M22" t="str">
        <f>IFERROR(IF(VLOOKUP(A22,коммент!E:E,1,0)&lt;&gt;"",VLOOKUP(A22,коммент!E:F,2,0)),TRIM(SUBSTITUTE(SUBSTITUTE(SUBSTITUTE(SUBSTITUTE(SUBSTITUTE(A22,"ООО",""),"ЗАО",""),"ИП ",""),"""",""),"СК ","")))</f>
        <v>Борисов Андрей Сергеевич</v>
      </c>
    </row>
    <row r="23" spans="1:13" ht="120" x14ac:dyDescent="0.25">
      <c r="A23" s="25" t="s">
        <v>1043</v>
      </c>
      <c r="B23" s="13">
        <f>IFERROR(VLOOKUP(A23,CRM!A:I,7,0),IFERROR(VLOOKUP("*"&amp;M23&amp;"*",CRM!A:I,7,0),"ПилиМ"))</f>
        <v>10</v>
      </c>
      <c r="C23">
        <v>29098.79</v>
      </c>
      <c r="D23">
        <v>400799.7</v>
      </c>
      <c r="E23" s="14">
        <f>IFERROR(VLOOKUP(A23,CRM!A:I,6,0),IFERROR(VLOOKUP("*"&amp;M23&amp;"*",CRM!A:I,6,0),"ПилиМ"))</f>
        <v>44525</v>
      </c>
      <c r="F23" s="15" t="str">
        <f>IFERROR(VLOOKUP(A23,CRM!A:J,9,0),IFERROR(VLOOKUP("*"&amp;M23&amp;"*",CRM!A:J,9,0),"ПилиМ"))</f>
        <v>[T] ООП. ответ ВА:"Добрый день. Да, я знаю. Ищу возможность. Чтобы не быть голословным, конкретную дату назвать не могу. Была речь о том, что передадите на взыскание, если не будет оплаты в феврале. Я постараюсь." предупредила, что в конце мес дог. может быть передан на принуд. взыскание, напомнила про ежеднев. начисление пени, предложила созвониться 17,02 и обсудить реализацию ТС. т.к. продать в досуд. порядке гораздо выгоднее. 17.02.2023.</v>
      </c>
      <c r="G23" s="14">
        <f>IFERROR(VLOOKUP(A23,CRM!A:J,10,0),IFERROR(VLOOKUP("*"&amp;M23&amp;"*",CRM!A:J,10,0),"ПилиМ"))</f>
        <v>44974</v>
      </c>
      <c r="H23" t="str">
        <f>IFERROR(VLOOKUP(A23,коммент!A:B,2,0),"")</f>
        <v/>
      </c>
      <c r="K23" t="str">
        <f>IFERROR(IF((#REF!-DATE(YEAR(E23),MONTH(E23)+1,DAY(E23))-B23)&lt;30,"первый платеж","уже просирал"),"ПилиМ")</f>
        <v>ПилиМ</v>
      </c>
      <c r="M23" t="str">
        <f>IFERROR(IF(VLOOKUP(A23,коммент!E:E,1,0)&lt;&gt;"",VLOOKUP(A23,коммент!E:F,2,0)),TRIM(SUBSTITUTE(SUBSTITUTE(SUBSTITUTE(SUBSTITUTE(SUBSTITUTE(A23,"ООО",""),"ЗАО",""),"ИП ",""),"""",""),"СК ","")))</f>
        <v>Журавлёв Денис Сергеевич</v>
      </c>
    </row>
    <row r="24" spans="1:13" ht="45" x14ac:dyDescent="0.25">
      <c r="A24" s="25" t="s">
        <v>1040</v>
      </c>
      <c r="B24" s="13">
        <f>IFERROR(VLOOKUP(A24,CRM!A:I,7,0),IFERROR(VLOOKUP("*"&amp;M24&amp;"*",CRM!A:I,7,0),"ПилиМ"))</f>
        <v>8</v>
      </c>
      <c r="C24">
        <v>18822.29</v>
      </c>
      <c r="D24">
        <v>266529.09000000003</v>
      </c>
      <c r="E24" s="14">
        <f>IFERROR(VLOOKUP(A24,CRM!A:I,6,0),IFERROR(VLOOKUP("*"&amp;M24&amp;"*",CRM!A:I,6,0),"ПилиМ"))</f>
        <v>44293</v>
      </c>
      <c r="F24" s="15" t="str">
        <f>IFERROR(VLOOKUP(A24,CRM!A:J,9,0),IFERROR(VLOOKUP("*"&amp;M24&amp;"*",CRM!A:J,9,0),"ПилиМ"))</f>
        <v>ООП. 4997 хочет приехать и оплатить наличкой, деньги в кармане, сообщила, что офиса в Краснодаре нет, треб. сегодня погасить пз. 16.02.2023.</v>
      </c>
      <c r="G24" s="14">
        <f>IFERROR(VLOOKUP(A24,CRM!A:J,10,0),IFERROR(VLOOKUP("*"&amp;M24&amp;"*",CRM!A:J,10,0),"ПилиМ"))</f>
        <v>44973</v>
      </c>
      <c r="H24" t="str">
        <f>IFERROR(VLOOKUP(A24,коммент!A:B,2,0),"")</f>
        <v/>
      </c>
      <c r="K24" t="str">
        <f>IFERROR(IF((#REF!-DATE(YEAR(E24),MONTH(E24)+1,DAY(E24))-B24)&lt;30,"первый платеж","уже просирал"),"ПилиМ")</f>
        <v>ПилиМ</v>
      </c>
      <c r="M24" t="str">
        <f>IFERROR(IF(VLOOKUP(A24,коммент!E:E,1,0)&lt;&gt;"",VLOOKUP(A24,коммент!E:F,2,0)),TRIM(SUBSTITUTE(SUBSTITUTE(SUBSTITUTE(SUBSTITUTE(SUBSTITUTE(A24,"ООО",""),"ЗАО",""),"ИП ",""),"""",""),"СК ","")))</f>
        <v>Тимонин Виктор Викторович</v>
      </c>
    </row>
    <row r="25" spans="1:13" ht="30" x14ac:dyDescent="0.25">
      <c r="A25" s="25" t="s">
        <v>1039</v>
      </c>
      <c r="B25" s="13">
        <f>IFERROR(VLOOKUP(A25,CRM!A:I,7,0),IFERROR(VLOOKUP("*"&amp;M25&amp;"*",CRM!A:I,7,0),"ПилиМ"))</f>
        <v>7</v>
      </c>
      <c r="C25">
        <v>55880.89</v>
      </c>
      <c r="D25">
        <v>249380.55</v>
      </c>
      <c r="E25" s="14">
        <f>IFERROR(VLOOKUP(A25,CRM!A:I,6,0),IFERROR(VLOOKUP("*"&amp;M25&amp;"*",CRM!A:I,6,0),"ПилиМ"))</f>
        <v>44340</v>
      </c>
      <c r="F25" s="15" t="str">
        <f>IFERROR(VLOOKUP(A25,CRM!A:J,9,0),IFERROR(VLOOKUP("*"&amp;M25&amp;"*",CRM!A:J,9,0),"ПилиМ"))</f>
        <v>[T] ООП. 1416 идет сделка по продажи компании, обещает сег- завтра погасить пз, либо досрочно. 16.02.2023.</v>
      </c>
      <c r="G25" s="14">
        <f>IFERROR(VLOOKUP(A25,CRM!A:J,10,0),IFERROR(VLOOKUP("*"&amp;M25&amp;"*",CRM!A:J,10,0),"ПилиМ"))</f>
        <v>44973</v>
      </c>
      <c r="H25" t="str">
        <f>IFERROR(VLOOKUP(A25,коммент!A:B,2,0),"")</f>
        <v/>
      </c>
      <c r="K25" t="str">
        <f>IFERROR(IF((#REF!-DATE(YEAR(E25),MONTH(E25)+1,DAY(E25))-B25)&lt;30,"первый платеж","уже просирал"),"ПилиМ")</f>
        <v>ПилиМ</v>
      </c>
      <c r="M25" t="str">
        <f>IFERROR(IF(VLOOKUP(A25,коммент!E:E,1,0)&lt;&gt;"",VLOOKUP(A25,коммент!E:F,2,0)),TRIM(SUBSTITUTE(SUBSTITUTE(SUBSTITUTE(SUBSTITUTE(SUBSTITUTE(A25,"ООО",""),"ЗАО",""),"ИП ",""),"""",""),"СК ","")))</f>
        <v>Смирнов Михаил Львович</v>
      </c>
    </row>
    <row r="26" spans="1:13" ht="30" x14ac:dyDescent="0.25">
      <c r="A26" s="25" t="s">
        <v>1032</v>
      </c>
      <c r="B26" s="13">
        <f>IFERROR(VLOOKUP(A26,CRM!A:I,7,0),IFERROR(VLOOKUP("*"&amp;M26&amp;"*",CRM!A:I,7,0),"ПилиМ"))</f>
        <v>6</v>
      </c>
      <c r="C26">
        <v>60507.78</v>
      </c>
      <c r="D26">
        <v>506081.97</v>
      </c>
      <c r="E26" s="14">
        <f>IFERROR(VLOOKUP(A26,CRM!A:I,6,0),IFERROR(VLOOKUP("*"&amp;M26&amp;"*",CRM!A:I,6,0),"ПилиМ"))</f>
        <v>44601</v>
      </c>
      <c r="F26" s="15" t="str">
        <f>IFERROR(VLOOKUP(A26,CRM!A:J,9,0),IFERROR(VLOOKUP("*"&amp;M26&amp;"*",CRM!A:J,9,0),"ПилиМ"))</f>
        <v>[T] ООП. ответ ВА :"Добрый день, всё нормально я оплачу постараюсь на этой неделе.". 16.02.2023.</v>
      </c>
      <c r="G26" s="14">
        <f>IFERROR(VLOOKUP(A26,CRM!A:J,10,0),IFERROR(VLOOKUP("*"&amp;M26&amp;"*",CRM!A:J,10,0),"ПилиМ"))</f>
        <v>44973</v>
      </c>
      <c r="H26" t="str">
        <f>IFERROR(VLOOKUP(A26,коммент!A:B,2,0),"")</f>
        <v/>
      </c>
      <c r="K26" t="str">
        <f>IFERROR(IF((#REF!-DATE(YEAR(E26),MONTH(E26)+1,DAY(E26))-B26)&lt;30,"первый платеж","уже просирал"),"ПилиМ")</f>
        <v>ПилиМ</v>
      </c>
      <c r="M26" t="str">
        <f>IFERROR(IF(VLOOKUP(A26,коммент!E:E,1,0)&lt;&gt;"",VLOOKUP(A26,коммент!E:F,2,0)),TRIM(SUBSTITUTE(SUBSTITUTE(SUBSTITUTE(SUBSTITUTE(SUBSTITUTE(A26,"ООО",""),"ЗАО",""),"ИП ",""),"""",""),"СК ","")))</f>
        <v>Галушка Светлана Анатольевна</v>
      </c>
    </row>
    <row r="27" spans="1:13" ht="30" x14ac:dyDescent="0.25">
      <c r="A27" s="25" t="s">
        <v>1034</v>
      </c>
      <c r="B27" s="13">
        <f>IFERROR(VLOOKUP(A27,CRM!A:I,7,0),IFERROR(VLOOKUP("*"&amp;M27&amp;"*",CRM!A:I,7,0),"ПилиМ"))</f>
        <v>6</v>
      </c>
      <c r="C27">
        <v>27151.919999999998</v>
      </c>
      <c r="D27">
        <v>203970.77</v>
      </c>
      <c r="E27" s="14">
        <f>IFERROR(VLOOKUP(A27,CRM!A:I,6,0),IFERROR(VLOOKUP("*"&amp;M27&amp;"*",CRM!A:I,6,0),"ПилиМ"))</f>
        <v>44570</v>
      </c>
      <c r="F27" s="15" t="str">
        <f>IFERROR(VLOOKUP(A27,CRM!A:J,9,0),IFERROR(VLOOKUP("*"&amp;M27&amp;"*",CRM!A:J,9,0),"ПилиМ"))</f>
        <v>[T] ООП. 2594 оплатит на след. нед, о причине пз отказался общаться. 16.02.2023.</v>
      </c>
      <c r="G27" s="14">
        <f>IFERROR(VLOOKUP(A27,CRM!A:J,10,0),IFERROR(VLOOKUP("*"&amp;M27&amp;"*",CRM!A:J,10,0),"ПилиМ"))</f>
        <v>44973</v>
      </c>
      <c r="H27" t="str">
        <f>IFERROR(VLOOKUP(A27,коммент!A:B,2,0),"")</f>
        <v/>
      </c>
      <c r="K27" t="str">
        <f>IFERROR(IF((#REF!-DATE(YEAR(E27),MONTH(E27)+1,DAY(E27))-B27)&lt;30,"первый платеж","уже просирал"),"ПилиМ")</f>
        <v>ПилиМ</v>
      </c>
      <c r="M27" t="str">
        <f>IFERROR(IF(VLOOKUP(A27,коммент!E:E,1,0)&lt;&gt;"",VLOOKUP(A27,коммент!E:F,2,0)),TRIM(SUBSTITUTE(SUBSTITUTE(SUBSTITUTE(SUBSTITUTE(SUBSTITUTE(A27,"ООО",""),"ЗАО",""),"ИП ",""),"""",""),"СК ","")))</f>
        <v>Мокрицкий Константин Александрович</v>
      </c>
    </row>
    <row r="28" spans="1:13" ht="45" x14ac:dyDescent="0.25">
      <c r="A28" s="25" t="s">
        <v>898</v>
      </c>
      <c r="B28" s="13">
        <f>IFERROR(VLOOKUP(A28,CRM!A:I,7,0),IFERROR(VLOOKUP("*"&amp;M28&amp;"*",CRM!A:I,7,0),"ПилиМ"))</f>
        <v>5</v>
      </c>
      <c r="C28">
        <v>69858.850000000006</v>
      </c>
      <c r="D28">
        <v>846075.61</v>
      </c>
      <c r="E28" s="14">
        <f>IFERROR(VLOOKUP(A28,CRM!A:I,6,0),IFERROR(VLOOKUP("*"&amp;M28&amp;"*",CRM!A:I,6,0),"ПилиМ"))</f>
        <v>44540</v>
      </c>
      <c r="F28" s="15" t="str">
        <f>IFERROR(VLOOKUP(A28,CRM!A:J,9,0),IFERROR(VLOOKUP("*"&amp;M28&amp;"*",CRM!A:J,9,0),"ПилиМ"))</f>
        <v>ООП. 6983 ждет денег сегодня- завтра, попросила перезвонить 15,02 в случае неоплаты написала ВА наши контактные номера. 16.02.2023.</v>
      </c>
      <c r="G28" s="14">
        <f>IFERROR(VLOOKUP(A28,CRM!A:J,10,0),IFERROR(VLOOKUP("*"&amp;M28&amp;"*",CRM!A:J,10,0),"ПилиМ"))</f>
        <v>44973</v>
      </c>
      <c r="H28" t="str">
        <f>IFERROR(VLOOKUP(A28,коммент!A:B,2,0),"")</f>
        <v>связан с Попов М.А.</v>
      </c>
      <c r="K28" t="str">
        <f>IFERROR(IF((#REF!-DATE(YEAR(E28),MONTH(E28)+1,DAY(E28))-B28)&lt;30,"первый платеж","уже просирал"),"ПилиМ")</f>
        <v>ПилиМ</v>
      </c>
      <c r="M28" t="str">
        <f>IFERROR(IF(VLOOKUP(A28,коммент!E:E,1,0)&lt;&gt;"",VLOOKUP(A28,коммент!E:F,2,0)),TRIM(SUBSTITUTE(SUBSTITUTE(SUBSTITUTE(SUBSTITUTE(SUBSTITUTE(A28,"ООО",""),"ЗАО",""),"ИП ",""),"""",""),"СК ","")))</f>
        <v>Платонов Николай Владимирович</v>
      </c>
    </row>
    <row r="29" spans="1:13" ht="45" x14ac:dyDescent="0.25">
      <c r="A29" s="25" t="s">
        <v>899</v>
      </c>
      <c r="B29" s="13">
        <f>IFERROR(VLOOKUP(A29,CRM!A:I,7,0),IFERROR(VLOOKUP("*"&amp;M29&amp;"*",CRM!A:I,7,0),"ПилиМ"))</f>
        <v>5</v>
      </c>
      <c r="C29">
        <v>69858.850000000006</v>
      </c>
      <c r="D29">
        <v>846075.61</v>
      </c>
      <c r="E29" s="14">
        <f>IFERROR(VLOOKUP(A29,CRM!A:I,6,0),IFERROR(VLOOKUP("*"&amp;M29&amp;"*",CRM!A:I,6,0),"ПилиМ"))</f>
        <v>44540</v>
      </c>
      <c r="F29" s="15" t="str">
        <f>IFERROR(VLOOKUP(A29,CRM!A:J,9,0),IFERROR(VLOOKUP("*"&amp;M29&amp;"*",CRM!A:J,9,0),"ПилиМ"))</f>
        <v>ООП. 3358 ждет зачисление средств, дата платежа не подходит, источник денег называть отказался, предложила перенос ДП . 16.02.2023.</v>
      </c>
      <c r="G29" s="14">
        <f>IFERROR(VLOOKUP(A29,CRM!A:J,10,0),IFERROR(VLOOKUP("*"&amp;M29&amp;"*",CRM!A:J,10,0),"ПилиМ"))</f>
        <v>44973</v>
      </c>
      <c r="H29" t="str">
        <f>IFERROR(VLOOKUP(A29,коммент!A:B,2,0),"")</f>
        <v>связан с Платонов Н.В.</v>
      </c>
      <c r="K29" t="str">
        <f>IFERROR(IF((#REF!-DATE(YEAR(E29),MONTH(E29)+1,DAY(E29))-B29)&lt;30,"первый платеж","уже просирал"),"ПилиМ")</f>
        <v>ПилиМ</v>
      </c>
      <c r="M29" t="str">
        <f>IFERROR(IF(VLOOKUP(A29,коммент!E:E,1,0)&lt;&gt;"",VLOOKUP(A29,коммент!E:F,2,0)),TRIM(SUBSTITUTE(SUBSTITUTE(SUBSTITUTE(SUBSTITUTE(SUBSTITUTE(A29,"ООО",""),"ЗАО",""),"ИП ",""),"""",""),"СК ","")))</f>
        <v>Попов Михаил Александрович</v>
      </c>
    </row>
    <row r="30" spans="1:13" ht="30" x14ac:dyDescent="0.25">
      <c r="A30" s="25" t="s">
        <v>1031</v>
      </c>
      <c r="B30" s="13">
        <f>IFERROR(VLOOKUP(A30,CRM!A:I,7,0),IFERROR(VLOOKUP("*"&amp;M30&amp;"*",CRM!A:I,7,0),"ПилиМ"))</f>
        <v>5</v>
      </c>
      <c r="C30">
        <v>69949.75</v>
      </c>
      <c r="D30">
        <v>829872.26</v>
      </c>
      <c r="E30" s="14">
        <f>IFERROR(VLOOKUP(A30,CRM!A:I,6,0),IFERROR(VLOOKUP("*"&amp;M30&amp;"*",CRM!A:I,6,0),"ПилиМ"))</f>
        <v>44496</v>
      </c>
      <c r="F30" s="15" t="str">
        <f>IFERROR(VLOOKUP(A30,CRM!A:J,9,0),IFERROR(VLOOKUP("*"&amp;M30&amp;"*",CRM!A:J,9,0),"ПилиМ"))</f>
        <v>ООП. 0712 ждет денег за поездку, должны перечислить 200к, озвучена сумма пз на сегодня без учета пени. 16.02.2023.</v>
      </c>
      <c r="G30" s="14">
        <f>IFERROR(VLOOKUP(A30,CRM!A:J,10,0),IFERROR(VLOOKUP("*"&amp;M30&amp;"*",CRM!A:J,10,0),"ПилиМ"))</f>
        <v>44973</v>
      </c>
      <c r="H30" t="str">
        <f>IFERROR(VLOOKUP(A30,коммент!A:B,2,0),"")</f>
        <v/>
      </c>
      <c r="K30" t="str">
        <f>IFERROR(IF((#REF!-DATE(YEAR(E30),MONTH(E30)+1,DAY(E30))-B30)&lt;30,"первый платеж","уже просирал"),"ПилиМ")</f>
        <v>ПилиМ</v>
      </c>
      <c r="M30" t="str">
        <f>IFERROR(IF(VLOOKUP(A30,коммент!E:E,1,0)&lt;&gt;"",VLOOKUP(A30,коммент!E:F,2,0)),TRIM(SUBSTITUTE(SUBSTITUTE(SUBSTITUTE(SUBSTITUTE(SUBSTITUTE(A30,"ООО",""),"ЗАО",""),"ИП ",""),"""",""),"СК ","")))</f>
        <v>Воробьев Андрей Владимирович</v>
      </c>
    </row>
    <row r="31" spans="1:13" ht="45" x14ac:dyDescent="0.25">
      <c r="A31" s="25" t="s">
        <v>1026</v>
      </c>
      <c r="B31" s="13">
        <f>IFERROR(VLOOKUP(A31,CRM!A:I,7,0),IFERROR(VLOOKUP("*"&amp;M31&amp;"*",CRM!A:I,7,0),"ПилиМ"))</f>
        <v>3</v>
      </c>
      <c r="C31">
        <v>84426.22</v>
      </c>
      <c r="D31">
        <v>2022939.41</v>
      </c>
      <c r="E31" s="14">
        <f>IFERROR(VLOOKUP(A31,CRM!A:I,6,0),IFERROR(VLOOKUP("*"&amp;M31&amp;"*",CRM!A:I,6,0),"ПилиМ"))</f>
        <v>44620</v>
      </c>
      <c r="F31" s="15" t="str">
        <f>IFERROR(VLOOKUP(A31,CRM!A:J,9,0),IFERROR(VLOOKUP("*"&amp;M31&amp;"*",CRM!A:J,9,0),"ПилиМ"))</f>
        <v>ООП. ответ ВА :"К сожалению, нет пока такой возможности. Рассчитываем в ближайшее время получить от заказчика оплату и погасить задолженность."- созвон 17,02 . 17.02.2023.</v>
      </c>
      <c r="G31" s="14">
        <f>IFERROR(VLOOKUP(A31,CRM!A:J,10,0),IFERROR(VLOOKUP("*"&amp;M31&amp;"*",CRM!A:J,10,0),"ПилиМ"))</f>
        <v>44974</v>
      </c>
      <c r="H31" t="str">
        <f>IFERROR(VLOOKUP(A31,коммент!A:B,2,0),"")</f>
        <v/>
      </c>
      <c r="K31" t="str">
        <f>IFERROR(IF((#REF!-DATE(YEAR(E31),MONTH(E31)+1,DAY(E31))-B31)&lt;30,"первый платеж","уже просирал"),"ПилиМ")</f>
        <v>ПилиМ</v>
      </c>
      <c r="M31" t="str">
        <f>IFERROR(IF(VLOOKUP(A31,коммент!E:E,1,0)&lt;&gt;"",VLOOKUP(A31,коммент!E:F,2,0)),TRIM(SUBSTITUTE(SUBSTITUTE(SUBSTITUTE(SUBSTITUTE(SUBSTITUTE(A31,"ООО",""),"ЗАО",""),"ИП ",""),"""",""),"СК ","")))</f>
        <v>ЭНБЕРЛИ</v>
      </c>
    </row>
    <row r="32" spans="1:13" ht="30" x14ac:dyDescent="0.25">
      <c r="A32" s="25" t="s">
        <v>860</v>
      </c>
      <c r="B32" s="13">
        <f>IFERROR(VLOOKUP(A32,CRM!A:I,7,0),IFERROR(VLOOKUP("*"&amp;M32&amp;"*",CRM!A:I,7,0),"ПилиМ"))</f>
        <v>3</v>
      </c>
      <c r="C32">
        <v>69854.289999999994</v>
      </c>
      <c r="D32">
        <v>788721.25</v>
      </c>
      <c r="E32" s="14">
        <f>IFERROR(VLOOKUP(A32,CRM!A:I,6,0),IFERROR(VLOOKUP("*"&amp;M32&amp;"*",CRM!A:I,6,0),"ПилиМ"))</f>
        <v>44147</v>
      </c>
      <c r="F32" s="15" t="str">
        <f>IFERROR(VLOOKUP(A32,CRM!A:J,9,0),IFERROR(VLOOKUP("*"&amp;M32&amp;"*",CRM!A:J,9,0),"ПилиМ"))</f>
        <v>ООП. 5256 до 17,02 погасит оба договора В-01039/АЗ. 17.02.2023.</v>
      </c>
      <c r="G32" s="14">
        <f>IFERROR(VLOOKUP(A32,CRM!A:J,10,0),IFERROR(VLOOKUP("*"&amp;M32&amp;"*",CRM!A:J,10,0),"ПилиМ"))</f>
        <v>44974</v>
      </c>
      <c r="H32" t="str">
        <f>IFERROR(VLOOKUP(A32,коммент!A:B,2,0),"")</f>
        <v>связан с Егоян В.Б.</v>
      </c>
      <c r="K32" t="str">
        <f>IFERROR(IF((#REF!-DATE(YEAR(E32),MONTH(E32)+1,DAY(E32))-B32)&lt;30,"первый платеж","уже просирал"),"ПилиМ")</f>
        <v>ПилиМ</v>
      </c>
      <c r="M32" t="str">
        <f>IFERROR(IF(VLOOKUP(A32,коммент!E:E,1,0)&lt;&gt;"",VLOOKUP(A32,коммент!E:F,2,0)),TRIM(SUBSTITUTE(SUBSTITUTE(SUBSTITUTE(SUBSTITUTE(SUBSTITUTE(A32,"ООО",""),"ЗАО",""),"ИП ",""),"""",""),"СК ","")))</f>
        <v>Члоян Геворк Мамбреович</v>
      </c>
    </row>
    <row r="33" spans="1:13" ht="30" x14ac:dyDescent="0.25">
      <c r="A33" s="25" t="s">
        <v>520</v>
      </c>
      <c r="B33" s="13">
        <f>IFERROR(VLOOKUP(A33,CRM!A:I,7,0),IFERROR(VLOOKUP("*"&amp;M33&amp;"*",CRM!A:I,7,0),"ПилиМ"))</f>
        <v>3</v>
      </c>
      <c r="C33">
        <v>64663.67</v>
      </c>
      <c r="D33">
        <v>768475.65</v>
      </c>
      <c r="E33" s="14">
        <f>IFERROR(VLOOKUP(A33,CRM!A:I,6,0),IFERROR(VLOOKUP("*"&amp;M33&amp;"*",CRM!A:I,6,0),"ПилиМ"))</f>
        <v>44147</v>
      </c>
      <c r="F33" s="15" t="str">
        <f>IFERROR(VLOOKUP(A33,CRM!A:J,9,0),IFERROR(VLOOKUP("*"&amp;M33&amp;"*",CRM!A:J,9,0),"ПилиМ"))</f>
        <v>ООП. 5256 до 17,02 погасит оба договора В-01039/АЗ. 17.02.2023.</v>
      </c>
      <c r="G33" s="14">
        <f>IFERROR(VLOOKUP(A33,CRM!A:J,10,0),IFERROR(VLOOKUP("*"&amp;M33&amp;"*",CRM!A:J,10,0),"ПилиМ"))</f>
        <v>44974</v>
      </c>
      <c r="H33" t="str">
        <f>IFERROR(VLOOKUP(A33,коммент!A:B,2,0),"")</f>
        <v>связан с Члоян Г.М.</v>
      </c>
      <c r="K33" t="str">
        <f>IFERROR(IF((#REF!-DATE(YEAR(E33),MONTH(E33)+1,DAY(E33))-B33)&lt;30,"первый платеж","уже просирал"),"ПилиМ")</f>
        <v>ПилиМ</v>
      </c>
      <c r="M33" t="str">
        <f>IFERROR(IF(VLOOKUP(A33,коммент!E:E,1,0)&lt;&gt;"",VLOOKUP(A33,коммент!E:F,2,0)),TRIM(SUBSTITUTE(SUBSTITUTE(SUBSTITUTE(SUBSTITUTE(SUBSTITUTE(A33,"ООО",""),"ЗАО",""),"ИП ",""),"""",""),"СК ","")))</f>
        <v>Егоян Вард Баласанович</v>
      </c>
    </row>
    <row r="34" spans="1:13" ht="45" x14ac:dyDescent="0.25">
      <c r="A34" s="25" t="s">
        <v>1027</v>
      </c>
      <c r="B34" s="13">
        <f>IFERROR(VLOOKUP(A34,CRM!A:I,7,0),IFERROR(VLOOKUP("*"&amp;M34&amp;"*",CRM!A:I,7,0),"ПилиМ"))</f>
        <v>3</v>
      </c>
      <c r="C34">
        <v>14263.31</v>
      </c>
      <c r="D34">
        <v>204797.26</v>
      </c>
      <c r="E34" s="14">
        <f>IFERROR(VLOOKUP(A34,CRM!A:I,6,0),IFERROR(VLOOKUP("*"&amp;M34&amp;"*",CRM!A:I,6,0),"ПилиМ"))</f>
        <v>44529</v>
      </c>
      <c r="F34" s="15" t="str">
        <f>IFERROR(VLOOKUP(A34,CRM!A:J,9,0),IFERROR(VLOOKUP("*"&amp;M34&amp;"*",CRM!A:J,9,0),"ПилиМ"))</f>
        <v>ООП. ответ ВА :"Здравствуйте потому-то крайний срок переноса был до 12 числа Платеже все будут внесены до 17 числа". 17.02.2023.</v>
      </c>
      <c r="G34" s="14">
        <f>IFERROR(VLOOKUP(A34,CRM!A:J,10,0),IFERROR(VLOOKUP("*"&amp;M34&amp;"*",CRM!A:J,10,0),"ПилиМ"))</f>
        <v>44974</v>
      </c>
      <c r="H34" t="str">
        <f>IFERROR(VLOOKUP(A34,коммент!A:B,2,0),"")</f>
        <v/>
      </c>
      <c r="K34" t="str">
        <f>IFERROR(IF((#REF!-DATE(YEAR(E34),MONTH(E34)+1,DAY(E34))-B34)&lt;30,"первый платеж","уже просирал"),"ПилиМ")</f>
        <v>ПилиМ</v>
      </c>
      <c r="M34" t="str">
        <f>IFERROR(IF(VLOOKUP(A34,коммент!E:E,1,0)&lt;&gt;"",VLOOKUP(A34,коммент!E:F,2,0)),TRIM(SUBSTITUTE(SUBSTITUTE(SUBSTITUTE(SUBSTITUTE(SUBSTITUTE(A34,"ООО",""),"ЗАО",""),"ИП ",""),"""",""),"СК ","")))</f>
        <v>Мкртчян Григор Рубикович</v>
      </c>
    </row>
    <row r="35" spans="1:13" ht="60" x14ac:dyDescent="0.25">
      <c r="A35" s="25" t="s">
        <v>1116</v>
      </c>
      <c r="B35" s="13">
        <f>IFERROR(VLOOKUP(A35,CRM!A:I,7,0),IFERROR(VLOOKUP("*"&amp;M35&amp;"*",CRM!A:I,7,0),"ПилиМ"))</f>
        <v>1</v>
      </c>
      <c r="C35">
        <v>85410.240000000005</v>
      </c>
      <c r="D35">
        <v>415798.98</v>
      </c>
      <c r="E35" s="14">
        <f>IFERROR(VLOOKUP(A35,CRM!A:I,6,0),IFERROR(VLOOKUP("*"&amp;M35&amp;"*",CRM!A:I,6,0),"ПилиМ"))</f>
        <v>44391</v>
      </c>
      <c r="F35" s="15" t="str">
        <f>IFERROR(VLOOKUP(A35,CRM!A:J,9,0),IFERROR(VLOOKUP("*"&amp;M35&amp;"*",CRM!A:J,9,0),"ПилиМ"))</f>
        <v>ООП. ответ Ва :"Я в Луганске ! Сегодня ночью выезжаю у меня на руках сумма для полного досрочного погашения я таможню пройду , и заявление буду в личном кабинете для полного погашения", прописала сумму для пдп на 16,02. 17.02.2023.</v>
      </c>
      <c r="G35" s="14">
        <f>IFERROR(VLOOKUP(A35,CRM!A:J,10,0),IFERROR(VLOOKUP("*"&amp;M35&amp;"*",CRM!A:J,10,0),"ПилиМ"))</f>
        <v>44974</v>
      </c>
      <c r="H35" t="str">
        <f>IFERROR(VLOOKUP(A35,коммент!A:B,2,0),"")</f>
        <v/>
      </c>
      <c r="K35" t="str">
        <f>IFERROR(IF((#REF!-DATE(YEAR(E35),MONTH(E35)+1,DAY(E35))-B35)&lt;30,"первый платеж","уже просирал"),"ПилиМ")</f>
        <v>ПилиМ</v>
      </c>
      <c r="M35" t="str">
        <f>IFERROR(IF(VLOOKUP(A35,коммент!E:E,1,0)&lt;&gt;"",VLOOKUP(A35,коммент!E:F,2,0)),TRIM(SUBSTITUTE(SUBSTITUTE(SUBSTITUTE(SUBSTITUTE(SUBSTITUTE(A35,"ООО",""),"ЗАО",""),"ИП ",""),"""",""),"СК ","")))</f>
        <v>Куразян Гарий Рафаэлович</v>
      </c>
    </row>
    <row r="36" spans="1:13" ht="30" x14ac:dyDescent="0.25">
      <c r="A36" s="25" t="s">
        <v>1117</v>
      </c>
      <c r="B36" s="13">
        <f>IFERROR(VLOOKUP(A36,CRM!A:I,7,0),IFERROR(VLOOKUP("*"&amp;M36&amp;"*",CRM!A:I,7,0),"ПилиМ"))</f>
        <v>1</v>
      </c>
      <c r="C36">
        <v>30073.41</v>
      </c>
      <c r="D36">
        <v>341735.76</v>
      </c>
      <c r="E36" s="14">
        <f>IFERROR(VLOOKUP(A36,CRM!A:I,6,0),IFERROR(VLOOKUP("*"&amp;M36&amp;"*",CRM!A:I,6,0),"ПилиМ"))</f>
        <v>44361</v>
      </c>
      <c r="F36" s="15" t="str">
        <f>IFERROR(VLOOKUP(A36,CRM!A:J,9,0),IFERROR(VLOOKUP("*"&amp;M36&amp;"*",CRM!A:J,9,0),"ПилиМ"))</f>
        <v>ООП. 7090 перепутал числа, постарается сегодня оплатить. 16.02.2023.</v>
      </c>
      <c r="G36" s="14">
        <f>IFERROR(VLOOKUP(A36,CRM!A:J,10,0),IFERROR(VLOOKUP("*"&amp;M36&amp;"*",CRM!A:J,10,0),"ПилиМ"))</f>
        <v>44973</v>
      </c>
      <c r="H36" t="str">
        <f>IFERROR(VLOOKUP(A36,коммент!A:B,2,0),"")</f>
        <v/>
      </c>
      <c r="K36" t="str">
        <f>IFERROR(IF((#REF!-DATE(YEAR(E36),MONTH(E36)+1,DAY(E36))-B36)&lt;30,"первый платеж","уже просирал"),"ПилиМ")</f>
        <v>ПилиМ</v>
      </c>
      <c r="M36" t="str">
        <f>IFERROR(IF(VLOOKUP(A36,коммент!E:E,1,0)&lt;&gt;"",VLOOKUP(A36,коммент!E:F,2,0)),TRIM(SUBSTITUTE(SUBSTITUTE(SUBSTITUTE(SUBSTITUTE(SUBSTITUTE(A36,"ООО",""),"ЗАО",""),"ИП ",""),"""",""),"СК ","")))</f>
        <v>Авагян Тигран Агванович</v>
      </c>
    </row>
  </sheetData>
  <sortState xmlns:xlrd2="http://schemas.microsoft.com/office/spreadsheetml/2017/richdata2" ref="A1:K36">
    <sortCondition descending="1" ref="B1:B36"/>
  </sortState>
  <conditionalFormatting sqref="E1:E1048576">
    <cfRule type="expression" dxfId="48" priority="1">
      <formula>IF(K1="первый платеж",1)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CCE8-7297-4A79-9B04-CB355D047747}">
  <sheetPr codeName="Лист6"/>
  <dimension ref="A1:F34"/>
  <sheetViews>
    <sheetView topLeftCell="A16" workbookViewId="0">
      <selection activeCell="F43" sqref="F43"/>
    </sheetView>
  </sheetViews>
  <sheetFormatPr defaultRowHeight="15" x14ac:dyDescent="0.25"/>
  <cols>
    <col min="1" max="1" width="31.7109375" bestFit="1" customWidth="1"/>
    <col min="2" max="2" width="42.85546875" bestFit="1" customWidth="1"/>
    <col min="3" max="3" width="9.140625" style="22"/>
    <col min="5" max="5" width="13.140625" bestFit="1" customWidth="1"/>
  </cols>
  <sheetData>
    <row r="1" spans="1:6" x14ac:dyDescent="0.25">
      <c r="A1" s="16" t="s">
        <v>852</v>
      </c>
      <c r="B1" s="17" t="s">
        <v>854</v>
      </c>
      <c r="C1" s="28">
        <v>2</v>
      </c>
      <c r="E1" s="13" t="s">
        <v>907</v>
      </c>
      <c r="F1" s="13" t="s">
        <v>909</v>
      </c>
    </row>
    <row r="2" spans="1:6" ht="15.75" thickBot="1" x14ac:dyDescent="0.3">
      <c r="A2" s="18" t="s">
        <v>853</v>
      </c>
      <c r="B2" s="19" t="s">
        <v>855</v>
      </c>
      <c r="C2" s="29"/>
    </row>
    <row r="3" spans="1:6" x14ac:dyDescent="0.25">
      <c r="A3" s="16" t="s">
        <v>858</v>
      </c>
      <c r="B3" s="17" t="s">
        <v>879</v>
      </c>
      <c r="C3" s="28">
        <v>3</v>
      </c>
    </row>
    <row r="4" spans="1:6" x14ac:dyDescent="0.25">
      <c r="A4" s="20" t="s">
        <v>859</v>
      </c>
      <c r="B4" s="21" t="s">
        <v>878</v>
      </c>
      <c r="C4" s="30"/>
    </row>
    <row r="5" spans="1:6" ht="15.75" thickBot="1" x14ac:dyDescent="0.3">
      <c r="A5" s="18" t="s">
        <v>844</v>
      </c>
      <c r="B5" s="19" t="s">
        <v>882</v>
      </c>
      <c r="C5" s="29"/>
    </row>
    <row r="6" spans="1:6" x14ac:dyDescent="0.25">
      <c r="A6" s="16" t="s">
        <v>856</v>
      </c>
      <c r="B6" s="17" t="s">
        <v>863</v>
      </c>
      <c r="C6" s="28">
        <v>2</v>
      </c>
    </row>
    <row r="7" spans="1:6" ht="15.75" customHeight="1" thickBot="1" x14ac:dyDescent="0.3">
      <c r="A7" s="18" t="s">
        <v>861</v>
      </c>
      <c r="B7" s="19" t="s">
        <v>862</v>
      </c>
      <c r="C7" s="29"/>
    </row>
    <row r="8" spans="1:6" x14ac:dyDescent="0.25">
      <c r="A8" s="16" t="s">
        <v>860</v>
      </c>
      <c r="B8" s="17" t="s">
        <v>877</v>
      </c>
      <c r="C8" s="28">
        <v>2</v>
      </c>
    </row>
    <row r="9" spans="1:6" ht="15.75" thickBot="1" x14ac:dyDescent="0.3">
      <c r="A9" s="18" t="s">
        <v>520</v>
      </c>
      <c r="B9" s="19" t="s">
        <v>885</v>
      </c>
      <c r="C9" s="29"/>
    </row>
    <row r="10" spans="1:6" x14ac:dyDescent="0.25">
      <c r="A10" s="16" t="s">
        <v>865</v>
      </c>
      <c r="B10" s="17" t="s">
        <v>876</v>
      </c>
      <c r="C10" s="28">
        <v>3</v>
      </c>
    </row>
    <row r="11" spans="1:6" x14ac:dyDescent="0.25">
      <c r="A11" s="20" t="s">
        <v>880</v>
      </c>
      <c r="B11" s="21" t="s">
        <v>881</v>
      </c>
      <c r="C11" s="30"/>
    </row>
    <row r="12" spans="1:6" ht="15.75" thickBot="1" x14ac:dyDescent="0.3">
      <c r="A12" s="18" t="s">
        <v>864</v>
      </c>
      <c r="B12" s="19" t="s">
        <v>875</v>
      </c>
      <c r="C12" s="29"/>
    </row>
    <row r="13" spans="1:6" x14ac:dyDescent="0.25">
      <c r="A13" s="16" t="s">
        <v>866</v>
      </c>
      <c r="B13" s="17" t="s">
        <v>873</v>
      </c>
      <c r="C13" s="28">
        <v>2</v>
      </c>
    </row>
    <row r="14" spans="1:6" ht="15.75" thickBot="1" x14ac:dyDescent="0.3">
      <c r="A14" s="18" t="s">
        <v>867</v>
      </c>
      <c r="B14" s="19" t="s">
        <v>874</v>
      </c>
      <c r="C14" s="29"/>
    </row>
    <row r="15" spans="1:6" x14ac:dyDescent="0.25">
      <c r="A15" s="16" t="s">
        <v>869</v>
      </c>
      <c r="B15" s="17" t="s">
        <v>871</v>
      </c>
      <c r="C15" s="28">
        <v>2</v>
      </c>
    </row>
    <row r="16" spans="1:6" ht="15.75" thickBot="1" x14ac:dyDescent="0.3">
      <c r="A16" s="18" t="s">
        <v>870</v>
      </c>
      <c r="B16" s="19" t="s">
        <v>872</v>
      </c>
      <c r="C16" s="29"/>
    </row>
    <row r="17" spans="1:3" x14ac:dyDescent="0.25">
      <c r="A17" s="16" t="s">
        <v>16</v>
      </c>
      <c r="B17" s="17" t="s">
        <v>883</v>
      </c>
      <c r="C17" s="28">
        <v>2</v>
      </c>
    </row>
    <row r="18" spans="1:3" ht="15.75" thickBot="1" x14ac:dyDescent="0.3">
      <c r="A18" s="18" t="s">
        <v>849</v>
      </c>
      <c r="B18" s="19" t="s">
        <v>884</v>
      </c>
      <c r="C18" s="29"/>
    </row>
    <row r="19" spans="1:3" x14ac:dyDescent="0.25">
      <c r="A19" s="16" t="s">
        <v>868</v>
      </c>
      <c r="B19" s="17" t="s">
        <v>886</v>
      </c>
      <c r="C19" s="28">
        <v>2</v>
      </c>
    </row>
    <row r="20" spans="1:3" ht="15.75" thickBot="1" x14ac:dyDescent="0.3">
      <c r="A20" s="18" t="s">
        <v>857</v>
      </c>
      <c r="B20" s="19" t="s">
        <v>887</v>
      </c>
      <c r="C20" s="29"/>
    </row>
    <row r="21" spans="1:3" x14ac:dyDescent="0.25">
      <c r="A21" s="20" t="s">
        <v>890</v>
      </c>
      <c r="B21" s="21" t="s">
        <v>891</v>
      </c>
      <c r="C21" s="37">
        <v>2</v>
      </c>
    </row>
    <row r="22" spans="1:3" ht="15.75" thickBot="1" x14ac:dyDescent="0.3">
      <c r="A22" s="20" t="s">
        <v>889</v>
      </c>
      <c r="B22" s="21" t="s">
        <v>890</v>
      </c>
      <c r="C22" s="38"/>
    </row>
    <row r="23" spans="1:3" x14ac:dyDescent="0.25">
      <c r="A23" s="16" t="s">
        <v>895</v>
      </c>
      <c r="B23" s="23" t="s">
        <v>900</v>
      </c>
      <c r="C23" s="34">
        <v>3</v>
      </c>
    </row>
    <row r="24" spans="1:3" x14ac:dyDescent="0.25">
      <c r="A24" s="20" t="s">
        <v>896</v>
      </c>
      <c r="B24" t="s">
        <v>901</v>
      </c>
      <c r="C24" s="35"/>
    </row>
    <row r="25" spans="1:3" ht="15.75" thickBot="1" x14ac:dyDescent="0.3">
      <c r="A25" s="20" t="s">
        <v>897</v>
      </c>
      <c r="B25" t="s">
        <v>902</v>
      </c>
      <c r="C25" s="36"/>
    </row>
    <row r="26" spans="1:3" x14ac:dyDescent="0.25">
      <c r="A26" s="16" t="s">
        <v>898</v>
      </c>
      <c r="B26" s="23" t="s">
        <v>903</v>
      </c>
      <c r="C26" s="31">
        <v>2</v>
      </c>
    </row>
    <row r="27" spans="1:3" ht="15.75" thickBot="1" x14ac:dyDescent="0.3">
      <c r="A27" s="18" t="s">
        <v>899</v>
      </c>
      <c r="B27" s="24" t="s">
        <v>904</v>
      </c>
      <c r="C27" s="33"/>
    </row>
    <row r="28" spans="1:3" x14ac:dyDescent="0.25">
      <c r="A28" s="16" t="s">
        <v>908</v>
      </c>
      <c r="B28" s="17" t="s">
        <v>912</v>
      </c>
      <c r="C28" s="28">
        <v>2</v>
      </c>
    </row>
    <row r="29" spans="1:3" ht="15.75" thickBot="1" x14ac:dyDescent="0.3">
      <c r="A29" s="18" t="s">
        <v>910</v>
      </c>
      <c r="B29" s="19" t="s">
        <v>913</v>
      </c>
      <c r="C29" s="29"/>
    </row>
    <row r="30" spans="1:3" x14ac:dyDescent="0.25">
      <c r="A30" s="16" t="s">
        <v>907</v>
      </c>
      <c r="B30" s="17" t="s">
        <v>916</v>
      </c>
      <c r="C30" s="31">
        <v>5</v>
      </c>
    </row>
    <row r="31" spans="1:3" x14ac:dyDescent="0.25">
      <c r="A31" s="20" t="s">
        <v>906</v>
      </c>
      <c r="B31" s="21" t="s">
        <v>917</v>
      </c>
      <c r="C31" s="32"/>
    </row>
    <row r="32" spans="1:3" x14ac:dyDescent="0.25">
      <c r="A32" s="20" t="s">
        <v>894</v>
      </c>
      <c r="B32" s="21" t="s">
        <v>918</v>
      </c>
      <c r="C32" s="32"/>
    </row>
    <row r="33" spans="1:3" x14ac:dyDescent="0.25">
      <c r="A33" s="20" t="s">
        <v>914</v>
      </c>
      <c r="B33" s="21" t="s">
        <v>915</v>
      </c>
      <c r="C33" s="32"/>
    </row>
    <row r="34" spans="1:3" ht="15.75" thickBot="1" x14ac:dyDescent="0.3">
      <c r="A34" s="18" t="s">
        <v>911</v>
      </c>
      <c r="B34" s="19" t="s">
        <v>919</v>
      </c>
      <c r="C34" s="33"/>
    </row>
  </sheetData>
  <mergeCells count="14">
    <mergeCell ref="C28:C29"/>
    <mergeCell ref="C30:C34"/>
    <mergeCell ref="C23:C25"/>
    <mergeCell ref="C26:C27"/>
    <mergeCell ref="C21:C22"/>
    <mergeCell ref="C15:C16"/>
    <mergeCell ref="C17:C18"/>
    <mergeCell ref="C19:C20"/>
    <mergeCell ref="C13:C14"/>
    <mergeCell ref="C1:C2"/>
    <mergeCell ref="C3:C5"/>
    <mergeCell ref="C6:C7"/>
    <mergeCell ref="C8:C9"/>
    <mergeCell ref="C10:C1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5A1D8-93B0-4437-8413-782055F1FB3B}">
  <sheetPr codeName="Лист5"/>
  <dimension ref="A1:J223"/>
  <sheetViews>
    <sheetView topLeftCell="A31" workbookViewId="0">
      <selection sqref="A1:K223"/>
    </sheetView>
  </sheetViews>
  <sheetFormatPr defaultRowHeight="15" x14ac:dyDescent="0.25"/>
  <cols>
    <col min="3" max="3" width="15.140625" customWidth="1"/>
  </cols>
  <sheetData>
    <row r="1" spans="1:6" x14ac:dyDescent="0.25">
      <c r="A1" t="s">
        <v>23</v>
      </c>
      <c r="B1" s="11"/>
      <c r="C1" s="12"/>
      <c r="F1" s="11"/>
    </row>
    <row r="4" spans="1:6" x14ac:dyDescent="0.25">
      <c r="A4" t="s">
        <v>805</v>
      </c>
    </row>
    <row r="5" spans="1:6" x14ac:dyDescent="0.25">
      <c r="A5" t="s">
        <v>806</v>
      </c>
    </row>
    <row r="6" spans="1:6" x14ac:dyDescent="0.25">
      <c r="A6" t="s">
        <v>807</v>
      </c>
    </row>
    <row r="7" spans="1:6" x14ac:dyDescent="0.25">
      <c r="A7" t="s">
        <v>24</v>
      </c>
    </row>
    <row r="8" spans="1:6" x14ac:dyDescent="0.25">
      <c r="A8" t="s">
        <v>25</v>
      </c>
    </row>
    <row r="9" spans="1:6" x14ac:dyDescent="0.25">
      <c r="A9" t="s">
        <v>26</v>
      </c>
    </row>
    <row r="10" spans="1:6" x14ac:dyDescent="0.25">
      <c r="A10" t="s">
        <v>27</v>
      </c>
    </row>
    <row r="11" spans="1:6" x14ac:dyDescent="0.25">
      <c r="A11" t="s">
        <v>28</v>
      </c>
    </row>
    <row r="12" spans="1:6" x14ac:dyDescent="0.25">
      <c r="A12" t="s">
        <v>29</v>
      </c>
    </row>
    <row r="13" spans="1:6" x14ac:dyDescent="0.25">
      <c r="A13" t="s">
        <v>30</v>
      </c>
    </row>
    <row r="14" spans="1:6" x14ac:dyDescent="0.25">
      <c r="A14" t="s">
        <v>31</v>
      </c>
    </row>
    <row r="15" spans="1:6" x14ac:dyDescent="0.25">
      <c r="A15" t="s">
        <v>32</v>
      </c>
    </row>
    <row r="16" spans="1:6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35</v>
      </c>
    </row>
    <row r="19" spans="1:1" x14ac:dyDescent="0.25">
      <c r="A19" t="s">
        <v>36</v>
      </c>
    </row>
    <row r="20" spans="1:1" x14ac:dyDescent="0.25">
      <c r="A20" t="s">
        <v>37</v>
      </c>
    </row>
    <row r="21" spans="1:1" x14ac:dyDescent="0.25">
      <c r="A21" t="s">
        <v>38</v>
      </c>
    </row>
    <row r="22" spans="1:1" x14ac:dyDescent="0.25">
      <c r="A22" t="s">
        <v>39</v>
      </c>
    </row>
    <row r="23" spans="1:1" x14ac:dyDescent="0.25">
      <c r="A23" t="s">
        <v>40</v>
      </c>
    </row>
    <row r="26" spans="1:1" x14ac:dyDescent="0.25">
      <c r="A26" t="s">
        <v>41</v>
      </c>
    </row>
    <row r="27" spans="1:1" x14ac:dyDescent="0.25">
      <c r="A27" t="s">
        <v>42</v>
      </c>
    </row>
    <row r="28" spans="1:1" x14ac:dyDescent="0.25">
      <c r="A28" t="s">
        <v>43</v>
      </c>
    </row>
    <row r="29" spans="1:1" x14ac:dyDescent="0.25">
      <c r="A29" t="s">
        <v>44</v>
      </c>
    </row>
    <row r="30" spans="1:1" x14ac:dyDescent="0.25">
      <c r="A30" t="s">
        <v>43</v>
      </c>
    </row>
    <row r="31" spans="1:1" x14ac:dyDescent="0.25">
      <c r="A31" t="s">
        <v>45</v>
      </c>
    </row>
    <row r="32" spans="1:1" x14ac:dyDescent="0.25">
      <c r="A32" t="s">
        <v>43</v>
      </c>
    </row>
    <row r="35" spans="1:10" x14ac:dyDescent="0.25">
      <c r="A35" t="s">
        <v>46</v>
      </c>
      <c r="B35" t="s">
        <v>47</v>
      </c>
      <c r="C35" t="s">
        <v>48</v>
      </c>
      <c r="D35" t="s">
        <v>49</v>
      </c>
      <c r="E35" t="s">
        <v>50</v>
      </c>
      <c r="F35" t="s">
        <v>51</v>
      </c>
      <c r="G35" t="s">
        <v>44</v>
      </c>
      <c r="H35" t="s">
        <v>52</v>
      </c>
      <c r="I35" t="s">
        <v>53</v>
      </c>
      <c r="J35" t="s">
        <v>54</v>
      </c>
    </row>
    <row r="36" spans="1:10" x14ac:dyDescent="0.25">
      <c r="A36" t="s">
        <v>59</v>
      </c>
      <c r="B36" t="s">
        <v>60</v>
      </c>
      <c r="C36" t="s">
        <v>56</v>
      </c>
      <c r="D36" t="s">
        <v>61</v>
      </c>
      <c r="E36">
        <v>79689428885</v>
      </c>
      <c r="F36" s="8">
        <v>44300</v>
      </c>
      <c r="G36">
        <v>93</v>
      </c>
      <c r="H36" t="s">
        <v>62</v>
      </c>
      <c r="I36" t="s">
        <v>691</v>
      </c>
      <c r="J36" s="8">
        <v>44547</v>
      </c>
    </row>
    <row r="37" spans="1:10" x14ac:dyDescent="0.25">
      <c r="A37" t="s">
        <v>63</v>
      </c>
      <c r="B37" t="s">
        <v>60</v>
      </c>
      <c r="C37" t="s">
        <v>56</v>
      </c>
      <c r="D37" t="s">
        <v>64</v>
      </c>
      <c r="E37">
        <v>79031244788</v>
      </c>
      <c r="F37" s="8">
        <v>43967</v>
      </c>
      <c r="G37">
        <v>91</v>
      </c>
      <c r="H37" t="s">
        <v>65</v>
      </c>
      <c r="I37" t="s">
        <v>692</v>
      </c>
      <c r="J37" s="8">
        <v>44547</v>
      </c>
    </row>
    <row r="38" spans="1:10" x14ac:dyDescent="0.25">
      <c r="A38" t="s">
        <v>66</v>
      </c>
      <c r="B38" t="s">
        <v>67</v>
      </c>
      <c r="C38" s="9">
        <v>0.99444444444444446</v>
      </c>
      <c r="D38" t="s">
        <v>68</v>
      </c>
      <c r="E38">
        <v>79964265100</v>
      </c>
      <c r="F38" s="8">
        <v>44393</v>
      </c>
      <c r="G38">
        <v>91</v>
      </c>
      <c r="H38" t="s">
        <v>69</v>
      </c>
      <c r="I38" t="s">
        <v>627</v>
      </c>
      <c r="J38" s="8">
        <v>44547</v>
      </c>
    </row>
    <row r="39" spans="1:10" x14ac:dyDescent="0.25">
      <c r="A39" t="s">
        <v>70</v>
      </c>
      <c r="B39" t="s">
        <v>71</v>
      </c>
      <c r="C39" t="s">
        <v>56</v>
      </c>
      <c r="D39" t="s">
        <v>72</v>
      </c>
      <c r="E39">
        <v>79645995184</v>
      </c>
      <c r="F39" s="8">
        <v>43816</v>
      </c>
      <c r="G39">
        <v>90</v>
      </c>
      <c r="H39" t="s">
        <v>73</v>
      </c>
      <c r="I39" t="s">
        <v>628</v>
      </c>
      <c r="J39" s="8">
        <v>44546</v>
      </c>
    </row>
    <row r="40" spans="1:10" x14ac:dyDescent="0.25">
      <c r="A40" t="s">
        <v>74</v>
      </c>
      <c r="B40" t="s">
        <v>60</v>
      </c>
      <c r="C40" t="s">
        <v>56</v>
      </c>
      <c r="D40" t="s">
        <v>75</v>
      </c>
      <c r="E40">
        <v>79035708460.791504</v>
      </c>
      <c r="F40" s="8">
        <v>44092</v>
      </c>
      <c r="G40">
        <v>89</v>
      </c>
      <c r="H40" t="s">
        <v>76</v>
      </c>
      <c r="I40" t="s">
        <v>693</v>
      </c>
      <c r="J40" s="8">
        <v>44547</v>
      </c>
    </row>
    <row r="41" spans="1:10" x14ac:dyDescent="0.25">
      <c r="A41" t="s">
        <v>77</v>
      </c>
      <c r="B41" t="s">
        <v>78</v>
      </c>
      <c r="C41" s="9">
        <v>0.70277777777777783</v>
      </c>
      <c r="D41" t="s">
        <v>79</v>
      </c>
      <c r="E41">
        <v>79040021967.792999</v>
      </c>
      <c r="F41" s="8">
        <v>44365</v>
      </c>
      <c r="G41">
        <v>89</v>
      </c>
      <c r="H41" t="s">
        <v>80</v>
      </c>
      <c r="I41" t="s">
        <v>626</v>
      </c>
      <c r="J41" s="8">
        <v>44547</v>
      </c>
    </row>
    <row r="42" spans="1:10" x14ac:dyDescent="0.25">
      <c r="A42" t="s">
        <v>81</v>
      </c>
      <c r="C42" t="s">
        <v>56</v>
      </c>
      <c r="D42" t="s">
        <v>82</v>
      </c>
      <c r="E42">
        <v>79123452515</v>
      </c>
      <c r="F42" s="8">
        <v>44188</v>
      </c>
      <c r="G42">
        <v>84</v>
      </c>
      <c r="H42" t="s">
        <v>83</v>
      </c>
      <c r="I42" t="s">
        <v>629</v>
      </c>
      <c r="J42" s="8">
        <v>44547</v>
      </c>
    </row>
    <row r="43" spans="1:10" x14ac:dyDescent="0.25">
      <c r="A43" t="s">
        <v>84</v>
      </c>
      <c r="B43" t="s">
        <v>60</v>
      </c>
      <c r="C43" t="s">
        <v>56</v>
      </c>
      <c r="D43" t="s">
        <v>85</v>
      </c>
      <c r="E43">
        <v>79165202008</v>
      </c>
      <c r="F43" s="8">
        <v>44264</v>
      </c>
      <c r="G43">
        <v>84</v>
      </c>
      <c r="H43" t="s">
        <v>86</v>
      </c>
      <c r="I43" t="s">
        <v>565</v>
      </c>
      <c r="J43" s="8">
        <v>44546</v>
      </c>
    </row>
    <row r="44" spans="1:10" x14ac:dyDescent="0.25">
      <c r="A44" t="s">
        <v>87</v>
      </c>
      <c r="B44" t="s">
        <v>57</v>
      </c>
      <c r="C44" t="s">
        <v>56</v>
      </c>
      <c r="D44" t="s">
        <v>88</v>
      </c>
      <c r="E44">
        <v>79085497400</v>
      </c>
      <c r="F44" s="8">
        <v>44190</v>
      </c>
      <c r="G44">
        <v>82</v>
      </c>
      <c r="H44" t="s">
        <v>89</v>
      </c>
      <c r="I44" t="s">
        <v>694</v>
      </c>
      <c r="J44" s="8">
        <v>44547</v>
      </c>
    </row>
    <row r="45" spans="1:10" x14ac:dyDescent="0.25">
      <c r="A45" t="s">
        <v>90</v>
      </c>
      <c r="B45" t="s">
        <v>60</v>
      </c>
      <c r="C45" t="s">
        <v>56</v>
      </c>
      <c r="D45" t="s">
        <v>91</v>
      </c>
      <c r="E45">
        <v>79852570390</v>
      </c>
      <c r="F45" s="8">
        <v>44402</v>
      </c>
      <c r="G45">
        <v>82</v>
      </c>
      <c r="H45" t="s">
        <v>92</v>
      </c>
      <c r="I45" t="s">
        <v>630</v>
      </c>
      <c r="J45" s="8">
        <v>44547</v>
      </c>
    </row>
    <row r="46" spans="1:10" x14ac:dyDescent="0.25">
      <c r="A46" t="s">
        <v>93</v>
      </c>
      <c r="B46" t="s">
        <v>94</v>
      </c>
      <c r="C46" t="s">
        <v>56</v>
      </c>
      <c r="D46" t="s">
        <v>95</v>
      </c>
      <c r="E46">
        <v>79186238320</v>
      </c>
      <c r="F46" s="8">
        <v>43813</v>
      </c>
      <c r="G46">
        <v>79</v>
      </c>
      <c r="H46" t="s">
        <v>96</v>
      </c>
      <c r="I46" t="s">
        <v>566</v>
      </c>
      <c r="J46" s="8">
        <v>44546</v>
      </c>
    </row>
    <row r="47" spans="1:10" x14ac:dyDescent="0.25">
      <c r="A47" t="s">
        <v>97</v>
      </c>
      <c r="B47" t="s">
        <v>60</v>
      </c>
      <c r="C47" t="s">
        <v>56</v>
      </c>
      <c r="D47" t="s">
        <v>98</v>
      </c>
      <c r="E47">
        <v>79031255661</v>
      </c>
      <c r="F47" s="8">
        <v>43858</v>
      </c>
      <c r="G47">
        <v>79</v>
      </c>
      <c r="H47" t="s">
        <v>99</v>
      </c>
      <c r="I47" t="s">
        <v>626</v>
      </c>
      <c r="J47" s="8">
        <v>44547</v>
      </c>
    </row>
    <row r="48" spans="1:10" x14ac:dyDescent="0.25">
      <c r="A48" t="s">
        <v>100</v>
      </c>
      <c r="B48" t="s">
        <v>94</v>
      </c>
      <c r="C48" t="s">
        <v>56</v>
      </c>
      <c r="D48" t="s">
        <v>101</v>
      </c>
      <c r="E48">
        <v>79182351977</v>
      </c>
      <c r="F48" s="8">
        <v>44314</v>
      </c>
      <c r="G48">
        <v>79</v>
      </c>
      <c r="H48" t="s">
        <v>102</v>
      </c>
      <c r="I48" t="s">
        <v>631</v>
      </c>
      <c r="J48" s="8">
        <v>44547</v>
      </c>
    </row>
    <row r="49" spans="1:10" x14ac:dyDescent="0.25">
      <c r="A49" t="s">
        <v>103</v>
      </c>
      <c r="B49" t="s">
        <v>104</v>
      </c>
      <c r="C49" s="9">
        <v>0.70277777777777783</v>
      </c>
      <c r="D49" t="s">
        <v>105</v>
      </c>
      <c r="E49">
        <v>79627567943</v>
      </c>
      <c r="F49" s="8">
        <v>44439</v>
      </c>
      <c r="G49">
        <v>77</v>
      </c>
      <c r="H49" t="s">
        <v>106</v>
      </c>
      <c r="I49" t="s">
        <v>632</v>
      </c>
      <c r="J49" s="8">
        <v>44547</v>
      </c>
    </row>
    <row r="50" spans="1:10" x14ac:dyDescent="0.25">
      <c r="A50" t="s">
        <v>107</v>
      </c>
      <c r="C50" t="s">
        <v>56</v>
      </c>
      <c r="D50" t="s">
        <v>108</v>
      </c>
      <c r="E50">
        <v>79895096989</v>
      </c>
      <c r="F50" s="8">
        <v>44378</v>
      </c>
      <c r="G50">
        <v>76</v>
      </c>
      <c r="H50" t="s">
        <v>109</v>
      </c>
      <c r="I50" t="s">
        <v>767</v>
      </c>
      <c r="J50" s="8">
        <v>44547</v>
      </c>
    </row>
    <row r="51" spans="1:10" x14ac:dyDescent="0.25">
      <c r="A51" t="s">
        <v>110</v>
      </c>
      <c r="B51" t="s">
        <v>111</v>
      </c>
      <c r="C51" t="s">
        <v>56</v>
      </c>
      <c r="D51" t="s">
        <v>112</v>
      </c>
      <c r="E51">
        <v>79511603201</v>
      </c>
      <c r="F51" s="8">
        <v>44442</v>
      </c>
      <c r="G51">
        <v>74</v>
      </c>
      <c r="H51" t="s">
        <v>113</v>
      </c>
      <c r="I51" t="s">
        <v>625</v>
      </c>
      <c r="J51" s="8">
        <v>44546</v>
      </c>
    </row>
    <row r="52" spans="1:10" x14ac:dyDescent="0.25">
      <c r="A52" t="s">
        <v>114</v>
      </c>
      <c r="B52" t="s">
        <v>60</v>
      </c>
      <c r="C52" t="s">
        <v>56</v>
      </c>
      <c r="D52" t="s">
        <v>115</v>
      </c>
      <c r="E52">
        <v>79255755694.798492</v>
      </c>
      <c r="F52" s="8">
        <v>44336</v>
      </c>
      <c r="G52">
        <v>73</v>
      </c>
      <c r="H52" t="s">
        <v>116</v>
      </c>
      <c r="I52" t="s">
        <v>744</v>
      </c>
      <c r="J52" s="8">
        <v>44550</v>
      </c>
    </row>
    <row r="53" spans="1:10" x14ac:dyDescent="0.25">
      <c r="A53" t="s">
        <v>118</v>
      </c>
      <c r="B53" t="s">
        <v>55</v>
      </c>
      <c r="C53" t="s">
        <v>56</v>
      </c>
      <c r="D53" t="s">
        <v>119</v>
      </c>
      <c r="E53">
        <v>79250281798</v>
      </c>
      <c r="F53" s="8">
        <v>44446</v>
      </c>
      <c r="G53">
        <v>70</v>
      </c>
      <c r="H53" t="s">
        <v>120</v>
      </c>
      <c r="I53" t="s">
        <v>689</v>
      </c>
      <c r="J53" s="8">
        <v>44546</v>
      </c>
    </row>
    <row r="54" spans="1:10" x14ac:dyDescent="0.25">
      <c r="A54" t="s">
        <v>9</v>
      </c>
      <c r="B54" t="s">
        <v>121</v>
      </c>
      <c r="C54" t="s">
        <v>56</v>
      </c>
      <c r="D54" t="s">
        <v>122</v>
      </c>
      <c r="E54">
        <v>79261450744</v>
      </c>
      <c r="F54" s="8">
        <v>44449</v>
      </c>
      <c r="G54">
        <v>67</v>
      </c>
      <c r="H54">
        <v>1000000</v>
      </c>
      <c r="I54" t="s">
        <v>808</v>
      </c>
      <c r="J54" s="8">
        <v>44547</v>
      </c>
    </row>
    <row r="55" spans="1:10" x14ac:dyDescent="0.25">
      <c r="A55" t="s">
        <v>123</v>
      </c>
      <c r="B55" t="s">
        <v>60</v>
      </c>
      <c r="C55" s="9">
        <v>0.70277777777777783</v>
      </c>
      <c r="D55" t="s">
        <v>124</v>
      </c>
      <c r="E55">
        <v>79150140495</v>
      </c>
      <c r="F55" s="8">
        <v>44449</v>
      </c>
      <c r="G55">
        <v>67</v>
      </c>
      <c r="H55">
        <v>100000</v>
      </c>
      <c r="I55" t="s">
        <v>626</v>
      </c>
      <c r="J55" s="8">
        <v>44547</v>
      </c>
    </row>
    <row r="56" spans="1:10" x14ac:dyDescent="0.25">
      <c r="A56" t="s">
        <v>125</v>
      </c>
      <c r="B56" t="s">
        <v>71</v>
      </c>
      <c r="C56" s="9">
        <v>0.70277777777777783</v>
      </c>
      <c r="D56" t="s">
        <v>126</v>
      </c>
      <c r="E56">
        <v>79858738384</v>
      </c>
      <c r="F56" s="8">
        <v>44238</v>
      </c>
      <c r="G56">
        <v>66</v>
      </c>
      <c r="H56" t="s">
        <v>127</v>
      </c>
      <c r="I56" t="s">
        <v>625</v>
      </c>
      <c r="J56" s="8">
        <v>44546</v>
      </c>
    </row>
    <row r="57" spans="1:10" x14ac:dyDescent="0.25">
      <c r="A57" t="s">
        <v>128</v>
      </c>
      <c r="B57" t="s">
        <v>129</v>
      </c>
      <c r="C57" t="s">
        <v>56</v>
      </c>
      <c r="D57" t="s">
        <v>130</v>
      </c>
      <c r="E57">
        <v>79206438624.799606</v>
      </c>
      <c r="F57" s="8">
        <v>44164</v>
      </c>
      <c r="G57">
        <v>65</v>
      </c>
      <c r="H57" t="s">
        <v>131</v>
      </c>
      <c r="I57" t="s">
        <v>567</v>
      </c>
      <c r="J57" s="8">
        <v>44547</v>
      </c>
    </row>
    <row r="58" spans="1:10" x14ac:dyDescent="0.25">
      <c r="A58" t="s">
        <v>132</v>
      </c>
      <c r="B58" t="s">
        <v>133</v>
      </c>
      <c r="C58" t="s">
        <v>56</v>
      </c>
      <c r="D58" t="s">
        <v>134</v>
      </c>
      <c r="E58">
        <v>79530237298</v>
      </c>
      <c r="F58" s="8">
        <v>44180</v>
      </c>
      <c r="G58">
        <v>62</v>
      </c>
      <c r="H58" t="s">
        <v>135</v>
      </c>
      <c r="I58" t="s">
        <v>633</v>
      </c>
      <c r="J58" s="8">
        <v>44547</v>
      </c>
    </row>
    <row r="59" spans="1:10" x14ac:dyDescent="0.25">
      <c r="A59" t="s">
        <v>136</v>
      </c>
      <c r="B59" t="s">
        <v>57</v>
      </c>
      <c r="C59" t="s">
        <v>56</v>
      </c>
      <c r="D59" t="s">
        <v>137</v>
      </c>
      <c r="E59">
        <v>79052670497</v>
      </c>
      <c r="F59" s="8">
        <v>43601</v>
      </c>
      <c r="G59">
        <v>61</v>
      </c>
      <c r="H59" t="s">
        <v>768</v>
      </c>
      <c r="I59" t="s">
        <v>745</v>
      </c>
      <c r="J59" s="8">
        <v>44547</v>
      </c>
    </row>
    <row r="60" spans="1:10" x14ac:dyDescent="0.25">
      <c r="A60" t="s">
        <v>138</v>
      </c>
      <c r="B60" t="s">
        <v>139</v>
      </c>
      <c r="C60" t="s">
        <v>56</v>
      </c>
      <c r="D60" t="s">
        <v>140</v>
      </c>
      <c r="E60">
        <v>79017991044</v>
      </c>
      <c r="F60" s="8">
        <v>44302</v>
      </c>
      <c r="G60">
        <v>61</v>
      </c>
      <c r="H60" t="s">
        <v>141</v>
      </c>
      <c r="I60" t="s">
        <v>625</v>
      </c>
      <c r="J60" s="8">
        <v>44546</v>
      </c>
    </row>
    <row r="61" spans="1:10" x14ac:dyDescent="0.25">
      <c r="A61" t="s">
        <v>142</v>
      </c>
      <c r="B61" t="s">
        <v>143</v>
      </c>
      <c r="C61" s="9">
        <v>0.95277777777777783</v>
      </c>
      <c r="D61" t="s">
        <v>144</v>
      </c>
      <c r="E61">
        <v>79143591608.792404</v>
      </c>
      <c r="F61" s="8">
        <v>44332</v>
      </c>
      <c r="G61">
        <v>61</v>
      </c>
      <c r="H61" t="s">
        <v>145</v>
      </c>
      <c r="I61" t="s">
        <v>634</v>
      </c>
      <c r="J61" s="8">
        <v>44546</v>
      </c>
    </row>
    <row r="62" spans="1:10" x14ac:dyDescent="0.25">
      <c r="A62" t="s">
        <v>146</v>
      </c>
      <c r="B62" t="s">
        <v>147</v>
      </c>
      <c r="C62" t="s">
        <v>56</v>
      </c>
      <c r="D62" t="s">
        <v>148</v>
      </c>
      <c r="E62">
        <v>79035805153</v>
      </c>
      <c r="F62" s="8">
        <v>44123</v>
      </c>
      <c r="G62">
        <v>58</v>
      </c>
      <c r="H62" t="s">
        <v>149</v>
      </c>
      <c r="I62" t="s">
        <v>568</v>
      </c>
      <c r="J62" s="8">
        <v>44546</v>
      </c>
    </row>
    <row r="63" spans="1:10" x14ac:dyDescent="0.25">
      <c r="A63" t="s">
        <v>150</v>
      </c>
      <c r="B63" t="s">
        <v>151</v>
      </c>
      <c r="C63" t="s">
        <v>56</v>
      </c>
      <c r="D63" t="s">
        <v>152</v>
      </c>
      <c r="E63">
        <v>79229912811</v>
      </c>
      <c r="F63" s="8">
        <v>44274</v>
      </c>
      <c r="G63">
        <v>58</v>
      </c>
      <c r="H63" t="s">
        <v>153</v>
      </c>
      <c r="I63" t="s">
        <v>569</v>
      </c>
      <c r="J63" s="8">
        <v>44546</v>
      </c>
    </row>
    <row r="64" spans="1:10" x14ac:dyDescent="0.25">
      <c r="A64" t="s">
        <v>154</v>
      </c>
      <c r="B64" t="s">
        <v>121</v>
      </c>
      <c r="C64" t="s">
        <v>56</v>
      </c>
      <c r="D64" t="s">
        <v>155</v>
      </c>
      <c r="E64">
        <v>79671996699</v>
      </c>
      <c r="F64" s="8">
        <v>44274</v>
      </c>
      <c r="G64">
        <v>58</v>
      </c>
      <c r="H64" t="s">
        <v>117</v>
      </c>
      <c r="I64" t="s">
        <v>769</v>
      </c>
      <c r="J64" s="8">
        <v>44550</v>
      </c>
    </row>
    <row r="65" spans="1:10" x14ac:dyDescent="0.25">
      <c r="A65" t="s">
        <v>156</v>
      </c>
      <c r="B65" t="s">
        <v>121</v>
      </c>
      <c r="C65" t="s">
        <v>56</v>
      </c>
      <c r="D65" t="s">
        <v>157</v>
      </c>
      <c r="E65">
        <v>79687279888</v>
      </c>
      <c r="F65" s="8">
        <v>44274</v>
      </c>
      <c r="G65">
        <v>58</v>
      </c>
      <c r="H65" t="s">
        <v>158</v>
      </c>
      <c r="I65" t="s">
        <v>769</v>
      </c>
      <c r="J65" s="8">
        <v>44550</v>
      </c>
    </row>
    <row r="66" spans="1:10" x14ac:dyDescent="0.25">
      <c r="A66" t="s">
        <v>159</v>
      </c>
      <c r="B66" t="s">
        <v>160</v>
      </c>
      <c r="C66" t="s">
        <v>56</v>
      </c>
      <c r="D66" t="s">
        <v>161</v>
      </c>
      <c r="E66">
        <v>79604452020</v>
      </c>
      <c r="F66" s="8">
        <v>44305</v>
      </c>
      <c r="G66">
        <v>58</v>
      </c>
      <c r="H66" t="s">
        <v>162</v>
      </c>
      <c r="I66" t="s">
        <v>770</v>
      </c>
      <c r="J66" s="8">
        <v>44550</v>
      </c>
    </row>
    <row r="67" spans="1:10" x14ac:dyDescent="0.25">
      <c r="A67" t="s">
        <v>163</v>
      </c>
      <c r="B67" t="s">
        <v>57</v>
      </c>
      <c r="C67" t="s">
        <v>56</v>
      </c>
      <c r="D67" t="s">
        <v>164</v>
      </c>
      <c r="E67">
        <v>79119863113</v>
      </c>
      <c r="F67" s="8">
        <v>44335</v>
      </c>
      <c r="G67">
        <v>58</v>
      </c>
      <c r="H67" t="s">
        <v>165</v>
      </c>
      <c r="I67" t="s">
        <v>570</v>
      </c>
      <c r="J67" s="8">
        <v>44546</v>
      </c>
    </row>
    <row r="68" spans="1:10" x14ac:dyDescent="0.25">
      <c r="A68" t="s">
        <v>10</v>
      </c>
      <c r="C68" t="s">
        <v>56</v>
      </c>
      <c r="D68" t="s">
        <v>166</v>
      </c>
      <c r="E68">
        <v>79167185401</v>
      </c>
      <c r="F68" s="8">
        <v>44249</v>
      </c>
      <c r="G68">
        <v>55</v>
      </c>
      <c r="H68" t="s">
        <v>167</v>
      </c>
      <c r="I68" t="s">
        <v>771</v>
      </c>
      <c r="J68" s="8">
        <v>44547</v>
      </c>
    </row>
    <row r="69" spans="1:10" x14ac:dyDescent="0.25">
      <c r="A69" t="s">
        <v>168</v>
      </c>
      <c r="B69" t="s">
        <v>169</v>
      </c>
      <c r="C69" t="s">
        <v>56</v>
      </c>
      <c r="D69" t="s">
        <v>170</v>
      </c>
      <c r="E69">
        <v>79154624804</v>
      </c>
      <c r="F69" s="8">
        <v>44249</v>
      </c>
      <c r="G69">
        <v>55</v>
      </c>
      <c r="H69" t="s">
        <v>171</v>
      </c>
      <c r="I69" t="s">
        <v>695</v>
      </c>
      <c r="J69" s="8">
        <v>44547</v>
      </c>
    </row>
    <row r="70" spans="1:10" x14ac:dyDescent="0.25">
      <c r="A70" t="s">
        <v>172</v>
      </c>
      <c r="B70" t="s">
        <v>173</v>
      </c>
      <c r="C70" t="s">
        <v>56</v>
      </c>
      <c r="D70" t="s">
        <v>174</v>
      </c>
      <c r="E70">
        <v>79260146032</v>
      </c>
      <c r="F70" s="8">
        <v>44160</v>
      </c>
      <c r="G70">
        <v>52</v>
      </c>
      <c r="H70" t="s">
        <v>175</v>
      </c>
      <c r="I70" t="s">
        <v>571</v>
      </c>
      <c r="J70" s="8">
        <v>44547</v>
      </c>
    </row>
    <row r="71" spans="1:10" x14ac:dyDescent="0.25">
      <c r="A71" t="s">
        <v>176</v>
      </c>
      <c r="B71" t="s">
        <v>177</v>
      </c>
      <c r="C71" s="9">
        <v>0.70277777777777783</v>
      </c>
      <c r="D71" t="s">
        <v>178</v>
      </c>
      <c r="E71">
        <v>79885259042</v>
      </c>
      <c r="F71" s="8">
        <v>44313</v>
      </c>
      <c r="G71">
        <v>50</v>
      </c>
      <c r="H71" t="s">
        <v>179</v>
      </c>
      <c r="I71" t="s">
        <v>635</v>
      </c>
      <c r="J71" s="8">
        <v>44547</v>
      </c>
    </row>
    <row r="72" spans="1:10" x14ac:dyDescent="0.25">
      <c r="A72" t="s">
        <v>180</v>
      </c>
      <c r="C72" s="9">
        <v>0.74444444444444446</v>
      </c>
      <c r="D72" t="s">
        <v>181</v>
      </c>
      <c r="E72">
        <v>79375342111</v>
      </c>
      <c r="F72" s="8">
        <v>44374</v>
      </c>
      <c r="G72">
        <v>50</v>
      </c>
      <c r="H72" t="s">
        <v>182</v>
      </c>
      <c r="I72" t="s">
        <v>455</v>
      </c>
      <c r="J72" s="8">
        <v>44547</v>
      </c>
    </row>
    <row r="73" spans="1:10" x14ac:dyDescent="0.25">
      <c r="A73" t="s">
        <v>183</v>
      </c>
      <c r="B73" t="s">
        <v>184</v>
      </c>
      <c r="C73" t="s">
        <v>56</v>
      </c>
      <c r="D73" t="s">
        <v>185</v>
      </c>
      <c r="E73">
        <v>79998936010</v>
      </c>
      <c r="F73" s="8">
        <v>44193</v>
      </c>
      <c r="G73">
        <v>49</v>
      </c>
      <c r="H73" t="s">
        <v>186</v>
      </c>
      <c r="I73" t="s">
        <v>636</v>
      </c>
      <c r="J73" s="8">
        <v>44547</v>
      </c>
    </row>
    <row r="74" spans="1:10" x14ac:dyDescent="0.25">
      <c r="A74" t="s">
        <v>11</v>
      </c>
      <c r="B74" t="s">
        <v>60</v>
      </c>
      <c r="C74" t="s">
        <v>56</v>
      </c>
      <c r="D74" t="s">
        <v>187</v>
      </c>
      <c r="E74">
        <v>79151530509</v>
      </c>
      <c r="F74" s="8">
        <v>44193</v>
      </c>
      <c r="G74">
        <v>49</v>
      </c>
      <c r="H74" t="s">
        <v>188</v>
      </c>
      <c r="I74" t="s">
        <v>772</v>
      </c>
      <c r="J74" s="8">
        <v>44551</v>
      </c>
    </row>
    <row r="75" spans="1:10" x14ac:dyDescent="0.25">
      <c r="A75" t="s">
        <v>189</v>
      </c>
      <c r="B75" t="s">
        <v>57</v>
      </c>
      <c r="C75" t="s">
        <v>56</v>
      </c>
      <c r="D75" t="s">
        <v>190</v>
      </c>
      <c r="E75">
        <v>79219431758</v>
      </c>
      <c r="F75" s="8">
        <v>44194</v>
      </c>
      <c r="G75">
        <v>48</v>
      </c>
      <c r="H75" t="s">
        <v>191</v>
      </c>
      <c r="I75" t="s">
        <v>637</v>
      </c>
      <c r="J75" s="8">
        <v>44547</v>
      </c>
    </row>
    <row r="76" spans="1:10" x14ac:dyDescent="0.25">
      <c r="A76" t="s">
        <v>12</v>
      </c>
      <c r="B76" t="s">
        <v>60</v>
      </c>
      <c r="C76" t="s">
        <v>56</v>
      </c>
      <c r="D76" t="s">
        <v>192</v>
      </c>
      <c r="E76">
        <v>79057544240</v>
      </c>
      <c r="F76" s="8">
        <v>44284</v>
      </c>
      <c r="G76">
        <v>48</v>
      </c>
      <c r="H76">
        <v>500000</v>
      </c>
      <c r="I76" t="s">
        <v>638</v>
      </c>
      <c r="J76" s="8">
        <v>44547</v>
      </c>
    </row>
    <row r="77" spans="1:10" x14ac:dyDescent="0.25">
      <c r="A77" t="s">
        <v>193</v>
      </c>
      <c r="B77" t="s">
        <v>194</v>
      </c>
      <c r="C77" s="9">
        <v>0.70277777777777783</v>
      </c>
      <c r="D77" t="s">
        <v>195</v>
      </c>
      <c r="E77">
        <v>79267296527</v>
      </c>
      <c r="F77" s="8">
        <v>44438</v>
      </c>
      <c r="G77">
        <v>47</v>
      </c>
      <c r="H77" t="s">
        <v>196</v>
      </c>
      <c r="I77" t="s">
        <v>773</v>
      </c>
      <c r="J77" s="8">
        <v>44550</v>
      </c>
    </row>
    <row r="78" spans="1:10" x14ac:dyDescent="0.25">
      <c r="A78" t="s">
        <v>13</v>
      </c>
      <c r="B78" t="s">
        <v>197</v>
      </c>
      <c r="C78" s="9">
        <v>0.70277777777777783</v>
      </c>
      <c r="D78" t="s">
        <v>198</v>
      </c>
      <c r="E78">
        <v>79641350337</v>
      </c>
      <c r="F78" s="8">
        <v>44408</v>
      </c>
      <c r="G78">
        <v>46</v>
      </c>
      <c r="H78" t="s">
        <v>199</v>
      </c>
      <c r="I78" t="s">
        <v>773</v>
      </c>
      <c r="J78" s="8">
        <v>44550</v>
      </c>
    </row>
    <row r="79" spans="1:10" x14ac:dyDescent="0.25">
      <c r="A79" t="s">
        <v>200</v>
      </c>
      <c r="B79" t="s">
        <v>151</v>
      </c>
      <c r="C79" t="s">
        <v>56</v>
      </c>
      <c r="D79" t="s">
        <v>201</v>
      </c>
      <c r="E79">
        <v>79091318881</v>
      </c>
      <c r="F79" s="8">
        <v>44257</v>
      </c>
      <c r="G79">
        <v>44</v>
      </c>
      <c r="H79" t="s">
        <v>202</v>
      </c>
      <c r="I79" t="s">
        <v>456</v>
      </c>
      <c r="J79" s="8">
        <v>44550</v>
      </c>
    </row>
    <row r="80" spans="1:10" x14ac:dyDescent="0.25">
      <c r="A80" t="s">
        <v>203</v>
      </c>
      <c r="C80" t="s">
        <v>56</v>
      </c>
      <c r="D80" t="s">
        <v>204</v>
      </c>
      <c r="E80">
        <v>79253219255</v>
      </c>
      <c r="F80" s="8">
        <v>43820</v>
      </c>
      <c r="G80">
        <v>41</v>
      </c>
      <c r="H80" t="s">
        <v>205</v>
      </c>
      <c r="I80" t="s">
        <v>572</v>
      </c>
      <c r="J80" s="8">
        <v>44547</v>
      </c>
    </row>
    <row r="81" spans="1:10" x14ac:dyDescent="0.25">
      <c r="A81" t="s">
        <v>14</v>
      </c>
      <c r="B81" t="s">
        <v>206</v>
      </c>
      <c r="C81" s="9">
        <v>0.70277777777777783</v>
      </c>
      <c r="D81" t="s">
        <v>207</v>
      </c>
      <c r="E81">
        <v>79109928999</v>
      </c>
      <c r="F81" s="8">
        <v>44232</v>
      </c>
      <c r="G81">
        <v>41</v>
      </c>
      <c r="H81" t="s">
        <v>208</v>
      </c>
      <c r="I81" t="s">
        <v>639</v>
      </c>
      <c r="J81" s="8">
        <v>44550</v>
      </c>
    </row>
    <row r="82" spans="1:10" x14ac:dyDescent="0.25">
      <c r="A82" t="s">
        <v>15</v>
      </c>
      <c r="B82" t="s">
        <v>60</v>
      </c>
      <c r="C82" s="9">
        <v>0.70277777777777783</v>
      </c>
      <c r="D82" t="s">
        <v>209</v>
      </c>
      <c r="E82">
        <v>79031346914.796906</v>
      </c>
      <c r="F82" s="8">
        <v>44475</v>
      </c>
      <c r="G82">
        <v>40</v>
      </c>
      <c r="H82">
        <v>1000000</v>
      </c>
      <c r="I82" t="s">
        <v>573</v>
      </c>
      <c r="J82" s="8">
        <v>44547</v>
      </c>
    </row>
    <row r="83" spans="1:10" x14ac:dyDescent="0.25">
      <c r="A83" t="s">
        <v>210</v>
      </c>
      <c r="B83" t="s">
        <v>60</v>
      </c>
      <c r="C83" s="9">
        <v>0.70277777777777783</v>
      </c>
      <c r="D83" t="s">
        <v>211</v>
      </c>
      <c r="E83">
        <v>79852343377</v>
      </c>
      <c r="F83" s="8">
        <v>44475</v>
      </c>
      <c r="G83">
        <v>40</v>
      </c>
      <c r="H83">
        <v>305000</v>
      </c>
      <c r="I83" t="s">
        <v>573</v>
      </c>
      <c r="J83" s="8">
        <v>44547</v>
      </c>
    </row>
    <row r="84" spans="1:10" x14ac:dyDescent="0.25">
      <c r="A84" t="s">
        <v>212</v>
      </c>
      <c r="B84" t="s">
        <v>104</v>
      </c>
      <c r="C84" t="s">
        <v>56</v>
      </c>
      <c r="D84" t="s">
        <v>213</v>
      </c>
      <c r="E84">
        <v>79186117000</v>
      </c>
      <c r="F84" s="8">
        <v>44177</v>
      </c>
      <c r="G84">
        <v>34</v>
      </c>
      <c r="H84" t="s">
        <v>214</v>
      </c>
      <c r="I84" t="s">
        <v>574</v>
      </c>
      <c r="J84" s="8">
        <v>44550</v>
      </c>
    </row>
    <row r="85" spans="1:10" x14ac:dyDescent="0.25">
      <c r="A85" t="s">
        <v>215</v>
      </c>
      <c r="B85" t="s">
        <v>78</v>
      </c>
      <c r="C85" t="s">
        <v>56</v>
      </c>
      <c r="D85" t="s">
        <v>216</v>
      </c>
      <c r="E85">
        <v>79191949690</v>
      </c>
      <c r="F85" s="8">
        <v>44267</v>
      </c>
      <c r="G85">
        <v>34</v>
      </c>
      <c r="H85" t="s">
        <v>217</v>
      </c>
      <c r="I85" t="s">
        <v>457</v>
      </c>
      <c r="J85" s="8">
        <v>44554</v>
      </c>
    </row>
    <row r="86" spans="1:10" x14ac:dyDescent="0.25">
      <c r="A86" t="s">
        <v>219</v>
      </c>
      <c r="B86" t="s">
        <v>104</v>
      </c>
      <c r="C86" s="9">
        <v>0.70277777777777783</v>
      </c>
      <c r="D86" t="s">
        <v>220</v>
      </c>
      <c r="E86">
        <v>79002969088</v>
      </c>
      <c r="F86" s="8">
        <v>44329</v>
      </c>
      <c r="G86">
        <v>33</v>
      </c>
      <c r="H86" t="s">
        <v>221</v>
      </c>
      <c r="I86" t="s">
        <v>774</v>
      </c>
      <c r="J86" s="8">
        <v>44550</v>
      </c>
    </row>
    <row r="87" spans="1:10" x14ac:dyDescent="0.25">
      <c r="A87" t="s">
        <v>17</v>
      </c>
      <c r="B87" t="s">
        <v>224</v>
      </c>
      <c r="C87" t="s">
        <v>56</v>
      </c>
      <c r="D87" t="s">
        <v>225</v>
      </c>
      <c r="E87">
        <v>79004754576.7966</v>
      </c>
      <c r="F87" s="8">
        <v>44330</v>
      </c>
      <c r="G87">
        <v>32</v>
      </c>
      <c r="H87">
        <v>800000</v>
      </c>
      <c r="I87" t="s">
        <v>575</v>
      </c>
      <c r="J87" s="8">
        <v>44547</v>
      </c>
    </row>
    <row r="88" spans="1:10" x14ac:dyDescent="0.25">
      <c r="A88" t="s">
        <v>226</v>
      </c>
      <c r="B88" t="s">
        <v>60</v>
      </c>
      <c r="C88" t="s">
        <v>56</v>
      </c>
      <c r="D88" t="s">
        <v>227</v>
      </c>
      <c r="E88">
        <v>79055511185.798492</v>
      </c>
      <c r="F88" s="8">
        <v>44412</v>
      </c>
      <c r="G88">
        <v>31</v>
      </c>
      <c r="H88" t="s">
        <v>228</v>
      </c>
      <c r="I88" t="s">
        <v>411</v>
      </c>
      <c r="J88" s="8">
        <v>44550</v>
      </c>
    </row>
    <row r="89" spans="1:10" x14ac:dyDescent="0.25">
      <c r="A89" t="s">
        <v>229</v>
      </c>
      <c r="B89" t="s">
        <v>60</v>
      </c>
      <c r="C89" t="s">
        <v>56</v>
      </c>
      <c r="D89" t="s">
        <v>230</v>
      </c>
      <c r="E89">
        <v>79153880555.798492</v>
      </c>
      <c r="F89" s="8">
        <v>44179</v>
      </c>
      <c r="G89">
        <v>31</v>
      </c>
      <c r="H89" t="s">
        <v>231</v>
      </c>
      <c r="I89" t="s">
        <v>640</v>
      </c>
      <c r="J89" s="8">
        <v>44547</v>
      </c>
    </row>
    <row r="90" spans="1:10" x14ac:dyDescent="0.25">
      <c r="A90" t="s">
        <v>232</v>
      </c>
      <c r="C90" s="9">
        <v>0.70277777777777783</v>
      </c>
      <c r="D90" t="s">
        <v>233</v>
      </c>
      <c r="E90">
        <v>79209797895</v>
      </c>
      <c r="F90" s="8">
        <v>44229</v>
      </c>
      <c r="G90">
        <v>31</v>
      </c>
      <c r="H90" t="s">
        <v>234</v>
      </c>
      <c r="I90" t="s">
        <v>641</v>
      </c>
      <c r="J90" s="8">
        <v>44547</v>
      </c>
    </row>
    <row r="91" spans="1:10" x14ac:dyDescent="0.25">
      <c r="A91" t="s">
        <v>235</v>
      </c>
      <c r="B91" t="s">
        <v>236</v>
      </c>
      <c r="C91" s="9">
        <v>0.70277777777777783</v>
      </c>
      <c r="D91" t="s">
        <v>237</v>
      </c>
      <c r="E91">
        <v>79066640680</v>
      </c>
      <c r="F91" s="8">
        <v>44393</v>
      </c>
      <c r="G91">
        <v>30</v>
      </c>
      <c r="H91" t="s">
        <v>238</v>
      </c>
      <c r="I91" t="s">
        <v>775</v>
      </c>
      <c r="J91" s="8">
        <v>44550</v>
      </c>
    </row>
    <row r="92" spans="1:10" x14ac:dyDescent="0.25">
      <c r="A92" t="s">
        <v>239</v>
      </c>
      <c r="C92" s="9">
        <v>0.99444444444444446</v>
      </c>
      <c r="D92" t="s">
        <v>240</v>
      </c>
      <c r="E92">
        <v>79249434999</v>
      </c>
      <c r="F92" s="8">
        <v>44455</v>
      </c>
      <c r="G92">
        <v>30</v>
      </c>
      <c r="H92">
        <v>300000</v>
      </c>
      <c r="I92" t="s">
        <v>746</v>
      </c>
      <c r="J92" s="8">
        <v>44550</v>
      </c>
    </row>
    <row r="93" spans="1:10" x14ac:dyDescent="0.25">
      <c r="A93" t="s">
        <v>241</v>
      </c>
      <c r="B93" t="s">
        <v>242</v>
      </c>
      <c r="C93" t="s">
        <v>56</v>
      </c>
      <c r="D93" t="s">
        <v>243</v>
      </c>
      <c r="E93">
        <v>79213080743</v>
      </c>
      <c r="F93" s="8">
        <v>44244</v>
      </c>
      <c r="G93">
        <v>29</v>
      </c>
      <c r="H93" t="s">
        <v>244</v>
      </c>
      <c r="I93" t="s">
        <v>776</v>
      </c>
      <c r="J93" s="8">
        <v>44547</v>
      </c>
    </row>
    <row r="94" spans="1:10" x14ac:dyDescent="0.25">
      <c r="A94" t="s">
        <v>18</v>
      </c>
      <c r="B94" t="s">
        <v>60</v>
      </c>
      <c r="C94" t="s">
        <v>56</v>
      </c>
      <c r="D94" t="s">
        <v>245</v>
      </c>
      <c r="E94">
        <v>79160120422</v>
      </c>
      <c r="F94" s="8">
        <v>44350</v>
      </c>
      <c r="G94">
        <v>29</v>
      </c>
      <c r="H94" t="s">
        <v>246</v>
      </c>
      <c r="I94" t="s">
        <v>777</v>
      </c>
      <c r="J94" s="8">
        <v>44550</v>
      </c>
    </row>
    <row r="95" spans="1:10" x14ac:dyDescent="0.25">
      <c r="A95" t="s">
        <v>247</v>
      </c>
      <c r="B95" t="s">
        <v>71</v>
      </c>
      <c r="C95" t="s">
        <v>56</v>
      </c>
      <c r="D95" t="s">
        <v>248</v>
      </c>
      <c r="E95">
        <v>79017232908</v>
      </c>
      <c r="F95" s="8">
        <v>44092</v>
      </c>
      <c r="G95">
        <v>28</v>
      </c>
      <c r="H95" t="s">
        <v>249</v>
      </c>
      <c r="I95" t="s">
        <v>747</v>
      </c>
      <c r="J95" s="8">
        <v>44550</v>
      </c>
    </row>
    <row r="96" spans="1:10" x14ac:dyDescent="0.25">
      <c r="A96" t="s">
        <v>250</v>
      </c>
      <c r="B96" t="s">
        <v>104</v>
      </c>
      <c r="C96" t="s">
        <v>56</v>
      </c>
      <c r="D96" t="s">
        <v>251</v>
      </c>
      <c r="E96">
        <v>79883618694</v>
      </c>
      <c r="F96" s="8">
        <v>44108</v>
      </c>
      <c r="G96">
        <v>28</v>
      </c>
      <c r="H96" t="s">
        <v>252</v>
      </c>
      <c r="I96" t="s">
        <v>778</v>
      </c>
      <c r="J96" s="8">
        <v>44547</v>
      </c>
    </row>
    <row r="97" spans="1:10" x14ac:dyDescent="0.25">
      <c r="A97" t="s">
        <v>253</v>
      </c>
      <c r="B97" t="s">
        <v>254</v>
      </c>
      <c r="C97" t="s">
        <v>56</v>
      </c>
      <c r="D97" t="s">
        <v>255</v>
      </c>
      <c r="E97">
        <v>79521222269</v>
      </c>
      <c r="F97" s="8">
        <v>44427</v>
      </c>
      <c r="G97">
        <v>27</v>
      </c>
      <c r="H97" t="s">
        <v>256</v>
      </c>
      <c r="I97" t="s">
        <v>458</v>
      </c>
      <c r="J97" s="8">
        <v>44547</v>
      </c>
    </row>
    <row r="98" spans="1:10" x14ac:dyDescent="0.25">
      <c r="A98" t="s">
        <v>257</v>
      </c>
      <c r="B98" t="s">
        <v>55</v>
      </c>
      <c r="C98" t="s">
        <v>56</v>
      </c>
      <c r="D98" t="s">
        <v>258</v>
      </c>
      <c r="E98">
        <v>79168139664</v>
      </c>
      <c r="F98" s="8">
        <v>44144</v>
      </c>
      <c r="G98">
        <v>27</v>
      </c>
      <c r="H98" t="s">
        <v>259</v>
      </c>
      <c r="I98" t="s">
        <v>642</v>
      </c>
      <c r="J98" s="8">
        <v>44547</v>
      </c>
    </row>
    <row r="99" spans="1:10" x14ac:dyDescent="0.25">
      <c r="A99" t="s">
        <v>260</v>
      </c>
      <c r="C99" t="s">
        <v>56</v>
      </c>
      <c r="D99" t="s">
        <v>261</v>
      </c>
      <c r="E99">
        <v>79258400066</v>
      </c>
      <c r="F99" s="8">
        <v>44273</v>
      </c>
      <c r="G99">
        <v>27</v>
      </c>
      <c r="H99" t="s">
        <v>262</v>
      </c>
      <c r="I99" t="s">
        <v>643</v>
      </c>
      <c r="J99" s="8">
        <v>44550</v>
      </c>
    </row>
    <row r="100" spans="1:10" x14ac:dyDescent="0.25">
      <c r="A100" t="s">
        <v>19</v>
      </c>
      <c r="B100" t="s">
        <v>263</v>
      </c>
      <c r="C100" t="s">
        <v>56</v>
      </c>
      <c r="D100" t="s">
        <v>264</v>
      </c>
      <c r="E100">
        <v>79163383311.792603</v>
      </c>
      <c r="F100" s="8">
        <v>44305</v>
      </c>
      <c r="G100">
        <v>27</v>
      </c>
      <c r="H100" t="s">
        <v>265</v>
      </c>
      <c r="I100" t="s">
        <v>644</v>
      </c>
      <c r="J100" s="8">
        <v>44547</v>
      </c>
    </row>
    <row r="101" spans="1:10" x14ac:dyDescent="0.25">
      <c r="A101" t="s">
        <v>266</v>
      </c>
      <c r="C101" t="s">
        <v>56</v>
      </c>
      <c r="D101" t="s">
        <v>267</v>
      </c>
      <c r="E101">
        <v>79168109900</v>
      </c>
      <c r="F101" s="8">
        <v>44305</v>
      </c>
      <c r="G101">
        <v>27</v>
      </c>
      <c r="H101" t="s">
        <v>265</v>
      </c>
      <c r="I101" t="s">
        <v>644</v>
      </c>
      <c r="J101" s="8">
        <v>44547</v>
      </c>
    </row>
    <row r="102" spans="1:10" x14ac:dyDescent="0.25">
      <c r="A102" t="s">
        <v>268</v>
      </c>
      <c r="C102" t="s">
        <v>56</v>
      </c>
      <c r="D102" t="s">
        <v>269</v>
      </c>
      <c r="E102">
        <v>79643432222</v>
      </c>
      <c r="F102" s="8">
        <v>43454</v>
      </c>
      <c r="G102">
        <v>26</v>
      </c>
      <c r="H102" t="s">
        <v>270</v>
      </c>
      <c r="I102" t="s">
        <v>459</v>
      </c>
      <c r="J102" s="8">
        <v>44547</v>
      </c>
    </row>
    <row r="103" spans="1:10" x14ac:dyDescent="0.25">
      <c r="A103" t="s">
        <v>271</v>
      </c>
      <c r="B103" t="s">
        <v>60</v>
      </c>
      <c r="C103" t="s">
        <v>56</v>
      </c>
      <c r="D103" t="s">
        <v>272</v>
      </c>
      <c r="E103" t="s">
        <v>273</v>
      </c>
      <c r="F103" s="8">
        <v>43959</v>
      </c>
      <c r="G103">
        <v>26</v>
      </c>
      <c r="H103" t="s">
        <v>274</v>
      </c>
      <c r="I103" t="s">
        <v>748</v>
      </c>
      <c r="J103" s="8">
        <v>44550</v>
      </c>
    </row>
    <row r="104" spans="1:10" x14ac:dyDescent="0.25">
      <c r="A104" t="s">
        <v>275</v>
      </c>
      <c r="B104" t="s">
        <v>57</v>
      </c>
      <c r="C104" t="s">
        <v>56</v>
      </c>
      <c r="D104" t="s">
        <v>276</v>
      </c>
      <c r="E104">
        <v>79215516110</v>
      </c>
      <c r="F104" s="8">
        <v>44110</v>
      </c>
      <c r="G104">
        <v>26</v>
      </c>
      <c r="H104" t="s">
        <v>277</v>
      </c>
      <c r="I104" t="s">
        <v>645</v>
      </c>
      <c r="J104" s="8">
        <v>44551</v>
      </c>
    </row>
    <row r="105" spans="1:10" x14ac:dyDescent="0.25">
      <c r="A105" t="s">
        <v>278</v>
      </c>
      <c r="B105" t="s">
        <v>160</v>
      </c>
      <c r="C105" s="9">
        <v>0.70277777777777783</v>
      </c>
      <c r="D105" t="s">
        <v>279</v>
      </c>
      <c r="E105">
        <v>79026517027</v>
      </c>
      <c r="F105" s="8">
        <v>44306</v>
      </c>
      <c r="G105">
        <v>26</v>
      </c>
      <c r="H105" t="s">
        <v>280</v>
      </c>
      <c r="I105" t="s">
        <v>576</v>
      </c>
      <c r="J105" s="8">
        <v>44557</v>
      </c>
    </row>
    <row r="106" spans="1:10" x14ac:dyDescent="0.25">
      <c r="A106" t="s">
        <v>281</v>
      </c>
      <c r="C106" t="s">
        <v>56</v>
      </c>
      <c r="D106" t="s">
        <v>282</v>
      </c>
      <c r="E106">
        <v>79040950112</v>
      </c>
      <c r="F106" s="8">
        <v>44186</v>
      </c>
      <c r="G106">
        <v>25</v>
      </c>
      <c r="H106" t="s">
        <v>283</v>
      </c>
      <c r="I106" t="s">
        <v>749</v>
      </c>
      <c r="J106" s="8">
        <v>44550</v>
      </c>
    </row>
    <row r="107" spans="1:10" x14ac:dyDescent="0.25">
      <c r="A107" t="s">
        <v>284</v>
      </c>
      <c r="B107" t="s">
        <v>285</v>
      </c>
      <c r="C107" t="s">
        <v>56</v>
      </c>
      <c r="D107" t="s">
        <v>286</v>
      </c>
      <c r="E107">
        <v>79529124124</v>
      </c>
      <c r="F107" s="8">
        <v>44276</v>
      </c>
      <c r="G107">
        <v>25</v>
      </c>
      <c r="H107" t="s">
        <v>287</v>
      </c>
      <c r="I107" t="s">
        <v>646</v>
      </c>
      <c r="J107" s="8">
        <v>44547</v>
      </c>
    </row>
    <row r="108" spans="1:10" x14ac:dyDescent="0.25">
      <c r="A108" t="s">
        <v>288</v>
      </c>
      <c r="C108" t="s">
        <v>56</v>
      </c>
      <c r="D108" t="s">
        <v>289</v>
      </c>
      <c r="E108">
        <v>79785507555</v>
      </c>
      <c r="F108" s="8">
        <v>44460</v>
      </c>
      <c r="G108">
        <v>25</v>
      </c>
      <c r="H108" t="s">
        <v>290</v>
      </c>
      <c r="I108" t="s">
        <v>750</v>
      </c>
      <c r="J108" s="8">
        <v>44550</v>
      </c>
    </row>
    <row r="109" spans="1:10" x14ac:dyDescent="0.25">
      <c r="A109" t="s">
        <v>291</v>
      </c>
      <c r="B109" t="s">
        <v>57</v>
      </c>
      <c r="C109" t="s">
        <v>56</v>
      </c>
      <c r="D109" t="s">
        <v>292</v>
      </c>
      <c r="E109">
        <v>79213003297</v>
      </c>
      <c r="F109" s="8">
        <v>44324</v>
      </c>
      <c r="G109">
        <v>24</v>
      </c>
      <c r="H109" t="s">
        <v>293</v>
      </c>
      <c r="I109" t="s">
        <v>751</v>
      </c>
      <c r="J109" s="8">
        <v>44547</v>
      </c>
    </row>
    <row r="110" spans="1:10" x14ac:dyDescent="0.25">
      <c r="A110" t="s">
        <v>294</v>
      </c>
      <c r="B110" t="s">
        <v>295</v>
      </c>
      <c r="C110" s="9">
        <v>0.70277777777777783</v>
      </c>
      <c r="D110" t="s">
        <v>296</v>
      </c>
      <c r="E110">
        <v>79601579694</v>
      </c>
      <c r="F110" s="8">
        <v>44400</v>
      </c>
      <c r="G110">
        <v>23</v>
      </c>
      <c r="H110" t="s">
        <v>297</v>
      </c>
      <c r="I110" t="s">
        <v>746</v>
      </c>
      <c r="J110" s="8">
        <v>44550</v>
      </c>
    </row>
    <row r="111" spans="1:10" x14ac:dyDescent="0.25">
      <c r="A111" t="s">
        <v>298</v>
      </c>
      <c r="B111" t="s">
        <v>58</v>
      </c>
      <c r="C111" t="s">
        <v>56</v>
      </c>
      <c r="D111" t="s">
        <v>299</v>
      </c>
      <c r="E111">
        <v>79150327094.796295</v>
      </c>
      <c r="F111" s="8">
        <v>44265</v>
      </c>
      <c r="G111">
        <v>22</v>
      </c>
      <c r="H111" t="s">
        <v>300</v>
      </c>
      <c r="I111" t="s">
        <v>752</v>
      </c>
      <c r="J111" s="8">
        <v>44553</v>
      </c>
    </row>
    <row r="112" spans="1:10" x14ac:dyDescent="0.25">
      <c r="A112" t="s">
        <v>301</v>
      </c>
      <c r="B112" t="s">
        <v>78</v>
      </c>
      <c r="C112" t="s">
        <v>56</v>
      </c>
      <c r="D112" t="s">
        <v>302</v>
      </c>
      <c r="E112">
        <v>79684184978</v>
      </c>
      <c r="F112" s="8">
        <v>43658</v>
      </c>
      <c r="G112">
        <v>21</v>
      </c>
      <c r="H112">
        <v>129129</v>
      </c>
      <c r="I112" t="s">
        <v>696</v>
      </c>
      <c r="J112" s="8">
        <v>44547</v>
      </c>
    </row>
    <row r="113" spans="1:10" x14ac:dyDescent="0.25">
      <c r="A113" t="s">
        <v>303</v>
      </c>
      <c r="C113" t="s">
        <v>56</v>
      </c>
      <c r="D113" t="s">
        <v>304</v>
      </c>
      <c r="E113">
        <v>79255555113</v>
      </c>
      <c r="F113" s="8">
        <v>43794</v>
      </c>
      <c r="G113">
        <v>21</v>
      </c>
      <c r="H113" t="s">
        <v>305</v>
      </c>
      <c r="I113" t="s">
        <v>697</v>
      </c>
      <c r="J113" s="8">
        <v>44547</v>
      </c>
    </row>
    <row r="114" spans="1:10" x14ac:dyDescent="0.25">
      <c r="A114" t="s">
        <v>307</v>
      </c>
      <c r="B114" t="s">
        <v>194</v>
      </c>
      <c r="C114" t="s">
        <v>56</v>
      </c>
      <c r="D114" t="s">
        <v>308</v>
      </c>
      <c r="E114">
        <v>79037968869</v>
      </c>
      <c r="F114" s="8">
        <v>43719</v>
      </c>
      <c r="G114">
        <v>21</v>
      </c>
      <c r="H114" t="s">
        <v>309</v>
      </c>
      <c r="I114" t="s">
        <v>647</v>
      </c>
      <c r="J114" s="8">
        <v>44547</v>
      </c>
    </row>
    <row r="115" spans="1:10" x14ac:dyDescent="0.25">
      <c r="A115" t="s">
        <v>306</v>
      </c>
      <c r="B115" t="s">
        <v>60</v>
      </c>
      <c r="C115" t="s">
        <v>56</v>
      </c>
      <c r="D115" t="s">
        <v>453</v>
      </c>
      <c r="E115">
        <v>79257777788</v>
      </c>
      <c r="F115" s="8">
        <v>44190</v>
      </c>
      <c r="G115">
        <v>21</v>
      </c>
      <c r="H115" t="s">
        <v>454</v>
      </c>
      <c r="I115" t="s">
        <v>577</v>
      </c>
      <c r="J115" s="8">
        <v>44547</v>
      </c>
    </row>
    <row r="116" spans="1:10" x14ac:dyDescent="0.25">
      <c r="A116" t="s">
        <v>310</v>
      </c>
      <c r="B116" t="s">
        <v>311</v>
      </c>
      <c r="C116" t="s">
        <v>56</v>
      </c>
      <c r="D116" t="s">
        <v>312</v>
      </c>
      <c r="E116">
        <v>79675918868</v>
      </c>
      <c r="F116" s="8">
        <v>43901</v>
      </c>
      <c r="G116">
        <v>21</v>
      </c>
      <c r="H116" t="s">
        <v>313</v>
      </c>
      <c r="I116" t="s">
        <v>698</v>
      </c>
      <c r="J116" s="8">
        <v>44547</v>
      </c>
    </row>
    <row r="117" spans="1:10" x14ac:dyDescent="0.25">
      <c r="A117" t="s">
        <v>314</v>
      </c>
      <c r="B117" t="s">
        <v>78</v>
      </c>
      <c r="C117" t="s">
        <v>56</v>
      </c>
      <c r="D117" t="s">
        <v>315</v>
      </c>
      <c r="E117">
        <v>79259185883</v>
      </c>
      <c r="F117" s="8">
        <v>44341</v>
      </c>
      <c r="G117">
        <v>21</v>
      </c>
      <c r="H117" t="s">
        <v>316</v>
      </c>
      <c r="I117" t="s">
        <v>753</v>
      </c>
      <c r="J117" s="8">
        <v>44547</v>
      </c>
    </row>
    <row r="118" spans="1:10" x14ac:dyDescent="0.25">
      <c r="A118" t="s">
        <v>21</v>
      </c>
      <c r="C118" t="s">
        <v>56</v>
      </c>
      <c r="D118" t="s">
        <v>317</v>
      </c>
      <c r="E118">
        <v>79602588237</v>
      </c>
      <c r="F118" s="8">
        <v>44008</v>
      </c>
      <c r="G118">
        <v>20</v>
      </c>
      <c r="H118" t="s">
        <v>318</v>
      </c>
      <c r="I118" t="s">
        <v>690</v>
      </c>
      <c r="J118" s="8">
        <v>44547</v>
      </c>
    </row>
    <row r="119" spans="1:10" x14ac:dyDescent="0.25">
      <c r="A119" t="s">
        <v>319</v>
      </c>
      <c r="B119" t="s">
        <v>60</v>
      </c>
      <c r="C119" t="s">
        <v>56</v>
      </c>
      <c r="D119" t="s">
        <v>320</v>
      </c>
      <c r="E119">
        <v>79167486030</v>
      </c>
      <c r="F119" s="8">
        <v>44312</v>
      </c>
      <c r="G119">
        <v>20</v>
      </c>
      <c r="H119" t="s">
        <v>321</v>
      </c>
      <c r="I119" t="s">
        <v>699</v>
      </c>
      <c r="J119" s="8">
        <v>44547</v>
      </c>
    </row>
    <row r="120" spans="1:10" x14ac:dyDescent="0.25">
      <c r="A120" t="s">
        <v>322</v>
      </c>
      <c r="B120" t="s">
        <v>60</v>
      </c>
      <c r="C120" t="s">
        <v>56</v>
      </c>
      <c r="D120" t="s">
        <v>323</v>
      </c>
      <c r="E120">
        <v>79034366683</v>
      </c>
      <c r="F120" s="8">
        <v>44312</v>
      </c>
      <c r="G120">
        <v>20</v>
      </c>
      <c r="H120" t="s">
        <v>324</v>
      </c>
      <c r="I120" t="s">
        <v>754</v>
      </c>
      <c r="J120" s="8">
        <v>44547</v>
      </c>
    </row>
    <row r="121" spans="1:10" x14ac:dyDescent="0.25">
      <c r="A121" t="s">
        <v>325</v>
      </c>
      <c r="B121" t="s">
        <v>326</v>
      </c>
      <c r="C121" s="9">
        <v>0.70277777777777783</v>
      </c>
      <c r="D121" t="s">
        <v>327</v>
      </c>
      <c r="E121">
        <v>79778938956</v>
      </c>
      <c r="F121" s="8">
        <v>44342</v>
      </c>
      <c r="G121">
        <v>20</v>
      </c>
      <c r="H121" t="s">
        <v>328</v>
      </c>
      <c r="I121" t="s">
        <v>700</v>
      </c>
      <c r="J121" s="8">
        <v>44547</v>
      </c>
    </row>
    <row r="122" spans="1:10" x14ac:dyDescent="0.25">
      <c r="A122" t="s">
        <v>20</v>
      </c>
      <c r="C122" s="9">
        <v>0.70277777777777783</v>
      </c>
      <c r="D122" t="s">
        <v>329</v>
      </c>
      <c r="E122">
        <v>79102043887</v>
      </c>
      <c r="F122" s="8">
        <v>44465</v>
      </c>
      <c r="G122">
        <v>20</v>
      </c>
      <c r="H122" t="s">
        <v>330</v>
      </c>
      <c r="I122" t="s">
        <v>701</v>
      </c>
      <c r="J122" s="8">
        <v>44550</v>
      </c>
    </row>
    <row r="123" spans="1:10" x14ac:dyDescent="0.25">
      <c r="A123" t="s">
        <v>22</v>
      </c>
      <c r="B123" t="s">
        <v>60</v>
      </c>
      <c r="C123" t="s">
        <v>56</v>
      </c>
      <c r="D123" t="s">
        <v>331</v>
      </c>
      <c r="E123">
        <v>79055553616</v>
      </c>
      <c r="F123" s="8">
        <v>44223</v>
      </c>
      <c r="G123">
        <v>19</v>
      </c>
      <c r="H123" t="s">
        <v>332</v>
      </c>
      <c r="I123" t="s">
        <v>779</v>
      </c>
      <c r="J123" s="8">
        <v>44550</v>
      </c>
    </row>
    <row r="124" spans="1:10" x14ac:dyDescent="0.25">
      <c r="A124" t="s">
        <v>333</v>
      </c>
      <c r="B124" t="s">
        <v>60</v>
      </c>
      <c r="C124" t="s">
        <v>56</v>
      </c>
      <c r="D124" t="s">
        <v>334</v>
      </c>
      <c r="E124">
        <v>79998708670</v>
      </c>
      <c r="F124" s="8">
        <v>44496</v>
      </c>
      <c r="G124">
        <v>19</v>
      </c>
      <c r="H124">
        <v>170000</v>
      </c>
      <c r="I124" t="s">
        <v>780</v>
      </c>
      <c r="J124" s="8">
        <v>44550</v>
      </c>
    </row>
    <row r="125" spans="1:10" x14ac:dyDescent="0.25">
      <c r="A125" t="s">
        <v>335</v>
      </c>
      <c r="B125" t="s">
        <v>60</v>
      </c>
      <c r="C125" t="s">
        <v>56</v>
      </c>
      <c r="D125" t="s">
        <v>336</v>
      </c>
      <c r="E125">
        <v>79163131538</v>
      </c>
      <c r="F125" s="8">
        <v>43965</v>
      </c>
      <c r="G125">
        <v>18</v>
      </c>
      <c r="H125" t="s">
        <v>337</v>
      </c>
      <c r="I125" t="s">
        <v>781</v>
      </c>
      <c r="J125" s="8">
        <v>44547</v>
      </c>
    </row>
    <row r="126" spans="1:10" x14ac:dyDescent="0.25">
      <c r="A126" t="s">
        <v>338</v>
      </c>
      <c r="B126" t="s">
        <v>139</v>
      </c>
      <c r="C126" t="s">
        <v>56</v>
      </c>
      <c r="D126" t="s">
        <v>339</v>
      </c>
      <c r="E126">
        <v>79037908011</v>
      </c>
      <c r="F126" s="8">
        <v>44193</v>
      </c>
      <c r="G126">
        <v>18</v>
      </c>
      <c r="H126" t="s">
        <v>340</v>
      </c>
      <c r="I126" t="s">
        <v>648</v>
      </c>
      <c r="J126" s="8">
        <v>44547</v>
      </c>
    </row>
    <row r="127" spans="1:10" x14ac:dyDescent="0.25">
      <c r="A127" t="s">
        <v>341</v>
      </c>
      <c r="B127" t="s">
        <v>104</v>
      </c>
      <c r="C127" t="s">
        <v>56</v>
      </c>
      <c r="D127" t="s">
        <v>342</v>
      </c>
      <c r="E127">
        <v>79032317868</v>
      </c>
      <c r="F127" s="8">
        <v>43847</v>
      </c>
      <c r="G127">
        <v>17</v>
      </c>
      <c r="H127" t="s">
        <v>343</v>
      </c>
      <c r="I127" t="s">
        <v>377</v>
      </c>
      <c r="J127" s="8">
        <v>44547</v>
      </c>
    </row>
    <row r="128" spans="1:10" x14ac:dyDescent="0.25">
      <c r="A128" t="s">
        <v>344</v>
      </c>
      <c r="B128" t="s">
        <v>60</v>
      </c>
      <c r="C128" t="s">
        <v>56</v>
      </c>
      <c r="D128" t="s">
        <v>345</v>
      </c>
      <c r="E128">
        <v>79660477576</v>
      </c>
      <c r="F128" s="8">
        <v>43934</v>
      </c>
      <c r="G128">
        <v>17</v>
      </c>
      <c r="H128" t="s">
        <v>346</v>
      </c>
      <c r="I128" t="s">
        <v>702</v>
      </c>
      <c r="J128" s="8">
        <v>44547</v>
      </c>
    </row>
    <row r="129" spans="1:10" x14ac:dyDescent="0.25">
      <c r="A129" t="s">
        <v>222</v>
      </c>
      <c r="B129" t="s">
        <v>223</v>
      </c>
      <c r="C129" t="s">
        <v>56</v>
      </c>
      <c r="D129" t="s">
        <v>435</v>
      </c>
      <c r="E129">
        <v>79109502279</v>
      </c>
      <c r="F129" s="8">
        <v>44194</v>
      </c>
      <c r="G129">
        <v>17</v>
      </c>
      <c r="H129" t="s">
        <v>436</v>
      </c>
      <c r="I129" t="s">
        <v>703</v>
      </c>
      <c r="J129" s="8">
        <v>44547</v>
      </c>
    </row>
    <row r="130" spans="1:10" x14ac:dyDescent="0.25">
      <c r="A130" t="s">
        <v>347</v>
      </c>
      <c r="C130" t="s">
        <v>56</v>
      </c>
      <c r="D130" t="s">
        <v>348</v>
      </c>
      <c r="E130">
        <v>79105400956.799606</v>
      </c>
      <c r="F130" s="8">
        <v>44406</v>
      </c>
      <c r="G130">
        <v>17</v>
      </c>
      <c r="H130" t="s">
        <v>349</v>
      </c>
      <c r="I130" t="s">
        <v>704</v>
      </c>
      <c r="J130" s="8">
        <v>44547</v>
      </c>
    </row>
    <row r="131" spans="1:10" x14ac:dyDescent="0.25">
      <c r="A131" t="s">
        <v>352</v>
      </c>
      <c r="B131" t="s">
        <v>353</v>
      </c>
      <c r="C131" t="s">
        <v>56</v>
      </c>
      <c r="D131" t="s">
        <v>354</v>
      </c>
      <c r="E131">
        <v>79899809236</v>
      </c>
      <c r="F131" s="8">
        <v>44439</v>
      </c>
      <c r="G131">
        <v>16</v>
      </c>
      <c r="H131" t="s">
        <v>355</v>
      </c>
      <c r="I131" t="s">
        <v>755</v>
      </c>
      <c r="J131" s="8">
        <v>44547</v>
      </c>
    </row>
    <row r="132" spans="1:10" x14ac:dyDescent="0.25">
      <c r="A132" t="s">
        <v>358</v>
      </c>
      <c r="B132" t="s">
        <v>60</v>
      </c>
      <c r="C132" t="s">
        <v>56</v>
      </c>
      <c r="D132" t="s">
        <v>809</v>
      </c>
      <c r="E132" t="s">
        <v>810</v>
      </c>
      <c r="F132" s="8">
        <v>43983</v>
      </c>
      <c r="G132">
        <v>15</v>
      </c>
      <c r="H132" t="s">
        <v>811</v>
      </c>
      <c r="I132" t="s">
        <v>812</v>
      </c>
      <c r="J132" s="8">
        <v>44546</v>
      </c>
    </row>
    <row r="133" spans="1:10" x14ac:dyDescent="0.25">
      <c r="A133" t="s">
        <v>359</v>
      </c>
      <c r="B133" t="s">
        <v>60</v>
      </c>
      <c r="C133" t="s">
        <v>56</v>
      </c>
      <c r="D133" t="s">
        <v>360</v>
      </c>
      <c r="E133">
        <v>79169992772</v>
      </c>
      <c r="F133" s="8">
        <v>44166</v>
      </c>
      <c r="G133">
        <v>15</v>
      </c>
      <c r="H133" t="s">
        <v>361</v>
      </c>
      <c r="I133" t="s">
        <v>756</v>
      </c>
      <c r="J133" s="8">
        <v>44547</v>
      </c>
    </row>
    <row r="134" spans="1:10" x14ac:dyDescent="0.25">
      <c r="A134" t="s">
        <v>363</v>
      </c>
      <c r="B134" t="s">
        <v>60</v>
      </c>
      <c r="C134" s="9">
        <v>0.70277777777777783</v>
      </c>
      <c r="D134" t="s">
        <v>364</v>
      </c>
      <c r="E134">
        <v>79175131872</v>
      </c>
      <c r="F134" s="8">
        <v>44470</v>
      </c>
      <c r="G134">
        <v>15</v>
      </c>
      <c r="H134" t="s">
        <v>365</v>
      </c>
      <c r="I134" t="s">
        <v>578</v>
      </c>
      <c r="J134" s="8">
        <v>44547</v>
      </c>
    </row>
    <row r="135" spans="1:10" x14ac:dyDescent="0.25">
      <c r="A135" t="s">
        <v>362</v>
      </c>
      <c r="B135" t="s">
        <v>57</v>
      </c>
      <c r="C135" t="s">
        <v>56</v>
      </c>
      <c r="D135" t="s">
        <v>649</v>
      </c>
      <c r="E135">
        <v>79523718333</v>
      </c>
      <c r="F135" s="8">
        <v>43453</v>
      </c>
      <c r="G135">
        <v>14</v>
      </c>
      <c r="H135" t="s">
        <v>650</v>
      </c>
      <c r="I135" t="s">
        <v>651</v>
      </c>
      <c r="J135" s="8">
        <v>44551</v>
      </c>
    </row>
    <row r="136" spans="1:10" x14ac:dyDescent="0.25">
      <c r="A136" t="s">
        <v>366</v>
      </c>
      <c r="C136" s="9">
        <v>0.70277777777777783</v>
      </c>
      <c r="D136" t="s">
        <v>373</v>
      </c>
      <c r="E136">
        <v>79183708999</v>
      </c>
      <c r="F136" s="8">
        <v>44257</v>
      </c>
      <c r="G136">
        <v>14</v>
      </c>
      <c r="H136" t="s">
        <v>374</v>
      </c>
      <c r="I136" t="s">
        <v>757</v>
      </c>
      <c r="J136" s="8">
        <v>44553</v>
      </c>
    </row>
    <row r="137" spans="1:10" x14ac:dyDescent="0.25">
      <c r="A137" t="s">
        <v>368</v>
      </c>
      <c r="B137" t="s">
        <v>206</v>
      </c>
      <c r="C137" t="s">
        <v>56</v>
      </c>
      <c r="D137" t="s">
        <v>375</v>
      </c>
      <c r="E137">
        <v>79158361952</v>
      </c>
      <c r="F137" s="8">
        <v>44379</v>
      </c>
      <c r="G137">
        <v>14</v>
      </c>
      <c r="H137" t="s">
        <v>376</v>
      </c>
      <c r="I137" t="s">
        <v>758</v>
      </c>
      <c r="J137" s="8">
        <v>44547</v>
      </c>
    </row>
    <row r="138" spans="1:10" x14ac:dyDescent="0.25">
      <c r="A138" t="s">
        <v>367</v>
      </c>
      <c r="B138" t="s">
        <v>378</v>
      </c>
      <c r="C138" t="s">
        <v>56</v>
      </c>
      <c r="D138" t="s">
        <v>379</v>
      </c>
      <c r="E138">
        <v>79067819144.792603</v>
      </c>
      <c r="F138" s="8">
        <v>44410</v>
      </c>
      <c r="G138">
        <v>14</v>
      </c>
      <c r="H138" t="s">
        <v>380</v>
      </c>
      <c r="I138" t="s">
        <v>652</v>
      </c>
      <c r="J138" s="8">
        <v>44547</v>
      </c>
    </row>
    <row r="139" spans="1:10" x14ac:dyDescent="0.25">
      <c r="A139" t="s">
        <v>381</v>
      </c>
      <c r="B139" t="s">
        <v>382</v>
      </c>
      <c r="C139" t="s">
        <v>56</v>
      </c>
      <c r="D139" t="s">
        <v>383</v>
      </c>
      <c r="E139">
        <v>79636274076.798492</v>
      </c>
      <c r="F139" s="8">
        <v>44077</v>
      </c>
      <c r="G139">
        <v>13</v>
      </c>
      <c r="H139" t="s">
        <v>384</v>
      </c>
      <c r="I139" t="s">
        <v>412</v>
      </c>
      <c r="J139" s="8">
        <v>44550</v>
      </c>
    </row>
    <row r="140" spans="1:10" x14ac:dyDescent="0.25">
      <c r="A140" t="s">
        <v>385</v>
      </c>
      <c r="B140" t="s">
        <v>57</v>
      </c>
      <c r="C140" t="s">
        <v>56</v>
      </c>
      <c r="D140" t="s">
        <v>386</v>
      </c>
      <c r="E140">
        <v>79119245225.792099</v>
      </c>
      <c r="F140" s="8">
        <v>44062</v>
      </c>
      <c r="G140">
        <v>13</v>
      </c>
      <c r="H140" t="s">
        <v>387</v>
      </c>
      <c r="I140" t="s">
        <v>579</v>
      </c>
      <c r="J140" s="8">
        <v>44547</v>
      </c>
    </row>
    <row r="141" spans="1:10" x14ac:dyDescent="0.25">
      <c r="A141" t="s">
        <v>388</v>
      </c>
      <c r="B141" t="s">
        <v>60</v>
      </c>
      <c r="C141" t="s">
        <v>56</v>
      </c>
      <c r="D141" t="s">
        <v>389</v>
      </c>
      <c r="E141">
        <v>79263733537</v>
      </c>
      <c r="F141" s="8">
        <v>44258</v>
      </c>
      <c r="G141">
        <v>13</v>
      </c>
      <c r="H141" t="s">
        <v>390</v>
      </c>
      <c r="I141" t="s">
        <v>653</v>
      </c>
      <c r="J141" s="8">
        <v>44547</v>
      </c>
    </row>
    <row r="142" spans="1:10" x14ac:dyDescent="0.25">
      <c r="A142" t="s">
        <v>391</v>
      </c>
      <c r="B142" t="s">
        <v>392</v>
      </c>
      <c r="C142" s="9">
        <v>0.70277777777777783</v>
      </c>
      <c r="D142" t="s">
        <v>393</v>
      </c>
      <c r="E142">
        <v>79621691503</v>
      </c>
      <c r="F142" s="8">
        <v>44350</v>
      </c>
      <c r="G142">
        <v>13</v>
      </c>
      <c r="H142" t="s">
        <v>394</v>
      </c>
      <c r="I142" t="s">
        <v>759</v>
      </c>
      <c r="J142" s="8">
        <v>44547</v>
      </c>
    </row>
    <row r="143" spans="1:10" x14ac:dyDescent="0.25">
      <c r="A143" t="s">
        <v>395</v>
      </c>
      <c r="B143" t="s">
        <v>57</v>
      </c>
      <c r="C143" t="s">
        <v>56</v>
      </c>
      <c r="D143" t="s">
        <v>396</v>
      </c>
      <c r="E143">
        <v>79643323292</v>
      </c>
      <c r="F143" s="8">
        <v>44380</v>
      </c>
      <c r="G143">
        <v>13</v>
      </c>
      <c r="H143" t="s">
        <v>397</v>
      </c>
      <c r="I143" t="s">
        <v>705</v>
      </c>
      <c r="J143" s="8">
        <v>44547</v>
      </c>
    </row>
    <row r="144" spans="1:10" x14ac:dyDescent="0.25">
      <c r="A144" t="s">
        <v>398</v>
      </c>
      <c r="B144" t="s">
        <v>60</v>
      </c>
      <c r="C144" t="s">
        <v>56</v>
      </c>
      <c r="D144" t="s">
        <v>399</v>
      </c>
      <c r="E144">
        <v>79037970956</v>
      </c>
      <c r="F144" s="8">
        <v>44047</v>
      </c>
      <c r="G144">
        <v>12</v>
      </c>
      <c r="H144" t="s">
        <v>400</v>
      </c>
      <c r="I144" t="s">
        <v>760</v>
      </c>
      <c r="J144" s="8">
        <v>44547</v>
      </c>
    </row>
    <row r="145" spans="1:10" x14ac:dyDescent="0.25">
      <c r="A145" t="s">
        <v>401</v>
      </c>
      <c r="B145" t="s">
        <v>402</v>
      </c>
      <c r="C145" t="s">
        <v>56</v>
      </c>
      <c r="D145" t="s">
        <v>403</v>
      </c>
      <c r="E145">
        <v>79058936511</v>
      </c>
      <c r="F145" s="8">
        <v>44186</v>
      </c>
      <c r="G145">
        <v>12</v>
      </c>
      <c r="H145" t="s">
        <v>404</v>
      </c>
      <c r="I145" t="s">
        <v>706</v>
      </c>
      <c r="J145" s="8">
        <v>44547</v>
      </c>
    </row>
    <row r="146" spans="1:10" x14ac:dyDescent="0.25">
      <c r="A146" t="s">
        <v>405</v>
      </c>
      <c r="B146" t="s">
        <v>94</v>
      </c>
      <c r="C146" t="s">
        <v>56</v>
      </c>
      <c r="D146" t="s">
        <v>406</v>
      </c>
      <c r="E146">
        <v>79182505511</v>
      </c>
      <c r="F146" s="8">
        <v>44260</v>
      </c>
      <c r="G146">
        <v>11</v>
      </c>
      <c r="H146" t="s">
        <v>407</v>
      </c>
      <c r="I146" t="s">
        <v>761</v>
      </c>
      <c r="J146" s="8">
        <v>44547</v>
      </c>
    </row>
    <row r="147" spans="1:10" x14ac:dyDescent="0.25">
      <c r="A147" t="s">
        <v>413</v>
      </c>
      <c r="C147" t="s">
        <v>56</v>
      </c>
      <c r="D147" t="s">
        <v>414</v>
      </c>
      <c r="E147">
        <v>79037431653</v>
      </c>
      <c r="F147" s="8">
        <v>44141</v>
      </c>
      <c r="G147">
        <v>10</v>
      </c>
      <c r="H147" t="s">
        <v>415</v>
      </c>
      <c r="I147" t="s">
        <v>707</v>
      </c>
      <c r="J147" s="8">
        <v>44547</v>
      </c>
    </row>
    <row r="148" spans="1:10" x14ac:dyDescent="0.25">
      <c r="A148" t="s">
        <v>408</v>
      </c>
      <c r="B148" t="s">
        <v>416</v>
      </c>
      <c r="C148" t="s">
        <v>56</v>
      </c>
      <c r="D148" t="s">
        <v>417</v>
      </c>
      <c r="E148">
        <v>79262862881</v>
      </c>
      <c r="F148" s="8">
        <v>44445</v>
      </c>
      <c r="G148">
        <v>10</v>
      </c>
      <c r="H148" t="s">
        <v>418</v>
      </c>
      <c r="I148" t="s">
        <v>762</v>
      </c>
      <c r="J148" s="8">
        <v>44547</v>
      </c>
    </row>
    <row r="149" spans="1:10" x14ac:dyDescent="0.25">
      <c r="A149" t="s">
        <v>410</v>
      </c>
      <c r="B149" t="s">
        <v>169</v>
      </c>
      <c r="C149" s="9">
        <v>0.70277777777777783</v>
      </c>
      <c r="D149" t="s">
        <v>419</v>
      </c>
      <c r="E149">
        <v>79912401545</v>
      </c>
      <c r="F149" s="8">
        <v>44353</v>
      </c>
      <c r="G149">
        <v>10</v>
      </c>
      <c r="H149" t="s">
        <v>420</v>
      </c>
      <c r="I149" t="s">
        <v>763</v>
      </c>
      <c r="J149" s="8">
        <v>44550</v>
      </c>
    </row>
    <row r="150" spans="1:10" x14ac:dyDescent="0.25">
      <c r="A150" t="s">
        <v>409</v>
      </c>
      <c r="C150" s="9">
        <v>0.70277777777777783</v>
      </c>
      <c r="D150" t="s">
        <v>422</v>
      </c>
      <c r="E150">
        <v>79188891591</v>
      </c>
      <c r="F150" s="8">
        <v>44445</v>
      </c>
      <c r="G150">
        <v>10</v>
      </c>
      <c r="H150" t="s">
        <v>423</v>
      </c>
      <c r="I150" t="s">
        <v>782</v>
      </c>
      <c r="J150" s="8">
        <v>44547</v>
      </c>
    </row>
    <row r="151" spans="1:10" x14ac:dyDescent="0.25">
      <c r="A151" t="s">
        <v>428</v>
      </c>
      <c r="C151" t="s">
        <v>56</v>
      </c>
      <c r="D151" t="s">
        <v>429</v>
      </c>
      <c r="E151">
        <v>79204054175</v>
      </c>
      <c r="F151" s="8">
        <v>44172</v>
      </c>
      <c r="G151">
        <v>9</v>
      </c>
      <c r="H151" t="s">
        <v>430</v>
      </c>
      <c r="I151" t="s">
        <v>783</v>
      </c>
      <c r="J151" s="8">
        <v>44547</v>
      </c>
    </row>
    <row r="152" spans="1:10" x14ac:dyDescent="0.25">
      <c r="A152" t="s">
        <v>425</v>
      </c>
      <c r="B152" t="s">
        <v>421</v>
      </c>
      <c r="C152" s="9">
        <v>0.74444444444444446</v>
      </c>
      <c r="D152" t="s">
        <v>431</v>
      </c>
      <c r="E152">
        <v>79064511521</v>
      </c>
      <c r="F152" s="8">
        <v>44384</v>
      </c>
      <c r="G152">
        <v>9</v>
      </c>
      <c r="H152" t="s">
        <v>432</v>
      </c>
      <c r="I152" t="s">
        <v>784</v>
      </c>
      <c r="J152" s="8">
        <v>44547</v>
      </c>
    </row>
    <row r="153" spans="1:10" x14ac:dyDescent="0.25">
      <c r="A153" t="s">
        <v>426</v>
      </c>
      <c r="B153" t="s">
        <v>60</v>
      </c>
      <c r="C153" t="s">
        <v>56</v>
      </c>
      <c r="D153" t="s">
        <v>437</v>
      </c>
      <c r="E153">
        <v>79645781616</v>
      </c>
      <c r="F153" s="8">
        <v>44384</v>
      </c>
      <c r="G153">
        <v>9</v>
      </c>
      <c r="H153" t="s">
        <v>438</v>
      </c>
      <c r="I153" t="s">
        <v>460</v>
      </c>
      <c r="J153" s="8">
        <v>44547</v>
      </c>
    </row>
    <row r="154" spans="1:10" x14ac:dyDescent="0.25">
      <c r="A154" t="s">
        <v>424</v>
      </c>
      <c r="B154" t="s">
        <v>57</v>
      </c>
      <c r="C154" t="s">
        <v>56</v>
      </c>
      <c r="D154" t="s">
        <v>433</v>
      </c>
      <c r="E154">
        <v>79210981891</v>
      </c>
      <c r="F154" s="8">
        <v>44446</v>
      </c>
      <c r="G154">
        <v>9</v>
      </c>
      <c r="H154">
        <v>463000</v>
      </c>
      <c r="I154" t="s">
        <v>785</v>
      </c>
      <c r="J154" s="8">
        <v>44547</v>
      </c>
    </row>
    <row r="155" spans="1:10" x14ac:dyDescent="0.25">
      <c r="A155" t="s">
        <v>427</v>
      </c>
      <c r="C155" t="s">
        <v>56</v>
      </c>
      <c r="D155" t="s">
        <v>434</v>
      </c>
      <c r="E155">
        <v>79618018181</v>
      </c>
      <c r="F155" s="8">
        <v>44507</v>
      </c>
      <c r="G155">
        <v>9</v>
      </c>
      <c r="H155" t="s">
        <v>580</v>
      </c>
      <c r="I155" t="s">
        <v>786</v>
      </c>
      <c r="J155" s="8">
        <v>44547</v>
      </c>
    </row>
    <row r="156" spans="1:10" x14ac:dyDescent="0.25">
      <c r="A156" t="s">
        <v>356</v>
      </c>
      <c r="B156" t="s">
        <v>60</v>
      </c>
      <c r="C156" s="9">
        <v>0.70277777777777783</v>
      </c>
      <c r="D156" t="s">
        <v>581</v>
      </c>
      <c r="E156">
        <v>79255800555.799896</v>
      </c>
      <c r="F156" s="8">
        <v>44324</v>
      </c>
      <c r="G156">
        <v>8</v>
      </c>
      <c r="H156" t="s">
        <v>357</v>
      </c>
      <c r="I156" t="s">
        <v>787</v>
      </c>
      <c r="J156" s="8">
        <v>44547</v>
      </c>
    </row>
    <row r="157" spans="1:10" x14ac:dyDescent="0.25">
      <c r="A157" t="s">
        <v>439</v>
      </c>
      <c r="C157" t="s">
        <v>56</v>
      </c>
      <c r="D157" t="s">
        <v>440</v>
      </c>
      <c r="E157">
        <v>79104938470</v>
      </c>
      <c r="F157" s="8">
        <v>43886</v>
      </c>
      <c r="G157">
        <v>8</v>
      </c>
      <c r="H157" t="s">
        <v>441</v>
      </c>
      <c r="I157" t="s">
        <v>583</v>
      </c>
      <c r="J157" s="8">
        <v>44547</v>
      </c>
    </row>
    <row r="158" spans="1:10" x14ac:dyDescent="0.25">
      <c r="A158" t="s">
        <v>443</v>
      </c>
      <c r="B158" t="s">
        <v>444</v>
      </c>
      <c r="C158" t="s">
        <v>56</v>
      </c>
      <c r="D158" t="s">
        <v>445</v>
      </c>
      <c r="E158">
        <v>79006904761</v>
      </c>
      <c r="F158" s="8">
        <v>44285</v>
      </c>
      <c r="G158">
        <v>8</v>
      </c>
      <c r="H158" t="s">
        <v>446</v>
      </c>
      <c r="I158" t="s">
        <v>654</v>
      </c>
      <c r="J158" s="8">
        <v>44547</v>
      </c>
    </row>
    <row r="159" spans="1:10" x14ac:dyDescent="0.25">
      <c r="A159" t="s">
        <v>447</v>
      </c>
      <c r="B159" t="s">
        <v>378</v>
      </c>
      <c r="C159" t="s">
        <v>56</v>
      </c>
      <c r="D159" t="s">
        <v>448</v>
      </c>
      <c r="E159">
        <v>79067271326</v>
      </c>
      <c r="F159" s="8">
        <v>44385</v>
      </c>
      <c r="G159">
        <v>8</v>
      </c>
      <c r="H159" t="s">
        <v>449</v>
      </c>
      <c r="I159" t="s">
        <v>655</v>
      </c>
      <c r="J159" s="8">
        <v>44547</v>
      </c>
    </row>
    <row r="160" spans="1:10" x14ac:dyDescent="0.25">
      <c r="A160" t="s">
        <v>450</v>
      </c>
      <c r="C160" t="s">
        <v>56</v>
      </c>
      <c r="D160" t="s">
        <v>451</v>
      </c>
      <c r="E160">
        <v>79685334858.797699</v>
      </c>
      <c r="F160" s="8">
        <v>44477</v>
      </c>
      <c r="G160">
        <v>8</v>
      </c>
      <c r="H160" t="s">
        <v>452</v>
      </c>
      <c r="I160" t="s">
        <v>656</v>
      </c>
      <c r="J160" s="8">
        <v>44547</v>
      </c>
    </row>
    <row r="161" spans="1:10" x14ac:dyDescent="0.25">
      <c r="A161" t="s">
        <v>461</v>
      </c>
      <c r="B161" t="s">
        <v>462</v>
      </c>
      <c r="C161" t="s">
        <v>56</v>
      </c>
      <c r="D161" t="s">
        <v>463</v>
      </c>
      <c r="E161">
        <v>79217875907</v>
      </c>
      <c r="F161" s="8">
        <v>43761</v>
      </c>
      <c r="G161">
        <v>6</v>
      </c>
      <c r="H161" t="s">
        <v>464</v>
      </c>
      <c r="I161" t="s">
        <v>657</v>
      </c>
      <c r="J161" s="8">
        <v>44550</v>
      </c>
    </row>
    <row r="162" spans="1:10" x14ac:dyDescent="0.25">
      <c r="A162" t="s">
        <v>465</v>
      </c>
      <c r="B162" t="s">
        <v>57</v>
      </c>
      <c r="C162" t="s">
        <v>56</v>
      </c>
      <c r="D162" t="s">
        <v>466</v>
      </c>
      <c r="E162">
        <v>79811985778</v>
      </c>
      <c r="F162" s="8">
        <v>43840</v>
      </c>
      <c r="G162">
        <v>6</v>
      </c>
      <c r="H162" t="s">
        <v>467</v>
      </c>
      <c r="I162" t="s">
        <v>468</v>
      </c>
      <c r="J162" s="8">
        <v>44547</v>
      </c>
    </row>
    <row r="163" spans="1:10" x14ac:dyDescent="0.25">
      <c r="A163" t="s">
        <v>469</v>
      </c>
      <c r="C163" t="s">
        <v>56</v>
      </c>
      <c r="D163" t="s">
        <v>470</v>
      </c>
      <c r="E163">
        <v>79161111516</v>
      </c>
      <c r="F163" s="8">
        <v>44022</v>
      </c>
      <c r="G163">
        <v>6</v>
      </c>
      <c r="H163" t="s">
        <v>471</v>
      </c>
      <c r="I163" t="s">
        <v>788</v>
      </c>
      <c r="J163" s="8">
        <v>44551</v>
      </c>
    </row>
    <row r="164" spans="1:10" x14ac:dyDescent="0.25">
      <c r="A164" t="s">
        <v>472</v>
      </c>
      <c r="B164" t="s">
        <v>473</v>
      </c>
      <c r="C164" t="s">
        <v>56</v>
      </c>
      <c r="D164" t="s">
        <v>474</v>
      </c>
      <c r="E164">
        <v>79165806666.792603</v>
      </c>
      <c r="F164" s="8">
        <v>44449</v>
      </c>
      <c r="G164">
        <v>6</v>
      </c>
      <c r="H164" t="s">
        <v>475</v>
      </c>
      <c r="I164" t="s">
        <v>789</v>
      </c>
      <c r="J164" s="8">
        <v>44547</v>
      </c>
    </row>
    <row r="165" spans="1:10" x14ac:dyDescent="0.25">
      <c r="A165" t="s">
        <v>476</v>
      </c>
      <c r="B165" t="s">
        <v>477</v>
      </c>
      <c r="C165" t="s">
        <v>56</v>
      </c>
      <c r="D165" t="s">
        <v>478</v>
      </c>
      <c r="E165">
        <v>79035496858</v>
      </c>
      <c r="F165" s="8">
        <v>43810</v>
      </c>
      <c r="G165">
        <v>5</v>
      </c>
      <c r="H165" t="s">
        <v>479</v>
      </c>
      <c r="I165" t="s">
        <v>584</v>
      </c>
      <c r="J165" s="8">
        <v>44551</v>
      </c>
    </row>
    <row r="166" spans="1:10" x14ac:dyDescent="0.25">
      <c r="A166" t="s">
        <v>480</v>
      </c>
      <c r="C166" t="s">
        <v>56</v>
      </c>
      <c r="D166" t="s">
        <v>481</v>
      </c>
      <c r="E166">
        <v>79266588248</v>
      </c>
      <c r="F166" s="8">
        <v>44480</v>
      </c>
      <c r="G166">
        <v>5</v>
      </c>
      <c r="H166" t="s">
        <v>482</v>
      </c>
      <c r="I166" t="s">
        <v>790</v>
      </c>
      <c r="J166" s="8">
        <v>44547</v>
      </c>
    </row>
    <row r="167" spans="1:10" x14ac:dyDescent="0.25">
      <c r="A167" t="s">
        <v>483</v>
      </c>
      <c r="B167" t="s">
        <v>55</v>
      </c>
      <c r="C167" t="s">
        <v>56</v>
      </c>
      <c r="D167" t="s">
        <v>484</v>
      </c>
      <c r="E167">
        <v>79269036106</v>
      </c>
      <c r="F167" s="8">
        <v>44238</v>
      </c>
      <c r="G167">
        <v>5</v>
      </c>
      <c r="H167" t="s">
        <v>485</v>
      </c>
      <c r="I167" t="s">
        <v>791</v>
      </c>
      <c r="J167" s="8">
        <v>44547</v>
      </c>
    </row>
    <row r="168" spans="1:10" x14ac:dyDescent="0.25">
      <c r="A168" t="s">
        <v>486</v>
      </c>
      <c r="B168" t="s">
        <v>487</v>
      </c>
      <c r="C168" s="9">
        <v>0.78611111111111109</v>
      </c>
      <c r="D168" t="s">
        <v>488</v>
      </c>
      <c r="E168">
        <v>79220274533.793198</v>
      </c>
      <c r="F168" s="8">
        <v>44266</v>
      </c>
      <c r="G168">
        <v>5</v>
      </c>
      <c r="H168" t="s">
        <v>489</v>
      </c>
      <c r="I168" t="s">
        <v>585</v>
      </c>
      <c r="J168" s="8">
        <v>44547</v>
      </c>
    </row>
    <row r="169" spans="1:10" x14ac:dyDescent="0.25">
      <c r="A169" t="s">
        <v>490</v>
      </c>
      <c r="B169" t="s">
        <v>491</v>
      </c>
      <c r="C169" t="s">
        <v>56</v>
      </c>
      <c r="D169" t="s">
        <v>492</v>
      </c>
      <c r="E169">
        <v>79236716000</v>
      </c>
      <c r="F169" s="8">
        <v>44266</v>
      </c>
      <c r="G169">
        <v>5</v>
      </c>
      <c r="H169" t="s">
        <v>493</v>
      </c>
      <c r="I169" t="s">
        <v>658</v>
      </c>
      <c r="J169" s="8">
        <v>44550</v>
      </c>
    </row>
    <row r="170" spans="1:10" x14ac:dyDescent="0.25">
      <c r="A170" t="s">
        <v>494</v>
      </c>
      <c r="B170" t="s">
        <v>60</v>
      </c>
      <c r="C170" t="s">
        <v>56</v>
      </c>
      <c r="D170" t="s">
        <v>495</v>
      </c>
      <c r="E170">
        <v>79771435088.797699</v>
      </c>
      <c r="F170" s="8">
        <v>44327</v>
      </c>
      <c r="G170">
        <v>5</v>
      </c>
      <c r="H170" t="s">
        <v>496</v>
      </c>
      <c r="I170" t="s">
        <v>497</v>
      </c>
      <c r="J170" s="8">
        <v>44550</v>
      </c>
    </row>
    <row r="171" spans="1:10" x14ac:dyDescent="0.25">
      <c r="A171" t="s">
        <v>498</v>
      </c>
      <c r="B171" t="s">
        <v>60</v>
      </c>
      <c r="C171" s="9">
        <v>0.70277777777777783</v>
      </c>
      <c r="D171" t="s">
        <v>499</v>
      </c>
      <c r="E171">
        <v>79629392967</v>
      </c>
      <c r="F171" s="8">
        <v>44419</v>
      </c>
      <c r="G171">
        <v>5</v>
      </c>
      <c r="H171" t="s">
        <v>500</v>
      </c>
      <c r="I171" t="s">
        <v>792</v>
      </c>
      <c r="J171" s="8">
        <v>44547</v>
      </c>
    </row>
    <row r="172" spans="1:10" x14ac:dyDescent="0.25">
      <c r="A172" t="s">
        <v>501</v>
      </c>
      <c r="B172" t="s">
        <v>350</v>
      </c>
      <c r="C172" t="s">
        <v>56</v>
      </c>
      <c r="D172" t="s">
        <v>502</v>
      </c>
      <c r="E172">
        <v>79162008141</v>
      </c>
      <c r="F172" s="8">
        <v>43536</v>
      </c>
      <c r="G172">
        <v>4</v>
      </c>
      <c r="H172" t="s">
        <v>503</v>
      </c>
      <c r="I172" t="s">
        <v>708</v>
      </c>
      <c r="J172" s="8">
        <v>44547</v>
      </c>
    </row>
    <row r="173" spans="1:10" x14ac:dyDescent="0.25">
      <c r="A173" t="s">
        <v>504</v>
      </c>
      <c r="B173" t="s">
        <v>57</v>
      </c>
      <c r="C173" t="s">
        <v>56</v>
      </c>
      <c r="D173" t="s">
        <v>505</v>
      </c>
      <c r="E173">
        <v>79650346204</v>
      </c>
      <c r="F173" s="8">
        <v>44133</v>
      </c>
      <c r="G173">
        <v>4</v>
      </c>
      <c r="H173" t="s">
        <v>506</v>
      </c>
      <c r="I173" t="s">
        <v>709</v>
      </c>
      <c r="J173" s="8">
        <v>44547</v>
      </c>
    </row>
    <row r="174" spans="1:10" x14ac:dyDescent="0.25">
      <c r="A174" t="s">
        <v>507</v>
      </c>
      <c r="B174" t="s">
        <v>60</v>
      </c>
      <c r="C174" t="s">
        <v>56</v>
      </c>
      <c r="D174" t="s">
        <v>508</v>
      </c>
      <c r="E174">
        <v>74996158871.792603</v>
      </c>
      <c r="F174" s="8">
        <v>44512</v>
      </c>
      <c r="G174">
        <v>4</v>
      </c>
      <c r="H174">
        <v>100000</v>
      </c>
      <c r="I174" t="s">
        <v>551</v>
      </c>
      <c r="J174" s="8">
        <v>44547</v>
      </c>
    </row>
    <row r="175" spans="1:10" x14ac:dyDescent="0.25">
      <c r="A175" t="s">
        <v>509</v>
      </c>
      <c r="B175" t="s">
        <v>57</v>
      </c>
      <c r="C175" t="s">
        <v>56</v>
      </c>
      <c r="D175" t="s">
        <v>510</v>
      </c>
      <c r="E175">
        <v>79817208331</v>
      </c>
      <c r="F175" s="8">
        <v>43955</v>
      </c>
      <c r="G175">
        <v>4</v>
      </c>
      <c r="H175" t="s">
        <v>710</v>
      </c>
      <c r="I175" t="s">
        <v>552</v>
      </c>
      <c r="J175" s="8">
        <v>44551</v>
      </c>
    </row>
    <row r="176" spans="1:10" x14ac:dyDescent="0.25">
      <c r="A176" t="s">
        <v>511</v>
      </c>
      <c r="B176" t="s">
        <v>60</v>
      </c>
      <c r="C176" t="s">
        <v>56</v>
      </c>
      <c r="D176" t="s">
        <v>512</v>
      </c>
      <c r="E176">
        <v>79689301685</v>
      </c>
      <c r="F176" s="8">
        <v>43949</v>
      </c>
      <c r="G176">
        <v>4</v>
      </c>
      <c r="H176" t="s">
        <v>513</v>
      </c>
      <c r="I176" t="s">
        <v>793</v>
      </c>
      <c r="J176" s="8">
        <v>44547</v>
      </c>
    </row>
    <row r="177" spans="1:10" x14ac:dyDescent="0.25">
      <c r="A177" t="s">
        <v>550</v>
      </c>
      <c r="B177" t="s">
        <v>442</v>
      </c>
      <c r="C177" t="s">
        <v>56</v>
      </c>
      <c r="D177" t="s">
        <v>586</v>
      </c>
      <c r="E177">
        <v>79269416891</v>
      </c>
      <c r="F177" s="8">
        <v>44177</v>
      </c>
      <c r="G177">
        <v>4</v>
      </c>
      <c r="H177" t="s">
        <v>587</v>
      </c>
      <c r="I177" t="s">
        <v>588</v>
      </c>
      <c r="J177" s="8">
        <v>44550</v>
      </c>
    </row>
    <row r="178" spans="1:10" x14ac:dyDescent="0.25">
      <c r="A178" t="s">
        <v>514</v>
      </c>
      <c r="B178" t="s">
        <v>60</v>
      </c>
      <c r="C178" t="s">
        <v>56</v>
      </c>
      <c r="D178" t="s">
        <v>515</v>
      </c>
      <c r="E178">
        <v>79152939262</v>
      </c>
      <c r="F178" s="8">
        <v>44009</v>
      </c>
      <c r="G178">
        <v>4</v>
      </c>
      <c r="H178" t="s">
        <v>516</v>
      </c>
      <c r="I178" t="s">
        <v>794</v>
      </c>
      <c r="J178" s="8">
        <v>44550</v>
      </c>
    </row>
    <row r="179" spans="1:10" x14ac:dyDescent="0.25">
      <c r="A179" t="s">
        <v>517</v>
      </c>
      <c r="B179" t="s">
        <v>60</v>
      </c>
      <c r="C179" t="s">
        <v>56</v>
      </c>
      <c r="D179" t="s">
        <v>518</v>
      </c>
      <c r="E179">
        <v>79685265733</v>
      </c>
      <c r="F179" s="8">
        <v>44116</v>
      </c>
      <c r="G179">
        <v>4</v>
      </c>
      <c r="H179" t="s">
        <v>519</v>
      </c>
      <c r="I179" t="s">
        <v>589</v>
      </c>
      <c r="J179" s="8">
        <v>44547</v>
      </c>
    </row>
    <row r="180" spans="1:10" x14ac:dyDescent="0.25">
      <c r="A180" t="s">
        <v>659</v>
      </c>
      <c r="B180" t="s">
        <v>60</v>
      </c>
      <c r="C180" t="s">
        <v>56</v>
      </c>
      <c r="D180" t="s">
        <v>660</v>
      </c>
      <c r="E180">
        <v>79851883999</v>
      </c>
      <c r="F180" s="8">
        <v>44147</v>
      </c>
      <c r="G180">
        <v>4</v>
      </c>
      <c r="H180" t="s">
        <v>661</v>
      </c>
      <c r="I180" t="s">
        <v>795</v>
      </c>
      <c r="J180" s="8">
        <v>44547</v>
      </c>
    </row>
    <row r="181" spans="1:10" x14ac:dyDescent="0.25">
      <c r="A181" t="s">
        <v>520</v>
      </c>
      <c r="C181" t="s">
        <v>56</v>
      </c>
      <c r="D181" t="s">
        <v>521</v>
      </c>
      <c r="E181">
        <v>79032135256</v>
      </c>
      <c r="F181" s="8">
        <v>44147</v>
      </c>
      <c r="G181">
        <v>4</v>
      </c>
      <c r="H181" t="s">
        <v>522</v>
      </c>
      <c r="I181" t="s">
        <v>553</v>
      </c>
      <c r="J181" s="8">
        <v>44547</v>
      </c>
    </row>
    <row r="182" spans="1:10" x14ac:dyDescent="0.25">
      <c r="A182" t="s">
        <v>523</v>
      </c>
      <c r="B182" t="s">
        <v>173</v>
      </c>
      <c r="C182" t="s">
        <v>56</v>
      </c>
      <c r="D182" t="s">
        <v>524</v>
      </c>
      <c r="E182">
        <v>79032437959</v>
      </c>
      <c r="F182" s="8">
        <v>44147</v>
      </c>
      <c r="G182">
        <v>4</v>
      </c>
      <c r="H182" t="s">
        <v>525</v>
      </c>
      <c r="I182" t="s">
        <v>554</v>
      </c>
      <c r="J182" s="8">
        <v>44547</v>
      </c>
    </row>
    <row r="183" spans="1:10" x14ac:dyDescent="0.25">
      <c r="A183" t="s">
        <v>526</v>
      </c>
      <c r="B183" t="s">
        <v>57</v>
      </c>
      <c r="C183" t="s">
        <v>56</v>
      </c>
      <c r="D183" t="s">
        <v>527</v>
      </c>
      <c r="E183">
        <v>79219440419</v>
      </c>
      <c r="F183" s="8">
        <v>44193</v>
      </c>
      <c r="G183">
        <v>4</v>
      </c>
      <c r="H183" t="s">
        <v>528</v>
      </c>
      <c r="I183" t="s">
        <v>796</v>
      </c>
      <c r="J183" s="8">
        <v>44547</v>
      </c>
    </row>
    <row r="184" spans="1:10" x14ac:dyDescent="0.25">
      <c r="A184" t="s">
        <v>529</v>
      </c>
      <c r="B184" t="s">
        <v>530</v>
      </c>
      <c r="C184" t="s">
        <v>56</v>
      </c>
      <c r="D184" t="s">
        <v>711</v>
      </c>
      <c r="E184">
        <v>79033812771.796402</v>
      </c>
      <c r="F184" s="8">
        <v>44512</v>
      </c>
      <c r="G184">
        <v>4</v>
      </c>
      <c r="H184">
        <v>300000</v>
      </c>
      <c r="I184" t="s">
        <v>712</v>
      </c>
      <c r="J184" s="8">
        <v>44547</v>
      </c>
    </row>
    <row r="185" spans="1:10" x14ac:dyDescent="0.25">
      <c r="A185" t="s">
        <v>16</v>
      </c>
      <c r="B185" t="s">
        <v>60</v>
      </c>
      <c r="C185" t="s">
        <v>56</v>
      </c>
      <c r="D185" t="s">
        <v>218</v>
      </c>
      <c r="E185">
        <v>79652300400</v>
      </c>
      <c r="F185" s="8">
        <v>44298</v>
      </c>
      <c r="G185">
        <v>4</v>
      </c>
      <c r="H185" t="s">
        <v>531</v>
      </c>
      <c r="I185" t="s">
        <v>590</v>
      </c>
      <c r="J185" s="8">
        <v>44547</v>
      </c>
    </row>
    <row r="186" spans="1:10" x14ac:dyDescent="0.25">
      <c r="A186" t="s">
        <v>532</v>
      </c>
      <c r="B186" t="s">
        <v>60</v>
      </c>
      <c r="C186" t="s">
        <v>56</v>
      </c>
      <c r="D186" t="s">
        <v>533</v>
      </c>
      <c r="E186">
        <v>79652300400</v>
      </c>
      <c r="F186" s="8">
        <v>44298</v>
      </c>
      <c r="G186">
        <v>4</v>
      </c>
      <c r="H186" t="s">
        <v>531</v>
      </c>
      <c r="I186" t="s">
        <v>590</v>
      </c>
      <c r="J186" s="8">
        <v>44547</v>
      </c>
    </row>
    <row r="187" spans="1:10" x14ac:dyDescent="0.25">
      <c r="A187" t="s">
        <v>534</v>
      </c>
      <c r="B187" t="s">
        <v>326</v>
      </c>
      <c r="C187" t="s">
        <v>56</v>
      </c>
      <c r="D187" t="s">
        <v>535</v>
      </c>
      <c r="E187">
        <v>79997352009</v>
      </c>
      <c r="F187" s="8">
        <v>44298</v>
      </c>
      <c r="G187">
        <v>4</v>
      </c>
      <c r="H187" t="s">
        <v>536</v>
      </c>
      <c r="I187" t="s">
        <v>555</v>
      </c>
      <c r="J187" s="8">
        <v>44547</v>
      </c>
    </row>
    <row r="188" spans="1:10" x14ac:dyDescent="0.25">
      <c r="A188" t="s">
        <v>537</v>
      </c>
      <c r="B188" t="s">
        <v>60</v>
      </c>
      <c r="C188" t="s">
        <v>56</v>
      </c>
      <c r="D188" t="s">
        <v>538</v>
      </c>
      <c r="E188">
        <v>79161179491</v>
      </c>
      <c r="F188" s="8">
        <v>44328</v>
      </c>
      <c r="G188">
        <v>4</v>
      </c>
      <c r="H188" t="s">
        <v>539</v>
      </c>
      <c r="I188" t="s">
        <v>797</v>
      </c>
      <c r="J188" s="8">
        <v>44547</v>
      </c>
    </row>
    <row r="189" spans="1:10" x14ac:dyDescent="0.25">
      <c r="A189" t="s">
        <v>540</v>
      </c>
      <c r="B189" t="s">
        <v>351</v>
      </c>
      <c r="C189" t="s">
        <v>56</v>
      </c>
      <c r="D189" t="s">
        <v>541</v>
      </c>
      <c r="E189">
        <v>79154745516.796799</v>
      </c>
      <c r="F189" s="8">
        <v>44389</v>
      </c>
      <c r="G189">
        <v>4</v>
      </c>
      <c r="H189" t="s">
        <v>542</v>
      </c>
      <c r="I189" t="s">
        <v>798</v>
      </c>
      <c r="J189" s="8">
        <v>44547</v>
      </c>
    </row>
    <row r="190" spans="1:10" x14ac:dyDescent="0.25">
      <c r="A190" t="s">
        <v>543</v>
      </c>
      <c r="B190" t="s">
        <v>544</v>
      </c>
      <c r="C190" t="s">
        <v>56</v>
      </c>
      <c r="D190" t="s">
        <v>545</v>
      </c>
      <c r="E190">
        <v>79057123553</v>
      </c>
      <c r="F190" s="8">
        <v>44420</v>
      </c>
      <c r="G190">
        <v>4</v>
      </c>
      <c r="H190" t="s">
        <v>546</v>
      </c>
      <c r="I190" t="s">
        <v>799</v>
      </c>
      <c r="J190" s="8">
        <v>44547</v>
      </c>
    </row>
    <row r="191" spans="1:10" x14ac:dyDescent="0.25">
      <c r="A191" t="s">
        <v>547</v>
      </c>
      <c r="B191" t="s">
        <v>60</v>
      </c>
      <c r="C191" t="s">
        <v>56</v>
      </c>
      <c r="D191" t="s">
        <v>548</v>
      </c>
      <c r="E191">
        <v>79262297168</v>
      </c>
      <c r="F191" s="8">
        <v>44481</v>
      </c>
      <c r="G191">
        <v>4</v>
      </c>
      <c r="H191" t="s">
        <v>549</v>
      </c>
      <c r="I191" t="s">
        <v>800</v>
      </c>
      <c r="J191" s="8">
        <v>44547</v>
      </c>
    </row>
    <row r="192" spans="1:10" x14ac:dyDescent="0.25">
      <c r="A192" t="s">
        <v>557</v>
      </c>
      <c r="C192" t="s">
        <v>56</v>
      </c>
      <c r="D192" t="s">
        <v>591</v>
      </c>
      <c r="E192">
        <v>79650002053</v>
      </c>
      <c r="F192" s="8">
        <v>44452</v>
      </c>
      <c r="G192">
        <v>3</v>
      </c>
      <c r="H192">
        <v>900000</v>
      </c>
      <c r="I192" t="s">
        <v>662</v>
      </c>
      <c r="J192" s="8">
        <v>44552</v>
      </c>
    </row>
    <row r="193" spans="1:10" x14ac:dyDescent="0.25">
      <c r="A193" t="s">
        <v>563</v>
      </c>
      <c r="B193" t="s">
        <v>544</v>
      </c>
      <c r="C193" t="s">
        <v>56</v>
      </c>
      <c r="D193" t="s">
        <v>592</v>
      </c>
      <c r="E193">
        <v>79035288379</v>
      </c>
      <c r="F193" s="8">
        <v>43874</v>
      </c>
      <c r="G193">
        <v>3</v>
      </c>
      <c r="H193" t="s">
        <v>593</v>
      </c>
      <c r="I193" t="s">
        <v>813</v>
      </c>
      <c r="J193" s="8">
        <v>44547</v>
      </c>
    </row>
    <row r="194" spans="1:10" x14ac:dyDescent="0.25">
      <c r="A194" t="s">
        <v>561</v>
      </c>
      <c r="B194" t="s">
        <v>594</v>
      </c>
      <c r="C194" t="s">
        <v>56</v>
      </c>
      <c r="D194" t="s">
        <v>595</v>
      </c>
      <c r="E194">
        <v>79056956259</v>
      </c>
      <c r="F194" s="8">
        <v>44056</v>
      </c>
      <c r="G194">
        <v>3</v>
      </c>
      <c r="H194" t="s">
        <v>596</v>
      </c>
      <c r="I194" t="s">
        <v>814</v>
      </c>
      <c r="J194" s="8">
        <v>44547</v>
      </c>
    </row>
    <row r="195" spans="1:10" x14ac:dyDescent="0.25">
      <c r="A195" t="s">
        <v>562</v>
      </c>
      <c r="B195" t="s">
        <v>60</v>
      </c>
      <c r="C195" t="s">
        <v>56</v>
      </c>
      <c r="D195" t="s">
        <v>597</v>
      </c>
      <c r="E195">
        <v>79851150459</v>
      </c>
      <c r="F195" s="8">
        <v>44421</v>
      </c>
      <c r="G195">
        <v>3</v>
      </c>
      <c r="H195" t="s">
        <v>598</v>
      </c>
      <c r="I195" t="s">
        <v>815</v>
      </c>
      <c r="J195" s="8">
        <v>44547</v>
      </c>
    </row>
    <row r="196" spans="1:10" x14ac:dyDescent="0.25">
      <c r="A196" t="s">
        <v>564</v>
      </c>
      <c r="B196" t="s">
        <v>60</v>
      </c>
      <c r="C196" t="s">
        <v>56</v>
      </c>
      <c r="D196" t="s">
        <v>599</v>
      </c>
      <c r="E196">
        <v>79629267138</v>
      </c>
      <c r="F196" s="8">
        <v>44178</v>
      </c>
      <c r="G196">
        <v>3</v>
      </c>
      <c r="H196" t="s">
        <v>600</v>
      </c>
      <c r="I196" t="s">
        <v>601</v>
      </c>
      <c r="J196" s="8">
        <v>44547</v>
      </c>
    </row>
    <row r="197" spans="1:10" x14ac:dyDescent="0.25">
      <c r="A197" t="s">
        <v>602</v>
      </c>
      <c r="C197" t="s">
        <v>56</v>
      </c>
      <c r="D197" t="s">
        <v>603</v>
      </c>
      <c r="E197">
        <v>79161179491</v>
      </c>
      <c r="F197" s="8">
        <v>44328</v>
      </c>
      <c r="G197">
        <v>3</v>
      </c>
      <c r="H197" t="s">
        <v>713</v>
      </c>
      <c r="I197" t="s">
        <v>801</v>
      </c>
      <c r="J197" s="8">
        <v>44547</v>
      </c>
    </row>
    <row r="198" spans="1:10" x14ac:dyDescent="0.25">
      <c r="A198" t="s">
        <v>604</v>
      </c>
      <c r="C198" t="s">
        <v>56</v>
      </c>
      <c r="D198" t="s">
        <v>605</v>
      </c>
      <c r="E198">
        <v>79777078733</v>
      </c>
      <c r="F198" s="8">
        <v>44390</v>
      </c>
      <c r="G198">
        <v>3</v>
      </c>
      <c r="H198" t="s">
        <v>606</v>
      </c>
      <c r="I198" t="s">
        <v>764</v>
      </c>
      <c r="J198" s="8">
        <v>44551</v>
      </c>
    </row>
    <row r="199" spans="1:10" x14ac:dyDescent="0.25">
      <c r="A199" t="s">
        <v>560</v>
      </c>
      <c r="B199" t="s">
        <v>55</v>
      </c>
      <c r="C199" t="s">
        <v>56</v>
      </c>
      <c r="D199" t="s">
        <v>607</v>
      </c>
      <c r="E199">
        <v>79852579695</v>
      </c>
      <c r="F199" s="8">
        <v>44390</v>
      </c>
      <c r="G199">
        <v>3</v>
      </c>
      <c r="H199" t="s">
        <v>608</v>
      </c>
      <c r="I199" t="s">
        <v>663</v>
      </c>
      <c r="J199" s="8">
        <v>44547</v>
      </c>
    </row>
    <row r="200" spans="1:10" x14ac:dyDescent="0.25">
      <c r="A200" t="s">
        <v>558</v>
      </c>
      <c r="B200" t="s">
        <v>104</v>
      </c>
      <c r="C200" s="9">
        <v>0.70277777777777783</v>
      </c>
      <c r="D200" t="s">
        <v>609</v>
      </c>
      <c r="E200">
        <v>79384389738.793793</v>
      </c>
      <c r="F200" s="8">
        <v>44407</v>
      </c>
      <c r="G200">
        <v>3</v>
      </c>
      <c r="H200" t="s">
        <v>610</v>
      </c>
      <c r="I200" t="s">
        <v>611</v>
      </c>
      <c r="J200" s="8">
        <v>44550</v>
      </c>
    </row>
    <row r="201" spans="1:10" x14ac:dyDescent="0.25">
      <c r="A201" t="s">
        <v>556</v>
      </c>
      <c r="B201" t="s">
        <v>350</v>
      </c>
      <c r="C201" t="s">
        <v>56</v>
      </c>
      <c r="D201" t="s">
        <v>612</v>
      </c>
      <c r="E201">
        <v>70004500584.792496</v>
      </c>
      <c r="F201" s="8">
        <v>44481</v>
      </c>
      <c r="G201">
        <v>3</v>
      </c>
      <c r="H201">
        <v>2000000</v>
      </c>
      <c r="I201" t="s">
        <v>816</v>
      </c>
      <c r="J201" s="8">
        <v>44550</v>
      </c>
    </row>
    <row r="202" spans="1:10" x14ac:dyDescent="0.25">
      <c r="A202" t="s">
        <v>559</v>
      </c>
      <c r="B202" t="s">
        <v>60</v>
      </c>
      <c r="C202" s="9">
        <v>0.70277777777777783</v>
      </c>
      <c r="D202" t="s">
        <v>613</v>
      </c>
      <c r="E202">
        <v>79886468778</v>
      </c>
      <c r="F202" s="8">
        <v>44482</v>
      </c>
      <c r="G202">
        <v>3</v>
      </c>
      <c r="H202" t="s">
        <v>614</v>
      </c>
      <c r="I202" t="s">
        <v>817</v>
      </c>
      <c r="J202" s="8">
        <v>44547</v>
      </c>
    </row>
    <row r="203" spans="1:10" x14ac:dyDescent="0.25">
      <c r="A203" t="s">
        <v>621</v>
      </c>
      <c r="B203" t="s">
        <v>350</v>
      </c>
      <c r="C203" t="s">
        <v>56</v>
      </c>
      <c r="D203" t="s">
        <v>664</v>
      </c>
      <c r="E203">
        <v>79686377877</v>
      </c>
      <c r="F203" s="8">
        <v>44483</v>
      </c>
      <c r="G203">
        <v>2</v>
      </c>
      <c r="H203" t="s">
        <v>665</v>
      </c>
      <c r="I203" t="s">
        <v>666</v>
      </c>
      <c r="J203" s="8">
        <v>44547</v>
      </c>
    </row>
    <row r="204" spans="1:10" x14ac:dyDescent="0.25">
      <c r="A204" t="s">
        <v>623</v>
      </c>
      <c r="C204" t="s">
        <v>56</v>
      </c>
      <c r="D204" t="s">
        <v>667</v>
      </c>
      <c r="E204">
        <v>79163203411</v>
      </c>
      <c r="F204" s="8">
        <v>43691</v>
      </c>
      <c r="G204">
        <v>2</v>
      </c>
      <c r="H204" t="s">
        <v>668</v>
      </c>
      <c r="I204" t="s">
        <v>802</v>
      </c>
      <c r="J204" s="8">
        <v>44547</v>
      </c>
    </row>
    <row r="205" spans="1:10" x14ac:dyDescent="0.25">
      <c r="A205" t="s">
        <v>618</v>
      </c>
      <c r="B205" t="s">
        <v>669</v>
      </c>
      <c r="C205" t="s">
        <v>56</v>
      </c>
      <c r="D205" t="s">
        <v>670</v>
      </c>
      <c r="E205">
        <v>79161282203</v>
      </c>
      <c r="F205" s="8">
        <v>44026</v>
      </c>
      <c r="G205">
        <v>2</v>
      </c>
      <c r="H205" t="s">
        <v>671</v>
      </c>
      <c r="I205" t="s">
        <v>803</v>
      </c>
      <c r="J205" s="8">
        <v>44550</v>
      </c>
    </row>
    <row r="206" spans="1:10" x14ac:dyDescent="0.25">
      <c r="A206" t="s">
        <v>620</v>
      </c>
      <c r="B206" t="s">
        <v>57</v>
      </c>
      <c r="C206" t="s">
        <v>56</v>
      </c>
      <c r="D206" t="s">
        <v>672</v>
      </c>
      <c r="E206">
        <v>79516642080</v>
      </c>
      <c r="F206" s="8">
        <v>44179</v>
      </c>
      <c r="G206">
        <v>2</v>
      </c>
      <c r="H206" t="s">
        <v>673</v>
      </c>
      <c r="I206" t="s">
        <v>818</v>
      </c>
      <c r="J206" s="8">
        <v>44547</v>
      </c>
    </row>
    <row r="207" spans="1:10" x14ac:dyDescent="0.25">
      <c r="A207" t="s">
        <v>615</v>
      </c>
      <c r="B207" t="s">
        <v>57</v>
      </c>
      <c r="C207" t="s">
        <v>56</v>
      </c>
      <c r="D207" t="s">
        <v>674</v>
      </c>
      <c r="E207">
        <v>79217799345</v>
      </c>
      <c r="F207" s="8">
        <v>44300</v>
      </c>
      <c r="G207">
        <v>2</v>
      </c>
      <c r="H207" t="s">
        <v>675</v>
      </c>
      <c r="I207" t="s">
        <v>676</v>
      </c>
      <c r="J207" s="8">
        <v>44547</v>
      </c>
    </row>
    <row r="208" spans="1:10" x14ac:dyDescent="0.25">
      <c r="A208" t="s">
        <v>616</v>
      </c>
      <c r="B208" t="s">
        <v>94</v>
      </c>
      <c r="C208" t="s">
        <v>56</v>
      </c>
      <c r="D208" t="s">
        <v>677</v>
      </c>
      <c r="E208">
        <v>79021231202.796005</v>
      </c>
      <c r="F208" s="8">
        <v>44407</v>
      </c>
      <c r="G208">
        <v>2</v>
      </c>
      <c r="H208" t="s">
        <v>678</v>
      </c>
      <c r="I208" t="s">
        <v>679</v>
      </c>
      <c r="J208" s="8">
        <v>44547</v>
      </c>
    </row>
    <row r="209" spans="1:10" x14ac:dyDescent="0.25">
      <c r="A209" t="s">
        <v>622</v>
      </c>
      <c r="C209" s="9">
        <v>0.70277777777777783</v>
      </c>
      <c r="D209" t="s">
        <v>680</v>
      </c>
      <c r="E209">
        <v>79185111971</v>
      </c>
      <c r="F209" s="8">
        <v>44391</v>
      </c>
      <c r="G209">
        <v>2</v>
      </c>
      <c r="H209" t="s">
        <v>681</v>
      </c>
      <c r="I209" t="s">
        <v>819</v>
      </c>
      <c r="J209" s="8">
        <v>44547</v>
      </c>
    </row>
    <row r="210" spans="1:10" x14ac:dyDescent="0.25">
      <c r="A210" t="s">
        <v>619</v>
      </c>
      <c r="B210" t="s">
        <v>682</v>
      </c>
      <c r="C210" t="s">
        <v>56</v>
      </c>
      <c r="D210" t="s">
        <v>683</v>
      </c>
      <c r="E210">
        <v>79513178009</v>
      </c>
      <c r="F210" s="8">
        <v>44391</v>
      </c>
      <c r="G210">
        <v>2</v>
      </c>
      <c r="H210" t="s">
        <v>684</v>
      </c>
      <c r="I210" t="s">
        <v>820</v>
      </c>
      <c r="J210" s="8">
        <v>44547</v>
      </c>
    </row>
    <row r="211" spans="1:10" x14ac:dyDescent="0.25">
      <c r="A211" t="s">
        <v>624</v>
      </c>
      <c r="B211" t="s">
        <v>263</v>
      </c>
      <c r="C211" s="9">
        <v>0.70277777777777783</v>
      </c>
      <c r="D211" t="s">
        <v>685</v>
      </c>
      <c r="E211">
        <v>79013396636</v>
      </c>
      <c r="F211" s="8">
        <v>44409</v>
      </c>
      <c r="G211">
        <v>2</v>
      </c>
      <c r="H211" t="s">
        <v>686</v>
      </c>
      <c r="I211" t="s">
        <v>821</v>
      </c>
      <c r="J211" s="8">
        <v>44547</v>
      </c>
    </row>
    <row r="212" spans="1:10" x14ac:dyDescent="0.25">
      <c r="A212" t="s">
        <v>617</v>
      </c>
      <c r="B212" t="s">
        <v>169</v>
      </c>
      <c r="C212" t="s">
        <v>56</v>
      </c>
      <c r="D212" t="s">
        <v>687</v>
      </c>
      <c r="E212">
        <v>79057164992</v>
      </c>
      <c r="F212" s="8">
        <v>44483</v>
      </c>
      <c r="G212">
        <v>2</v>
      </c>
      <c r="H212" t="s">
        <v>688</v>
      </c>
      <c r="I212" t="s">
        <v>822</v>
      </c>
      <c r="J212" s="8">
        <v>44547</v>
      </c>
    </row>
    <row r="213" spans="1:10" x14ac:dyDescent="0.25">
      <c r="A213" t="s">
        <v>715</v>
      </c>
      <c r="B213" t="s">
        <v>60</v>
      </c>
      <c r="C213" t="s">
        <v>56</v>
      </c>
      <c r="D213" t="s">
        <v>716</v>
      </c>
      <c r="E213">
        <v>79778192293</v>
      </c>
      <c r="F213" s="8">
        <v>43784</v>
      </c>
      <c r="G213">
        <v>1</v>
      </c>
      <c r="H213" t="s">
        <v>717</v>
      </c>
      <c r="I213" t="s">
        <v>765</v>
      </c>
      <c r="J213" s="8">
        <v>44547</v>
      </c>
    </row>
    <row r="214" spans="1:10" x14ac:dyDescent="0.25">
      <c r="A214" t="s">
        <v>718</v>
      </c>
      <c r="C214" t="s">
        <v>56</v>
      </c>
      <c r="D214" t="s">
        <v>719</v>
      </c>
      <c r="E214">
        <v>79119671372</v>
      </c>
      <c r="F214" s="8">
        <v>44242</v>
      </c>
      <c r="G214">
        <v>1</v>
      </c>
      <c r="H214" t="s">
        <v>720</v>
      </c>
      <c r="I214" t="s">
        <v>823</v>
      </c>
      <c r="J214" s="8">
        <v>44547</v>
      </c>
    </row>
    <row r="215" spans="1:10" x14ac:dyDescent="0.25">
      <c r="A215" t="s">
        <v>721</v>
      </c>
      <c r="B215" t="s">
        <v>60</v>
      </c>
      <c r="C215" t="s">
        <v>56</v>
      </c>
      <c r="D215" t="s">
        <v>722</v>
      </c>
      <c r="E215">
        <v>79166609580</v>
      </c>
      <c r="F215" s="8">
        <v>44242</v>
      </c>
      <c r="G215">
        <v>1</v>
      </c>
      <c r="H215" t="s">
        <v>723</v>
      </c>
      <c r="I215" t="s">
        <v>824</v>
      </c>
      <c r="J215" s="8">
        <v>44550</v>
      </c>
    </row>
    <row r="216" spans="1:10" x14ac:dyDescent="0.25">
      <c r="A216" t="s">
        <v>724</v>
      </c>
      <c r="B216" t="s">
        <v>351</v>
      </c>
      <c r="C216" t="s">
        <v>56</v>
      </c>
      <c r="D216" t="s">
        <v>725</v>
      </c>
      <c r="E216">
        <v>79265656981</v>
      </c>
      <c r="F216" s="8">
        <v>44350</v>
      </c>
      <c r="G216">
        <v>1</v>
      </c>
      <c r="H216" t="s">
        <v>726</v>
      </c>
      <c r="I216" t="s">
        <v>825</v>
      </c>
      <c r="J216" s="8">
        <v>44550</v>
      </c>
    </row>
    <row r="217" spans="1:10" x14ac:dyDescent="0.25">
      <c r="A217" t="s">
        <v>727</v>
      </c>
      <c r="B217" t="s">
        <v>151</v>
      </c>
      <c r="C217" t="s">
        <v>56</v>
      </c>
      <c r="D217" t="s">
        <v>728</v>
      </c>
      <c r="E217">
        <v>79536708626</v>
      </c>
      <c r="F217" s="8">
        <v>44386</v>
      </c>
      <c r="G217">
        <v>1</v>
      </c>
      <c r="H217" t="s">
        <v>729</v>
      </c>
      <c r="I217" t="s">
        <v>826</v>
      </c>
      <c r="J217" s="8">
        <v>44547</v>
      </c>
    </row>
    <row r="218" spans="1:10" x14ac:dyDescent="0.25">
      <c r="A218" t="s">
        <v>730</v>
      </c>
      <c r="B218" t="s">
        <v>731</v>
      </c>
      <c r="C218" t="s">
        <v>56</v>
      </c>
      <c r="D218" t="s">
        <v>732</v>
      </c>
      <c r="E218">
        <v>79803760029</v>
      </c>
      <c r="F218" s="8">
        <v>44392</v>
      </c>
      <c r="G218">
        <v>1</v>
      </c>
      <c r="H218" t="s">
        <v>733</v>
      </c>
      <c r="I218" t="s">
        <v>827</v>
      </c>
      <c r="J218" s="8">
        <v>44547</v>
      </c>
    </row>
    <row r="219" spans="1:10" x14ac:dyDescent="0.25">
      <c r="A219" t="s">
        <v>734</v>
      </c>
      <c r="B219" t="s">
        <v>60</v>
      </c>
      <c r="C219" t="s">
        <v>56</v>
      </c>
      <c r="D219" t="s">
        <v>735</v>
      </c>
      <c r="E219">
        <v>79032553195</v>
      </c>
      <c r="F219" s="8">
        <v>44418</v>
      </c>
      <c r="G219">
        <v>1</v>
      </c>
      <c r="H219" t="s">
        <v>736</v>
      </c>
      <c r="I219" t="s">
        <v>828</v>
      </c>
      <c r="J219" s="8">
        <v>44547</v>
      </c>
    </row>
    <row r="220" spans="1:10" x14ac:dyDescent="0.25">
      <c r="A220" t="s">
        <v>737</v>
      </c>
      <c r="B220" t="s">
        <v>94</v>
      </c>
      <c r="C220" t="s">
        <v>56</v>
      </c>
      <c r="D220" t="s">
        <v>738</v>
      </c>
      <c r="E220">
        <v>79189187788</v>
      </c>
      <c r="F220" s="8">
        <v>44484</v>
      </c>
      <c r="G220">
        <v>1</v>
      </c>
      <c r="H220">
        <v>981939</v>
      </c>
      <c r="I220" t="s">
        <v>766</v>
      </c>
      <c r="J220" s="8">
        <v>44547</v>
      </c>
    </row>
    <row r="221" spans="1:10" x14ac:dyDescent="0.25">
      <c r="A221" t="s">
        <v>739</v>
      </c>
      <c r="C221" t="s">
        <v>56</v>
      </c>
      <c r="D221" t="s">
        <v>740</v>
      </c>
      <c r="E221">
        <v>79150259568</v>
      </c>
      <c r="F221" s="8">
        <v>44512</v>
      </c>
      <c r="G221">
        <v>1</v>
      </c>
      <c r="H221">
        <v>1000000</v>
      </c>
      <c r="I221" t="s">
        <v>804</v>
      </c>
      <c r="J221" s="8">
        <v>44547</v>
      </c>
    </row>
    <row r="222" spans="1:10" x14ac:dyDescent="0.25">
      <c r="A222" t="s">
        <v>741</v>
      </c>
      <c r="B222" t="s">
        <v>742</v>
      </c>
      <c r="C222" s="9">
        <v>0.70277777777777783</v>
      </c>
      <c r="D222" t="s">
        <v>743</v>
      </c>
      <c r="E222">
        <v>79996051996</v>
      </c>
      <c r="F222" s="8">
        <v>44515</v>
      </c>
      <c r="G222">
        <v>1</v>
      </c>
      <c r="H222" t="s">
        <v>106</v>
      </c>
      <c r="I222" t="s">
        <v>714</v>
      </c>
      <c r="J222" t="s">
        <v>582</v>
      </c>
    </row>
    <row r="223" spans="1:10" x14ac:dyDescent="0.25">
      <c r="A223" t="s">
        <v>829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70FCF-353A-4E3A-BD82-AEEF37833346}">
  <sheetPr codeName="Лист4"/>
  <dimension ref="A1:K8"/>
  <sheetViews>
    <sheetView workbookViewId="0">
      <selection activeCell="D8" sqref="D8"/>
    </sheetView>
  </sheetViews>
  <sheetFormatPr defaultRowHeight="15" x14ac:dyDescent="0.25"/>
  <cols>
    <col min="11" max="11" width="11.28515625" bestFit="1" customWidth="1"/>
  </cols>
  <sheetData>
    <row r="1" spans="1:11" x14ac:dyDescent="0.25">
      <c r="A1" t="s">
        <v>371</v>
      </c>
      <c r="B1" t="s">
        <v>369</v>
      </c>
      <c r="C1" t="s">
        <v>370</v>
      </c>
      <c r="D1" t="s">
        <v>372</v>
      </c>
    </row>
    <row r="5" spans="1:11" ht="15.75" x14ac:dyDescent="0.25">
      <c r="A5" s="1" t="s">
        <v>0</v>
      </c>
      <c r="B5" s="1" t="s">
        <v>1</v>
      </c>
      <c r="C5" s="2" t="s">
        <v>2</v>
      </c>
      <c r="D5" s="2" t="s">
        <v>3</v>
      </c>
      <c r="E5" s="3" t="s">
        <v>4</v>
      </c>
      <c r="F5" s="4" t="s">
        <v>5</v>
      </c>
      <c r="G5" s="1" t="s">
        <v>6</v>
      </c>
      <c r="H5" s="5" t="s">
        <v>7</v>
      </c>
      <c r="J5" s="6" t="s">
        <v>8</v>
      </c>
      <c r="K5" s="7">
        <f ca="1">TODAY()</f>
        <v>44972</v>
      </c>
    </row>
    <row r="8" spans="1:11" x14ac:dyDescent="0.25">
      <c r="A8" t="s">
        <v>845</v>
      </c>
      <c r="B8" t="s">
        <v>846</v>
      </c>
      <c r="C8" t="s">
        <v>847</v>
      </c>
      <c r="D8" t="s">
        <v>848</v>
      </c>
    </row>
  </sheetData>
  <conditionalFormatting sqref="E5">
    <cfRule type="expression" dxfId="47" priority="47">
      <formula>IF(K5="первый платеж",1)</formula>
    </cfRule>
  </conditionalFormatting>
  <conditionalFormatting sqref="E5">
    <cfRule type="expression" dxfId="46" priority="1" stopIfTrue="1">
      <formula>IF(K5="первый платеж",1)</formula>
    </cfRule>
    <cfRule type="expression" dxfId="45" priority="2">
      <formula>IF(K5="первый платеж",1)</formula>
    </cfRule>
    <cfRule type="expression" dxfId="44" priority="3">
      <formula>IF(K5="первый платеж",1)</formula>
    </cfRule>
    <cfRule type="expression" dxfId="43" priority="4">
      <formula>IF(K5="первый платеж",1)</formula>
    </cfRule>
    <cfRule type="expression" dxfId="42" priority="5">
      <formula>IF(K5="первый платеж",1)</formula>
    </cfRule>
    <cfRule type="expression" dxfId="41" priority="6">
      <formula>IF(K5="первый платеж",1)</formula>
    </cfRule>
    <cfRule type="expression" dxfId="40" priority="7">
      <formula>IF(K5="первый платеж",1)</formula>
    </cfRule>
    <cfRule type="expression" dxfId="39" priority="8">
      <formula>IF(K5="первый платеж",1)</formula>
    </cfRule>
    <cfRule type="expression" dxfId="38" priority="9">
      <formula>IF(K5="первый платеж",1)</formula>
    </cfRule>
    <cfRule type="expression" dxfId="37" priority="10">
      <formula>IF(K5="первый платеж",1)</formula>
    </cfRule>
    <cfRule type="expression" dxfId="36" priority="11">
      <formula>IF(K5="первый платеж",1)</formula>
    </cfRule>
    <cfRule type="expression" dxfId="35" priority="12">
      <formula>IF(K5="первый платеж",1)</formula>
    </cfRule>
    <cfRule type="expression" dxfId="34" priority="13">
      <formula>IF(K5="первый платеж",1)</formula>
    </cfRule>
    <cfRule type="expression" dxfId="33" priority="14">
      <formula>IF(K5="первый платеж",1)</formula>
    </cfRule>
    <cfRule type="expression" dxfId="32" priority="15">
      <formula>IF(K5="первый платеж",1)</formula>
    </cfRule>
    <cfRule type="expression" dxfId="31" priority="16">
      <formula>IF(K5="первый платеж",1)</formula>
    </cfRule>
    <cfRule type="expression" dxfId="30" priority="17">
      <formula>IF(K5="первый платеж",1)</formula>
    </cfRule>
    <cfRule type="expression" dxfId="29" priority="18">
      <formula>IF(K5="первый платеж",1)</formula>
    </cfRule>
    <cfRule type="expression" dxfId="28" priority="19">
      <formula>IF(K5="первый платеж",1)</formula>
    </cfRule>
    <cfRule type="expression" dxfId="27" priority="20">
      <formula>IF(K5="первый платеж",1)</formula>
    </cfRule>
    <cfRule type="expression" dxfId="26" priority="21">
      <formula>IF(K5="первый платеж",1)</formula>
    </cfRule>
    <cfRule type="expression" dxfId="25" priority="22">
      <formula>IF(K5="первый платеж",1)</formula>
    </cfRule>
    <cfRule type="expression" dxfId="24" priority="23">
      <formula>IF(K5="первый платеж",1)</formula>
    </cfRule>
    <cfRule type="expression" dxfId="23" priority="24">
      <formula>IF(K5="первый платеж",1)</formula>
    </cfRule>
    <cfRule type="expression" dxfId="22" priority="25">
      <formula>IF(K5="первый платеж",1)</formula>
    </cfRule>
    <cfRule type="expression" dxfId="21" priority="26">
      <formula>IF(K5="первый платеж",1)</formula>
    </cfRule>
    <cfRule type="expression" dxfId="20" priority="27">
      <formula>IF(K5="первый платеж",1)</formula>
    </cfRule>
    <cfRule type="expression" dxfId="19" priority="28">
      <formula>IF(K5="первый платеж",1)</formula>
    </cfRule>
    <cfRule type="expression" dxfId="18" priority="29">
      <formula>IF(K5="первый платеж",1)</formula>
    </cfRule>
    <cfRule type="expression" dxfId="17" priority="30">
      <formula>IF(K5="первый платеж",1)</formula>
    </cfRule>
    <cfRule type="expression" dxfId="16" priority="31">
      <formula>IF(K5="первый платеж",1)</formula>
    </cfRule>
    <cfRule type="expression" dxfId="15" priority="32">
      <formula>IF(K5="первый платеж",1)</formula>
    </cfRule>
    <cfRule type="expression" dxfId="14" priority="33">
      <formula>IF(K5="первый платеж",1)</formula>
    </cfRule>
    <cfRule type="expression" dxfId="13" priority="34">
      <formula>IF(K5="первый платеж",1)</formula>
    </cfRule>
    <cfRule type="expression" dxfId="12" priority="35">
      <formula>IF(K5="первый платеж",1)</formula>
    </cfRule>
    <cfRule type="expression" dxfId="11" priority="36">
      <formula>IF(K5="первый платеж",1)</formula>
    </cfRule>
    <cfRule type="expression" dxfId="10" priority="37">
      <formula>IF(K5="первый платеж",1)</formula>
    </cfRule>
    <cfRule type="expression" dxfId="9" priority="38">
      <formula>IF(K5="первый платеж",1)</formula>
    </cfRule>
    <cfRule type="expression" dxfId="8" priority="39">
      <formula>IF(K5="первый платеж",1)</formula>
    </cfRule>
    <cfRule type="expression" dxfId="7" priority="40">
      <formula>IF(K5="первый платеж",1)</formula>
    </cfRule>
    <cfRule type="expression" dxfId="6" priority="41">
      <formula>IF(K5="первый платеж",1)</formula>
    </cfRule>
    <cfRule type="expression" dxfId="5" priority="42">
      <formula>IF(K5="первый платеж",1)</formula>
    </cfRule>
    <cfRule type="expression" dxfId="4" priority="43">
      <formula>IF(K5="первый платеж",1)</formula>
    </cfRule>
    <cfRule type="expression" dxfId="3" priority="44">
      <formula>IF(K5="первый платеж",1)</formula>
    </cfRule>
    <cfRule type="expression" dxfId="2" priority="45">
      <formula>IF(K5="первый платеж",1)</formula>
    </cfRule>
    <cfRule type="expression" dxfId="1" priority="46">
      <formula>IF(K5="первый платеж",1)</formula>
    </cfRule>
  </conditionalFormatting>
  <conditionalFormatting sqref="A5">
    <cfRule type="duplicateValues" dxfId="0" priority="48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CRM</vt:lpstr>
      <vt:lpstr>реестр просрочников (ЗАЕМЩИК)</vt:lpstr>
      <vt:lpstr>200К и более</vt:lpstr>
      <vt:lpstr>коммент</vt:lpstr>
      <vt:lpstr>прочее</vt:lpstr>
      <vt:lpstr>xforms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Кваско Сергей Михайлович</cp:lastModifiedBy>
  <dcterms:created xsi:type="dcterms:W3CDTF">2015-06-05T18:19:34Z</dcterms:created>
  <dcterms:modified xsi:type="dcterms:W3CDTF">2023-02-15T15:43:41Z</dcterms:modified>
</cp:coreProperties>
</file>
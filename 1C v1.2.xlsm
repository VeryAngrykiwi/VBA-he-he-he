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.kvasko\Desktop\"/>
    </mc:Choice>
  </mc:AlternateContent>
  <xr:revisionPtr revIDLastSave="0" documentId="13_ncr:1_{E9D2D216-BCA5-4648-A0D8-FB5E03EA2135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реестр просрочников" sheetId="1" r:id="rId1"/>
    <sheet name="РП (расш)" sheetId="2" r:id="rId2"/>
    <sheet name="сверка" sheetId="3" r:id="rId3"/>
    <sheet name="Платежный календарь" sheetId="4" r:id="rId4"/>
    <sheet name="xforms" sheetId="5" r:id="rId5"/>
    <sheet name="мегафон" sheetId="6" r:id="rId6"/>
  </sheets>
  <functionGroups builtInGroupCount="19"/>
  <externalReferences>
    <externalReference r:id="rId7"/>
    <externalReference r:id="rId8"/>
    <externalReference r:id="rId9"/>
    <externalReference r:id="rId10"/>
  </externalReferences>
  <definedNames>
    <definedName name="_xlnm._FilterDatabase" localSheetId="0" hidden="1">'реестр просрочников'!$Q$2:$Q$35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5" i="1" l="1" a="1"/>
  <c r="H15" i="1" s="1"/>
  <c r="I15" i="1" s="1"/>
  <c r="H16" i="1" l="1" a="1"/>
  <c r="H16" i="1" s="1"/>
  <c r="H17" i="1" a="1"/>
  <c r="H17" i="1" s="1"/>
  <c r="I17" i="1" s="1"/>
  <c r="H18" i="1" a="1"/>
  <c r="H18" i="1" s="1"/>
  <c r="I18" i="1" s="1"/>
  <c r="H19" i="1" a="1"/>
  <c r="H19" i="1" s="1"/>
  <c r="H20" i="1" a="1"/>
  <c r="H20" i="1" s="1"/>
  <c r="I20" i="1" s="1"/>
  <c r="H21" i="1" a="1"/>
  <c r="H21" i="1" s="1"/>
  <c r="I21" i="1" s="1"/>
  <c r="H22" i="1" a="1"/>
  <c r="H22" i="1" s="1"/>
  <c r="I22" i="1" s="1"/>
  <c r="H23" i="1" a="1"/>
  <c r="H23" i="1" s="1"/>
  <c r="I23" i="1" s="1"/>
  <c r="H24" i="1" a="1"/>
  <c r="H24" i="1" s="1"/>
  <c r="H25" i="1" a="1"/>
  <c r="H25" i="1" s="1"/>
  <c r="I25" i="1" s="1"/>
  <c r="H26" i="1" a="1"/>
  <c r="H26" i="1" s="1"/>
  <c r="I26" i="1" s="1"/>
  <c r="H27" i="1" a="1"/>
  <c r="H27" i="1" s="1"/>
  <c r="I27" i="1" s="1"/>
  <c r="O22" i="1" l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15" i="1"/>
  <c r="K16" i="1"/>
  <c r="L16" i="1"/>
  <c r="M16" i="1"/>
  <c r="AA16" i="1" s="1"/>
  <c r="L17" i="1"/>
  <c r="M17" i="1"/>
  <c r="AA17" i="1" s="1"/>
  <c r="K18" i="1"/>
  <c r="L18" i="1"/>
  <c r="M18" i="1"/>
  <c r="AA18" i="1" s="1"/>
  <c r="K19" i="1"/>
  <c r="L19" i="1"/>
  <c r="M19" i="1"/>
  <c r="AA19" i="1" s="1"/>
  <c r="K20" i="1"/>
  <c r="L20" i="1"/>
  <c r="M20" i="1"/>
  <c r="AA20" i="1" s="1"/>
  <c r="K21" i="1"/>
  <c r="L21" i="1"/>
  <c r="M21" i="1"/>
  <c r="AA21" i="1" s="1"/>
  <c r="L22" i="1"/>
  <c r="M22" i="1"/>
  <c r="AA22" i="1" s="1"/>
  <c r="K23" i="1"/>
  <c r="L23" i="1"/>
  <c r="M23" i="1"/>
  <c r="AA23" i="1" s="1"/>
  <c r="K24" i="1"/>
  <c r="L24" i="1"/>
  <c r="M24" i="1"/>
  <c r="AA24" i="1" s="1"/>
  <c r="K25" i="1"/>
  <c r="L25" i="1"/>
  <c r="M25" i="1"/>
  <c r="AA25" i="1" s="1"/>
  <c r="K26" i="1"/>
  <c r="L26" i="1"/>
  <c r="M26" i="1"/>
  <c r="AA26" i="1" s="1"/>
  <c r="L27" i="1"/>
  <c r="AA27" i="1"/>
  <c r="M15" i="1"/>
  <c r="AA15" i="1" s="1"/>
  <c r="L15" i="1"/>
  <c r="K15" i="1"/>
  <c r="G16" i="1"/>
  <c r="G17" i="1"/>
  <c r="G18" i="1"/>
  <c r="G19" i="1"/>
  <c r="G20" i="1"/>
  <c r="G21" i="1"/>
  <c r="G22" i="1"/>
  <c r="G23" i="1"/>
  <c r="G24" i="1"/>
  <c r="G25" i="1"/>
  <c r="G26" i="1"/>
  <c r="G27" i="1"/>
  <c r="G15" i="1"/>
  <c r="O23" i="1" l="1"/>
  <c r="O27" i="1"/>
  <c r="O21" i="1"/>
  <c r="O25" i="1"/>
  <c r="O19" i="1"/>
  <c r="Q26" i="1"/>
  <c r="Q25" i="1"/>
  <c r="Q24" i="1"/>
  <c r="Q23" i="1"/>
  <c r="Q21" i="1"/>
  <c r="Q20" i="1"/>
  <c r="Q19" i="1"/>
  <c r="Q18" i="1"/>
  <c r="Q16" i="1"/>
  <c r="P27" i="1"/>
  <c r="P26" i="1"/>
  <c r="P25" i="1"/>
  <c r="P24" i="1"/>
  <c r="P23" i="1"/>
  <c r="P22" i="1"/>
  <c r="P21" i="1"/>
  <c r="P20" i="1"/>
  <c r="P19" i="1"/>
  <c r="P18" i="1"/>
  <c r="P17" i="1"/>
  <c r="P16" i="1"/>
  <c r="O26" i="1"/>
  <c r="O24" i="1"/>
  <c r="O20" i="1"/>
  <c r="O18" i="1"/>
  <c r="O16" i="1"/>
  <c r="N26" i="1"/>
  <c r="AI26" i="1" s="1"/>
  <c r="N25" i="1"/>
  <c r="AI25" i="1" s="1"/>
  <c r="N24" i="1"/>
  <c r="AI24" i="1" s="1"/>
  <c r="N23" i="1"/>
  <c r="AI23" i="1" s="1"/>
  <c r="N21" i="1"/>
  <c r="AI21" i="1" s="1"/>
  <c r="N20" i="1"/>
  <c r="AI20" i="1" s="1"/>
  <c r="N19" i="1"/>
  <c r="AI19" i="1" s="1"/>
  <c r="N18" i="1"/>
  <c r="AI18" i="1" s="1"/>
  <c r="N16" i="1"/>
  <c r="AI16" i="1" s="1"/>
  <c r="Q15" i="1"/>
  <c r="P15" i="1"/>
  <c r="O15" i="1"/>
  <c r="N15" i="1"/>
  <c r="AI15" i="1" s="1"/>
  <c r="AN27" i="1"/>
  <c r="Q27" i="1" s="1"/>
  <c r="AN26" i="1"/>
  <c r="AN25" i="1"/>
  <c r="AN24" i="1"/>
  <c r="AN23" i="1"/>
  <c r="AN22" i="1"/>
  <c r="AN21" i="1"/>
  <c r="AN20" i="1"/>
  <c r="AN19" i="1"/>
  <c r="AN18" i="1"/>
  <c r="AN17" i="1"/>
  <c r="AN16" i="1"/>
  <c r="AM27" i="1"/>
  <c r="AM26" i="1"/>
  <c r="AM25" i="1"/>
  <c r="AM24" i="1"/>
  <c r="AM23" i="1"/>
  <c r="AM22" i="1"/>
  <c r="Q22" i="1" s="1"/>
  <c r="AM21" i="1"/>
  <c r="AM20" i="1"/>
  <c r="AM19" i="1"/>
  <c r="AM18" i="1"/>
  <c r="AM17" i="1"/>
  <c r="AM16" i="1"/>
  <c r="AL27" i="1"/>
  <c r="AL26" i="1"/>
  <c r="AL25" i="1"/>
  <c r="AL24" i="1"/>
  <c r="AL23" i="1"/>
  <c r="AL22" i="1"/>
  <c r="AL21" i="1"/>
  <c r="AL20" i="1"/>
  <c r="AL19" i="1"/>
  <c r="AL18" i="1"/>
  <c r="AL17" i="1"/>
  <c r="Q17" i="1" s="1"/>
  <c r="AL16" i="1"/>
  <c r="AK27" i="1"/>
  <c r="AK26" i="1"/>
  <c r="AK25" i="1"/>
  <c r="AK24" i="1"/>
  <c r="AK23" i="1"/>
  <c r="AK22" i="1"/>
  <c r="AK21" i="1"/>
  <c r="AK20" i="1"/>
  <c r="AK19" i="1"/>
  <c r="AK18" i="1"/>
  <c r="AK17" i="1"/>
  <c r="AK16" i="1"/>
  <c r="AN15" i="1"/>
  <c r="AM15" i="1"/>
  <c r="AL15" i="1"/>
  <c r="AK15" i="1"/>
  <c r="AG27" i="1"/>
  <c r="AG26" i="1"/>
  <c r="AG25" i="1"/>
  <c r="AG24" i="1"/>
  <c r="AG23" i="1"/>
  <c r="AG22" i="1"/>
  <c r="AG21" i="1"/>
  <c r="AG20" i="1"/>
  <c r="AG19" i="1"/>
  <c r="AG18" i="1"/>
  <c r="AG17" i="1"/>
  <c r="O17" i="1" s="1"/>
  <c r="AG16" i="1"/>
  <c r="AF27" i="1"/>
  <c r="AF26" i="1"/>
  <c r="AF25" i="1"/>
  <c r="AF24" i="1"/>
  <c r="AF23" i="1"/>
  <c r="AF22" i="1"/>
  <c r="AF21" i="1"/>
  <c r="AF20" i="1"/>
  <c r="AF19" i="1"/>
  <c r="AF18" i="1"/>
  <c r="AF17" i="1"/>
  <c r="AF16" i="1"/>
  <c r="AG15" i="1"/>
  <c r="AF15" i="1"/>
  <c r="AD27" i="1"/>
  <c r="N27" i="1" s="1"/>
  <c r="AI27" i="1" s="1"/>
  <c r="AD26" i="1"/>
  <c r="AD25" i="1"/>
  <c r="AD24" i="1"/>
  <c r="AD23" i="1"/>
  <c r="AD22" i="1"/>
  <c r="AD21" i="1"/>
  <c r="AD20" i="1"/>
  <c r="AD19" i="1"/>
  <c r="AD18" i="1"/>
  <c r="AD17" i="1"/>
  <c r="AD16" i="1"/>
  <c r="AC27" i="1"/>
  <c r="AC26" i="1"/>
  <c r="AC25" i="1"/>
  <c r="AC24" i="1"/>
  <c r="AC23" i="1"/>
  <c r="AC22" i="1"/>
  <c r="N22" i="1" s="1"/>
  <c r="AI22" i="1" s="1"/>
  <c r="AC21" i="1"/>
  <c r="AC20" i="1"/>
  <c r="AC19" i="1"/>
  <c r="AC18" i="1"/>
  <c r="AC17" i="1"/>
  <c r="AC16" i="1"/>
  <c r="AB27" i="1"/>
  <c r="AB26" i="1"/>
  <c r="AB25" i="1"/>
  <c r="AB24" i="1"/>
  <c r="AB23" i="1"/>
  <c r="AB22" i="1"/>
  <c r="AB21" i="1"/>
  <c r="AB20" i="1"/>
  <c r="AB19" i="1"/>
  <c r="AB18" i="1"/>
  <c r="AB17" i="1"/>
  <c r="N17" i="1" s="1"/>
  <c r="AI17" i="1" s="1"/>
  <c r="AB16" i="1"/>
  <c r="AD15" i="1"/>
  <c r="AC15" i="1"/>
  <c r="AB15" i="1"/>
  <c r="F11" i="4"/>
  <c r="E11" i="4"/>
  <c r="H3" i="3"/>
  <c r="D3" i="3"/>
  <c r="C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F13" i="4" l="1"/>
  <c r="F14" i="4"/>
  <c r="F15" i="4"/>
  <c r="F17" i="4"/>
  <c r="F22" i="4"/>
  <c r="F23" i="4"/>
  <c r="F26" i="4"/>
  <c r="F31" i="4"/>
  <c r="F39" i="4"/>
  <c r="F42" i="4"/>
  <c r="F43" i="4"/>
  <c r="F46" i="4"/>
  <c r="F49" i="4"/>
  <c r="F50" i="4"/>
  <c r="F54" i="4"/>
  <c r="F56" i="4"/>
  <c r="F60" i="4"/>
  <c r="F61" i="4"/>
  <c r="F62" i="4"/>
  <c r="F68" i="4"/>
  <c r="F71" i="4"/>
  <c r="F78" i="4"/>
  <c r="F79" i="4"/>
  <c r="F82" i="4"/>
  <c r="F83" i="4"/>
  <c r="F84" i="4"/>
  <c r="F86" i="4"/>
  <c r="F89" i="4"/>
  <c r="F91" i="4"/>
  <c r="F92" i="4"/>
  <c r="F93" i="4"/>
  <c r="F95" i="4"/>
  <c r="F96" i="4"/>
  <c r="F97" i="4"/>
  <c r="F98" i="4"/>
  <c r="F99" i="4"/>
  <c r="F100" i="4"/>
  <c r="F105" i="4"/>
  <c r="F112" i="4"/>
  <c r="F114" i="4"/>
  <c r="F117" i="4"/>
  <c r="F119" i="4"/>
  <c r="F123" i="4"/>
  <c r="F130" i="4"/>
  <c r="F136" i="4"/>
  <c r="F140" i="4"/>
  <c r="F141" i="4"/>
  <c r="F142" i="4"/>
  <c r="F143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E12" i="4"/>
  <c r="F12" i="4" s="1"/>
  <c r="E13" i="4"/>
  <c r="E14" i="4"/>
  <c r="E15" i="4"/>
  <c r="E16" i="4"/>
  <c r="F16" i="4" s="1"/>
  <c r="E17" i="4"/>
  <c r="E18" i="4"/>
  <c r="F18" i="4" s="1"/>
  <c r="E19" i="4"/>
  <c r="F19" i="4" s="1"/>
  <c r="E20" i="4"/>
  <c r="F20" i="4" s="1"/>
  <c r="E21" i="4"/>
  <c r="F21" i="4" s="1"/>
  <c r="E22" i="4"/>
  <c r="E23" i="4"/>
  <c r="E24" i="4"/>
  <c r="F24" i="4" s="1"/>
  <c r="E25" i="4"/>
  <c r="F25" i="4" s="1"/>
  <c r="E26" i="4"/>
  <c r="E27" i="4"/>
  <c r="F27" i="4" s="1"/>
  <c r="E28" i="4"/>
  <c r="F28" i="4" s="1"/>
  <c r="E29" i="4"/>
  <c r="F29" i="4" s="1"/>
  <c r="E30" i="4"/>
  <c r="F30" i="4" s="1"/>
  <c r="E31" i="4"/>
  <c r="E32" i="4"/>
  <c r="F32" i="4" s="1"/>
  <c r="E33" i="4"/>
  <c r="F33" i="4" s="1"/>
  <c r="E34" i="4"/>
  <c r="F34" i="4" s="1"/>
  <c r="E35" i="4"/>
  <c r="F35" i="4" s="1"/>
  <c r="E36" i="4"/>
  <c r="F36" i="4" s="1"/>
  <c r="E37" i="4"/>
  <c r="F37" i="4" s="1"/>
  <c r="E38" i="4"/>
  <c r="F38" i="4" s="1"/>
  <c r="E39" i="4"/>
  <c r="E40" i="4"/>
  <c r="F40" i="4" s="1"/>
  <c r="E41" i="4"/>
  <c r="F41" i="4" s="1"/>
  <c r="E42" i="4"/>
  <c r="E43" i="4"/>
  <c r="E44" i="4"/>
  <c r="F44" i="4" s="1"/>
  <c r="E45" i="4"/>
  <c r="F45" i="4" s="1"/>
  <c r="E46" i="4"/>
  <c r="E47" i="4"/>
  <c r="F47" i="4" s="1"/>
  <c r="E48" i="4"/>
  <c r="F48" i="4" s="1"/>
  <c r="E49" i="4"/>
  <c r="E50" i="4"/>
  <c r="E51" i="4"/>
  <c r="F51" i="4" s="1"/>
  <c r="E52" i="4"/>
  <c r="F52" i="4" s="1"/>
  <c r="E53" i="4"/>
  <c r="F53" i="4" s="1"/>
  <c r="E54" i="4"/>
  <c r="E55" i="4"/>
  <c r="F55" i="4" s="1"/>
  <c r="E56" i="4"/>
  <c r="E57" i="4"/>
  <c r="F57" i="4" s="1"/>
  <c r="E58" i="4"/>
  <c r="F58" i="4" s="1"/>
  <c r="E59" i="4"/>
  <c r="F59" i="4" s="1"/>
  <c r="E60" i="4"/>
  <c r="E61" i="4"/>
  <c r="E62" i="4"/>
  <c r="E63" i="4"/>
  <c r="F63" i="4" s="1"/>
  <c r="E64" i="4"/>
  <c r="F64" i="4" s="1"/>
  <c r="E65" i="4"/>
  <c r="F65" i="4" s="1"/>
  <c r="E66" i="4"/>
  <c r="F66" i="4" s="1"/>
  <c r="E67" i="4"/>
  <c r="F67" i="4" s="1"/>
  <c r="E68" i="4"/>
  <c r="E69" i="4"/>
  <c r="F69" i="4" s="1"/>
  <c r="E70" i="4"/>
  <c r="F70" i="4" s="1"/>
  <c r="E71" i="4"/>
  <c r="E72" i="4"/>
  <c r="F72" i="4" s="1"/>
  <c r="E73" i="4"/>
  <c r="F73" i="4" s="1"/>
  <c r="E74" i="4"/>
  <c r="F74" i="4" s="1"/>
  <c r="E75" i="4"/>
  <c r="F75" i="4" s="1"/>
  <c r="E76" i="4"/>
  <c r="F76" i="4" s="1"/>
  <c r="E77" i="4"/>
  <c r="F77" i="4" s="1"/>
  <c r="E78" i="4"/>
  <c r="E79" i="4"/>
  <c r="E80" i="4"/>
  <c r="F80" i="4" s="1"/>
  <c r="E81" i="4"/>
  <c r="F81" i="4" s="1"/>
  <c r="E82" i="4"/>
  <c r="E83" i="4"/>
  <c r="E84" i="4"/>
  <c r="E85" i="4"/>
  <c r="F85" i="4" s="1"/>
  <c r="E86" i="4"/>
  <c r="E87" i="4"/>
  <c r="F87" i="4" s="1"/>
  <c r="E88" i="4"/>
  <c r="F88" i="4" s="1"/>
  <c r="E89" i="4"/>
  <c r="E90" i="4"/>
  <c r="F90" i="4" s="1"/>
  <c r="E91" i="4"/>
  <c r="E92" i="4"/>
  <c r="E93" i="4"/>
  <c r="E94" i="4"/>
  <c r="F94" i="4" s="1"/>
  <c r="E95" i="4"/>
  <c r="E96" i="4"/>
  <c r="E97" i="4"/>
  <c r="E98" i="4"/>
  <c r="E99" i="4"/>
  <c r="E100" i="4"/>
  <c r="E101" i="4"/>
  <c r="F101" i="4" s="1"/>
  <c r="E102" i="4"/>
  <c r="F102" i="4" s="1"/>
  <c r="E103" i="4"/>
  <c r="F103" i="4" s="1"/>
  <c r="E104" i="4"/>
  <c r="F104" i="4" s="1"/>
  <c r="E105" i="4"/>
  <c r="E106" i="4"/>
  <c r="F106" i="4" s="1"/>
  <c r="E107" i="4"/>
  <c r="F107" i="4" s="1"/>
  <c r="E108" i="4"/>
  <c r="F108" i="4" s="1"/>
  <c r="E109" i="4"/>
  <c r="F109" i="4" s="1"/>
  <c r="E110" i="4"/>
  <c r="F110" i="4" s="1"/>
  <c r="E111" i="4"/>
  <c r="F111" i="4" s="1"/>
  <c r="E112" i="4"/>
  <c r="E113" i="4"/>
  <c r="F113" i="4" s="1"/>
  <c r="E114" i="4"/>
  <c r="E115" i="4"/>
  <c r="F115" i="4" s="1"/>
  <c r="E116" i="4"/>
  <c r="F116" i="4" s="1"/>
  <c r="E117" i="4"/>
  <c r="E118" i="4"/>
  <c r="F118" i="4" s="1"/>
  <c r="E119" i="4"/>
  <c r="E120" i="4"/>
  <c r="F120" i="4" s="1"/>
  <c r="E121" i="4"/>
  <c r="F121" i="4" s="1"/>
  <c r="E122" i="4"/>
  <c r="F122" i="4" s="1"/>
  <c r="E123" i="4"/>
  <c r="E124" i="4"/>
  <c r="F124" i="4" s="1"/>
  <c r="E125" i="4"/>
  <c r="F125" i="4" s="1"/>
  <c r="E126" i="4"/>
  <c r="F126" i="4" s="1"/>
  <c r="E127" i="4"/>
  <c r="F127" i="4" s="1"/>
  <c r="E128" i="4"/>
  <c r="F128" i="4" s="1"/>
  <c r="E129" i="4"/>
  <c r="F129" i="4" s="1"/>
  <c r="E130" i="4"/>
  <c r="E131" i="4"/>
  <c r="F131" i="4" s="1"/>
  <c r="E132" i="4"/>
  <c r="F132" i="4" s="1"/>
  <c r="E133" i="4"/>
  <c r="F133" i="4" s="1"/>
  <c r="E134" i="4"/>
  <c r="F134" i="4" s="1"/>
  <c r="E135" i="4"/>
  <c r="F135" i="4" s="1"/>
  <c r="E136" i="4"/>
  <c r="E137" i="4"/>
  <c r="F137" i="4" s="1"/>
  <c r="E138" i="4"/>
  <c r="F138" i="4" s="1"/>
  <c r="E139" i="4"/>
  <c r="F139" i="4" s="1"/>
  <c r="E140" i="4"/>
  <c r="E141" i="4"/>
  <c r="E142" i="4"/>
  <c r="E143" i="4"/>
  <c r="E144" i="4"/>
  <c r="F144" i="4" s="1"/>
  <c r="E145" i="4"/>
  <c r="F145" i="4" s="1"/>
  <c r="E146" i="4"/>
  <c r="F146" i="4" s="1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L2" i="4" l="1"/>
  <c r="L1" i="4"/>
  <c r="J1" i="4"/>
  <c r="I1" i="4"/>
  <c r="I2" i="4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4" i="3"/>
  <c r="H53" i="3"/>
  <c r="H52" i="3"/>
  <c r="H51" i="3"/>
  <c r="K1" i="4" l="1"/>
  <c r="K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Кваско Сергей Михайлович</author>
  </authors>
  <commentList>
    <comment ref="H1" authorId="0" shapeId="0" xr:uid="{9261829A-5118-466C-A3F4-61CDA139332D}">
      <text>
        <r>
          <rPr>
            <sz val="9"/>
            <color indexed="81"/>
            <rFont val="Calibri"/>
            <family val="2"/>
            <charset val="204"/>
          </rPr>
          <t>ожидаемая сумма платежей</t>
        </r>
      </text>
    </comment>
    <comment ref="I1" authorId="0" shapeId="0" xr:uid="{39F9A8CA-E71D-4861-83BE-D802F07B99EE}">
      <text>
        <r>
          <rPr>
            <sz val="9"/>
            <color indexed="81"/>
            <rFont val="Tahoma"/>
            <family val="2"/>
            <charset val="204"/>
          </rPr>
          <t>ожидаемая сумма платежей по реестру ОСК (будущие)</t>
        </r>
      </text>
    </comment>
    <comment ref="J1" authorId="0" shapeId="0" xr:uid="{959AE855-3924-4B9B-A6DC-317104DE0727}">
      <text>
        <r>
          <rPr>
            <sz val="9"/>
            <color indexed="81"/>
            <rFont val="Tahoma"/>
            <family val="2"/>
            <charset val="204"/>
          </rPr>
          <t>количество ожидаемых платежей</t>
        </r>
      </text>
    </comment>
    <comment ref="K1" authorId="0" shapeId="0" xr:uid="{B53C82EC-9281-4B0D-B3C3-7894CBBAEE43}">
      <text>
        <r>
          <rPr>
            <sz val="9"/>
            <color indexed="81"/>
            <rFont val="Tahoma"/>
            <family val="2"/>
            <charset val="204"/>
          </rPr>
          <t>средняя сумма ожидаемого платежа</t>
        </r>
      </text>
    </comment>
    <comment ref="L1" authorId="0" shapeId="0" xr:uid="{1F981997-437D-4D18-961A-8282D12AB8EA}">
      <text>
        <r>
          <rPr>
            <sz val="9"/>
            <color indexed="81"/>
            <rFont val="Tahoma"/>
            <family val="2"/>
            <charset val="204"/>
          </rPr>
          <t>ожидаемая сумма платежей сегодня</t>
        </r>
      </text>
    </comment>
    <comment ref="H2" authorId="0" shapeId="0" xr:uid="{D1D286CB-0329-4C26-ADBA-0F939A04CC76}">
      <text>
        <r>
          <rPr>
            <sz val="9"/>
            <color indexed="81"/>
            <rFont val="Tahoma"/>
            <family val="2"/>
            <charset val="204"/>
          </rPr>
          <t>потенцияльная просрочка основого долга</t>
        </r>
      </text>
    </comment>
    <comment ref="I2" authorId="0" shapeId="0" xr:uid="{244349C7-1F28-4C05-BFF2-358A2CBF48EA}">
      <text>
        <r>
          <rPr>
            <sz val="9"/>
            <color indexed="81"/>
            <rFont val="Tahoma"/>
            <family val="2"/>
            <charset val="204"/>
          </rPr>
          <t>потенциальная сумма просрочки по реестру ОСК (будущие)</t>
        </r>
      </text>
    </comment>
    <comment ref="K2" authorId="0" shapeId="0" xr:uid="{1D005498-AB00-453F-AFAD-AF3AE29337B7}">
      <text>
        <r>
          <rPr>
            <sz val="9"/>
            <color indexed="81"/>
            <rFont val="Tahoma"/>
            <family val="2"/>
            <charset val="204"/>
          </rPr>
          <t>средняя сумма потенциально просроченного основного долга</t>
        </r>
      </text>
    </comment>
    <comment ref="L2" authorId="0" shapeId="0" xr:uid="{4B93A098-EA8A-4B2B-A0C7-97D881625FE4}">
      <text>
        <r>
          <rPr>
            <sz val="9"/>
            <color indexed="81"/>
            <rFont val="Tahoma"/>
            <family val="2"/>
            <charset val="204"/>
          </rPr>
          <t>потенциальная сумма просрочки сегодня</t>
        </r>
      </text>
    </comment>
  </commentList>
</comments>
</file>

<file path=xl/sharedStrings.xml><?xml version="1.0" encoding="utf-8"?>
<sst xmlns="http://schemas.openxmlformats.org/spreadsheetml/2006/main" count="2358" uniqueCount="1791">
  <si>
    <t>ОжСуПл</t>
  </si>
  <si>
    <t>Платежный календарь</t>
  </si>
  <si>
    <t>ПоПрОД</t>
  </si>
  <si>
    <t>Параметры:</t>
  </si>
  <si>
    <t>Отбор:</t>
  </si>
  <si>
    <t>Контрагент Не в списке "ВЗАИМНО ООО; АЭК ООО КА; АТЛАС ООО; ИРБИС ООО" И</t>
  </si>
  <si>
    <t>Источник данных Равно "Займы предоставленные" И</t>
  </si>
  <si>
    <t>Состояние Равно "Действует"</t>
  </si>
  <si>
    <t>Контрагент</t>
  </si>
  <si>
    <t>Займ.Договор №</t>
  </si>
  <si>
    <t>Дата платежа</t>
  </si>
  <si>
    <t>Итого</t>
  </si>
  <si>
    <t>Сумма планового платежа</t>
  </si>
  <si>
    <t>Остаток ОД</t>
  </si>
  <si>
    <t>Статус</t>
  </si>
  <si>
    <t>Лекторова Екатерина Николаевна</t>
  </si>
  <si>
    <t>В-12098/КЛ.Транш - 1_В-21082023/Ц</t>
  </si>
  <si>
    <t>Платонов Николай Владимирович</t>
  </si>
  <si>
    <t>В-25807/АЗ_В-21082023/Ц</t>
  </si>
  <si>
    <t>Попов Михаил Александрович</t>
  </si>
  <si>
    <t>В-25810/АЗ_В-21082023/Ц</t>
  </si>
  <si>
    <t>Сидоренко Надежда Алексеевна</t>
  </si>
  <si>
    <t>В-25306/КЛ.Транш - 1_В-21082023/Ц</t>
  </si>
  <si>
    <t>Тарасов Олег Васильевич</t>
  </si>
  <si>
    <t>В-22205/КЛ.Транш - 2_В-21082023/Ц</t>
  </si>
  <si>
    <t>Чеботкова Полина Михайловна</t>
  </si>
  <si>
    <t>В-10039/КЛ.Транш - 1_В-20211230/Ц</t>
  </si>
  <si>
    <t>Фролов Павел Андреевич</t>
  </si>
  <si>
    <t>В-20133/КЛ.Транш - 1_В-21082023/Ц</t>
  </si>
  <si>
    <t>Хлебников Владимир Витальевич</t>
  </si>
  <si>
    <t>В-16057/КЛ.Транш - 6_В-21082023/Ц</t>
  </si>
  <si>
    <t>Егоян Вард Баласанович</t>
  </si>
  <si>
    <t>В-01038/АЗ_В-21082023/Ц</t>
  </si>
  <si>
    <t>Карагезян Шушаник Вачагановна</t>
  </si>
  <si>
    <t>В-28159/КЛ.Транш - 1_В-20211230/Ц</t>
  </si>
  <si>
    <t>Копытман Александр Семенович</t>
  </si>
  <si>
    <t>В-17469/КЛ.Транш - 1_В-21082023/Ц</t>
  </si>
  <si>
    <t>Холодков Денис Владимирович</t>
  </si>
  <si>
    <t>В-27105/КЛ.Транш - 1_В-20211230/Ц</t>
  </si>
  <si>
    <t>Хоминец Владимир Владимирович</t>
  </si>
  <si>
    <t>В-10474/КЛ.Транш - 4_В-21082023/Ц</t>
  </si>
  <si>
    <t>Члоян Геворк Мамбреович</t>
  </si>
  <si>
    <t>В-01039/АЗ_В-21082023/Ц</t>
  </si>
  <si>
    <t>Белоусов Валерий Владиславович</t>
  </si>
  <si>
    <t>В-25922/КЛ.Транш - 1_В-21082023/Ц</t>
  </si>
  <si>
    <t>Зотов Дмитрий Анатольевич</t>
  </si>
  <si>
    <t>В-23555/КЛ.Транш - 1_В-21082023/Ц</t>
  </si>
  <si>
    <t>Юсупов Альберт Гиннатуллаевич</t>
  </si>
  <si>
    <t>В-28235/АЗ_В-21082023/Ц</t>
  </si>
  <si>
    <t>Авагян Тигран Агванович</t>
  </si>
  <si>
    <t>Ахмедов Магомедрасул Камаладинович</t>
  </si>
  <si>
    <t>В-26422/КЛ.Транш - 1_В-21082023/Ц</t>
  </si>
  <si>
    <t>Дудин Василий Васильевич</t>
  </si>
  <si>
    <t>В-16067/КЛ.Транш - 1_В-21082023/Ц</t>
  </si>
  <si>
    <t>Мисюк Георгий Анатольевич</t>
  </si>
  <si>
    <t>В-22309/АЗ_В-21082023/Ц</t>
  </si>
  <si>
    <t>Пивченкова Наталья Александровна</t>
  </si>
  <si>
    <t>В-25950/КЛ.Транш - 1_В-20211230/Ц</t>
  </si>
  <si>
    <t>Соколова Екатерина Николаевна</t>
  </si>
  <si>
    <t>В-25764/КЛ.Транш - 1_В-21082023/Ц</t>
  </si>
  <si>
    <t>Афонин Сергей Юрьевич</t>
  </si>
  <si>
    <t>В-10204/КЛ.Транш - 1_В-21082023/Ц</t>
  </si>
  <si>
    <t>Губская Светлана Анатольевна</t>
  </si>
  <si>
    <t>В-11396/КЛ.Транш - 2_В-21082023/Ц</t>
  </si>
  <si>
    <t>Назаров Всеволод Владимирович</t>
  </si>
  <si>
    <t>В-19740/КЛ.Транш - 7_В-21082023/Ц</t>
  </si>
  <si>
    <t>Попов Виктор Вячеславович</t>
  </si>
  <si>
    <t>В-21306/КЛ.Транш - 1_В-21082023/Ц</t>
  </si>
  <si>
    <t>Борисов Андрей Сергеевич</t>
  </si>
  <si>
    <t>В-14198/КЛ.Транш - 1_В-21082023/Ц</t>
  </si>
  <si>
    <t>Литвинов Дмитрий Геннадьевич</t>
  </si>
  <si>
    <t>В-11277/КЛ.Транш - 1_В-21082023/Ц</t>
  </si>
  <si>
    <t>Белякова Марина Сергеевна</t>
  </si>
  <si>
    <t>В-22677/КЛ.Транш - 1_В-21082023/Ц</t>
  </si>
  <si>
    <t>Бондаренко Александр Александрович</t>
  </si>
  <si>
    <t>В-25659/КЛ.Транш - 2_В-20211230/Ц</t>
  </si>
  <si>
    <t>Егиазарян Геворг Рубикович</t>
  </si>
  <si>
    <t>В-28358/КЛ.Транш - 1_В-21082023/Ц</t>
  </si>
  <si>
    <t>Павлов Вячеслав Игоревич</t>
  </si>
  <si>
    <t>В-12574/КЛ.Транш - 1_В-21082023/Ц</t>
  </si>
  <si>
    <t>Рахимов Фарход Каримович</t>
  </si>
  <si>
    <t>В-26114/КЛ.Транш - 1_В-21082023/Ц</t>
  </si>
  <si>
    <t>Слепнев Иван Викторович</t>
  </si>
  <si>
    <t>В-20251/КЛ.Транш - 2_В-20211230/Ц</t>
  </si>
  <si>
    <t>Ширманов Никита Александрович</t>
  </si>
  <si>
    <t>В-20952/КЛ.Транш - 4_В-21082023/Ц</t>
  </si>
  <si>
    <t>Сайдалиева Наталия Владимировна</t>
  </si>
  <si>
    <t>В-12662/КЛ.Транш - 1_В-21082023/Ц</t>
  </si>
  <si>
    <t>Сидоров Александр Владимирович</t>
  </si>
  <si>
    <t>В-19355/КЛ.Транш - 1_В-21082023/Ц</t>
  </si>
  <si>
    <t>Фомин Иван Евгеньевич</t>
  </si>
  <si>
    <t>В-09100/КЛ.Транш - 1_В-21082023/Ц</t>
  </si>
  <si>
    <t>Ципис Вадим Яковлевич</t>
  </si>
  <si>
    <t>В-14216/КЛ.Транш - 2_В-21082023/Ц</t>
  </si>
  <si>
    <t>Мазуренко Наталья Владимировна</t>
  </si>
  <si>
    <t>В-01109/АЗ_В-21082023/Ц</t>
  </si>
  <si>
    <t>Новрузов Марат Абильфас Оглы</t>
  </si>
  <si>
    <t>В-24983/КЛ.Транш - 1_В-20211230/Ц</t>
  </si>
  <si>
    <t>В-12574/КЛ.Транш - 3_В-21082023/Ц</t>
  </si>
  <si>
    <t>Говоруха Андрей Михайлович</t>
  </si>
  <si>
    <t>В-21568/КЛ.Транш - 1_В-21082023/Ц</t>
  </si>
  <si>
    <t>Дзюба Евгений Григорьевич</t>
  </si>
  <si>
    <t>В-22409/КЛ.Транш - 1_В-21082023/Ц</t>
  </si>
  <si>
    <t>Коркина Елена Александровна</t>
  </si>
  <si>
    <t>Навасардян Алёна Евгеньевна</t>
  </si>
  <si>
    <t>В-14818/КЛ.Транш - 1_В-20211230/Ц</t>
  </si>
  <si>
    <t>Голосенин Тимофей Васильевич</t>
  </si>
  <si>
    <t>В-08348/КЛ.Транш - 7_В-21082023/Ц</t>
  </si>
  <si>
    <t>Гупало Илья Александрович</t>
  </si>
  <si>
    <t>В-01217/АЗ_В-20211230/Ц</t>
  </si>
  <si>
    <t>Диденко Роман Владимирович</t>
  </si>
  <si>
    <t>В-12256/КЛ.Транш - 1_В-21082023/Ц</t>
  </si>
  <si>
    <t>Егупов Дмитрий Сергеевич</t>
  </si>
  <si>
    <t>В-28549/АЗ_В-21082023/Ц</t>
  </si>
  <si>
    <t>В-23555/КЛ.Транш - 2_В-21082023/Ц</t>
  </si>
  <si>
    <t>Султанова Анна Валерьевна</t>
  </si>
  <si>
    <t>В-23901/КЛ.Транш - 1_В-21082023/Ц</t>
  </si>
  <si>
    <t>Хадиев Фанис Рафисович</t>
  </si>
  <si>
    <t>В-14816/КЛ.Транш - 1_В-21082023/Ц</t>
  </si>
  <si>
    <t>В-14216/КЛ.Транш - 4_В-21082023/Ц</t>
  </si>
  <si>
    <t>Барт Денис Михайлович</t>
  </si>
  <si>
    <t>В-01174/АЗ_В-21082023/Ц</t>
  </si>
  <si>
    <t>Лякишев Павел Александрович</t>
  </si>
  <si>
    <t>В-16242/КЛ.Транш - 2_В-21082023/Ц</t>
  </si>
  <si>
    <t>В-10474/КЛ.Транш - 3_В-21082023/Ц</t>
  </si>
  <si>
    <t>Атабоев Каримжон Валижонович</t>
  </si>
  <si>
    <t>В-09172/КЛ.Транш - 1_В-21082023/Ц</t>
  </si>
  <si>
    <t>Григорьев Олег Вячеславович</t>
  </si>
  <si>
    <t>В-18894/КЛ.Транш - 1_В-21082023/Ц</t>
  </si>
  <si>
    <t>Житаренко Юрий Иванович</t>
  </si>
  <si>
    <t>В-10495/КЛ.Транш - 1_В-21082023/Ц</t>
  </si>
  <si>
    <t>Кожинов Дмитрий Сергеевич</t>
  </si>
  <si>
    <t>В-28598/КЛ.Транш - 1_В-21082023/Ц</t>
  </si>
  <si>
    <t>Макаренко Екатерина Васильевна</t>
  </si>
  <si>
    <t>В-26950/КЛ.Транш - 1_В-21082023/Ц</t>
  </si>
  <si>
    <t>Пушкарев Александр Борисович</t>
  </si>
  <si>
    <t>В-15954/КЛ.Транш - 1_В-21082023/Ц</t>
  </si>
  <si>
    <t>В-20952/КЛ.Транш - 3_В-21082023/Ц</t>
  </si>
  <si>
    <t>Захарова Ирина Константиновна</t>
  </si>
  <si>
    <t>В-12912/КЛ.Транш - 1_В-21082023/Ц</t>
  </si>
  <si>
    <t>Король Маргарита Игоревна</t>
  </si>
  <si>
    <t>В-22935/КЛ.Транш - 1_В-21082023/Ц</t>
  </si>
  <si>
    <t>Петров Юрий Викторович</t>
  </si>
  <si>
    <t>В-26450/АЗ_В-20211230/Ц</t>
  </si>
  <si>
    <t>Подчуфарова Лариса Николаевна</t>
  </si>
  <si>
    <t>В-22449/КЛ.Транш - 1_В-21082023/Ц</t>
  </si>
  <si>
    <t>Романов Евгений Юрьевич</t>
  </si>
  <si>
    <t>В-00955/АЗ_В-21082023/Ц</t>
  </si>
  <si>
    <t>Светлов Виталий Анатольевич</t>
  </si>
  <si>
    <t>В-26449/АЗ_В-20211230/Ц</t>
  </si>
  <si>
    <t>Смирнов Игорь Александрович</t>
  </si>
  <si>
    <t>В-24580/КЛ.Транш - 1_В-21082023/Ц</t>
  </si>
  <si>
    <t>В-14216/КЛ.Транш - 3_В-21082023/Ц</t>
  </si>
  <si>
    <t>Алешкевич Алексей Викторович</t>
  </si>
  <si>
    <t>В-23370/КЛ.Транш - 2_В-21082023/Ц</t>
  </si>
  <si>
    <t>В-17469/КЛ.Транш - 2_В-21082023/Ц</t>
  </si>
  <si>
    <t>В-19740/КЛ.Транш - 8_В-21082023/Ц</t>
  </si>
  <si>
    <t>Новоселов Сергей Владимирович</t>
  </si>
  <si>
    <t>В-19548/КЛ.Транш - 1_В-21082023/Ц</t>
  </si>
  <si>
    <t>Ульбашева Елена Владимировна</t>
  </si>
  <si>
    <t>В-28539/КЛ.Транш - 1_В-21082023/Ц</t>
  </si>
  <si>
    <t>Цирамуа Наталия Наполеоновна</t>
  </si>
  <si>
    <t>В-22979/КЛ.Транш - 1_В-21082023/Ц</t>
  </si>
  <si>
    <t>Кисель Наталья Александровна</t>
  </si>
  <si>
    <t>В-12553/КЛ.Транш - 1_В-21082023/Ц</t>
  </si>
  <si>
    <t>Куренкова Марина Анатольевна</t>
  </si>
  <si>
    <t>В-08270/КЛ.Транш - 1_В-21082023/Ц</t>
  </si>
  <si>
    <t>В-12574/КЛ.Транш - 2_В-21082023/Ц</t>
  </si>
  <si>
    <t>Степенко Александр Сергеевич</t>
  </si>
  <si>
    <t>В-12269/КЛ.Транш - 1_В-21082023/Ц</t>
  </si>
  <si>
    <t>Конуркин Сергей Сергеевич</t>
  </si>
  <si>
    <t>В-27646/КЛ.Транш - 1_В-21082023/Ц</t>
  </si>
  <si>
    <t>Рамазанов Абакар Рамазанович</t>
  </si>
  <si>
    <t>В-17916/КЛ.Транш - 1_В-21082023/Ц</t>
  </si>
  <si>
    <t>Рябов Игорь Владимирович</t>
  </si>
  <si>
    <t>В-21911/КЛ.Транш - 1_В-21082023/Ц</t>
  </si>
  <si>
    <t>Селеверстов Михаил Васильевич</t>
  </si>
  <si>
    <t>В-18414/КЛ.Транш - 1_В-21082023/Ц</t>
  </si>
  <si>
    <t>Абакумов Вадим Михайлович</t>
  </si>
  <si>
    <t>В-28360/КЛ.Транш - 1_В-20211230/Ц</t>
  </si>
  <si>
    <t>В-02064/КЛ.Транш - 3_В-21082023/Ц</t>
  </si>
  <si>
    <t>Богданова Ольга Геннадиевна</t>
  </si>
  <si>
    <t>В-18536/КЛ.Транш - 1_В-21082023/Ц</t>
  </si>
  <si>
    <t>Валеев Рамиль Равилович</t>
  </si>
  <si>
    <t>В-11716/КЛ.Транш - 1_В-21082023/Ц</t>
  </si>
  <si>
    <t>Краснокутская Ирина Анатольевна</t>
  </si>
  <si>
    <t>В-26649/АЗ_В-20211230/Ц</t>
  </si>
  <si>
    <t>Краснокутский Анатолий Владимирович</t>
  </si>
  <si>
    <t>В-26651/АЗ_В-20211230/Ц</t>
  </si>
  <si>
    <t>Лемкин Николай Иванович</t>
  </si>
  <si>
    <t>В-26664/КЛ.Транш - 1_В-21082023/Ц</t>
  </si>
  <si>
    <t>Пахомов Михаил Юрьевич</t>
  </si>
  <si>
    <t>В-13136/КЛ.Транш - 1_В-20211230/Ц</t>
  </si>
  <si>
    <t>Савельев Станислав Валентинович</t>
  </si>
  <si>
    <t>В-08454/КЛ.Транш - 1_В-21082023/Ц</t>
  </si>
  <si>
    <t>Бурма Мария Георгиевна</t>
  </si>
  <si>
    <t>В-26733/КЛ.Транш - 1_В-21082023/Ц</t>
  </si>
  <si>
    <t>Харитонова Ирина Александровна</t>
  </si>
  <si>
    <t>В-13235/КЛ.Транш - 1_В-21082023/Ц</t>
  </si>
  <si>
    <t>Элоян Артур Гамбарович</t>
  </si>
  <si>
    <t>В-18548/КЛ.Транш - 1_В-20211230/Ц</t>
  </si>
  <si>
    <t>Видяков Денис Сергеевич</t>
  </si>
  <si>
    <t>В-28587/КЛ.Транш - 1_В-21082023/Ц</t>
  </si>
  <si>
    <t>Мартынко Александра Андреевна</t>
  </si>
  <si>
    <t>В-26816/КЛ.Транш - 1_В-20211230/Ц</t>
  </si>
  <si>
    <t>В-20952/КЛ.Транш - 6_В-21082023/Ц</t>
  </si>
  <si>
    <t>Левченков Георгий Михайлович</t>
  </si>
  <si>
    <t>В-28436/АЗ_В-21082023/Ц</t>
  </si>
  <si>
    <t>Павлов Алексей Георгиевич</t>
  </si>
  <si>
    <t>В-12523/КЛ.Транш - 2_В-21082023/Ц</t>
  </si>
  <si>
    <t>Самошин Дмитрий Сергеевич</t>
  </si>
  <si>
    <t>В-23923/КЛ.Транш - 1_В-21082023/Ц</t>
  </si>
  <si>
    <t>Белан Надежда Александровна</t>
  </si>
  <si>
    <t>В-04724/КЛ.Транш - 3_В-20211230/Ц</t>
  </si>
  <si>
    <t>Годуйко Николай Николаевич</t>
  </si>
  <si>
    <t>В-27315/КЛ.Транш - 1_В-21082023/Ц</t>
  </si>
  <si>
    <t>Горбачев Иван Эдуардович</t>
  </si>
  <si>
    <t>В-23229/АЗ_В-21082023/Ц</t>
  </si>
  <si>
    <t>Жирнов Игорь Владимирович</t>
  </si>
  <si>
    <t>В-08644/КЛ.Транш - 1_В-21082023/Ц</t>
  </si>
  <si>
    <t>Малхасян Арарат Балабекович</t>
  </si>
  <si>
    <t>В-15138/КЛ.Транш - 1_В-21082023/Ц</t>
  </si>
  <si>
    <t>Соколов Константин Иванович</t>
  </si>
  <si>
    <t>В-28906/КЛ.Транш - 1_В-21082023/Ц</t>
  </si>
  <si>
    <t>В-22205/КЛ.Транш - 1_В-21082023/Ц</t>
  </si>
  <si>
    <t>В-10474/КЛ.Транш - 5_В-21082023/Ц</t>
  </si>
  <si>
    <t>Гагарин Юрий Александрович</t>
  </si>
  <si>
    <t>В-28961/КЛ.Транш - 1_В-21082023/Ц</t>
  </si>
  <si>
    <t>Мусаев Заурбек Хадживелиевич</t>
  </si>
  <si>
    <t>В-24350/КЛ.Транш - 1_В-20211230/Ц</t>
  </si>
  <si>
    <t>Смолин Виктор Иванович</t>
  </si>
  <si>
    <t>В-27788/КЛ.Транш - 1_В-21082023/Ц</t>
  </si>
  <si>
    <t>Ахметова Елена Леонидовна</t>
  </si>
  <si>
    <t>В-21253/КЛ.Транш - 1_В-21082023/Ц</t>
  </si>
  <si>
    <t>В-19991/КЛ.Транш - 1_В-21082023/Ц</t>
  </si>
  <si>
    <t>Чепрасова Галина Александровна</t>
  </si>
  <si>
    <t>В-27914/КЛ.Транш - 1_В-21082023/Ц</t>
  </si>
  <si>
    <t>Шаламова Татьяна Андреевна</t>
  </si>
  <si>
    <t>В-27929/КЛ.Транш - 1_В-21082023/Ц</t>
  </si>
  <si>
    <t>Блинов Сергей Владимирович</t>
  </si>
  <si>
    <t>В-25548/КЛ.Транш - 1_В-21082023/Ц</t>
  </si>
  <si>
    <t>Кондрашов Василий Игоревич</t>
  </si>
  <si>
    <t>В-16455/КЛ.Транш - 1_В-21082023/Ц</t>
  </si>
  <si>
    <t>Насырова Шахлохон Раимжановна</t>
  </si>
  <si>
    <t>В-19286/КЛ.Транш - 1_В-21082023/Ц</t>
  </si>
  <si>
    <t>Петрова Елена Владимировна</t>
  </si>
  <si>
    <t>В-03974/КЛ.Транш - 3_В-21082023/Ц</t>
  </si>
  <si>
    <t>Терехов Андрей Анатольевич</t>
  </si>
  <si>
    <t>В-20035/КЛ.Транш - 1_В-21082023/Ц</t>
  </si>
  <si>
    <t>В-02064/КЛ.Транш - 4_В-21082023/Ц</t>
  </si>
  <si>
    <t>В-25922/КЛ.Транш - 2_В-21082023/Ц</t>
  </si>
  <si>
    <t>Мусаев Натиг Байрам Оглы</t>
  </si>
  <si>
    <t>В-25627/КЛ.Транш - 1_В-21082023/Ц</t>
  </si>
  <si>
    <t>В-19740/КЛ.Транш - 5_В-21082023/Ц</t>
  </si>
  <si>
    <t>В-10474/КЛ.Транш - 6_В-21082023/Ц</t>
  </si>
  <si>
    <t>В-25659/КЛ.Транш - 1_В-20211230/Ц</t>
  </si>
  <si>
    <t>Локшина Ольга Владимировна</t>
  </si>
  <si>
    <t>В-23919/КЛ.Транш - 1_В-21082023/Ц</t>
  </si>
  <si>
    <t>Тульнова Ольга Владимировна</t>
  </si>
  <si>
    <t>В-12067/КЛ.Транш - 1_В-21082023/Ц</t>
  </si>
  <si>
    <t>Хачатрян Хачик Норайрович</t>
  </si>
  <si>
    <t>В-12066/КЛ.Транш - 1_В-21082023/Ц</t>
  </si>
  <si>
    <t>Колесников Евгений Михайлович</t>
  </si>
  <si>
    <t>В-18921/КЛ.Транш - 1_В-21082023/Ц</t>
  </si>
  <si>
    <t>Кузьмин Михаил Юрьевич</t>
  </si>
  <si>
    <t>В-12113/КЛ.Транш - 1_В-20211230/Ц</t>
  </si>
  <si>
    <t>В-12098/КЛ.Транш - 2_В-21082023/Ц</t>
  </si>
  <si>
    <t>Зайцев Иван Владимирович</t>
  </si>
  <si>
    <t>В-13449/КЛ.Транш - 1_В-21082023/Ц</t>
  </si>
  <si>
    <t>Колесников Михаил Вячеславович</t>
  </si>
  <si>
    <t>В-28090/АЗ_В-20211230/Ц</t>
  </si>
  <si>
    <t>В-22935/КЛ.Транш - 2_В-21082023/Ц</t>
  </si>
  <si>
    <t>В-19740/КЛ.Транш - 6_В-21082023/Ц</t>
  </si>
  <si>
    <t>Шиховцов Игорь Николаевич</t>
  </si>
  <si>
    <t>В-23410/КЛ.Транш - 1_В-20211230/Ц</t>
  </si>
  <si>
    <t>В-18548/КЛ.Транш - 2_В-20211230/Ц</t>
  </si>
  <si>
    <t>1С</t>
  </si>
  <si>
    <t>Просрочники</t>
  </si>
  <si>
    <t>Заемщик</t>
  </si>
  <si>
    <t>Договор</t>
  </si>
  <si>
    <t>Дата выхода</t>
  </si>
  <si>
    <t>?в просрочниках?</t>
  </si>
  <si>
    <t xml:space="preserve">Заемщик </t>
  </si>
  <si>
    <t>есть в 1С</t>
  </si>
  <si>
    <t>Период: 01.08.2024 - 31.08.2024</t>
  </si>
  <si>
    <t>Портфель задолженности по займам предоставленным</t>
  </si>
  <si>
    <t>На конец дня: 14.08.2024</t>
  </si>
  <si>
    <t>Включать в задолженность (Пени штрафы и прочие доходы): Нет</t>
  </si>
  <si>
    <t>Диапазоны просрочки по займам: </t>
  </si>
  <si>
    <t>Диапазоны сроков возврата займов: </t>
  </si>
  <si>
    <t>Просроченный займ Равно "Да" И</t>
  </si>
  <si>
    <t>( Организация Равно "КА АЭК ООО" ) И</t>
  </si>
  <si>
    <t>Заемщик Не в списке "АЭК ООО КА; АТЛАС ООО; ВЗАИМНО ООО; ИРБИС ООО" И</t>
  </si>
  <si>
    <t>Дней на просрочке Меньше или равно "95" И</t>
  </si>
  <si>
    <t>Актуальный займ.Договор.Дата передачи в КО (Договоры) Не заполнено</t>
  </si>
  <si>
    <t>Займ предоставленный.Номер договора</t>
  </si>
  <si>
    <t>Дней</t>
  </si>
  <si>
    <t>На просрочке с</t>
  </si>
  <si>
    <t>Просрочено</t>
  </si>
  <si>
    <t>Всего</t>
  </si>
  <si>
    <t>Включать в задолженность (Пени штрафы и прочие доходы): Да</t>
  </si>
  <si>
    <t>( Организация Равно "КА АЭК ООО" ИЛИ</t>
  </si>
  <si>
    <t>Организация Равно "АТЛАС ООО" ИЛИ</t>
  </si>
  <si>
    <t>Организация Равно "ВЗАИМНО ООО" ИЛИ</t>
  </si>
  <si>
    <t>Организация Равно "ИРБИС ООО" ) И</t>
  </si>
  <si>
    <t>Заемщик Не в списке "ВЗАИМНО ООО; АЭК ООО КА; АТЛАС ООО; ИП Белов Олег Валерьевич" И</t>
  </si>
  <si>
    <t>Общая сумма задолженности Больше "0"</t>
  </si>
  <si>
    <t>ПДП</t>
  </si>
  <si>
    <t>ОД</t>
  </si>
  <si>
    <t>Проценты</t>
  </si>
  <si>
    <t>Пени</t>
  </si>
  <si>
    <t>Прочие и доходы</t>
  </si>
  <si>
    <t>А-00714/АЗ</t>
  </si>
  <si>
    <t>Чекалкин Михаил Михайлович</t>
  </si>
  <si>
    <t>3 672</t>
  </si>
  <si>
    <t>А-00934/АЗ</t>
  </si>
  <si>
    <t>Королев Герман Борисович</t>
  </si>
  <si>
    <t>3 585</t>
  </si>
  <si>
    <t>А-01262/АЗ</t>
  </si>
  <si>
    <t>Гоголадзе Джондо Александрович</t>
  </si>
  <si>
    <t>3 530</t>
  </si>
  <si>
    <t>А-01147/АЗ</t>
  </si>
  <si>
    <t>Ходакова Ирина Борисовна</t>
  </si>
  <si>
    <t>3 422</t>
  </si>
  <si>
    <t>А-01652/АЗ</t>
  </si>
  <si>
    <t>Щербин Виталий Борисович</t>
  </si>
  <si>
    <t>3 283</t>
  </si>
  <si>
    <t>Т-00638/АЗ_Т-20211028/Ц</t>
  </si>
  <si>
    <t>А-00005/КЭ.Транш - 1</t>
  </si>
  <si>
    <t>Фаворит ООО</t>
  </si>
  <si>
    <t>3 193</t>
  </si>
  <si>
    <t>А-00027/КЭ.Транш - 1</t>
  </si>
  <si>
    <t>КАЙГЕР-КЛИНИНГ ООО</t>
  </si>
  <si>
    <t>3 136</t>
  </si>
  <si>
    <t>А-01830/АЗ</t>
  </si>
  <si>
    <t>Лихтенвальд Игорь Владимирович</t>
  </si>
  <si>
    <t>3 123</t>
  </si>
  <si>
    <t>А-00008/КЭ.Транш - 1</t>
  </si>
  <si>
    <t>ПРОФРЕСУРС ООО</t>
  </si>
  <si>
    <t>3 016</t>
  </si>
  <si>
    <t>А-00101/КЭ.Транш - 1</t>
  </si>
  <si>
    <t>ИП Кнутов Сергей Алексеевич</t>
  </si>
  <si>
    <t>2 872</t>
  </si>
  <si>
    <t>А-01872/АЗ</t>
  </si>
  <si>
    <t>Сальников Андрей Владимирович</t>
  </si>
  <si>
    <t>2 802</t>
  </si>
  <si>
    <t>А-00161/КЭ.Транш - 1</t>
  </si>
  <si>
    <t>ИП Султанова Екатерина Владимировна</t>
  </si>
  <si>
    <t>2 740</t>
  </si>
  <si>
    <t>А-02585/АЗ</t>
  </si>
  <si>
    <t>Хмелевский Кирилл Кириллович</t>
  </si>
  <si>
    <t>2 394</t>
  </si>
  <si>
    <t>А-02772/АЗ</t>
  </si>
  <si>
    <t>Новоселов Евгений Михайлович</t>
  </si>
  <si>
    <t>2 392</t>
  </si>
  <si>
    <t>А-03822/АЗ</t>
  </si>
  <si>
    <t>Матвеев Александр Иванович</t>
  </si>
  <si>
    <t>2 294</t>
  </si>
  <si>
    <t>А-04022/АЗ</t>
  </si>
  <si>
    <t>Мелитонян Саят Араевич</t>
  </si>
  <si>
    <t>2 202</t>
  </si>
  <si>
    <t>А-00029/БЭ</t>
  </si>
  <si>
    <t>Саповский Олег Владимирович</t>
  </si>
  <si>
    <t>2 183</t>
  </si>
  <si>
    <t>А-00211/КЭ.Транш - 2</t>
  </si>
  <si>
    <t>КРОШКИ ООО</t>
  </si>
  <si>
    <t>2 169</t>
  </si>
  <si>
    <t>А-03853/АЗ</t>
  </si>
  <si>
    <t>Караваев Евгений Сергеевич</t>
  </si>
  <si>
    <t>2 161</t>
  </si>
  <si>
    <t>А-00084/КЭ.Транш - 3</t>
  </si>
  <si>
    <t>МСККОРП ООО</t>
  </si>
  <si>
    <t>2 153</t>
  </si>
  <si>
    <t>А-10036/КЭ.Транш - 1</t>
  </si>
  <si>
    <t>ИП Королев Александр Владимирович</t>
  </si>
  <si>
    <t>А-10037/КЭ.Транш - 1</t>
  </si>
  <si>
    <t>СТРОЙ ПРОТЕК ООО</t>
  </si>
  <si>
    <t>А-04384/АЗ</t>
  </si>
  <si>
    <t>Платунова Жанна Александровна</t>
  </si>
  <si>
    <t>2 146</t>
  </si>
  <si>
    <t>А-04275/АЗ</t>
  </si>
  <si>
    <t>Абубакиров Бату Асхарович</t>
  </si>
  <si>
    <t>2 143</t>
  </si>
  <si>
    <t>А-03942/АЗ</t>
  </si>
  <si>
    <t>Морозов Владимир Владимирович</t>
  </si>
  <si>
    <t>2 130</t>
  </si>
  <si>
    <t>А-03756/АЗ</t>
  </si>
  <si>
    <t>Сердюк Лидия Мянсуровна</t>
  </si>
  <si>
    <t>2 128</t>
  </si>
  <si>
    <t>А-03591/АЗ</t>
  </si>
  <si>
    <t>Анчутин Павел Александрович</t>
  </si>
  <si>
    <t>2 117</t>
  </si>
  <si>
    <t>А-00035/БЭ</t>
  </si>
  <si>
    <t>Королёв Дмитрий Евгеньевич</t>
  </si>
  <si>
    <t>2 116</t>
  </si>
  <si>
    <t>А-04617/АЗ</t>
  </si>
  <si>
    <t>Храмов Антон Иванович</t>
  </si>
  <si>
    <t>2 091</t>
  </si>
  <si>
    <t>А-10061/КЭ.Транш - 1</t>
  </si>
  <si>
    <t>ИП Акулич Александр Сергеевич</t>
  </si>
  <si>
    <t>2 071</t>
  </si>
  <si>
    <t>Т-01646/АЗ_В-21082023/Ц</t>
  </si>
  <si>
    <t>Ковбасенко Александр Анатольевич</t>
  </si>
  <si>
    <t>2 044</t>
  </si>
  <si>
    <t>А-04236/АЗ</t>
  </si>
  <si>
    <t>Рафиев Агалар Сейдага-оглы</t>
  </si>
  <si>
    <t>1 999</t>
  </si>
  <si>
    <t>А-00292/КЭ.Транш - 1</t>
  </si>
  <si>
    <t>ИП Аристакесян Анна Николаевна</t>
  </si>
  <si>
    <t>1 996</t>
  </si>
  <si>
    <t>А-00305/КЭ.Транш - 1</t>
  </si>
  <si>
    <t>ИП Сбитнева Нелли Игоревна</t>
  </si>
  <si>
    <t>1 994</t>
  </si>
  <si>
    <t>А-00314/КЭ.Транш - 1</t>
  </si>
  <si>
    <t>ИП Мамедов Эльдар Эльдарович</t>
  </si>
  <si>
    <t>1 952</t>
  </si>
  <si>
    <t>А-05195/АЗ</t>
  </si>
  <si>
    <t>Строчкин Сергей Иванович</t>
  </si>
  <si>
    <t>1 943</t>
  </si>
  <si>
    <t>А-05208/АЗ</t>
  </si>
  <si>
    <t>Иджян Соломон Сергеевич</t>
  </si>
  <si>
    <t>1 941</t>
  </si>
  <si>
    <t>Т-01642/АЗ_В-21082023/Ц</t>
  </si>
  <si>
    <t>Алексеев Юрий Сергеевич</t>
  </si>
  <si>
    <t>1 927</t>
  </si>
  <si>
    <t>А-04352/АЗ</t>
  </si>
  <si>
    <t>Матиев Шодмон Эргашевич</t>
  </si>
  <si>
    <t>1 913</t>
  </si>
  <si>
    <t>А-04668/АЗ_В-21082023/Ц</t>
  </si>
  <si>
    <t>1 896</t>
  </si>
  <si>
    <t>А-05130/АЗ</t>
  </si>
  <si>
    <t>Михалевский Александр Михайлович</t>
  </si>
  <si>
    <t>1 895</t>
  </si>
  <si>
    <t>А-05138/АЗ</t>
  </si>
  <si>
    <t>Базаров Бахтиёр Асрорович</t>
  </si>
  <si>
    <t>1 891</t>
  </si>
  <si>
    <t>Т-01754/АЗ_20190723/Ц</t>
  </si>
  <si>
    <t>1 882</t>
  </si>
  <si>
    <t>А-10070/КЭ.Транш - 1</t>
  </si>
  <si>
    <t>К12 ООО</t>
  </si>
  <si>
    <t>1 880</t>
  </si>
  <si>
    <t>В-00065/АЗ_В-21082023/Ц</t>
  </si>
  <si>
    <t>Горохов Сергей Владимирович 2</t>
  </si>
  <si>
    <t>В-00151/АЗ_В-20211230/Ц</t>
  </si>
  <si>
    <t>Трифонов Николай Валентинович</t>
  </si>
  <si>
    <t>В-00161/АЗ_В-21082023/Ц</t>
  </si>
  <si>
    <t>Гулиев Адиль Джангирович</t>
  </si>
  <si>
    <t>1 878</t>
  </si>
  <si>
    <t>А-04742/АЗ</t>
  </si>
  <si>
    <t>Добрица Любовь Анатольевна</t>
  </si>
  <si>
    <t>1 876</t>
  </si>
  <si>
    <t>А-04684/АЗ</t>
  </si>
  <si>
    <t>1 863</t>
  </si>
  <si>
    <t>В-00041/АЗ_В-21082023/Ц</t>
  </si>
  <si>
    <t>Герюгов Расул Азнаурович</t>
  </si>
  <si>
    <t>1 856</t>
  </si>
  <si>
    <t>А-04593/АЗ</t>
  </si>
  <si>
    <t>Шахбазян Овсеп Сурикович</t>
  </si>
  <si>
    <t>1 855</t>
  </si>
  <si>
    <t>А-05335/АЗ_Т-20211028/Ц</t>
  </si>
  <si>
    <t>Четверикова Ирина Алексеевна</t>
  </si>
  <si>
    <t>В-00243/АЗ_Т-20211028/Ц</t>
  </si>
  <si>
    <t>А-10087/КЭ.Транш - 1</t>
  </si>
  <si>
    <t>ИП Быданов Кирилл Владимирович</t>
  </si>
  <si>
    <t>1 854</t>
  </si>
  <si>
    <t>Т-01758/АЗ_В-21082023/Ц</t>
  </si>
  <si>
    <t>1 850</t>
  </si>
  <si>
    <t>А-05346/АЗ_Т-20211028/Ц</t>
  </si>
  <si>
    <t>Баханцов Семен Владимирович</t>
  </si>
  <si>
    <t>1 838</t>
  </si>
  <si>
    <t>В-00313/АЗ_Т-20211028/Ц</t>
  </si>
  <si>
    <t>Т-01805/АЗ_Т-20211028/Ц</t>
  </si>
  <si>
    <t>А-04404/АЗ</t>
  </si>
  <si>
    <t>Головатинский Лев Витальевич</t>
  </si>
  <si>
    <t>1 837</t>
  </si>
  <si>
    <t>А-00379/КЭ.Транш - 2</t>
  </si>
  <si>
    <t>ВВТ-строй ООО</t>
  </si>
  <si>
    <t>1 817</t>
  </si>
  <si>
    <t>А-05087/АЗ</t>
  </si>
  <si>
    <t>Фролов Павел Викторович</t>
  </si>
  <si>
    <t>1 815</t>
  </si>
  <si>
    <t>А-10032/КЭ.Транш - 1</t>
  </si>
  <si>
    <t>ИП Филатов Андрей Анатольевич</t>
  </si>
  <si>
    <t>1 802</t>
  </si>
  <si>
    <t>В-00467/АЗ_В-20211230/Ц</t>
  </si>
  <si>
    <t>Хасанханов Абдул Юсупович</t>
  </si>
  <si>
    <t>1 787</t>
  </si>
  <si>
    <t>А-00375/КЭ.Транш - 1</t>
  </si>
  <si>
    <t>Креатив дизайн ООО</t>
  </si>
  <si>
    <t>1 785</t>
  </si>
  <si>
    <t>А-10032/КЭ.Транш - 2</t>
  </si>
  <si>
    <t>1 783</t>
  </si>
  <si>
    <t>В-00398/АЗ_В-21082023/Ц</t>
  </si>
  <si>
    <t>Казанцева Альбина Валерьевна</t>
  </si>
  <si>
    <t>1 781</t>
  </si>
  <si>
    <t>А-10052/КЭ.Транш - 1</t>
  </si>
  <si>
    <t>Джи Би Пи ООО</t>
  </si>
  <si>
    <t>1 780</t>
  </si>
  <si>
    <t>А-04401/АЗ</t>
  </si>
  <si>
    <t>Маргарян Эдгар Камоевич</t>
  </si>
  <si>
    <t>1 777</t>
  </si>
  <si>
    <t>А-10039/КЭ.Транш - 1</t>
  </si>
  <si>
    <t>ИП Фараджов Зейнал Алинаги Оглы</t>
  </si>
  <si>
    <t>1 774</t>
  </si>
  <si>
    <t>В-00469/АЗ_В-20211230/Ц</t>
  </si>
  <si>
    <t>Мачкалян Оганнес Саргисович</t>
  </si>
  <si>
    <t>1 770</t>
  </si>
  <si>
    <t>А-05139/АЗ_В-21082023/Ц</t>
  </si>
  <si>
    <t>Гришенков Николай Викторович</t>
  </si>
  <si>
    <t>1 769</t>
  </si>
  <si>
    <t>А-03641/АЗ</t>
  </si>
  <si>
    <t>Дам Вихерс Юлия Владимировна</t>
  </si>
  <si>
    <t>1 766</t>
  </si>
  <si>
    <t>Т-01799/АЗ_В-20211230/Ц</t>
  </si>
  <si>
    <t>Сорокин Александр Вадимович</t>
  </si>
  <si>
    <t>1 761</t>
  </si>
  <si>
    <t>В-00457/АЗ_Т-20211028/Ц</t>
  </si>
  <si>
    <t>Жарков Камиль Орифжонович</t>
  </si>
  <si>
    <t>1 760</t>
  </si>
  <si>
    <t>В-00147/АЗ_Т-20211028/Ц</t>
  </si>
  <si>
    <t>Миронов Александр Александрович</t>
  </si>
  <si>
    <t>1 759</t>
  </si>
  <si>
    <t>В-00232/КЛ.Транш - 1_Т-20211028/Ц</t>
  </si>
  <si>
    <t>Островский Кирилл Эдуардович</t>
  </si>
  <si>
    <t>1 756</t>
  </si>
  <si>
    <t>А-05308/АЗ_В-20211230/Ц</t>
  </si>
  <si>
    <t>Конокотин Леонид Викторович</t>
  </si>
  <si>
    <t>1 751</t>
  </si>
  <si>
    <t>А-10090/КЭ.Транш - 2</t>
  </si>
  <si>
    <t>СЕВЕРНЫЙ ФЛОТ ООО</t>
  </si>
  <si>
    <t>1 745</t>
  </si>
  <si>
    <t>А-05349/АЗ_В-20211230/Ц</t>
  </si>
  <si>
    <t>Осетров Олег Андреевич</t>
  </si>
  <si>
    <t>1 744</t>
  </si>
  <si>
    <t>В-00103/КЛ.Транш - 1_В-20211230/Ц</t>
  </si>
  <si>
    <t>Кучевский Сергей Геннадьевич</t>
  </si>
  <si>
    <t>1 742</t>
  </si>
  <si>
    <t>В-00428/АЗ_В-21082023/Ц</t>
  </si>
  <si>
    <t>Алимирзаев Мурад Нурмагомедович</t>
  </si>
  <si>
    <t>1 740</t>
  </si>
  <si>
    <t>В-00763/КЛ.Транш - 1_В-21082023/Ц</t>
  </si>
  <si>
    <t>Харламов Артем Сергеевич</t>
  </si>
  <si>
    <t>А-30002/КЭ.Транш - 1</t>
  </si>
  <si>
    <t>ИП Клименченко Ирина Анатольевна</t>
  </si>
  <si>
    <t>1 736</t>
  </si>
  <si>
    <t>В-00622/АЗ_Т-20211028/Ц</t>
  </si>
  <si>
    <t>Манукян Вардан Эмильевич</t>
  </si>
  <si>
    <t>1 726</t>
  </si>
  <si>
    <t>В-01023/КЛ.Транш - 1_В-21082023/Ц</t>
  </si>
  <si>
    <t>Муллоев Хошимчон Пулотович</t>
  </si>
  <si>
    <t>В-00395/АЗ_В-20211230/Ц</t>
  </si>
  <si>
    <t>Сарибаева Эльнара Исмаиловна</t>
  </si>
  <si>
    <t>1 720</t>
  </si>
  <si>
    <t>В-00638/АЗ_В-21082023/Ц</t>
  </si>
  <si>
    <t>Сапрыкин Сергей Владимирович</t>
  </si>
  <si>
    <t>А-00410/КЭ.Транш - 1</t>
  </si>
  <si>
    <t>Союзметиз ООО</t>
  </si>
  <si>
    <t>1 713</t>
  </si>
  <si>
    <t>В-01371/КЛ.Транш - 1_В-21082023/Ц</t>
  </si>
  <si>
    <t>Щербаков Сергей Валерьевич</t>
  </si>
  <si>
    <t>1 707</t>
  </si>
  <si>
    <t>В-00038/АЗ_В-21082023/Ц</t>
  </si>
  <si>
    <t>Ананчев Ефим Иванович</t>
  </si>
  <si>
    <t>1 704</t>
  </si>
  <si>
    <t>А-00357/КЭ.Транш - 1</t>
  </si>
  <si>
    <t>ИП Чермошенцева Галина Сергеевна</t>
  </si>
  <si>
    <t>1 703</t>
  </si>
  <si>
    <t>А-00389/КЭ.Транш - 2</t>
  </si>
  <si>
    <t>ИП Грозин Андрей Викторович</t>
  </si>
  <si>
    <t>1 701</t>
  </si>
  <si>
    <t>В-00948/КЛ.Транш - 1_В-21082023/Ц</t>
  </si>
  <si>
    <t>Беляев Алексей Васильевич</t>
  </si>
  <si>
    <t>1 700</t>
  </si>
  <si>
    <t>В-00986/КЛ.Транш - 1_В-21082023/Ц</t>
  </si>
  <si>
    <t>Захаров Евгений Николаевич 2</t>
  </si>
  <si>
    <t>1 698</t>
  </si>
  <si>
    <t>В-00271/АЗ_Т-20211028/Ц</t>
  </si>
  <si>
    <t>Снегирёв Сергей Викторович</t>
  </si>
  <si>
    <t>1 695</t>
  </si>
  <si>
    <t>А-05231/АЗ</t>
  </si>
  <si>
    <t>Самохин Алексей Владимирович</t>
  </si>
  <si>
    <t>1 692</t>
  </si>
  <si>
    <t>А-05305/АЗ_В-21082023/Ц</t>
  </si>
  <si>
    <t>Ермишин Сергей Михайлович</t>
  </si>
  <si>
    <t>В-00085/АЗ_В-21082023/Ц</t>
  </si>
  <si>
    <t>А-00281/КЭ.Транш - 3</t>
  </si>
  <si>
    <t>1 691</t>
  </si>
  <si>
    <t>В-00175/АЗ_Т-20211028/Ц</t>
  </si>
  <si>
    <t>Лысяк Яна Вадимовна</t>
  </si>
  <si>
    <t>В-00477/АЗ_В-21082023/Ц</t>
  </si>
  <si>
    <t>Каверин Владимир Геннадьевич</t>
  </si>
  <si>
    <t>А-04119/АЗ</t>
  </si>
  <si>
    <t>Данилин Дмитрий Павлович</t>
  </si>
  <si>
    <t>1 690</t>
  </si>
  <si>
    <t>В-01175/КЛ.Транш - 1_В-20211230/Ц</t>
  </si>
  <si>
    <t>Васильева Екатерина Николаевна</t>
  </si>
  <si>
    <t>1 687</t>
  </si>
  <si>
    <t>В-00660/АЗ_В-20211230/Ц</t>
  </si>
  <si>
    <t>Казеев Радмир Рамирович</t>
  </si>
  <si>
    <t>1 682</t>
  </si>
  <si>
    <t>В-00598/АЗ_В-20211230/Ц</t>
  </si>
  <si>
    <t>Недялков Алексей Иванович</t>
  </si>
  <si>
    <t>1 671</t>
  </si>
  <si>
    <t>А-04223/АЗ</t>
  </si>
  <si>
    <t>Желядинов Рустам Максутович</t>
  </si>
  <si>
    <t>1 669</t>
  </si>
  <si>
    <t>В-02110/КЛ.Транш - 1_В-21082023/Ц</t>
  </si>
  <si>
    <t>Саликов Альберт Якубович</t>
  </si>
  <si>
    <t>В-00046/АЗ_В-21082023/Ц</t>
  </si>
  <si>
    <t>Аванесян Виген Эмикович</t>
  </si>
  <si>
    <t>1 666</t>
  </si>
  <si>
    <t>А-00049/БЭ</t>
  </si>
  <si>
    <t>Потороченков Игорь Сергеевич</t>
  </si>
  <si>
    <t>1 662</t>
  </si>
  <si>
    <t>В-00678/КЛ.Транш - 1_В-21082023/Ц</t>
  </si>
  <si>
    <t>Заргаров Насиб Зияддин Оглы</t>
  </si>
  <si>
    <t>1 655</t>
  </si>
  <si>
    <t>А-10081/КЭ.Транш - 4</t>
  </si>
  <si>
    <t>"Хорошо" ООО</t>
  </si>
  <si>
    <t>1 653</t>
  </si>
  <si>
    <t>В-00823/АЗ_В-21082023/Ц</t>
  </si>
  <si>
    <t>Иванец Дмитрий Андреевич</t>
  </si>
  <si>
    <t>1 641</t>
  </si>
  <si>
    <t>В-00249/АЗ_В-21082023/Ц</t>
  </si>
  <si>
    <t>Хотенова Елена Витальевна</t>
  </si>
  <si>
    <t>1 639</t>
  </si>
  <si>
    <t>В-00837/АЗ_В-21082023/Ц</t>
  </si>
  <si>
    <t>Гребнев Юрий Александрович</t>
  </si>
  <si>
    <t>1 637</t>
  </si>
  <si>
    <t>В-00838/АЗ_В-21082023/Ц</t>
  </si>
  <si>
    <t>А-05421/АЗ_В-21082023/Ц</t>
  </si>
  <si>
    <t>Дарвичева Татьяна Викторовна</t>
  </si>
  <si>
    <t>1 636</t>
  </si>
  <si>
    <t>В-00538/АЗ</t>
  </si>
  <si>
    <t>Алексанян Карине Размиковна</t>
  </si>
  <si>
    <t>В-00702/АЗ_В-21082023/Ц</t>
  </si>
  <si>
    <t>Т-01843/АЗ_В-21082023/Ц</t>
  </si>
  <si>
    <t>А-00433/КЭ.Транш - 1</t>
  </si>
  <si>
    <t>НОВАЯ СПАРТА ООО</t>
  </si>
  <si>
    <t>1 635</t>
  </si>
  <si>
    <t>А-04614/АЗ</t>
  </si>
  <si>
    <t>Павлова Светлана Юрьевна</t>
  </si>
  <si>
    <t>1 634</t>
  </si>
  <si>
    <t>А-00435/КЭ.Транш - 1</t>
  </si>
  <si>
    <t>ИП Удалов Игорь Игоревич</t>
  </si>
  <si>
    <t>1 633</t>
  </si>
  <si>
    <t>А-10102/КЭ.Транш - 1</t>
  </si>
  <si>
    <t>ИП Трескунова Ольга Евгеньевна</t>
  </si>
  <si>
    <t>1 628</t>
  </si>
  <si>
    <t>В-00865/АЗ_В-21082023/Ц</t>
  </si>
  <si>
    <t>Чокуев Жаркынбек Калыбекович</t>
  </si>
  <si>
    <t>1 621</t>
  </si>
  <si>
    <t>А-10089/КЭ.Транш - 1</t>
  </si>
  <si>
    <t>РСК ЭКСПЕРТ ООО</t>
  </si>
  <si>
    <t>1 614</t>
  </si>
  <si>
    <t>В-00690/АЗ_В-20211230/Ц</t>
  </si>
  <si>
    <t>Садкеев Игорь Евгеньевич</t>
  </si>
  <si>
    <t>1 613</t>
  </si>
  <si>
    <t>В-00693/АЗ_В-21082023/Ц</t>
  </si>
  <si>
    <t>Григоренко Андрей Николаевич</t>
  </si>
  <si>
    <t>1 612</t>
  </si>
  <si>
    <t>В-00766/АЗ_В-21082023/Ц</t>
  </si>
  <si>
    <t>Макаров Алексей Александрович1</t>
  </si>
  <si>
    <t>А-05291/АЗ</t>
  </si>
  <si>
    <t>Шодиев Хуснуддин Сулоймонкулович</t>
  </si>
  <si>
    <t>1 609</t>
  </si>
  <si>
    <t>В-00832/АЗ_В-20211230/Ц</t>
  </si>
  <si>
    <t>Зияев Азиз Джамшедович</t>
  </si>
  <si>
    <t>1 608</t>
  </si>
  <si>
    <t>В-00833/АЗ_В-20211230/Ц</t>
  </si>
  <si>
    <t>В-00835/АЗ_В-20211230/Ц</t>
  </si>
  <si>
    <t>В-03413/КЛ.Транш - 1_В-21082023/Ц</t>
  </si>
  <si>
    <t>Тюменцев Максим Сергеевич</t>
  </si>
  <si>
    <t>1 607</t>
  </si>
  <si>
    <t>В-03686/КЛ.Транш - 1_В-20211230/Ц</t>
  </si>
  <si>
    <t>Григорян Артур Амраги</t>
  </si>
  <si>
    <t>А-10045/КЭ.Транш - 2</t>
  </si>
  <si>
    <t>ИП Аббасов Амин Тофиг Оглы</t>
  </si>
  <si>
    <t>1 604</t>
  </si>
  <si>
    <t>А-30005/КЭ.Транш - 1</t>
  </si>
  <si>
    <t>ИП Пивкин Константин Леонидович</t>
  </si>
  <si>
    <t>1 602</t>
  </si>
  <si>
    <t>В-01345/КЛ.Транш - 1_В-20211230/Ц</t>
  </si>
  <si>
    <t>Циркунова Юлия Владимировна</t>
  </si>
  <si>
    <t>1 601</t>
  </si>
  <si>
    <t>А-10026/БЭ</t>
  </si>
  <si>
    <t>Кузнецова Елена Витальевна</t>
  </si>
  <si>
    <t>1 591</t>
  </si>
  <si>
    <t>В-03758/КЛ.Транш - 1_В-21082023/Ц</t>
  </si>
  <si>
    <t>Коржев Александр Сергеевич</t>
  </si>
  <si>
    <t>В-02500/КЛ.Транш - 1_В-21082023/Ц</t>
  </si>
  <si>
    <t>Четырина Марина Юрьевна</t>
  </si>
  <si>
    <t>1 588</t>
  </si>
  <si>
    <t>В-00272/АЗ_В-20211230/Ц</t>
  </si>
  <si>
    <t>Додохова Анна Николаевна</t>
  </si>
  <si>
    <t>1 587</t>
  </si>
  <si>
    <t>А-04751/АЗ</t>
  </si>
  <si>
    <t>Зенин Александр Петрович</t>
  </si>
  <si>
    <t>1 586</t>
  </si>
  <si>
    <t>В-03414/КЛ.Транш - 1_В-21082023/Ц</t>
  </si>
  <si>
    <t>Никоноров Александр Владимирович</t>
  </si>
  <si>
    <t>1 584</t>
  </si>
  <si>
    <t>В-00291/АЗ_В-21082023/Ц</t>
  </si>
  <si>
    <t>Семочкин Владимир Владимирович</t>
  </si>
  <si>
    <t>1 582</t>
  </si>
  <si>
    <t>В-00726/АЗ_В-21082023/Ц</t>
  </si>
  <si>
    <t>В-04159/КЛ.Транш - 1_В-20211230/Ц</t>
  </si>
  <si>
    <t>Ерошкин Роман Сергеевич</t>
  </si>
  <si>
    <t>1 581</t>
  </si>
  <si>
    <t>А-00389/КЭ.Транш - 1</t>
  </si>
  <si>
    <t>1 580</t>
  </si>
  <si>
    <t>В-03543/КЛ.Транш - 1_В-21082023/Ц</t>
  </si>
  <si>
    <t>Юнусов Акмалдин Акрамович</t>
  </si>
  <si>
    <t>1 578</t>
  </si>
  <si>
    <t>В-00610/АЗ_В-21082023/Ц</t>
  </si>
  <si>
    <t>Ожован Андриан Васильевич</t>
  </si>
  <si>
    <t>1 577</t>
  </si>
  <si>
    <t>В-03738/КЛ.Транш - 1_В-21082023/Ц</t>
  </si>
  <si>
    <t>Савельев Григорий Алексеевич</t>
  </si>
  <si>
    <t>1 572</t>
  </si>
  <si>
    <t>А-00366/КЭ.Транш - 3</t>
  </si>
  <si>
    <t>Строй-Универсал ООО</t>
  </si>
  <si>
    <t>1 570</t>
  </si>
  <si>
    <t>В-00847/АЗ_В-21082023/Ц</t>
  </si>
  <si>
    <t>А-00267/КЭ.Транш - 2</t>
  </si>
  <si>
    <t>ГК АкоЛет ООО</t>
  </si>
  <si>
    <t>1 569</t>
  </si>
  <si>
    <t>А-04639/АЗ</t>
  </si>
  <si>
    <t>Ерохов Андрей Вячеславович</t>
  </si>
  <si>
    <t>1 568</t>
  </si>
  <si>
    <t>А-00386/КЭ.Транш - 1</t>
  </si>
  <si>
    <t>1 562</t>
  </si>
  <si>
    <t>А-00327/КЭ.Транш - 1</t>
  </si>
  <si>
    <t>ИП Чеботарь Анжелика Сергеевна</t>
  </si>
  <si>
    <t>1 561</t>
  </si>
  <si>
    <t>А-04412/АЗ</t>
  </si>
  <si>
    <t>Мусаев Рустам Камилжонович</t>
  </si>
  <si>
    <t>А-04793/АЗ</t>
  </si>
  <si>
    <t>Богомилов Михаил Михайлович</t>
  </si>
  <si>
    <t>1 560</t>
  </si>
  <si>
    <t>В-01319/КЛ.Транш - 1_В-21082023/Ц</t>
  </si>
  <si>
    <t>Солодов Михаил Александрович</t>
  </si>
  <si>
    <t>1 551</t>
  </si>
  <si>
    <t>В-00836/АЗ_В-20211230/Ц</t>
  </si>
  <si>
    <t>1 547</t>
  </si>
  <si>
    <t>А-00051/БЭ</t>
  </si>
  <si>
    <t>Камшилина Татьяна Ивановна</t>
  </si>
  <si>
    <t>1 546</t>
  </si>
  <si>
    <t>В-03672/КЛ.Транш - 1_В-20211230/Ц</t>
  </si>
  <si>
    <t>Павлов Денис Витальевич</t>
  </si>
  <si>
    <t>Т-00030/БЭ_Т-20211028/Ц</t>
  </si>
  <si>
    <t>В-00840/АЗ_В-21082023/Ц</t>
  </si>
  <si>
    <t>Батурин Василий Михайлович</t>
  </si>
  <si>
    <t>1 545</t>
  </si>
  <si>
    <t>В-00557/АЗ_В-21082023/Ц</t>
  </si>
  <si>
    <t>Москалев Ярослав Вячеславович</t>
  </si>
  <si>
    <t>1 537</t>
  </si>
  <si>
    <t>В-00614/АЗ_В-21082023/Ц</t>
  </si>
  <si>
    <t>Барчукова Марина Алексеевна</t>
  </si>
  <si>
    <t>1 531</t>
  </si>
  <si>
    <t>В-01035/КЛ.Транш - 1_В-20211230/Ц</t>
  </si>
  <si>
    <t>Азоев Стаматис Рудикович</t>
  </si>
  <si>
    <t>1 512</t>
  </si>
  <si>
    <t>В-01642/КЛ.Транш - 1_В-21082023/Ц</t>
  </si>
  <si>
    <t>Юрченко Дмитрий Валерьевич</t>
  </si>
  <si>
    <t>1 509</t>
  </si>
  <si>
    <t>В-00858/АЗ_В-21082023/Ц</t>
  </si>
  <si>
    <t>Груничев Александр Леонидович</t>
  </si>
  <si>
    <t>1 505</t>
  </si>
  <si>
    <t>В-03114/КЛ.Транш - 1_В-20211230/Ц</t>
  </si>
  <si>
    <t>Некрасов Алексей Сергеевич</t>
  </si>
  <si>
    <t>1 503</t>
  </si>
  <si>
    <t>В-15085/КЛ.Транш - 1_В-21082023/Ц</t>
  </si>
  <si>
    <t>Лещев Андрей Николаевич</t>
  </si>
  <si>
    <t>1 500</t>
  </si>
  <si>
    <t>А-10092/КЭ.Транш - 2</t>
  </si>
  <si>
    <t>ИП Ячменёва Ольга Сергеевна</t>
  </si>
  <si>
    <t>1 497</t>
  </si>
  <si>
    <t>В-00256/КЛ.Транш - 2_В-20211230/Ц</t>
  </si>
  <si>
    <t>Теслюк Игорь Анатольевич</t>
  </si>
  <si>
    <t>1 494</t>
  </si>
  <si>
    <t>В-01422/КЛ.Транш - 1_В-20211230/Ц</t>
  </si>
  <si>
    <t>Рыченков Александр Николаевич</t>
  </si>
  <si>
    <t>1 491</t>
  </si>
  <si>
    <t>В-00478/КЛ.Транш - 1_В-21082023/Ц</t>
  </si>
  <si>
    <t>Солохин Александр Игоревич</t>
  </si>
  <si>
    <t>1 489</t>
  </si>
  <si>
    <t>В-00608/АЗ_В-21082023/Ц</t>
  </si>
  <si>
    <t>Серов Лев Николаевич</t>
  </si>
  <si>
    <t>1 488</t>
  </si>
  <si>
    <t>В-13104/КЛ.Транш - 1_В-20211230/Ц</t>
  </si>
  <si>
    <t>Мачнева Галина Петровна</t>
  </si>
  <si>
    <t>1 486</t>
  </si>
  <si>
    <t>В-00478/КЛ.Транш - 2_В-21082023/Ц</t>
  </si>
  <si>
    <t>1 485</t>
  </si>
  <si>
    <t>Т-01722/АЗ_Т-20211028/Ц</t>
  </si>
  <si>
    <t>Рогозин Андрей Иванович</t>
  </si>
  <si>
    <t>1 484</t>
  </si>
  <si>
    <t>В-01072/КЛ.Транш - 1_В-21082023/Ц</t>
  </si>
  <si>
    <t>Головина Екатерина Давидовна</t>
  </si>
  <si>
    <t>1 480</t>
  </si>
  <si>
    <t>В-01092/КЛ.Транш - 1_В-21082023/Ц</t>
  </si>
  <si>
    <t>Келехсаев Эдуард Павлович</t>
  </si>
  <si>
    <t>1 477</t>
  </si>
  <si>
    <t>А-10098/КЭ.Транш - 1</t>
  </si>
  <si>
    <t>ЭНЕРГИЯ ООО</t>
  </si>
  <si>
    <t>1 476</t>
  </si>
  <si>
    <t>А-10092/КЭ.Транш - 3</t>
  </si>
  <si>
    <t>1 468</t>
  </si>
  <si>
    <t>А-10099/КЭ.Транш - 1</t>
  </si>
  <si>
    <t>1 466</t>
  </si>
  <si>
    <t>Т-00001/КЭ_Т-20211028/Ц</t>
  </si>
  <si>
    <t>ИП Кругляк Наталья Анатольевна</t>
  </si>
  <si>
    <t>1 465</t>
  </si>
  <si>
    <t>В-03846/КЛ.Транш - 1_В-21082023/Ц</t>
  </si>
  <si>
    <t>Корниенко Андрей Юрьевич</t>
  </si>
  <si>
    <t>1 464</t>
  </si>
  <si>
    <t>В-02644/КЛ.Транш - 1_В-20211230/Ц</t>
  </si>
  <si>
    <t>Быстров Михаил Владимирович</t>
  </si>
  <si>
    <t>1 463</t>
  </si>
  <si>
    <t>А-00328/КЭ.Транш - 1</t>
  </si>
  <si>
    <t>АЛЬЯНС НЕДВИЖИМОСТИ ООО</t>
  </si>
  <si>
    <t>1 462</t>
  </si>
  <si>
    <t>А-05332/АЗ_В-21082023/Ц</t>
  </si>
  <si>
    <t>Косинова Мария Евгеньевна</t>
  </si>
  <si>
    <t>1 461</t>
  </si>
  <si>
    <t>А-04328/АЗ</t>
  </si>
  <si>
    <t>1 459</t>
  </si>
  <si>
    <t>В-00449/КЛ.Транш - 1_В-20211230/Ц</t>
  </si>
  <si>
    <t>Секриеру Вячеслав Андреевич</t>
  </si>
  <si>
    <t>А-10099/КЭ.Транш - 2</t>
  </si>
  <si>
    <t>1 457</t>
  </si>
  <si>
    <t>В-03846/КЛ.Транш - 2_В-21082023/Ц</t>
  </si>
  <si>
    <t>1 455</t>
  </si>
  <si>
    <t>В-00088/АЗ_В-20211230/Ц</t>
  </si>
  <si>
    <t>Юзбашян Ходедан Зограбович</t>
  </si>
  <si>
    <t>1 446</t>
  </si>
  <si>
    <t>В-00256/КЛ.Транш - 1_В-20211230/Ц</t>
  </si>
  <si>
    <t>А-00332/КЭ.Транш - 1</t>
  </si>
  <si>
    <t>ИП Харин Евгений Александрович</t>
  </si>
  <si>
    <t>1 444</t>
  </si>
  <si>
    <t>В-00051/КЛ.Транш - 2_В-21082023/Ц</t>
  </si>
  <si>
    <t>Саркисян Геворк Александрович</t>
  </si>
  <si>
    <t>1 442</t>
  </si>
  <si>
    <t>В-00932/АЗ_В-21082023/Ц</t>
  </si>
  <si>
    <t>1 437</t>
  </si>
  <si>
    <t>В-02402/КЛ.Транш - 1_В-21082023/Ц</t>
  </si>
  <si>
    <t>Кривотулов Дмитрий Александрович</t>
  </si>
  <si>
    <t>1 430</t>
  </si>
  <si>
    <t>В-07706/КЛ.Транш - 1_В-21082023/Ц</t>
  </si>
  <si>
    <t>Краснов Николай Викторович</t>
  </si>
  <si>
    <t>А-04955/АЗ</t>
  </si>
  <si>
    <t>Зуева Светлана Григорьевна</t>
  </si>
  <si>
    <t>1 429</t>
  </si>
  <si>
    <t>В-00982/АЗ_В-21082023/Ц</t>
  </si>
  <si>
    <t>Черников Сергей Сергеевич</t>
  </si>
  <si>
    <t>1 423</t>
  </si>
  <si>
    <t>В-07328/КЛ.Транш - 1_В-21082023/Ц</t>
  </si>
  <si>
    <t>Корнач Антон Владимирович</t>
  </si>
  <si>
    <t>1 419</t>
  </si>
  <si>
    <t>В-03631/КЛ.Транш - 1_В-21082023/Ц</t>
  </si>
  <si>
    <t>Чернышова Татьяна Николаевна</t>
  </si>
  <si>
    <t>1 412</t>
  </si>
  <si>
    <t>В-00051/КЛ.Транш - 1_В-21082023/Ц</t>
  </si>
  <si>
    <t>1 409</t>
  </si>
  <si>
    <t>В-03206/КЛ.Транш - 1_В-21082023/Ц</t>
  </si>
  <si>
    <t>Самойлов Дмитрий Анатольевич</t>
  </si>
  <si>
    <t>В-01388/КЛ.Транш - 2_В-21082023/Ц</t>
  </si>
  <si>
    <t>Одинцова Ирина Вячеславовна</t>
  </si>
  <si>
    <t>1 406</t>
  </si>
  <si>
    <t>А-10100/КЭ.Транш - 3</t>
  </si>
  <si>
    <t>ИП Антонов Павел Владимирович</t>
  </si>
  <si>
    <t>1 400</t>
  </si>
  <si>
    <t>В-01388/КЛ.Транш - 1_В-21082023/Ц</t>
  </si>
  <si>
    <t>В-07328/КЛ.Транш - 2_В-21082023/Ц</t>
  </si>
  <si>
    <t>1 398</t>
  </si>
  <si>
    <t>В-00003/КЭ.Транш - 1_А-20210929/Ц</t>
  </si>
  <si>
    <t>СЕЙЛМЕД ООО</t>
  </si>
  <si>
    <t>1 397</t>
  </si>
  <si>
    <t>А-00395/КЭ.Транш - 3</t>
  </si>
  <si>
    <t>ЛАВиК ООО</t>
  </si>
  <si>
    <t>1 395</t>
  </si>
  <si>
    <t>В-01509/КЛ.Транш - 1_В-21082023/Ц</t>
  </si>
  <si>
    <t>Орехова Екатерина Юрьевна</t>
  </si>
  <si>
    <t>В-09250/КЛ.Транш - 1_В-20211230/Ц</t>
  </si>
  <si>
    <t>Калашников Алексей Владимирович</t>
  </si>
  <si>
    <t>А-10100/КЭ.Транш - 2</t>
  </si>
  <si>
    <t>1 388</t>
  </si>
  <si>
    <t>В-09625/КЛ.Транш - 1_В-21082023/Ц</t>
  </si>
  <si>
    <t>Аблязизов Эдем Рустемович</t>
  </si>
  <si>
    <t>1 386</t>
  </si>
  <si>
    <t>В-03473/КЛ.Транш - 1_В-21082023/Ц</t>
  </si>
  <si>
    <t>Калошин Павел Сергеевич</t>
  </si>
  <si>
    <t>1 381</t>
  </si>
  <si>
    <t>А-00395/КЭ.Транш - 2</t>
  </si>
  <si>
    <t>1 380</t>
  </si>
  <si>
    <t>В-00540/КЛ.Транш - 1_В-21082023/Ц</t>
  </si>
  <si>
    <t>Ефремов Николай Михайлович</t>
  </si>
  <si>
    <t>1 376</t>
  </si>
  <si>
    <t>А-00418/КЭ.Транш - 1</t>
  </si>
  <si>
    <t>ИП Пулянина Вероника Александровна</t>
  </si>
  <si>
    <t>1 373</t>
  </si>
  <si>
    <t>В-09037/КЛ.Транш - 1_В-21082023/Ц</t>
  </si>
  <si>
    <t>Волегов Николай Владиславович</t>
  </si>
  <si>
    <t>1 370</t>
  </si>
  <si>
    <t>А-00404/КЭ.Транш - 1</t>
  </si>
  <si>
    <t>ИП Силютина Анна Геннадьевна</t>
  </si>
  <si>
    <t>1 366</t>
  </si>
  <si>
    <t>А-00466/КЭ.Транш - 1</t>
  </si>
  <si>
    <t>МАРО АРТ ГРУПП ООО</t>
  </si>
  <si>
    <t>А-10113/КЭ.Транш - 1</t>
  </si>
  <si>
    <t>КАНЦПРОФ СПБ ООО</t>
  </si>
  <si>
    <t>1 358</t>
  </si>
  <si>
    <t>А-00425/КЭ.Транш - 1</t>
  </si>
  <si>
    <t>ПЕРЕЕЗД СЕРВИС ООО</t>
  </si>
  <si>
    <t>1 356</t>
  </si>
  <si>
    <t>В-08416/КЛ.Транш - 1_В-21082023/Ц</t>
  </si>
  <si>
    <t>Абраменко Александр Владимирович</t>
  </si>
  <si>
    <t>В-05187/КЛ.Транш - 1_В-21082023/Ц</t>
  </si>
  <si>
    <t>Посвенчук Владислав Андреевич</t>
  </si>
  <si>
    <t>1 355</t>
  </si>
  <si>
    <t>Т-01897/АЗ_Т-20211028/Ц</t>
  </si>
  <si>
    <t>Никитенко Роман Владимирович</t>
  </si>
  <si>
    <t>1 354</t>
  </si>
  <si>
    <t>В-00839/КЛ.Транш - 1_В-20211230/Ц</t>
  </si>
  <si>
    <t>Никитина Анастасия Витальевна</t>
  </si>
  <si>
    <t>1 353</t>
  </si>
  <si>
    <t>А-04839/АЗ_В-21082023/Ц</t>
  </si>
  <si>
    <t>Агафонов Алексей Юрьевич</t>
  </si>
  <si>
    <t>1 351</t>
  </si>
  <si>
    <t>А-10092/КЭ.Транш - 1</t>
  </si>
  <si>
    <t>1 349</t>
  </si>
  <si>
    <t>В-06852/КЛ.Транш - 1_В-21082023/Ц</t>
  </si>
  <si>
    <t>Рязанцев Дмитрий Тимурович</t>
  </si>
  <si>
    <t>В-06852/КЛ.Транш - 3_В-21082023/Ц</t>
  </si>
  <si>
    <t>1 344</t>
  </si>
  <si>
    <t>В-08251/КЛ.Транш - 1_В-21082023/Ц</t>
  </si>
  <si>
    <t>Абдуллин Игорь Эдуардович</t>
  </si>
  <si>
    <t>1 332</t>
  </si>
  <si>
    <t>В-09421/КЛ.Транш - 1_А-20210929/Ц</t>
  </si>
  <si>
    <t>Оверченко Виктория Владимировна</t>
  </si>
  <si>
    <t>1 329</t>
  </si>
  <si>
    <t>Т-10003/КЭ_Т-20211028/Ц</t>
  </si>
  <si>
    <t>"ВИВАР" ООО</t>
  </si>
  <si>
    <t>В-06852/КЛ.Транш - 2_В-21082023/Ц</t>
  </si>
  <si>
    <t>1 328</t>
  </si>
  <si>
    <t>В-03811/КЛ.Транш - 1_В-20211230/Ц</t>
  </si>
  <si>
    <t>Новиков Егор Викторович</t>
  </si>
  <si>
    <t>1 326</t>
  </si>
  <si>
    <t>В-02376/КЛ.Транш - 1_В-21082023/Ц</t>
  </si>
  <si>
    <t>Харитонов Александр Васильевич</t>
  </si>
  <si>
    <t>1 323</t>
  </si>
  <si>
    <t>В-11882/КЛ.Транш - 1_В-21082023/Ц</t>
  </si>
  <si>
    <t>Курмаев Виталий Юрьевич</t>
  </si>
  <si>
    <t>1 320</t>
  </si>
  <si>
    <t>В-00009/АЗ</t>
  </si>
  <si>
    <t>Городенок Дмитрий Петрович</t>
  </si>
  <si>
    <t>1 317</t>
  </si>
  <si>
    <t>В-02902/КЛ.Транш - 1_В-20211230/Ц</t>
  </si>
  <si>
    <t>Соколов Игорь Васильевич</t>
  </si>
  <si>
    <t>1 316</t>
  </si>
  <si>
    <t>В-12042/КЛ.Транш - 1_В-21082023/Ц</t>
  </si>
  <si>
    <t>Ергашев Мухаммаджон Абдувалиевич</t>
  </si>
  <si>
    <t>В-12167/КЛ.Транш - 1_А-20210929/Ц</t>
  </si>
  <si>
    <t>Мусаелян Вилен Карленович</t>
  </si>
  <si>
    <t>1 313</t>
  </si>
  <si>
    <t>В-08942/КЛ.Транш - 1_В-21082023/Ц</t>
  </si>
  <si>
    <t>Зеленков Алексей Владимирович</t>
  </si>
  <si>
    <t>1 311</t>
  </si>
  <si>
    <t>В-10010/КЭ.Транш - 1_А-20210929/Ц</t>
  </si>
  <si>
    <t>ФОРМУЛА КОМФОРТА ООО</t>
  </si>
  <si>
    <t>В-11882/КЛ.Транш - 2_В-21082023/Ц</t>
  </si>
  <si>
    <t>В-11882/КЛ.Транш - 3_В-21082023/Ц</t>
  </si>
  <si>
    <t>1 309</t>
  </si>
  <si>
    <t>В-10492/КЛ.Транш - 1_В-21082023/Ц</t>
  </si>
  <si>
    <t>Евсеев Сергей Анатольевич</t>
  </si>
  <si>
    <t>1 300</t>
  </si>
  <si>
    <t>В-06186/КЛ.Транш - 2_А-20210929/Ц</t>
  </si>
  <si>
    <t>Станкеев Сергей Николаевич</t>
  </si>
  <si>
    <t>1 299</t>
  </si>
  <si>
    <t>В-11280/КЛ.Транш - 1_В-21082023/Ц</t>
  </si>
  <si>
    <t>Шушарин Артем Владимирович</t>
  </si>
  <si>
    <t>Т-01675/АЗ_В-21082023/Ц</t>
  </si>
  <si>
    <t>1 289</t>
  </si>
  <si>
    <t>В-05401/КЛ.Транш - 1_В-21082023/Ц</t>
  </si>
  <si>
    <t>Ханукаев Михаил Гавриилович</t>
  </si>
  <si>
    <t>1 284</t>
  </si>
  <si>
    <t>А-10096/КЭ.Транш - 1</t>
  </si>
  <si>
    <t>НОРДИНВЕСТ ООО</t>
  </si>
  <si>
    <t>1 283</t>
  </si>
  <si>
    <t>В-12163/КЛ.Транш - 1_В-21082023/Ц</t>
  </si>
  <si>
    <t>Куксова Елена Юрьевна</t>
  </si>
  <si>
    <t>1 282</t>
  </si>
  <si>
    <t>В-05135/КЛ.Транш - 1_В-21082023/Ц</t>
  </si>
  <si>
    <t>Еремян Артур Корюнович</t>
  </si>
  <si>
    <t>1 281</t>
  </si>
  <si>
    <t>Т-01867/АЗ_Т-20211028/Ц</t>
  </si>
  <si>
    <t>Гальчук Илья Анатольевич</t>
  </si>
  <si>
    <t>1 278</t>
  </si>
  <si>
    <t>В-12016/КЛ.Транш - 4_В-20211230/Ц</t>
  </si>
  <si>
    <t>Исаков Магомед Владимирович</t>
  </si>
  <si>
    <t>1 273</t>
  </si>
  <si>
    <t>В-12163/КЛ.Транш - 2_В-21082023/Ц</t>
  </si>
  <si>
    <t>1 270</t>
  </si>
  <si>
    <t>Т-00004/КЭ_Т-20211028/Ц</t>
  </si>
  <si>
    <t>ИП Бойко Василий Анатольевич</t>
  </si>
  <si>
    <t>В-08822/КЛ.Транш - 1_В-21082023/Ц</t>
  </si>
  <si>
    <t>Потёмкина Юлия Сергеевна</t>
  </si>
  <si>
    <t>1 269</t>
  </si>
  <si>
    <t>1 268</t>
  </si>
  <si>
    <t>В-13886/КЛ.Транш - 1_В-21082023/Ц</t>
  </si>
  <si>
    <t>Волков Василий Валерьевич</t>
  </si>
  <si>
    <t>В-03197/КЛ.Транш - 2_В-21082023/Ц</t>
  </si>
  <si>
    <t>Павлюченко Михаил Михайлович</t>
  </si>
  <si>
    <t>1 267</t>
  </si>
  <si>
    <t>В-13025/КЛ.Транш - 1_А-20210929/Ц</t>
  </si>
  <si>
    <t>Тюмин Валерий Александрович</t>
  </si>
  <si>
    <t>В-00508/АЗ_В-21082023/Ц</t>
  </si>
  <si>
    <t>Мошкин Андрей Викторович</t>
  </si>
  <si>
    <t>1 255</t>
  </si>
  <si>
    <t>В-06186/КЛ.Транш - 1_А-20210929/Ц</t>
  </si>
  <si>
    <t>1 254</t>
  </si>
  <si>
    <t>В-12016/КЛ.Транш - 2_В-20211230/Ц</t>
  </si>
  <si>
    <t>1 253</t>
  </si>
  <si>
    <t>В-00687/АЗ_В-21082023/Ц</t>
  </si>
  <si>
    <t>Калантарян Артур Вазгени</t>
  </si>
  <si>
    <t>1 249</t>
  </si>
  <si>
    <t>В-12016/КЛ.Транш - 3_В-20211230/Ц</t>
  </si>
  <si>
    <t>1 248</t>
  </si>
  <si>
    <t>В-00547/АЗ_В-21082023/Ц</t>
  </si>
  <si>
    <t>Струнгарь Григорий Васильевич</t>
  </si>
  <si>
    <t>1 245</t>
  </si>
  <si>
    <t>А-30003/КЭ.Транш - 1</t>
  </si>
  <si>
    <t>ТЕХНИКА ЮГА ООО</t>
  </si>
  <si>
    <t>1 244</t>
  </si>
  <si>
    <t>В-12741/КЛ.Транш - 1_В-21082023/Ц</t>
  </si>
  <si>
    <t>Фролов Сергей Владимирович</t>
  </si>
  <si>
    <t>В-09290/КЛ.Транш - 1_В-21082023/Ц</t>
  </si>
  <si>
    <t>Корносенков Евгений Алексеевич</t>
  </si>
  <si>
    <t>1 243</t>
  </si>
  <si>
    <t>В-13625/КЛ.Транш - 1_В-21082023/Ц</t>
  </si>
  <si>
    <t>Саакян Рафик Самвелович</t>
  </si>
  <si>
    <t>Т-00002/КЭ_Т-20211028/Ц</t>
  </si>
  <si>
    <t>ИП Клякин Станислав Анатольевич</t>
  </si>
  <si>
    <t>1 239</t>
  </si>
  <si>
    <t>В-01099/АЗ_В-21082023/Ц</t>
  </si>
  <si>
    <t>1 235</t>
  </si>
  <si>
    <t>В-13177/КЛ.Транш - 1_А-20210929/Ц</t>
  </si>
  <si>
    <t>Гараев Ровшан Гасымович</t>
  </si>
  <si>
    <t>В-11307/КЛ.Транш - 1_В-21082023/Ц</t>
  </si>
  <si>
    <t>Никифоров Александр Андреевич</t>
  </si>
  <si>
    <t>1 231</t>
  </si>
  <si>
    <t>В-30003/КЭ.Транш - 1_В-21082023/Ц</t>
  </si>
  <si>
    <t>ИП Вертейко Алексей Михайлович</t>
  </si>
  <si>
    <t>1 230</t>
  </si>
  <si>
    <t>В-00359/КЛ.Транш - 2_В-20211230/Ц</t>
  </si>
  <si>
    <t>Голота Илья Викторович</t>
  </si>
  <si>
    <t>1 229</t>
  </si>
  <si>
    <t>В-07544/КЛ.Транш - 1_В-21082023/Ц</t>
  </si>
  <si>
    <t>Долгополов Сергей Юрьевич</t>
  </si>
  <si>
    <t>1 222</t>
  </si>
  <si>
    <t>В-12294/КЛ.Транш - 1_В-20211230/Ц</t>
  </si>
  <si>
    <t>Макаров Алексей Александрович</t>
  </si>
  <si>
    <t>1 220</t>
  </si>
  <si>
    <t>В-03392/КЛ.Транш - 1</t>
  </si>
  <si>
    <t>Громов Сергей Дмитриевич</t>
  </si>
  <si>
    <t>1 219</t>
  </si>
  <si>
    <t>В-13600/КЛ.Транш - 1_В-20211230/Ц</t>
  </si>
  <si>
    <t>Карманов Александр Иванович</t>
  </si>
  <si>
    <t>В-14569/КЛ.Транш - 1_А-20210929/Ц</t>
  </si>
  <si>
    <t>Ануфриенко Сергей Владимирович</t>
  </si>
  <si>
    <t>1 218</t>
  </si>
  <si>
    <t>В-11333/КЛ.Транш - 1_В-20211230/Ц</t>
  </si>
  <si>
    <t>Нургушиев Нуридин Эдильбийевич</t>
  </si>
  <si>
    <t>1 215</t>
  </si>
  <si>
    <t>В-09247/КЛ.Транш - 1_А-20210929/Ц</t>
  </si>
  <si>
    <t>Резников Сергей Владимирович</t>
  </si>
  <si>
    <t>1 214</t>
  </si>
  <si>
    <t>1 213</t>
  </si>
  <si>
    <t>А-00458/КЭ.Транш - 1</t>
  </si>
  <si>
    <t>1 209</t>
  </si>
  <si>
    <t>В-12894/КЛ.Транш - 1_В-20211230/Ц</t>
  </si>
  <si>
    <t>Щеглов Роман Сергеевич</t>
  </si>
  <si>
    <t>1 204</t>
  </si>
  <si>
    <t>В-02690/КЛ.Транш - 1_В-20211230/Ц</t>
  </si>
  <si>
    <t>Никонов Андрей Георгиевич</t>
  </si>
  <si>
    <t>1 202</t>
  </si>
  <si>
    <t>Т-10005/КЭ_Т-20211028/Ц</t>
  </si>
  <si>
    <t>ИП Богданова Лариса Анатольевна</t>
  </si>
  <si>
    <t>В-16441/КЛ.Транш - 1_В-20211230/Ц</t>
  </si>
  <si>
    <t>Тюрин Алексей Викторович</t>
  </si>
  <si>
    <t>1 199</t>
  </si>
  <si>
    <t>А-04357/АЗ</t>
  </si>
  <si>
    <t>Головко Владимир Павлович</t>
  </si>
  <si>
    <t>1 197</t>
  </si>
  <si>
    <t>В-16457/КЛ.Транш - 1_В-20211230/Ц</t>
  </si>
  <si>
    <t>Мирошниченко Евгений Константинович</t>
  </si>
  <si>
    <t>1 195</t>
  </si>
  <si>
    <t>В-09302/КЛ.Транш - 3_В-20211230/Ц</t>
  </si>
  <si>
    <t>Шквыр Виктор Викторович</t>
  </si>
  <si>
    <t>1 191</t>
  </si>
  <si>
    <t>В-16777/КЛ.Транш - 1_В-20211230/Ц</t>
  </si>
  <si>
    <t>Фролов Василий Михайлович</t>
  </si>
  <si>
    <t>1 189</t>
  </si>
  <si>
    <t>В-16873/КЛ.Транш - 1</t>
  </si>
  <si>
    <t>Казанин Игорь Викторович</t>
  </si>
  <si>
    <t>1 187</t>
  </si>
  <si>
    <t>В-09302/КЛ.Транш - 4_В-20211230/Ц</t>
  </si>
  <si>
    <t>1 186</t>
  </si>
  <si>
    <t>В-09302/КЛ.Транш - 2_В-20211230/Ц</t>
  </si>
  <si>
    <t>1 179</t>
  </si>
  <si>
    <t>В-16186/КЛ.Транш - 1_В-21082023/Ц</t>
  </si>
  <si>
    <t>Атцаев Ахмед Шахитович</t>
  </si>
  <si>
    <t>1 174</t>
  </si>
  <si>
    <t>В-17494/КЛ.Транш - 1_В-21082023/Ц</t>
  </si>
  <si>
    <t>Герейханов Фаик Гуснеддинович</t>
  </si>
  <si>
    <t>1 173</t>
  </si>
  <si>
    <t>В-13669/КЛ.Транш - 2_В-20211230/Ц</t>
  </si>
  <si>
    <t>Почапский Антон Вячеславович</t>
  </si>
  <si>
    <t>1 172</t>
  </si>
  <si>
    <t>В-17533/КЛ.Транш - 1_В-20211230/Ц</t>
  </si>
  <si>
    <t>Даниялов Марат Алавутдинович</t>
  </si>
  <si>
    <t>В-10433/КЛ.Транш - 2_В-21082023/Ц</t>
  </si>
  <si>
    <t>Сорокин Константин Витальевич</t>
  </si>
  <si>
    <t>1 169</t>
  </si>
  <si>
    <t>В-00319/КЛ.Транш - 2_В-20211230/Ц</t>
  </si>
  <si>
    <t>Бардин Андрей Юрьевич</t>
  </si>
  <si>
    <t>1 168</t>
  </si>
  <si>
    <t>В-12016/КЛ.Транш - 1_В-20211230/Ц</t>
  </si>
  <si>
    <t>1 166</t>
  </si>
  <si>
    <t>В-07717/КЛ.Транш - 1_В-20211230/Ц</t>
  </si>
  <si>
    <t>Перевалов Артём Владимирович</t>
  </si>
  <si>
    <t>1 164</t>
  </si>
  <si>
    <t>В-13669/КЛ.Транш - 3_В-20211230/Ц</t>
  </si>
  <si>
    <t>1 162</t>
  </si>
  <si>
    <t>В-09302/КЛ.Транш - 5_В-20211230/Ц</t>
  </si>
  <si>
    <t>1 161</t>
  </si>
  <si>
    <t>В-13669/КЛ.Транш - 6_В-20211230/Ц</t>
  </si>
  <si>
    <t>В-14484/КЛ.Транш - 1_В-21082023/Ц</t>
  </si>
  <si>
    <t>Титов Максим Сергеевич</t>
  </si>
  <si>
    <t>1 159</t>
  </si>
  <si>
    <t>В-16915/КЛ.Транш - 1_В-20211230/Ц</t>
  </si>
  <si>
    <t>Ильинский Владимир Юрьевич</t>
  </si>
  <si>
    <t>1 154</t>
  </si>
  <si>
    <t>В-00022/КЭ.Транш - 1_А-20210929/Ц</t>
  </si>
  <si>
    <t>1 153</t>
  </si>
  <si>
    <t>В-00011/КЭ.Транш - 1_А-20210929/Ц</t>
  </si>
  <si>
    <t>ЛИДЕР ГРУПП ООО</t>
  </si>
  <si>
    <t>1 152</t>
  </si>
  <si>
    <t>В-10278/КЛ.Транш - 1_В-21082023/Ц</t>
  </si>
  <si>
    <t>Инджелер Фатих</t>
  </si>
  <si>
    <t>В-18171/КЛ.Транш - 1_В-20211230/Ц</t>
  </si>
  <si>
    <t>Гачегов Дмитрий Сергеевич</t>
  </si>
  <si>
    <t>1 151</t>
  </si>
  <si>
    <t>В-17075/КЛ.Транш - 1_В-20211230/Ц</t>
  </si>
  <si>
    <t>Хашимов Далерджон Темурович</t>
  </si>
  <si>
    <t>1 150</t>
  </si>
  <si>
    <t>В-18216/КЛ.Транш - 1_В-20211230/Ц</t>
  </si>
  <si>
    <t>Иванов Илья Андреевич</t>
  </si>
  <si>
    <t>А-05387/АЗ</t>
  </si>
  <si>
    <t>Кульчак Екатерина Александровна</t>
  </si>
  <si>
    <t>1 149</t>
  </si>
  <si>
    <t>В-10433/КЛ.Транш - 1_В-21082023/Ц</t>
  </si>
  <si>
    <t>В-13669/КЛ.Транш - 4_В-20211230/Ц</t>
  </si>
  <si>
    <t>В-17043/КЛ.Транш - 1_В-20211230/Ц</t>
  </si>
  <si>
    <t>Петров Сергей Анатольевич</t>
  </si>
  <si>
    <t>В-08288/КЛ.Транш - 2_В-21082023/Ц</t>
  </si>
  <si>
    <t>Атаманов Максим Владимирович</t>
  </si>
  <si>
    <t>1 148</t>
  </si>
  <si>
    <t>В-13042/КЛ.Транш - 1_В-20211230/Ц</t>
  </si>
  <si>
    <t>Шумилов Валерий Игоревич</t>
  </si>
  <si>
    <t>1 146</t>
  </si>
  <si>
    <t>А-10118/КЭ.Транш - 1</t>
  </si>
  <si>
    <t>ТРАНСЛОГ ООО</t>
  </si>
  <si>
    <t>1 144</t>
  </si>
  <si>
    <t>В-00239/КЛ.Транш - 1_В-20211230/Ц</t>
  </si>
  <si>
    <t>Морозкина Наталья Сергеевна</t>
  </si>
  <si>
    <t>В-15583/КЛ.Транш - 1_В-21082023/Ц</t>
  </si>
  <si>
    <t>Кокина Татьяна Викторовна</t>
  </si>
  <si>
    <t>В-13070/КЛ.Транш - 3_В-21082023/Ц</t>
  </si>
  <si>
    <t>Деревяга Илья Викторович</t>
  </si>
  <si>
    <t>1 141</t>
  </si>
  <si>
    <t>А-00063/БЭ</t>
  </si>
  <si>
    <t>Иванов Евгений Владимирович</t>
  </si>
  <si>
    <t>1 138</t>
  </si>
  <si>
    <t>В-13669/КЛ.Транш - 5_В-20211230/Ц</t>
  </si>
  <si>
    <t>Т-00038/БЭ_Т-20211028/Ц</t>
  </si>
  <si>
    <t>В-17625/КЛ.Транш - 1_В-20211230/Ц</t>
  </si>
  <si>
    <t>Иванов Борис Александрович</t>
  </si>
  <si>
    <t>1 137</t>
  </si>
  <si>
    <t>В-18791/КЛ.Транш - 1_В-21082023/Ц</t>
  </si>
  <si>
    <t>Агаджанян Самвел Амаякович</t>
  </si>
  <si>
    <t>В-11521/КЛ.Транш - 1_В-21082023/Ц</t>
  </si>
  <si>
    <t>Абдульманова Ангелина Рамилевна</t>
  </si>
  <si>
    <t>1 132</t>
  </si>
  <si>
    <t>В-15465/КЛ.Транш - 1_В-20211230/Ц</t>
  </si>
  <si>
    <t>Бабичев Андрей Юрьевич</t>
  </si>
  <si>
    <t>1 131</t>
  </si>
  <si>
    <t>В-19025/КЛ.Транш - 1_В-20211230/Ц</t>
  </si>
  <si>
    <t>Лялин Анатолий Геннадьевич</t>
  </si>
  <si>
    <t>В-19097/КЛ.Транш - 1_В-20211230/Ц</t>
  </si>
  <si>
    <t>Павликивский Владимир Васильевич</t>
  </si>
  <si>
    <t>1 130</t>
  </si>
  <si>
    <t>В-04293/КЛ.Транш - 1_В-20211230/Ц</t>
  </si>
  <si>
    <t>Манин Сергей Викторович</t>
  </si>
  <si>
    <t>1 129</t>
  </si>
  <si>
    <t>В-01176/АЗ_В-20211230/Ц</t>
  </si>
  <si>
    <t>Маренич Иван Евгеньевич</t>
  </si>
  <si>
    <t>1 124</t>
  </si>
  <si>
    <t>В-13070/КЛ.Транш - 2_В-21082023/Ц</t>
  </si>
  <si>
    <t>В-19329/КЛ.Транш - 1_В-20211230/Ц</t>
  </si>
  <si>
    <t>Сахимова Анна Владимировна</t>
  </si>
  <si>
    <t>А-10122/КЭ.Транш - 1</t>
  </si>
  <si>
    <t>ГАЛАКТИКА ООО</t>
  </si>
  <si>
    <t>1 123</t>
  </si>
  <si>
    <t>В-09890/КЛ.Транш - 1_В-21082023/Ц</t>
  </si>
  <si>
    <t>Климахина Татьяна Сергеевна</t>
  </si>
  <si>
    <t>1 121</t>
  </si>
  <si>
    <t>В-08361/КЛ.Транш - 1_В-20211230/Ц</t>
  </si>
  <si>
    <t>Афонин Николай Юрьевич</t>
  </si>
  <si>
    <t>1 116</t>
  </si>
  <si>
    <t>В-18538/КЛ.Транш - 1_В-20211230/Ц</t>
  </si>
  <si>
    <t>Росляков Артем Владимирович</t>
  </si>
  <si>
    <t>1 113</t>
  </si>
  <si>
    <t>В-19901/КЛ.Транш - 1_В-20211230/Ц</t>
  </si>
  <si>
    <t>Ермилин Виталий Владимирович</t>
  </si>
  <si>
    <t>1 108</t>
  </si>
  <si>
    <t>В-19766/КЛ.Транш - 1_В-20211230/Ц</t>
  </si>
  <si>
    <t>Камышов Игорь Николаевич</t>
  </si>
  <si>
    <t>1 107</t>
  </si>
  <si>
    <t>В-15330/КЛ.Транш - 1_В-20211230/Ц</t>
  </si>
  <si>
    <t>Заргарян Марианна Марленовна</t>
  </si>
  <si>
    <t>1 104</t>
  </si>
  <si>
    <t>В-19846/КЛ.Транш - 1_В-20211230/Ц</t>
  </si>
  <si>
    <t>Камбулина Ирина Юрьевна</t>
  </si>
  <si>
    <t>1 103</t>
  </si>
  <si>
    <t>В-00178/КЛ.Транш - 1_В-21082023/Ц</t>
  </si>
  <si>
    <t>Скопинов Иван Алексеевич</t>
  </si>
  <si>
    <t>1 100</t>
  </si>
  <si>
    <t>В-15448/КЛ.Транш - 1_В-20211230/Ц</t>
  </si>
  <si>
    <t>Ведешин Максим Сергеевич</t>
  </si>
  <si>
    <t>В-13507/КЛ.Транш - 1_В-21082023/Ц</t>
  </si>
  <si>
    <t>Векилянц Екатерина Николаевна</t>
  </si>
  <si>
    <t>1 098</t>
  </si>
  <si>
    <t>В-00612/АЗ_В-21082023/Ц</t>
  </si>
  <si>
    <t>Поддубный Николай Станиславович</t>
  </si>
  <si>
    <t>1 097</t>
  </si>
  <si>
    <t>В-08603/КЛ.Транш - 1_В-21082023/Ц</t>
  </si>
  <si>
    <t>Стародубов Виталий Юрьевич</t>
  </si>
  <si>
    <t>1 096</t>
  </si>
  <si>
    <t>В-12380/КЛ.Транш - 1_В-20211230/Ц</t>
  </si>
  <si>
    <t>Денисенко Руслана Анатольевна</t>
  </si>
  <si>
    <t>В-07717/КЛ.Транш - 5_В-20211230/Ц</t>
  </si>
  <si>
    <t>1 094</t>
  </si>
  <si>
    <t>В-00012/КЭ.Транш - 1_В-20211230/Ц</t>
  </si>
  <si>
    <t>ИП Тен Елена Манкильевна</t>
  </si>
  <si>
    <t>1 091</t>
  </si>
  <si>
    <t>В-00918/АЗ_В-21082023/Ц</t>
  </si>
  <si>
    <t>Чикунов Дмитрий Александрович</t>
  </si>
  <si>
    <t>В-20635/КЛ.Транш - 1_В-20211230/Ц</t>
  </si>
  <si>
    <t>Чурсинов Ярослав Александрович</t>
  </si>
  <si>
    <t>В-12484/КЛ.Транш - 1_В-21082023/Ц</t>
  </si>
  <si>
    <t>Гриднева Татьяна Николаевна</t>
  </si>
  <si>
    <t>1 090</t>
  </si>
  <si>
    <t>В-17051/КЛ.Транш - 1_В-20211230/Ц</t>
  </si>
  <si>
    <t>Гринь Юлия Владимировна</t>
  </si>
  <si>
    <t>В-07717/КЛ.Транш - 2_В-20211230/Ц</t>
  </si>
  <si>
    <t>1 089</t>
  </si>
  <si>
    <t>В-20703/КЛ.Транш - 1_В-20211230/Ц</t>
  </si>
  <si>
    <t>Кириллов Николай Валерьевич</t>
  </si>
  <si>
    <t>В-17167/КЛ.Транш - 1_В-20211230/Ц</t>
  </si>
  <si>
    <t>Зинкевич Константин Владимирович</t>
  </si>
  <si>
    <t>1 087</t>
  </si>
  <si>
    <t>В-11595/КЛ.Транш - 1_В-20211230/Ц</t>
  </si>
  <si>
    <t>Рожкова Наталья Петровна</t>
  </si>
  <si>
    <t>1 085</t>
  </si>
  <si>
    <t>В-14453/КЛ.Транш - 1_В-21082023/Ц</t>
  </si>
  <si>
    <t>Архипов Данил Алексеевич</t>
  </si>
  <si>
    <t>1 084</t>
  </si>
  <si>
    <t>В-20300/КЛ.Транш - 1_В-20211230/Ц</t>
  </si>
  <si>
    <t>Дзейтов Муслим Алиевич</t>
  </si>
  <si>
    <t>1 083</t>
  </si>
  <si>
    <t>В-17315/КЛ.Транш - 1_В-20211230/Ц</t>
  </si>
  <si>
    <t>Рагимов Рафик Балайевич</t>
  </si>
  <si>
    <t>1 082</t>
  </si>
  <si>
    <t>В-00806/АЗ_В-20211230/Ц</t>
  </si>
  <si>
    <t>Белинский Сергей Игоревич</t>
  </si>
  <si>
    <t>1 079</t>
  </si>
  <si>
    <t>В-13264/КЛ.Транш - 2_В-21082023/Ц</t>
  </si>
  <si>
    <t>Леднев Алексей Иванович</t>
  </si>
  <si>
    <t>1 078</t>
  </si>
  <si>
    <t>В-21219/КЛ.Транш - 1_В-20211230/Ц</t>
  </si>
  <si>
    <t>Майоров Олег Владимирович</t>
  </si>
  <si>
    <t>1 076</t>
  </si>
  <si>
    <t>В-07717/КЛ.Транш - 4_В-20211230/Ц</t>
  </si>
  <si>
    <t>1 075</t>
  </si>
  <si>
    <t>В-07717/КЛ.Транш - 3_В-20211230/Ц</t>
  </si>
  <si>
    <t>1 073</t>
  </si>
  <si>
    <t>В-00708/АЗ_В-21082023/Ц</t>
  </si>
  <si>
    <t>Богданова Марина Алексеевна</t>
  </si>
  <si>
    <t>1 070</t>
  </si>
  <si>
    <t>В-14005/КЛ.Транш - 3_В-20211230/Ц</t>
  </si>
  <si>
    <t>Биятов Малик Серекович</t>
  </si>
  <si>
    <t>1 069</t>
  </si>
  <si>
    <t>В-04229/КЛ.Транш - 1_В-20211230/Ц</t>
  </si>
  <si>
    <t>Матросов Дмитрий Сергеевич</t>
  </si>
  <si>
    <t>1 068</t>
  </si>
  <si>
    <t>В-11186/КЛ.Транш - 1_В-21082023/Ц</t>
  </si>
  <si>
    <t>Гадян Артак Андраникович</t>
  </si>
  <si>
    <t>1 066</t>
  </si>
  <si>
    <t>В-00439/КЛ.Транш - 1_В-21082023/Ц</t>
  </si>
  <si>
    <t>Сельцова Наталья Юрьевна</t>
  </si>
  <si>
    <t>1 064</t>
  </si>
  <si>
    <t>В-18008/КЛ.Транш - 1_В-21082023/Ц</t>
  </si>
  <si>
    <t>Цикишев Сергей Николаевич</t>
  </si>
  <si>
    <t>1 063</t>
  </si>
  <si>
    <t>В-20442/КЛ.Транш - 1_В-20211230/Ц</t>
  </si>
  <si>
    <t>Салимов Шерзод Тохирович</t>
  </si>
  <si>
    <t>В-19349/КЛ.Транш - 1_В-20211230/Ц</t>
  </si>
  <si>
    <t>Еременко Сергей Артурович</t>
  </si>
  <si>
    <t>1 061</t>
  </si>
  <si>
    <t>В-15908/КЛ.Транш - 1_В-20211230/Ц</t>
  </si>
  <si>
    <t>Базарова Нафиса Ибрагимжановна</t>
  </si>
  <si>
    <t>1 058</t>
  </si>
  <si>
    <t>В-14529/КЛ.Транш - 1_В-20211230/Ц</t>
  </si>
  <si>
    <t>Емельяненко Александр Николаевич</t>
  </si>
  <si>
    <t>1 057</t>
  </si>
  <si>
    <t>В-12551/КЛ.Транш - 1_В-20211230/Ц</t>
  </si>
  <si>
    <t>Иванченко Сергей Александрович</t>
  </si>
  <si>
    <t>1 056</t>
  </si>
  <si>
    <t>В-14005/КЛ.Транш - 1_В-20211230/Ц</t>
  </si>
  <si>
    <t>1 052</t>
  </si>
  <si>
    <t>В-02961/КЛ.Транш - 1_В-21082023/Ц</t>
  </si>
  <si>
    <t>Любушкин Сергей Васильевич</t>
  </si>
  <si>
    <t>1 051</t>
  </si>
  <si>
    <t>В-17458/КЛ.Транш - 1_В-20211230/Ц</t>
  </si>
  <si>
    <t>Белолипцев Дмитрий Олегович</t>
  </si>
  <si>
    <t>В-22173/КЛ.Транш - 1_В-20211230/Ц</t>
  </si>
  <si>
    <t>Байтемиров Ахметхан Магарамович</t>
  </si>
  <si>
    <t>1 049</t>
  </si>
  <si>
    <t>В-18163/КЛ.Транш - 1_В-21082023/Ц</t>
  </si>
  <si>
    <t>Магомедов Ахмед Багаутдинович</t>
  </si>
  <si>
    <t>1 045</t>
  </si>
  <si>
    <t>В-22434/АЗ_В-20211230/Ц</t>
  </si>
  <si>
    <t>Касутин Евгений Дмитриевич</t>
  </si>
  <si>
    <t>1 039</t>
  </si>
  <si>
    <t>В-22436/АЗ_В-20211230/Ц</t>
  </si>
  <si>
    <t>Касутина Виктория Алексеевна</t>
  </si>
  <si>
    <t>В-03541/КЛ.Транш - 1_В-21082023/Ц</t>
  </si>
  <si>
    <t>Баранов Сергей Алексеевич</t>
  </si>
  <si>
    <t>1 037</t>
  </si>
  <si>
    <t>В-18022/КЛ.Транш - 1_В-20211230/Ц</t>
  </si>
  <si>
    <t>Сосков Иван Сергеевич</t>
  </si>
  <si>
    <t>1 033</t>
  </si>
  <si>
    <t>В-05425/КЛ.Транш - 2_В-20211230/Ц</t>
  </si>
  <si>
    <t>Мелкумян Масис Владимирович</t>
  </si>
  <si>
    <t>1 032</t>
  </si>
  <si>
    <t>В-21208/КЛ.Транш - 2_В-20211230/Ц</t>
  </si>
  <si>
    <t>Журавлева Наталья Юрьевна</t>
  </si>
  <si>
    <t>В-00034/КЭ.Транш - 1_В20211230/Ц</t>
  </si>
  <si>
    <t>ТК МЕЖРЕГИОНСЕРВИС-77 ООО</t>
  </si>
  <si>
    <t>1 030</t>
  </si>
  <si>
    <t>В-01179/АЗ_В-20211230/Ц</t>
  </si>
  <si>
    <t>Забиров Ринат Шавкатович</t>
  </si>
  <si>
    <t>В-04682/КЛ.Транш - 3_В-20211230/Ц</t>
  </si>
  <si>
    <t>Усиков Андрей Васильевич</t>
  </si>
  <si>
    <t>В-17030/КЛ.Транш - 1_В-21082023/Ц</t>
  </si>
  <si>
    <t>Цуриков Яков Владимирович</t>
  </si>
  <si>
    <t>В-13264/КЛ.Транш - 3_В-21082023/Ц</t>
  </si>
  <si>
    <t>1 029</t>
  </si>
  <si>
    <t>В-13264/КЛ.Транш - 1_В-21082023/Ц</t>
  </si>
  <si>
    <t>1 020</t>
  </si>
  <si>
    <t>В-22100/КЛ.Транш - 1_В-20211230/Ц</t>
  </si>
  <si>
    <t>Кострыгина Юлия Викторовна</t>
  </si>
  <si>
    <t>1 019</t>
  </si>
  <si>
    <t>В-21146/КЛ.Транш - 1_В-20211230/Ц</t>
  </si>
  <si>
    <t>Тришина Екатерина Викторовна</t>
  </si>
  <si>
    <t>1 018</t>
  </si>
  <si>
    <t>В-23325/АЗ_В-20211230/Ц</t>
  </si>
  <si>
    <t>Ермакова Кристина Алексеевна</t>
  </si>
  <si>
    <t>1 012</t>
  </si>
  <si>
    <t>В-23339/АЗ_В-20211230/Ц</t>
  </si>
  <si>
    <t>Ермаков Владислав Олегович</t>
  </si>
  <si>
    <t>В-04682/КЛ.Транш - 4_В-20211230/Ц</t>
  </si>
  <si>
    <t>1 010</t>
  </si>
  <si>
    <t>В-04682/КЛ.Транш - 5_В-20211230/Ц</t>
  </si>
  <si>
    <t>1 009</t>
  </si>
  <si>
    <t>В-04682/КЛ.Транш - 8_В-20211230/Ц</t>
  </si>
  <si>
    <t>1 008</t>
  </si>
  <si>
    <t>В-14005/КЛ.Транш - 2_В-20211230/Ц</t>
  </si>
  <si>
    <t>1 007</t>
  </si>
  <si>
    <t>В-00021/КЭ.Транш - 1_В-20211230/Ц</t>
  </si>
  <si>
    <t>ИП Арутюнян Ваге Андреасович</t>
  </si>
  <si>
    <t>1 003</t>
  </si>
  <si>
    <t>В-01107/АЗ_В-20211230/Ц</t>
  </si>
  <si>
    <t>Лещинский Михаил Дмитриевич</t>
  </si>
  <si>
    <t>1 001</t>
  </si>
  <si>
    <t>В-04682/КЛ.Транш - 7_В-20211230/Ц</t>
  </si>
  <si>
    <t>В-11186/КЛ.Транш - 2_В-21082023/Ц</t>
  </si>
  <si>
    <t>В-04682/КЛ.Транш - 6_В-20211230/Ц</t>
  </si>
  <si>
    <t>В-00951/АЗ_В-20211230/Ц</t>
  </si>
  <si>
    <t>Громов Вячеслав Александрович</t>
  </si>
  <si>
    <t>Т-01931/АЗ_Т-20211028/Ц</t>
  </si>
  <si>
    <t>В-24072/АЗ_В-20211230/Ц</t>
  </si>
  <si>
    <t>Султанов Салим Исламович</t>
  </si>
  <si>
    <t>Т-01914/АЗ_Т-20211028/Ц</t>
  </si>
  <si>
    <t>Битюцких Александр Александрович</t>
  </si>
  <si>
    <t>В-02707/КЛ.Транш - 1_В-21082023/Ц</t>
  </si>
  <si>
    <t>Гавриленко Денис Владимирович</t>
  </si>
  <si>
    <t>В-20046/КЛ.Транш - 1_В-21082023/Ц</t>
  </si>
  <si>
    <t>Лебедовский Максим Юрьевич</t>
  </si>
  <si>
    <t>В-17687/КЛ.Транш - 2_В-20211230/Ц</t>
  </si>
  <si>
    <t>Мусаев Саид Рамазанович</t>
  </si>
  <si>
    <t>В-22026/КЛ.Транш - 1_В-20211230/Ц</t>
  </si>
  <si>
    <t>Гречкин Сергей Петрович</t>
  </si>
  <si>
    <t>В-20109/КЛ.Транш - 1_В-21082023/Ц</t>
  </si>
  <si>
    <t>Спицын Антон Вадимович</t>
  </si>
  <si>
    <t>В-01898/КЛ.Транш - 1_В-20211230/Ц</t>
  </si>
  <si>
    <t>Захаркин Алексей Викторович</t>
  </si>
  <si>
    <t>В-17805/КЛ.Транш - 2_В-20211230/Ц</t>
  </si>
  <si>
    <t>Апухтина Виолетта Байрамовна</t>
  </si>
  <si>
    <t>В-00039/КЭ.Транш - 1_В-20211230/Ц</t>
  </si>
  <si>
    <t>ЭЛ-КОМПЛЕКТ ООО</t>
  </si>
  <si>
    <t>В-01084/АЗ</t>
  </si>
  <si>
    <t>Печеникова Оксана Александровна</t>
  </si>
  <si>
    <t>В-23633/КЛ.Транш - 1_В-20211230/Ц</t>
  </si>
  <si>
    <t>Кошелева Светлана Сергеевна</t>
  </si>
  <si>
    <t>В-00439/КЛ.Транш - 2_В-21082023/Ц</t>
  </si>
  <si>
    <t>В-11334/КЛ.Транш - 1_В-20211230/Ц</t>
  </si>
  <si>
    <t>Кольчицкий Захар Викторович</t>
  </si>
  <si>
    <t>В-23840/КЛ.Транш - 1_В-20211230/Ц</t>
  </si>
  <si>
    <t>Золотов Олег Владимирович</t>
  </si>
  <si>
    <t>В-17153/КЛ.Транш - 2_В-20211230/Ц</t>
  </si>
  <si>
    <t>Хасанов Жасур Абдурашидович</t>
  </si>
  <si>
    <t>В-20766/КЛ.Транш - 1_В-20211230/Ц</t>
  </si>
  <si>
    <t>Васильев Сергей Владимирович</t>
  </si>
  <si>
    <t>В-16023/КЛ.Транш - 1_В-20211230/Ц</t>
  </si>
  <si>
    <t>Волохов Юрий Викторович</t>
  </si>
  <si>
    <t>В-17153/КЛ.Транш - 1_В-20211230/Ц</t>
  </si>
  <si>
    <t>В-19655/КЛ.Транш - 1_В-20211230/Ц</t>
  </si>
  <si>
    <t>Башленко Илья Васильевич</t>
  </si>
  <si>
    <t>В-12427/КЛ.Транш - 1_В-21082023/Ц</t>
  </si>
  <si>
    <t>Хуртов Сергей Георгиевич</t>
  </si>
  <si>
    <t>В-21040/КЛ.Транш - 1_В-20211230/Ц</t>
  </si>
  <si>
    <t>Рассказов Максим Владимирович</t>
  </si>
  <si>
    <t>В-16959/КЛ.Транш - 1_В-20211230/Ц</t>
  </si>
  <si>
    <t>Рева Анастасия Владимировна</t>
  </si>
  <si>
    <t>В-21208/КЛ.Транш - 1_В-20211230/Ц</t>
  </si>
  <si>
    <t>В-25457/КЛ.Транш - 1_В-20211230/Ц</t>
  </si>
  <si>
    <t>Крючковский Сергей Владиславович</t>
  </si>
  <si>
    <t>В-21269/КЛ.Транш - 1_В-20211230/Ц</t>
  </si>
  <si>
    <t>Елизарова Виктория Андреевна</t>
  </si>
  <si>
    <t>В-10934/КЛ.Транш - 1_В-20211230/Ц</t>
  </si>
  <si>
    <t>Бендас Евгений Васильевич</t>
  </si>
  <si>
    <t>В-12391/КЛ.Транш - 2_В-20211230/Ц</t>
  </si>
  <si>
    <t>Саутин Александр Юрьевич</t>
  </si>
  <si>
    <t>В-30009/КЭ.Транш - 1_В-20211230/Ц</t>
  </si>
  <si>
    <t>ИП Федотов Тихон Андреевич</t>
  </si>
  <si>
    <t>В-17687/КЛ.Транш - 1_В-20211230/Ц</t>
  </si>
  <si>
    <t>В-25747/КЛ.Транш - 1_В-20211230/Ц</t>
  </si>
  <si>
    <t>Инютин Никита Александрович</t>
  </si>
  <si>
    <t>В-12427/КЛ.Транш - 2_В-21082023/Ц</t>
  </si>
  <si>
    <t>В-08918/КЛ.Транш - 1_В-20211230/Ц</t>
  </si>
  <si>
    <t>Фофанов Михаил Михайлович</t>
  </si>
  <si>
    <t>В-17805/КЛ.Транш - 1_В-20211230/Ц</t>
  </si>
  <si>
    <t>В-10934/КЛ.Транш - 2_В-20211230/Ц</t>
  </si>
  <si>
    <t>В-16959/КЛ.Транш - 2_В-20211230/Ц</t>
  </si>
  <si>
    <t>В-12368/КЛ.Транш - 1_В-20211230/Ц</t>
  </si>
  <si>
    <t>Масальский Руслан Иванович</t>
  </si>
  <si>
    <t>В-17788/КЛ.Транш - 2_В-20211230/Ц</t>
  </si>
  <si>
    <t>Ташланова Юлия Юрьевна</t>
  </si>
  <si>
    <t>В-09795/КЛ.Транш - 1_В-20211230/Ц</t>
  </si>
  <si>
    <t>Матвеев Андрей Александрович</t>
  </si>
  <si>
    <t>В-17788/КЛ.Транш - 3_В-20211230/Ц</t>
  </si>
  <si>
    <t>В-26247/КЛ.Транш - 1_В-20211230/Ц</t>
  </si>
  <si>
    <t>Марков Владислав Владимирович</t>
  </si>
  <si>
    <t>В-21847/КЛ.Транш - 1_В-20211230/Ц</t>
  </si>
  <si>
    <t>Пантелеев Даниил Александрович</t>
  </si>
  <si>
    <t>В-04210/КЛ.Транш - 1_В-20211230/Ц</t>
  </si>
  <si>
    <t>Фейзуллаев Альберт Нефтуллаевич</t>
  </si>
  <si>
    <t>В-12391/КЛ.Транш - 1_В-20211230/Ц</t>
  </si>
  <si>
    <t>В-18370/КЛ.Транш - 1_В-20211230/Ц</t>
  </si>
  <si>
    <t>Богданов Борис Владимирович</t>
  </si>
  <si>
    <t>В-20855/КЛ.Транш - 1_В-20211230/Ц</t>
  </si>
  <si>
    <t>Лебедева Евгения Александровна</t>
  </si>
  <si>
    <t>В-24021/КЛ.Транш - 1_В-20211230/Ц</t>
  </si>
  <si>
    <t>Кострюков Сергей Вячеславович</t>
  </si>
  <si>
    <t>В-12401/КЛ.Транш - 1_В-21082023/Ц</t>
  </si>
  <si>
    <t>Джабраилов Саид-Хусейн Хасанович</t>
  </si>
  <si>
    <t>В-12401/КЛ.Транш - 2_В-21082023/Ц</t>
  </si>
  <si>
    <t>В-10012/КЭ.Транш - 1_В-20211230/Ц</t>
  </si>
  <si>
    <t>АРТЭС ООО</t>
  </si>
  <si>
    <t>В-25302/КЛ.Транш - 1_В-20211230/Ц</t>
  </si>
  <si>
    <t>Пеньков Алексей Александрович</t>
  </si>
  <si>
    <t>В-12427/КЛ.Транш - 3_В-21082023/Ц</t>
  </si>
  <si>
    <t>В-21048/КЛ.Транш - 1_В-20211230/Ц</t>
  </si>
  <si>
    <t>Матузов Алексей Викторович</t>
  </si>
  <si>
    <t>В-17788/КЛ.Транш - 1_В-20211230/Ц</t>
  </si>
  <si>
    <t>В-25806/КЛ.Транш - 1_В-20211230/Ц</t>
  </si>
  <si>
    <t>Армяновский Сергей Владимирович</t>
  </si>
  <si>
    <t>В-17824/КЛ.Транш - 1_В-20211230/Ц</t>
  </si>
  <si>
    <t>Трунтов Андрей Федорович</t>
  </si>
  <si>
    <t>В-17805/КЛ.Транш - 3_В-20211230/Ц</t>
  </si>
  <si>
    <t>В-14178/КЛ.Транш - 1_В-20211230/Ц</t>
  </si>
  <si>
    <t>Киселев Андрей Владимирович</t>
  </si>
  <si>
    <t>В-18757/КЛ.Транш - 1_В-20211230/Ц</t>
  </si>
  <si>
    <t>Машковцев Алексей Валерьевич</t>
  </si>
  <si>
    <t>В-17062/КЛ.Транш - 2_В-20211230/Ц</t>
  </si>
  <si>
    <t>Мацола Артём Иванович</t>
  </si>
  <si>
    <t>В-17062/КЛ.Транш - 3_В-20211230/Ц</t>
  </si>
  <si>
    <t>В-20490/КЛ.Транш - 1_В-21082023/Ц</t>
  </si>
  <si>
    <t>Муравьев Сергей Сергеевич</t>
  </si>
  <si>
    <t>В-21574/КЛ.Транш - 1_В-20211230/Ц</t>
  </si>
  <si>
    <t>Тряпко Владимир Александрович</t>
  </si>
  <si>
    <t>В-08745/КЛ.Транш - 1_В-21082023/Ц</t>
  </si>
  <si>
    <t>Правдивцева Наталья Владимировна</t>
  </si>
  <si>
    <t>В-24878/КЛ.Транш - 1_В-20211230/Ц</t>
  </si>
  <si>
    <t>Мовсесян Гарик Вагифович</t>
  </si>
  <si>
    <t>В-11534/КЛ.Транш - 2_В-20211230/Ц</t>
  </si>
  <si>
    <t>Иванов Владимир Леонидович</t>
  </si>
  <si>
    <t>В-13336/КЛ.Транш - 2_В-21082023/Ц</t>
  </si>
  <si>
    <t>Алыбаев Долеткельди Ягудович</t>
  </si>
  <si>
    <t>В-17106/КЛ.Транш - 1_В-20211230/Ц</t>
  </si>
  <si>
    <t>Кебурия Илья Нугзариевич</t>
  </si>
  <si>
    <t>В-24927/КЛ.Транш - 1_В-20211230/Ц</t>
  </si>
  <si>
    <t>Златин Денис Петрович</t>
  </si>
  <si>
    <t>В-21858/КЛ.Транш - 1_В-20211230/Ц</t>
  </si>
  <si>
    <t>Тонконогов Артем Андреевич</t>
  </si>
  <si>
    <t>В-14907/КЛ.Транш - 1_В-20211230/Ц</t>
  </si>
  <si>
    <t>Аперян Любовь Артуровна</t>
  </si>
  <si>
    <t>В-25131/КЛ.Транш - 1_В-20211230/Ц</t>
  </si>
  <si>
    <t>Айрапетян Нарек Гайкович</t>
  </si>
  <si>
    <t>В-11534/КЛ.Транш - 1_В-20211230/Ц</t>
  </si>
  <si>
    <t>В-14544/КЛ.Транш - 1_В-20211230/Ц</t>
  </si>
  <si>
    <t>Солдатенков Алексей Геннадиевич</t>
  </si>
  <si>
    <t>В-14544/КЛ.Транш - 2_В-20211230/Ц</t>
  </si>
  <si>
    <t>В-22057/КЛ.Транш - 2_В-20211230/Ц</t>
  </si>
  <si>
    <t>Лихачева Мария Николаевна</t>
  </si>
  <si>
    <t>В-27521/КЛ.Транш - 1_В-20211230/Ц</t>
  </si>
  <si>
    <t>Невкипелый Дмитрий Валерьевич</t>
  </si>
  <si>
    <t>В-01051/АЗ_В-20211230/Ц</t>
  </si>
  <si>
    <t>Демченко Андрей Сергеевич</t>
  </si>
  <si>
    <t>В-00068/КЭ.Транш - 1_В-20211230/Ц</t>
  </si>
  <si>
    <t>Бизнес Бухгалтер ООО</t>
  </si>
  <si>
    <t>В-17062/КЛ.Транш - 1_В-20211230/Ц</t>
  </si>
  <si>
    <t>В-22057/КЛ.Транш - 1_В-20211230/Ц</t>
  </si>
  <si>
    <t>В-25304/АЗ_В-20211230/Ц</t>
  </si>
  <si>
    <t>Гаврин Валентин Николаевич</t>
  </si>
  <si>
    <t>В-26776/КЛ.Транш - 1_В-20211230/Ц</t>
  </si>
  <si>
    <t>Комаров Андрей Сергеевич</t>
  </si>
  <si>
    <t>В-27747/КЛ.Транш - 1_В-20211230/Ц</t>
  </si>
  <si>
    <t>Гусейнов Магомед Динисламович</t>
  </si>
  <si>
    <t>В-00070/КЭ.Транш - 1_В-20211230/Ц</t>
  </si>
  <si>
    <t>ТехТара ООО</t>
  </si>
  <si>
    <t>В-19451/КЛ.Транш - 2_В-20211230/Ц</t>
  </si>
  <si>
    <t>Устинов Максим Викторович</t>
  </si>
  <si>
    <t>В-07877/КЛ.Транш - 12_В-21082023/Ц</t>
  </si>
  <si>
    <t>Кильдюшкин Андрей Николаевич</t>
  </si>
  <si>
    <t>В-27006/КЛ.Транш - 1_В-20211230/Ц</t>
  </si>
  <si>
    <t>Валиков Алексей Анатольевич</t>
  </si>
  <si>
    <t>В-14907/КЛ.Транш - 2_В-20211230/Ц</t>
  </si>
  <si>
    <t>В-17752/КЛ.Транш - 1_В-20211230/Ц</t>
  </si>
  <si>
    <t>Симонов Станислав Валерьевич</t>
  </si>
  <si>
    <t>В-27050/АЗ_В-20211230/Ц</t>
  </si>
  <si>
    <t>Бутурлакин Марк Николаевич</t>
  </si>
  <si>
    <t>В-17752/КЛ.Транш - 2_В-20211230/Ц</t>
  </si>
  <si>
    <t>В-15393/КЛ.Транш - 1_В-20211230/Ц</t>
  </si>
  <si>
    <t>Темникова Оксана Дмитриевна</t>
  </si>
  <si>
    <t>В-07877/КЛ.Транш - 15_В-21082023/Ц</t>
  </si>
  <si>
    <t>В-26093/КЛ.Транш - 1_В-20211230/Ц</t>
  </si>
  <si>
    <t>Храмцова Дарья Юрьевна</t>
  </si>
  <si>
    <t>В-07877/КЛ.Транш - 14_В-21082023/Ц</t>
  </si>
  <si>
    <t>В-27416/АЗ_В-20211230/Ц</t>
  </si>
  <si>
    <t>Жолобов Алексей Юрьевич</t>
  </si>
  <si>
    <t>В-00077/КЭ.Транш - 1_В-20211230/Ц</t>
  </si>
  <si>
    <t>ДОРРЕМСТРОЙ ООО</t>
  </si>
  <si>
    <t>В-19451/КЛ.Транш - 3_В-20211230/Ц</t>
  </si>
  <si>
    <t>В-20787/КЛ.Транш - 1_В-20211230/Ц</t>
  </si>
  <si>
    <t>Исаков Иван Владимирович</t>
  </si>
  <si>
    <t>В-17199/КЛ.Транш - 3_В-20211230/Ц</t>
  </si>
  <si>
    <t>Мустафин Ринад Исмаилович</t>
  </si>
  <si>
    <t>В-11630/КЛ.Транш - 1_В-20211230/Ц</t>
  </si>
  <si>
    <t>Комарова Марина Владимировна</t>
  </si>
  <si>
    <t>В-17506/КЛ.Транш - 1_В-21082023/Ц</t>
  </si>
  <si>
    <t>Богачук Сергей Прокопьевич</t>
  </si>
  <si>
    <t>В-23074/КЛ.Транш - 1_В-20211230/Ц</t>
  </si>
  <si>
    <t>Дорожинская Екатерина Андреевна</t>
  </si>
  <si>
    <t>В-24261/КЛ.Транш - 1_В-20211230/Ц</t>
  </si>
  <si>
    <t>Мустафьева Айтан Таджединовна</t>
  </si>
  <si>
    <t>В-24336/КЛ.Транш - 1_В-21082023/Ц</t>
  </si>
  <si>
    <t>Алексанян Роберт Робертович</t>
  </si>
  <si>
    <t>В-16432/КЛ.Транш - 1_В-21082023/Ц</t>
  </si>
  <si>
    <t>Малинина Оксана Александровна</t>
  </si>
  <si>
    <t>В-21175/КЛ.Транш - 1_В-21082023/Ц</t>
  </si>
  <si>
    <t>Пилюгин Олег Васильевич</t>
  </si>
  <si>
    <t>В-17199/КЛ.Транш - 2_В-20211230/Ц</t>
  </si>
  <si>
    <t>В-24336/КЛ.Транш - 2_В-21082023/Ц</t>
  </si>
  <si>
    <t>В-19179/КЛ.Транш - 2_В-20211230/Ц</t>
  </si>
  <si>
    <t>Буренкова Екатерина Сергеевна</t>
  </si>
  <si>
    <t>В-29072/КЛ.Транш - 1_В-20211230/Ц</t>
  </si>
  <si>
    <t>Папикян Андраник Климентович</t>
  </si>
  <si>
    <t>В-16261/КЛ.Транш - 1_В-20211230/Ц</t>
  </si>
  <si>
    <t>Прусаков Максим Владимирович</t>
  </si>
  <si>
    <t>В-19179/КЛ.Транш - 1_В-20211230/Ц</t>
  </si>
  <si>
    <t>В-20458/КЛ.Транш - 1_В-20211230/Ц</t>
  </si>
  <si>
    <t>Музыка Евгений Александрович</t>
  </si>
  <si>
    <t>В-24336/КЛ.Транш - 3_В-21082023/Ц</t>
  </si>
  <si>
    <t>В-21666/КЛ.Транш - 1_В-20211230/Ц</t>
  </si>
  <si>
    <t>Кочнева Наталья Николаевна</t>
  </si>
  <si>
    <t>В-28383/КЛ.Транш - 1_В-20211230/Ц</t>
  </si>
  <si>
    <t>Абдуллин Азат Мазитович</t>
  </si>
  <si>
    <t>В-24336/КЛ.Транш - 4_В-21082023/Ц</t>
  </si>
  <si>
    <t>В-18851/КЛ.Транш - 1_В-21082023/Ц</t>
  </si>
  <si>
    <t>Царьков Павел Игоревич</t>
  </si>
  <si>
    <t>В-23897/КЛ.Транш - 1_В-20211230/Ц</t>
  </si>
  <si>
    <t>Курнакова Надежда Александровна</t>
  </si>
  <si>
    <t>В-28684/КЛ.Транш - 1_В-21082023/Ц</t>
  </si>
  <si>
    <t>Крайнева Марина Александровна</t>
  </si>
  <si>
    <t>В-18334/КЛ.Транш - 1_В-20211230/Ц</t>
  </si>
  <si>
    <t>Акиньшин Олег Алексеевич</t>
  </si>
  <si>
    <t>В-01050/АЗ_В-20211230/Ц</t>
  </si>
  <si>
    <t>В-20921/КЛ.Транш - 1_В-20211230/Ц</t>
  </si>
  <si>
    <t>Оганесян Наири Миранович</t>
  </si>
  <si>
    <t>В-25367/АЗ_В-20211230/Ц</t>
  </si>
  <si>
    <t>Диакону Сергей Борисович</t>
  </si>
  <si>
    <t>В-25370/АЗ_В-20211230/Ц</t>
  </si>
  <si>
    <t>Науменко Андрей Николаевич</t>
  </si>
  <si>
    <t>В-19227/КЛ.Транш - 1_В-20211230/Ц</t>
  </si>
  <si>
    <t>Мощинская Елена Николаевна</t>
  </si>
  <si>
    <t>В-05402/КЛ.Транш - 4_В-21082023/Ц</t>
  </si>
  <si>
    <t>Мылов Сергей Геннадьевич</t>
  </si>
  <si>
    <t>В-19093/КЛ.Транш - 1_В-20211230/Ц</t>
  </si>
  <si>
    <t>Баранов Аркадий Александрович</t>
  </si>
  <si>
    <t>В-07072/КЛ.Транш - 1_В-20211230/Ц</t>
  </si>
  <si>
    <t>Мазурин Николай Анатольевич</t>
  </si>
  <si>
    <t>В-17853/КЛ.Транш - 6_В-20211230/Ц</t>
  </si>
  <si>
    <t>Савельев Александр Владимирович</t>
  </si>
  <si>
    <t>В-13336/КЛ.Транш - 1_В-21082023/Ц</t>
  </si>
  <si>
    <t>В-15451/КЛ.Транш - 1_В-21082023/Ц</t>
  </si>
  <si>
    <t>Кутанов Егор Сергеевич</t>
  </si>
  <si>
    <t>В-17853/КЛ.Транш - 4_В-20211230/Ц</t>
  </si>
  <si>
    <t>В-28694/КЛ.Транш - 1_В-21082023/Ц</t>
  </si>
  <si>
    <t>Аракелян Лусине Вардановна</t>
  </si>
  <si>
    <t>В-07072/КЛ.Транш - 3_В-20211230/Ц</t>
  </si>
  <si>
    <t>В-18164/КЛ.Транш - 1_В-21082023/Ц</t>
  </si>
  <si>
    <t>Гилаев Флюс Фаусович</t>
  </si>
  <si>
    <t>В-17853/КЛ.Транш - 3_В-20211230/Ц</t>
  </si>
  <si>
    <t>В-17853/КЛ.Транш - 5_В-20211230/Ц</t>
  </si>
  <si>
    <t>В-13740/КЛ.Транш - 1_В-21082023/Ц</t>
  </si>
  <si>
    <t>Семенов Андрей Сергеевич</t>
  </si>
  <si>
    <t>В-27251/КЛ.Транш - 1_В-21082023/Ц</t>
  </si>
  <si>
    <t>Алешкин Алексей Владиславович</t>
  </si>
  <si>
    <t>В-10141/КЛ.Транш - 2_В-20211230/Ц</t>
  </si>
  <si>
    <t>Галеев Александр Ринатович</t>
  </si>
  <si>
    <t>В-17853/КЛ.Транш - 7_В-20211230/Ц</t>
  </si>
  <si>
    <t>В-09174/КЛ.Транш - 9_В-20211230/Ц</t>
  </si>
  <si>
    <t>Скрипичников Егор Сергеевич</t>
  </si>
  <si>
    <t>В-09174/КЛ.Транш - 7_В-20211230/Ц</t>
  </si>
  <si>
    <t>В-11050/КЛ.Транш - 1_В-20211230/Ц</t>
  </si>
  <si>
    <t>Садигов Нарман Адждар Оглы</t>
  </si>
  <si>
    <t>В-17853/КЛ.Транш - 1_В-20211230/Ц</t>
  </si>
  <si>
    <t>В-17853/КЛ.Транш - 2_В-20211230/Ц</t>
  </si>
  <si>
    <t>В-07072/КЛ.Транш - 2_В-20211230/Ц</t>
  </si>
  <si>
    <t>В-10141/КЛ.Транш - 1_В-20211230/Ц</t>
  </si>
  <si>
    <t>В-09174/КЛ.Транш - 8_В-20211230/Ц</t>
  </si>
  <si>
    <t>В-19425/КЛ.Транш - 1_В-20211230/Ц</t>
  </si>
  <si>
    <t>Молчанов Дмитрий Викторович</t>
  </si>
  <si>
    <t>В-24308/КЛ.Транш - 1_В-20211230/Ц</t>
  </si>
  <si>
    <t>Кондратюк Алексей Николаевич</t>
  </si>
  <si>
    <t>В-27855/КЛ.Транш - 1_В-20211230/Ц</t>
  </si>
  <si>
    <t>Калашников Юрий Витальевич</t>
  </si>
  <si>
    <t>В-09174/КЛ.Транш - 10_В-20211230/Ц</t>
  </si>
  <si>
    <t>В-25792/КЛ.Транш - 1_В-20211230/Ц</t>
  </si>
  <si>
    <t>Бакласова Мирабелла Викторовна</t>
  </si>
  <si>
    <t>В-19227/КЛ.Транш - 2_В-20211230/Ц</t>
  </si>
  <si>
    <t>В-06818/КЛ.Транш - 1_В-20211230/Ц</t>
  </si>
  <si>
    <t>Собиров Раджабали Карахужаевич</t>
  </si>
  <si>
    <t>В-28872/КЛ.Транш - 1_В-20211230/Ц</t>
  </si>
  <si>
    <t>Хачатрян Лаврент Юрикович</t>
  </si>
  <si>
    <t>В-02583/КЛ.Транш - 8_В-21082023/Ц</t>
  </si>
  <si>
    <t>Филатова Юлия Петровна</t>
  </si>
  <si>
    <t>В-30001/КЭ.Транш - 1_В-20211230/Ц</t>
  </si>
  <si>
    <t>ИП Белан Надежда Александровна</t>
  </si>
  <si>
    <t>В-02583/КЛ.Транш - 5_В-21082023/Ц</t>
  </si>
  <si>
    <t>В-10008/КЭ.Транш - 2_В-20211230/Ц</t>
  </si>
  <si>
    <t>ИП Светлов Виталий Анатольевич</t>
  </si>
  <si>
    <t>В-17417/КЛ.Транш - 1_В-20211230/Ц</t>
  </si>
  <si>
    <t>Минаева Наталия Анатольевна</t>
  </si>
  <si>
    <t>В-10008/КЭ.Транш - 3_В-20211230/Ц</t>
  </si>
  <si>
    <t>В-10024/КЭ.Транш - 1_В-20211230/Ц</t>
  </si>
  <si>
    <t>В-28393/КЛ.Транш - 1_В-20211230/Ц</t>
  </si>
  <si>
    <t>Петров Николай Анатольевич</t>
  </si>
  <si>
    <t>В-10008/КЭ.Транш - 1_В-20211230/Ц</t>
  </si>
  <si>
    <t>В-00063/КЭ.Транш - 3_В-20211230/Ц</t>
  </si>
  <si>
    <t>ИП Месропян Аревик Орбеловна</t>
  </si>
  <si>
    <t>В-25792/КЛ.Транш - 2_В-20211230/Ц</t>
  </si>
  <si>
    <t>В-10025/КЭ.Транш - 1_В-20211230/Ц</t>
  </si>
  <si>
    <t>ИП Петров Юрий Викторович</t>
  </si>
  <si>
    <t>В-26170/КЛ.Транш - 1_В-20211230/Ц</t>
  </si>
  <si>
    <t>Магомедов Саид Магомедрасулович</t>
  </si>
  <si>
    <t>В-24308/КЛ.Транш - 2_В-20211230/Ц</t>
  </si>
  <si>
    <t>Т-01885/АЗ_Т-20211028/Ц</t>
  </si>
  <si>
    <t>Месропян Аревик Орбеловна</t>
  </si>
  <si>
    <t>В-02583/КЛ.Транш - 6_В-21082023/Ц</t>
  </si>
  <si>
    <t>В-10039/КЛ.Транш - 2_В-20211230/Ц</t>
  </si>
  <si>
    <t>В-02583/КЛ.Транш - 7_В-21082023/Ц</t>
  </si>
  <si>
    <t>В-10020/КЭ.Транш - 1_В-20211230/Ц</t>
  </si>
  <si>
    <t>АС ООО</t>
  </si>
  <si>
    <t>В-03450/КЛ.Транш - 1_В-20211230/Ц</t>
  </si>
  <si>
    <t>Рябоконов Алексей Викторович</t>
  </si>
  <si>
    <t>В-14546/КЛ.Транш - 1_В-20211230/Ц</t>
  </si>
  <si>
    <t>Козлов Иван Александрович</t>
  </si>
  <si>
    <t>В-21731/КЛ.Транш - 2_В-21082023/Ц</t>
  </si>
  <si>
    <t>Виноградова Светлана Витальевна</t>
  </si>
  <si>
    <t>В-14232/КЛ.Транш - 1_В-20211230/Ц</t>
  </si>
  <si>
    <t>Эскеров Агаси Эскерович</t>
  </si>
  <si>
    <t>В-02583/КЛ.Транш - 9_В-21082023/Ц</t>
  </si>
  <si>
    <t>В-30007/КЭ.Транш - 1_В-20211230/Ц</t>
  </si>
  <si>
    <t>ИП Артемов Александр Викторович</t>
  </si>
  <si>
    <t>В-27410/КЛ.Транш - 1_В-21082023/Ц</t>
  </si>
  <si>
    <t>Бунаков Алексей Вячеславович</t>
  </si>
  <si>
    <t>В-28274/КЛ.Транш - 1_В-21082023/Ц</t>
  </si>
  <si>
    <t>Подтуркин Алексей Сергеевич</t>
  </si>
  <si>
    <t>В-25052/КЛ.Транш - 1_В-21082023/Ц</t>
  </si>
  <si>
    <t>Журавлёв Денис Сергеевич</t>
  </si>
  <si>
    <t>В-01203/АЗ_В-21082023/Ц</t>
  </si>
  <si>
    <t>Нахапетов Артур Валерьевич</t>
  </si>
  <si>
    <t>В-18631/КЛ.Транш - 1_В-21082023/Ц</t>
  </si>
  <si>
    <t>Самедов Эльдар Абилевич</t>
  </si>
  <si>
    <t>В-19346/КЛ.Транш - 2_В-21082023/Ц</t>
  </si>
  <si>
    <t>Киселев Александр Максимович</t>
  </si>
  <si>
    <t>В-19346/КЛ.Транш - 3_В-21082023/Ц</t>
  </si>
  <si>
    <t>В-00030/КЭ.Транш - 1_В-21082023/Ц</t>
  </si>
  <si>
    <t>Макси-Строй ООО</t>
  </si>
  <si>
    <t>В-18141/КЛ.Транш - 1_В-21082023/Ц</t>
  </si>
  <si>
    <t>Королёв Сергей Николаевич</t>
  </si>
  <si>
    <t>В-19104/КЛ.Транш - 1_В-21082023/Ц</t>
  </si>
  <si>
    <t>Кожанов Александр Михайлович</t>
  </si>
  <si>
    <t>В-12943/КЛ.Транш - 1_В-21082023/Ц</t>
  </si>
  <si>
    <t>Дробот Роман Вячеславович</t>
  </si>
  <si>
    <t>В-03300/КЛ.Транш - 1_В-21082023/Ц</t>
  </si>
  <si>
    <t>Тихонова Ирина Анатольевна</t>
  </si>
  <si>
    <t>В-27753/КЛ.Транш - 1_В-21082023/Ц</t>
  </si>
  <si>
    <t>Турумбекова Темиркан Кадырбековна</t>
  </si>
  <si>
    <t>В-19684/КЛ.Транш - 1_В-21082023/Ц</t>
  </si>
  <si>
    <t>Белорыбкин Михаил Васильевич</t>
  </si>
  <si>
    <t>В-25865/КЛ.Транш - 1_В-21082023/Ц</t>
  </si>
  <si>
    <t>Набойченко Юлия Александровна</t>
  </si>
  <si>
    <t>В-00970/АЗ_В-21082023/Ц</t>
  </si>
  <si>
    <t>Башкатов Егор Иванович</t>
  </si>
  <si>
    <t>В-23776/КЛ.Транш - 1_В-21082023/Ц</t>
  </si>
  <si>
    <t>Шалдыбин Данил Геннадьевич</t>
  </si>
  <si>
    <t>В-10022/КЭ.Транш - 1_В-21082023/Ц</t>
  </si>
  <si>
    <t>В-01113/АЗ_В-21082023/Ц</t>
  </si>
  <si>
    <t>Петров Денис Александрович</t>
  </si>
  <si>
    <t>В-21321/КЛ.Транш - 1_В-21082023/Ц</t>
  </si>
  <si>
    <t>Надеев Алексей Александрович</t>
  </si>
  <si>
    <t>В-17318/КЛ.Транш - 1_В-21082023/Ц</t>
  </si>
  <si>
    <t>Анищенкова Оксана Михайловна</t>
  </si>
  <si>
    <t>В-25824/КЛ.Транш - 1_В-21082023/Ц</t>
  </si>
  <si>
    <t>Яковлев Борис Викторович</t>
  </si>
  <si>
    <t>В-21872/КЛ.Транш - 1_В-21082023/Ц</t>
  </si>
  <si>
    <t>Савчук Елена Александровна</t>
  </si>
  <si>
    <t>В-00052/КЭ.Транш - 1_В-21082023/Ц</t>
  </si>
  <si>
    <t>ИП Окунева Лилия Викторовна</t>
  </si>
  <si>
    <t>В-04333/КЛ.Транш - 8_В-20211230/Ц</t>
  </si>
  <si>
    <t>Заика Денис Викторович</t>
  </si>
  <si>
    <t>В-26928/КЛ.Транш - 1_В-21082023/Ц</t>
  </si>
  <si>
    <t>Труханкин Анатолий Васильевич</t>
  </si>
  <si>
    <t>В-27065/АЗ_В-21082023/Ц</t>
  </si>
  <si>
    <t>Мордвинцева Елена Александровна</t>
  </si>
  <si>
    <t>В-28968/АЗ_В-21082023/Ц</t>
  </si>
  <si>
    <t>В-01188/АЗ_В-21082023/Ц</t>
  </si>
  <si>
    <t>Сапунов Дмитрий Владимирович</t>
  </si>
  <si>
    <t>А-04028/АЗ</t>
  </si>
  <si>
    <t>Селютин Петр Петрович</t>
  </si>
  <si>
    <t>В-11447/КЛ.Транш - 1_В-21082023/Ц</t>
  </si>
  <si>
    <t>Елистратов Сергей Викторович</t>
  </si>
  <si>
    <t>В-25093/КЛ.Транш - 1_В-21082023/Ц</t>
  </si>
  <si>
    <t>Никульченков Сергей Анатольевич</t>
  </si>
  <si>
    <t>829 593</t>
  </si>
  <si>
    <t>&lt;br&gt;&lt;br&gt;&lt;i&gt;ООО КА «АЭК»&lt;br&gt;https://kaaek.ru/&lt;br&gt;123290 г. Москва вн. тер. Г. муниципальный округ Хорошевский&lt;br&gt; 1-ый Магистральный тупик д. 5а офис 39&lt;/i&gt;</t>
  </si>
  <si>
    <t>Телефон</t>
  </si>
  <si>
    <t>Email</t>
  </si>
  <si>
    <t>Категория</t>
  </si>
  <si>
    <t>WhasApp</t>
  </si>
  <si>
    <t>SMS</t>
  </si>
  <si>
    <t>Email (theme)</t>
  </si>
  <si>
    <t>Email (body)</t>
  </si>
  <si>
    <t>На конец дня: 22.08.2024</t>
  </si>
  <si>
    <t>Добавить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</si>
</sst>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₽&quot;_-;\-* #,##0.00\ &quot;₽&quot;_-;_-* &quot;-&quot;??\ &quot;₽&quot;_-;_-@_-"/>
    <numFmt numFmtId="43" formatCode="_-* #,##0.00_-;\-* #,##0.00_-;_-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9"/>
      <color indexed="81"/>
      <name val="Calibri"/>
      <family val="2"/>
      <charset val="204"/>
    </font>
    <font>
      <sz val="9"/>
      <color indexed="81"/>
      <name val="Tahoma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rgb="FF00FF0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1">
    <xf numFmtId="0" fontId="0" fillId="0" borderId="0" xfId="0"/>
    <xf numFmtId="43" fontId="0" fillId="0" borderId="0" xfId="1" applyFont="1"/>
    <xf numFmtId="0" fontId="0" fillId="0" borderId="1" xfId="0" applyBorder="1"/>
    <xf numFmtId="44" fontId="3" fillId="0" borderId="2" xfId="1" applyNumberFormat="1" applyFont="1" applyBorder="1"/>
    <xf numFmtId="44" fontId="3" fillId="0" borderId="3" xfId="0" applyNumberFormat="1" applyFont="1" applyBorder="1"/>
    <xf numFmtId="0" fontId="0" fillId="0" borderId="4" xfId="0" applyBorder="1"/>
    <xf numFmtId="44" fontId="3" fillId="0" borderId="5" xfId="1" applyNumberFormat="1" applyFont="1" applyBorder="1"/>
    <xf numFmtId="44" fontId="3" fillId="0" borderId="6" xfId="0" applyNumberFormat="1" applyFont="1" applyBorder="1"/>
    <xf numFmtId="43" fontId="0" fillId="2" borderId="0" xfId="1" applyFont="1" applyFill="1"/>
    <xf numFmtId="0" fontId="0" fillId="2" borderId="0" xfId="0" applyFill="1"/>
    <xf numFmtId="14" fontId="0" fillId="0" borderId="0" xfId="0" applyNumberFormat="1"/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0" borderId="4" xfId="0" applyFont="1" applyBorder="1"/>
    <xf numFmtId="0" fontId="2" fillId="0" borderId="5" xfId="0" applyFont="1" applyBorder="1"/>
    <xf numFmtId="0" fontId="2" fillId="2" borderId="6" xfId="0" applyFont="1" applyFill="1" applyBorder="1"/>
    <xf numFmtId="0" fontId="3" fillId="0" borderId="2" xfId="1" applyNumberFormat="1" applyFont="1" applyBorder="1" applyAlignment="1">
      <alignment horizontal="center" vertical="center"/>
    </xf>
    <xf numFmtId="0" fontId="3" fillId="0" borderId="5" xfId="1" applyNumberFormat="1" applyFont="1" applyBorder="1" applyAlignment="1">
      <alignment horizontal="center" vertical="center"/>
    </xf>
    <xf numFmtId="0" fontId="0" fillId="0" borderId="0" xfId="0" applyNumberFormat="1"/>
    <xf numFmtId="0" fontId="0" fillId="0" borderId="0" xfId="0"/>
    <xf numFmtId="0" fontId="0" fillId="3" borderId="0" xfId="0" applyFill="1"/>
    <xf numFmtId="0" fontId="0" fillId="0" borderId="0" xfId="0" applyFill="1"/>
    <xf numFmtId="14" fontId="0" fillId="0" borderId="0" xfId="0" applyNumberFormat="1" applyFill="1"/>
  </cellXfs>
  <cellStyles count="2">
    <cellStyle name="Comma" xfId="1" builtinId="3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333623</xdr:colOff>
      <xdr:row>0</xdr:row>
      <xdr:rowOff>0</xdr:rowOff>
    </xdr:from>
    <xdr:ext cx="2837956" cy="937629"/>
    <xdr:sp macro="[0]!clearsheet" textlink="">
      <xdr:nvSpPr>
        <xdr:cNvPr id="2" name="Rectangle 1">
          <a:extLst>
            <a:ext uri="{FF2B5EF4-FFF2-40B4-BE49-F238E27FC236}">
              <a16:creationId xmlns:a16="http://schemas.microsoft.com/office/drawing/2014/main" id="{3545CDFE-C2CB-07CF-7AC7-F31E644ACC90}"/>
            </a:ext>
          </a:extLst>
        </xdr:cNvPr>
        <xdr:cNvSpPr/>
      </xdr:nvSpPr>
      <xdr:spPr>
        <a:xfrm>
          <a:off x="11382623" y="0"/>
          <a:ext cx="2837956" cy="937629"/>
        </a:xfrm>
        <a:prstGeom prst="rect">
          <a:avLst/>
        </a:prstGeom>
        <a:noFill/>
      </xdr:spPr>
      <xdr:txBody>
        <a:bodyPr vertOverflow="clip" horzOverflow="clip"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очистить</a:t>
          </a:r>
        </a:p>
      </xdr:txBody>
    </xdr:sp>
    <xdr:clientData/>
  </xdr:oneCellAnchor>
  <xdr:oneCellAnchor>
    <xdr:from>
      <xdr:col>5</xdr:col>
      <xdr:colOff>396336</xdr:colOff>
      <xdr:row>4</xdr:row>
      <xdr:rowOff>152400</xdr:rowOff>
    </xdr:from>
    <xdr:ext cx="2541081" cy="937629"/>
    <xdr:sp macro="[0]!ReestrProsr" textlink="">
      <xdr:nvSpPr>
        <xdr:cNvPr id="3" name="Rectangle 2">
          <a:extLst>
            <a:ext uri="{FF2B5EF4-FFF2-40B4-BE49-F238E27FC236}">
              <a16:creationId xmlns:a16="http://schemas.microsoft.com/office/drawing/2014/main" id="{C6D7660B-9510-C88C-F04F-6A56E71402E5}"/>
            </a:ext>
          </a:extLst>
        </xdr:cNvPr>
        <xdr:cNvSpPr/>
      </xdr:nvSpPr>
      <xdr:spPr>
        <a:xfrm>
          <a:off x="11445336" y="914400"/>
          <a:ext cx="2541081" cy="937629"/>
        </a:xfrm>
        <a:prstGeom prst="rect">
          <a:avLst/>
        </a:prstGeom>
        <a:noFill/>
      </xdr:spPr>
      <xdr:txBody>
        <a:bodyPr vertOverflow="clip" horzOverflow="clip"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собрать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323850</xdr:colOff>
      <xdr:row>0</xdr:row>
      <xdr:rowOff>9525</xdr:rowOff>
    </xdr:from>
    <xdr:ext cx="2837956" cy="937629"/>
    <xdr:sp macro="[0]!clearsheet" textlink="">
      <xdr:nvSpPr>
        <xdr:cNvPr id="2" name="Rectangle 1">
          <a:extLst>
            <a:ext uri="{FF2B5EF4-FFF2-40B4-BE49-F238E27FC236}">
              <a16:creationId xmlns:a16="http://schemas.microsoft.com/office/drawing/2014/main" id="{5DD52AB2-22F8-4DE1-9403-F9ECE0E88A33}"/>
            </a:ext>
          </a:extLst>
        </xdr:cNvPr>
        <xdr:cNvSpPr/>
      </xdr:nvSpPr>
      <xdr:spPr>
        <a:xfrm>
          <a:off x="9467850" y="9525"/>
          <a:ext cx="2837956" cy="937629"/>
        </a:xfrm>
        <a:prstGeom prst="rect">
          <a:avLst/>
        </a:prstGeom>
        <a:noFill/>
      </xdr:spPr>
      <xdr:txBody>
        <a:bodyPr vertOverflow="clip" horzOverflow="clip"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очистить</a:t>
          </a:r>
        </a:p>
      </xdr:txBody>
    </xdr:sp>
    <xdr:clientData/>
  </xdr:oneCellAnchor>
  <xdr:oneCellAnchor>
    <xdr:from>
      <xdr:col>15</xdr:col>
      <xdr:colOff>457200</xdr:colOff>
      <xdr:row>4</xdr:row>
      <xdr:rowOff>114300</xdr:rowOff>
    </xdr:from>
    <xdr:ext cx="2541081" cy="937629"/>
    <xdr:sp macro="[0]!ReestrProsrRash" textlink="">
      <xdr:nvSpPr>
        <xdr:cNvPr id="3" name="Rectangle 2">
          <a:extLst>
            <a:ext uri="{FF2B5EF4-FFF2-40B4-BE49-F238E27FC236}">
              <a16:creationId xmlns:a16="http://schemas.microsoft.com/office/drawing/2014/main" id="{E3922413-C800-4CA4-980C-CB194E83A62F}"/>
            </a:ext>
          </a:extLst>
        </xdr:cNvPr>
        <xdr:cNvSpPr/>
      </xdr:nvSpPr>
      <xdr:spPr>
        <a:xfrm>
          <a:off x="9601200" y="876300"/>
          <a:ext cx="2541081" cy="937629"/>
        </a:xfrm>
        <a:prstGeom prst="rect">
          <a:avLst/>
        </a:prstGeom>
        <a:noFill/>
      </xdr:spPr>
      <xdr:txBody>
        <a:bodyPr vertOverflow="clip" horzOverflow="clip"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собрать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0</xdr:colOff>
      <xdr:row>1</xdr:row>
      <xdr:rowOff>0</xdr:rowOff>
    </xdr:from>
    <xdr:ext cx="2837956" cy="937629"/>
    <xdr:sp macro="[0]!clearsheet" textlink="">
      <xdr:nvSpPr>
        <xdr:cNvPr id="2" name="Rectangle 1">
          <a:extLst>
            <a:ext uri="{FF2B5EF4-FFF2-40B4-BE49-F238E27FC236}">
              <a16:creationId xmlns:a16="http://schemas.microsoft.com/office/drawing/2014/main" id="{7E565D3D-9BE2-474B-A437-521EF95B5498}"/>
            </a:ext>
          </a:extLst>
        </xdr:cNvPr>
        <xdr:cNvSpPr/>
      </xdr:nvSpPr>
      <xdr:spPr>
        <a:xfrm>
          <a:off x="13277850" y="190500"/>
          <a:ext cx="2837956" cy="937629"/>
        </a:xfrm>
        <a:prstGeom prst="rect">
          <a:avLst/>
        </a:prstGeom>
        <a:noFill/>
      </xdr:spPr>
      <xdr:txBody>
        <a:bodyPr vertOverflow="clip" horzOverflow="clip"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очистить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514350</xdr:colOff>
      <xdr:row>1</xdr:row>
      <xdr:rowOff>152400</xdr:rowOff>
    </xdr:from>
    <xdr:ext cx="2837956" cy="937629"/>
    <xdr:sp macro="[0]!clearsheet" textlink="">
      <xdr:nvSpPr>
        <xdr:cNvPr id="2" name="Rectangle 1">
          <a:extLst>
            <a:ext uri="{FF2B5EF4-FFF2-40B4-BE49-F238E27FC236}">
              <a16:creationId xmlns:a16="http://schemas.microsoft.com/office/drawing/2014/main" id="{982AAC52-A4FC-4F25-9560-6EE01C78AD63}"/>
            </a:ext>
          </a:extLst>
        </xdr:cNvPr>
        <xdr:cNvSpPr/>
      </xdr:nvSpPr>
      <xdr:spPr>
        <a:xfrm>
          <a:off x="12906375" y="352425"/>
          <a:ext cx="2837956" cy="937629"/>
        </a:xfrm>
        <a:prstGeom prst="rect">
          <a:avLst/>
        </a:prstGeom>
        <a:noFill/>
      </xdr:spPr>
      <xdr:txBody>
        <a:bodyPr vertOverflow="clip" horzOverflow="clip"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очистить</a:t>
          </a:r>
        </a:p>
      </xdr:txBody>
    </xdr:sp>
    <xdr:clientData/>
  </xdr:oneCellAnchor>
  <xdr:oneCellAnchor>
    <xdr:from>
      <xdr:col>6</xdr:col>
      <xdr:colOff>590550</xdr:colOff>
      <xdr:row>6</xdr:row>
      <xdr:rowOff>0</xdr:rowOff>
    </xdr:from>
    <xdr:ext cx="2541081" cy="937629"/>
    <xdr:sp macro="[0]!paymentcalendar" textlink="">
      <xdr:nvSpPr>
        <xdr:cNvPr id="3" name="Rectangle 2">
          <a:extLst>
            <a:ext uri="{FF2B5EF4-FFF2-40B4-BE49-F238E27FC236}">
              <a16:creationId xmlns:a16="http://schemas.microsoft.com/office/drawing/2014/main" id="{B6D2376C-BD0A-4ABB-8798-06127A36BDF8}"/>
            </a:ext>
          </a:extLst>
        </xdr:cNvPr>
        <xdr:cNvSpPr/>
      </xdr:nvSpPr>
      <xdr:spPr>
        <a:xfrm>
          <a:off x="12982575" y="1171575"/>
          <a:ext cx="2541081" cy="937629"/>
        </a:xfrm>
        <a:prstGeom prst="rect">
          <a:avLst/>
        </a:prstGeom>
        <a:noFill/>
      </xdr:spPr>
      <xdr:txBody>
        <a:bodyPr vertOverflow="clip" horzOverflow="clip"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собрать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192.168.81.12\share\&#1054;&#1090;&#1076;&#1077;&#1083;%20&#1089;&#1086;&#1087;&#1088;&#1086;&#1074;&#1086;&#1078;&#1076;&#1077;&#1085;&#1080;&#1103;%20&#1082;&#1088;&#1077;&#1076;&#1080;&#1090;&#1086;&#1074;&#1072;&#1085;&#1080;&#1103;\&#1056;&#1072;&#1073;&#1086;&#1090;&#1072;%20&#1089;%20&#1087;&#1088;&#1086;&#1089;&#1088;&#1086;&#1095;&#1082;&#1086;&#1081;\&#1050;&#1057;&#1052;\&#1087;&#1086;&#1076;&#1074;&#1072;&#1083;\&#1050;&#1054;.xlsx" TargetMode="External"/><Relationship Id="rId1" Type="http://schemas.openxmlformats.org/officeDocument/2006/relationships/externalLinkPath" Target="file:///\\192.168.81.12\share\&#1054;&#1090;&#1076;&#1077;&#1083;%20&#1089;&#1086;&#1087;&#1088;&#1086;&#1074;&#1086;&#1078;&#1076;&#1077;&#1085;&#1080;&#1103;%20&#1082;&#1088;&#1077;&#1076;&#1080;&#1090;&#1086;&#1074;&#1072;&#1085;&#1080;&#1103;\&#1056;&#1072;&#1073;&#1086;&#1090;&#1072;%20&#1089;%20&#1087;&#1088;&#1086;&#1089;&#1088;&#1086;&#1095;&#1082;&#1086;&#1081;\&#1050;&#1057;&#1052;\&#1087;&#1086;&#1076;&#1074;&#1072;&#1083;\&#1050;&#1054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81.12\share\&#1054;&#1090;&#1076;&#1077;&#1083;%20&#1089;&#1086;&#1087;&#1088;&#1086;&#1074;&#1086;&#1078;&#1076;&#1077;&#1085;&#1080;&#1103;%20&#1082;&#1088;&#1077;&#1076;&#1080;&#1090;&#1086;&#1074;&#1072;&#1085;&#1080;&#1103;\&#1056;&#1072;&#1073;&#1086;&#1090;&#1072;%20&#1089;%20&#1087;&#1088;&#1086;&#1089;&#1088;&#1086;&#1095;&#1082;&#1086;&#1081;\&#1050;&#1057;&#1052;\&#1087;&#1086;&#1076;&#1074;&#1072;&#1083;\&#1041;&#1044;&#1058;&#1045;&#1051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81.12\share\&#1054;&#1090;&#1076;&#1077;&#1083;%20&#1089;&#1086;&#1087;&#1088;&#1086;&#1074;&#1086;&#1078;&#1076;&#1077;&#1085;&#1080;&#1103;%20&#1082;&#1088;&#1077;&#1076;&#1080;&#1090;&#1086;&#1074;&#1072;&#1085;&#1080;&#1103;\&#1056;&#1072;&#1073;&#1086;&#1090;&#1072;%20&#1089;%20&#1087;&#1088;&#1086;&#1089;&#1088;&#1086;&#1095;&#1082;&#1086;&#1081;\&#1050;&#1057;&#1052;\&#1087;&#1086;&#1076;&#1074;&#1072;&#1083;\&#1041;&#1044;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192.168.81.12\share\&#1054;&#1090;&#1076;&#1077;&#1083;%20&#1089;&#1086;&#1087;&#1088;&#1086;&#1074;&#1086;&#1078;&#1076;&#1077;&#1085;&#1080;&#1103;%20&#1082;&#1088;&#1077;&#1076;&#1080;&#1090;&#1086;&#1074;&#1072;&#1085;&#1080;&#1103;\&#1056;&#1072;&#1073;&#1086;&#1090;&#1072;%20&#1089;%20&#1087;&#1088;&#1086;&#1089;&#1088;&#1086;&#1095;&#1082;&#1086;&#1081;\&#1055;&#1088;&#1086;&#1089;&#1088;&#1086;&#1095;&#1085;&#1080;&#1082;&#1080;%20&#8212;%20&#1082;&#1086;&#1087;&#1080;&#1103;.xlsm" TargetMode="External"/><Relationship Id="rId1" Type="http://schemas.openxmlformats.org/officeDocument/2006/relationships/externalLinkPath" Target="file:///\\192.168.81.12\share\&#1054;&#1090;&#1076;&#1077;&#1083;%20&#1089;&#1086;&#1087;&#1088;&#1086;&#1074;&#1086;&#1078;&#1076;&#1077;&#1085;&#1080;&#1103;%20&#1082;&#1088;&#1077;&#1076;&#1080;&#1090;&#1086;&#1074;&#1072;&#1085;&#1080;&#1103;\&#1056;&#1072;&#1073;&#1086;&#1090;&#1072;%20&#1089;%20&#1087;&#1088;&#1086;&#1089;&#1088;&#1086;&#1095;&#1082;&#1086;&#1081;\&#1055;&#1088;&#1086;&#1089;&#1088;&#1086;&#1095;&#1085;&#1080;&#1082;&#1080;%20&#8212;%20&#1082;&#1086;&#1087;&#1080;&#1103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Лист1"/>
      <sheetName val="КО"/>
    </sheetNames>
    <sheetDataSet>
      <sheetData sheetId="0">
        <row r="1">
          <cell r="A1" t="str">
            <v>В-17469/КЛ</v>
          </cell>
        </row>
        <row r="2">
          <cell r="A2" t="str">
            <v>В-26950/КЛ</v>
          </cell>
        </row>
        <row r="3">
          <cell r="A3" t="str">
            <v>В-18921/КЛ</v>
          </cell>
        </row>
        <row r="4">
          <cell r="A4" t="str">
            <v>В-09100/КЛ</v>
          </cell>
        </row>
        <row r="5">
          <cell r="A5" t="str">
            <v>В-01188/АЗ</v>
          </cell>
        </row>
        <row r="6">
          <cell r="A6" t="str">
            <v>В-27315/КЛ</v>
          </cell>
        </row>
        <row r="7">
          <cell r="A7" t="str">
            <v>В-11277/КЛ</v>
          </cell>
        </row>
        <row r="8">
          <cell r="A8" t="str">
            <v>В-28968/АЗ</v>
          </cell>
        </row>
        <row r="9">
          <cell r="A9" t="str">
            <v>В-28549/АЗ</v>
          </cell>
        </row>
        <row r="10">
          <cell r="A10" t="str">
            <v>В-28360/КЛ</v>
          </cell>
        </row>
        <row r="11">
          <cell r="A11" t="str">
            <v>В-12256/КЛ</v>
          </cell>
        </row>
        <row r="12">
          <cell r="A12" t="str">
            <v>В-23923/КЛ</v>
          </cell>
        </row>
        <row r="13">
          <cell r="A13" t="str">
            <v>В-27065/АЗ</v>
          </cell>
        </row>
        <row r="14">
          <cell r="A14" t="str">
            <v>В-26928/КЛ</v>
          </cell>
        </row>
        <row r="15">
          <cell r="A15" t="str">
            <v>В-22409/КЛ</v>
          </cell>
        </row>
        <row r="16">
          <cell r="A16" t="str">
            <v>В-12256/КЛ</v>
          </cell>
        </row>
        <row r="17">
          <cell r="A17" t="str">
            <v>В-23923/КЛ</v>
          </cell>
        </row>
        <row r="18">
          <cell r="A18" t="str">
            <v>В-12574/КЛ</v>
          </cell>
        </row>
        <row r="19">
          <cell r="A19" t="str">
            <v>В-08348/КЛ</v>
          </cell>
        </row>
        <row r="20">
          <cell r="A20" t="str">
            <v>В-22677/КЛ</v>
          </cell>
        </row>
        <row r="21">
          <cell r="A21" t="str">
            <v>В-26422/КЛ</v>
          </cell>
        </row>
        <row r="22">
          <cell r="A22" t="str">
            <v>В-28961/КЛ</v>
          </cell>
        </row>
        <row r="23">
          <cell r="A23" t="str">
            <v>В-10050/КЛ</v>
          </cell>
        </row>
        <row r="24">
          <cell r="A24" t="str">
            <v>В-28436/АЗ</v>
          </cell>
        </row>
        <row r="25">
          <cell r="A25" t="str">
            <v>В-01174/АЗ</v>
          </cell>
        </row>
        <row r="26">
          <cell r="A26" t="str">
            <v>В-20952/КЛ</v>
          </cell>
        </row>
        <row r="27">
          <cell r="A27" t="str">
            <v>В-27914/КЛ</v>
          </cell>
        </row>
        <row r="28">
          <cell r="A28" t="str">
            <v>В-28587/КЛ</v>
          </cell>
        </row>
        <row r="29">
          <cell r="A29" t="str">
            <v>В-21872/КЛ</v>
          </cell>
        </row>
        <row r="30">
          <cell r="A30" t="str">
            <v>В-08644/КЛ</v>
          </cell>
        </row>
        <row r="31">
          <cell r="A31" t="str">
            <v>В-12943/КЛ</v>
          </cell>
        </row>
        <row r="32">
          <cell r="A32" t="str">
            <v>В-25824/КЛ</v>
          </cell>
        </row>
        <row r="33">
          <cell r="A33" t="str">
            <v>В-00052/КЭ</v>
          </cell>
        </row>
        <row r="34">
          <cell r="A34" t="str">
            <v>В-26114/КЛ</v>
          </cell>
        </row>
        <row r="35">
          <cell r="A35" t="str">
            <v>В-26664/КЛ</v>
          </cell>
        </row>
        <row r="36">
          <cell r="A36" t="str">
            <v>В-10014/КЭ</v>
          </cell>
        </row>
        <row r="37">
          <cell r="A37" t="str">
            <v>В-02583/КЛ</v>
          </cell>
        </row>
        <row r="38">
          <cell r="A38" t="str">
            <v>В-27049/АЗ</v>
          </cell>
        </row>
        <row r="39">
          <cell r="A39" t="str">
            <v>В-17318/КЛ</v>
          </cell>
        </row>
        <row r="40">
          <cell r="A40" t="str">
            <v>В-25052/КЛ</v>
          </cell>
        </row>
        <row r="41">
          <cell r="A41" t="str">
            <v>В-21137/КЛ</v>
          </cell>
        </row>
        <row r="42">
          <cell r="A42" t="str">
            <v>В-25865/КЛ</v>
          </cell>
        </row>
        <row r="43">
          <cell r="A43" t="str">
            <v>В-25306/КЛ</v>
          </cell>
        </row>
        <row r="44">
          <cell r="A44" t="str">
            <v>В-03300/КЛ</v>
          </cell>
        </row>
        <row r="45">
          <cell r="A45" t="str">
            <v>В-27410/КЛ</v>
          </cell>
        </row>
        <row r="46">
          <cell r="A46" t="str">
            <v>В-00030/КЭ</v>
          </cell>
        </row>
        <row r="47">
          <cell r="A47" t="str">
            <v>В-19346/КЛ</v>
          </cell>
        </row>
        <row r="48">
          <cell r="A48" t="str">
            <v>В-19684/КЛ</v>
          </cell>
        </row>
        <row r="49">
          <cell r="A49" t="str">
            <v>В-20731/КЛ</v>
          </cell>
        </row>
        <row r="50">
          <cell r="A50" t="str">
            <v>В-18141/КЛ</v>
          </cell>
        </row>
        <row r="51">
          <cell r="A51" t="str">
            <v>В-30007/КЭ</v>
          </cell>
        </row>
        <row r="52">
          <cell r="A52" t="str">
            <v>В-03450/КЛ</v>
          </cell>
        </row>
        <row r="53">
          <cell r="A53" t="str">
            <v>В-16728/КЛ</v>
          </cell>
        </row>
        <row r="54">
          <cell r="A54" t="str">
            <v>В-01203/АЗ</v>
          </cell>
        </row>
        <row r="55">
          <cell r="A55" t="str">
            <v>В-28252/КЛ</v>
          </cell>
        </row>
        <row r="56">
          <cell r="A56" t="str">
            <v>В-19104/КЛ</v>
          </cell>
        </row>
        <row r="57">
          <cell r="A57" t="str">
            <v>В-27753/КЛ</v>
          </cell>
        </row>
        <row r="58">
          <cell r="A58" t="str">
            <v>В-27843/КЛ</v>
          </cell>
        </row>
        <row r="59">
          <cell r="A59" t="str">
            <v>В-18631/КЛ</v>
          </cell>
        </row>
        <row r="60">
          <cell r="A60" t="str">
            <v>В-10039/КЛ</v>
          </cell>
        </row>
        <row r="61">
          <cell r="A61" t="str">
            <v>В-00634/АЗ</v>
          </cell>
        </row>
        <row r="62">
          <cell r="A62" t="str">
            <v>В-28274/КЛ</v>
          </cell>
        </row>
        <row r="63">
          <cell r="A63" t="str">
            <v>В-20140/КЛ</v>
          </cell>
        </row>
        <row r="64">
          <cell r="A64" t="str">
            <v>В-04333/КЛ</v>
          </cell>
        </row>
        <row r="65">
          <cell r="A65" t="str">
            <v>В-26170/КЛ</v>
          </cell>
        </row>
        <row r="66">
          <cell r="A66" t="str">
            <v>В-06818/КЛ</v>
          </cell>
        </row>
        <row r="67">
          <cell r="A67" t="str">
            <v>В-25950/КЛ</v>
          </cell>
        </row>
        <row r="68">
          <cell r="A68" t="str">
            <v>В-25530/КЛ</v>
          </cell>
        </row>
        <row r="69">
          <cell r="A69" t="str">
            <v>В-01013/КЛ</v>
          </cell>
        </row>
        <row r="70">
          <cell r="A70" t="str">
            <v>В-28090/АЗ</v>
          </cell>
        </row>
        <row r="71">
          <cell r="A71" t="str">
            <v>В-27334/КЛ</v>
          </cell>
        </row>
        <row r="72">
          <cell r="A72" t="str">
            <v>В-16261/КЛ</v>
          </cell>
        </row>
        <row r="73">
          <cell r="A73" t="str">
            <v>В-28159/КЛ</v>
          </cell>
        </row>
        <row r="74">
          <cell r="A74" t="str">
            <v>В-27835/КЛ</v>
          </cell>
        </row>
        <row r="75">
          <cell r="A75" t="str">
            <v>В-19597/КЛ</v>
          </cell>
        </row>
        <row r="76">
          <cell r="A76" t="str">
            <v>В-26816/КЛ</v>
          </cell>
        </row>
        <row r="77">
          <cell r="A77" t="str">
            <v>В-14818/КЛ</v>
          </cell>
        </row>
        <row r="78">
          <cell r="A78" t="str">
            <v>В-24493/КЛ</v>
          </cell>
        </row>
        <row r="79">
          <cell r="A79" t="str">
            <v>В-21731/КЛ</v>
          </cell>
        </row>
        <row r="80">
          <cell r="A80" t="str">
            <v>В-28393/КЛ</v>
          </cell>
        </row>
        <row r="81">
          <cell r="A81" t="str">
            <v>В-20251/КЛ</v>
          </cell>
        </row>
        <row r="82">
          <cell r="A82" t="str">
            <v>В-23410/КЛ</v>
          </cell>
        </row>
        <row r="83">
          <cell r="A83" t="str">
            <v>В-18909/КЛ</v>
          </cell>
        </row>
        <row r="84">
          <cell r="A84" t="str">
            <v>В-10020/КЭ</v>
          </cell>
        </row>
        <row r="85">
          <cell r="A85" t="str">
            <v>В-05402/КЛ</v>
          </cell>
        </row>
        <row r="86">
          <cell r="A86" t="str">
            <v>В-17417/КЛ</v>
          </cell>
        </row>
        <row r="87">
          <cell r="A87" t="str">
            <v>В-12113/КЛ</v>
          </cell>
        </row>
        <row r="88">
          <cell r="A88" t="str">
            <v>В-26949/КЛ</v>
          </cell>
        </row>
        <row r="89">
          <cell r="A89" t="str">
            <v>В-24385/КЛ</v>
          </cell>
        </row>
        <row r="90">
          <cell r="A90" t="str">
            <v>В-30005/КЭ</v>
          </cell>
        </row>
        <row r="91">
          <cell r="A91" t="str">
            <v>В-01180/АЗ</v>
          </cell>
        </row>
        <row r="92">
          <cell r="A92" t="str">
            <v>Т-01885/АЗ</v>
          </cell>
        </row>
        <row r="93">
          <cell r="A93" t="str">
            <v>В-00063/КЭ</v>
          </cell>
        </row>
        <row r="94">
          <cell r="A94" t="str">
            <v>В-28224/КЛ</v>
          </cell>
        </row>
        <row r="95">
          <cell r="A95" t="str">
            <v>В-14546/КЛ</v>
          </cell>
        </row>
        <row r="96">
          <cell r="A96" t="str">
            <v>В-19897/КЛ</v>
          </cell>
        </row>
        <row r="97">
          <cell r="A97" t="str">
            <v>В-18548/КЛ</v>
          </cell>
        </row>
        <row r="98">
          <cell r="A98" t="str">
            <v>В-20180/КЛ</v>
          </cell>
        </row>
        <row r="99">
          <cell r="A99" t="str">
            <v>В-23776/КЛ</v>
          </cell>
        </row>
        <row r="100">
          <cell r="A100" t="str">
            <v>В-26649/АЗ</v>
          </cell>
        </row>
        <row r="101">
          <cell r="A101" t="str">
            <v>В-26651/АЗ</v>
          </cell>
        </row>
        <row r="102">
          <cell r="A102" t="str">
            <v>В-23074/КЛ</v>
          </cell>
        </row>
        <row r="103">
          <cell r="A103" t="str">
            <v>В-28872/КЛ</v>
          </cell>
        </row>
        <row r="104">
          <cell r="A104" t="str">
            <v>В-21972/КЛ</v>
          </cell>
        </row>
        <row r="105">
          <cell r="A105" t="str">
            <v>В-25792/КЛ</v>
          </cell>
        </row>
        <row r="106">
          <cell r="A106" t="str">
            <v>В-20118/КЛ</v>
          </cell>
        </row>
        <row r="107">
          <cell r="A107" t="str">
            <v>В-26450/АЗ</v>
          </cell>
        </row>
        <row r="108">
          <cell r="A108" t="str">
            <v>В-10025/КЭ</v>
          </cell>
        </row>
        <row r="109">
          <cell r="A109" t="str">
            <v>В-10008/КЭ</v>
          </cell>
        </row>
        <row r="110">
          <cell r="A110" t="str">
            <v>В-10024/КЭ</v>
          </cell>
        </row>
        <row r="111">
          <cell r="A111" t="str">
            <v>В-26449/АЗ</v>
          </cell>
        </row>
        <row r="112">
          <cell r="A112" t="str">
            <v>В-24308/КЛ</v>
          </cell>
        </row>
        <row r="113">
          <cell r="A113" t="str">
            <v>В-27855/КЛ</v>
          </cell>
        </row>
        <row r="114">
          <cell r="A114" t="str">
            <v>В-08393/КЛ</v>
          </cell>
        </row>
        <row r="115">
          <cell r="A115" t="str">
            <v>В-19425/КЛ</v>
          </cell>
        </row>
        <row r="116">
          <cell r="A116" t="str">
            <v>В-18569/КЛ</v>
          </cell>
        </row>
        <row r="117">
          <cell r="A117" t="str">
            <v>В-01217/АЗ</v>
          </cell>
        </row>
        <row r="118">
          <cell r="A118" t="str">
            <v>В-04724/КЛ</v>
          </cell>
        </row>
        <row r="119">
          <cell r="A119" t="str">
            <v>В-30001/КЭ</v>
          </cell>
        </row>
        <row r="120">
          <cell r="A120" t="str">
            <v>В-19093/КЛ</v>
          </cell>
        </row>
        <row r="121">
          <cell r="A121" t="str">
            <v>В-11630/КЛ</v>
          </cell>
        </row>
        <row r="122">
          <cell r="A122" t="str">
            <v>В-21630/КЛ</v>
          </cell>
        </row>
        <row r="123">
          <cell r="A123" t="str">
            <v>В-11050/КЛ</v>
          </cell>
        </row>
        <row r="124">
          <cell r="A124" t="str">
            <v>В-09174/КЛ</v>
          </cell>
        </row>
        <row r="125">
          <cell r="A125" t="str">
            <v>В-10141/КЛ</v>
          </cell>
        </row>
        <row r="126">
          <cell r="A126" t="str">
            <v>В-07877/КЛ</v>
          </cell>
        </row>
        <row r="127">
          <cell r="A127" t="str">
            <v>В-01113/АЗ</v>
          </cell>
        </row>
        <row r="128">
          <cell r="A128" t="str">
            <v>В-12818/КЛ</v>
          </cell>
        </row>
        <row r="129">
          <cell r="A129" t="str">
            <v>В-28694/КЛ</v>
          </cell>
        </row>
        <row r="130">
          <cell r="A130" t="str">
            <v>В-27251/КЛ</v>
          </cell>
        </row>
        <row r="131">
          <cell r="A131" t="str">
            <v>В-13740/КЛ</v>
          </cell>
        </row>
        <row r="132">
          <cell r="A132" t="str">
            <v>В-15451/КЛ</v>
          </cell>
        </row>
        <row r="133">
          <cell r="A133" t="str">
            <v>В-18164/КЛ</v>
          </cell>
        </row>
        <row r="134">
          <cell r="A134" t="str">
            <v>В-00075/КЭ</v>
          </cell>
        </row>
        <row r="135">
          <cell r="A135" t="str">
            <v>В-26005/АЗ</v>
          </cell>
        </row>
        <row r="136">
          <cell r="A136" t="str">
            <v>В-20921/КЛ</v>
          </cell>
        </row>
        <row r="137">
          <cell r="A137" t="str">
            <v>В-13336/КЛ</v>
          </cell>
        </row>
        <row r="138">
          <cell r="A138" t="str">
            <v>В-15778/КЛ</v>
          </cell>
        </row>
        <row r="139">
          <cell r="A139" t="str">
            <v>В-17853/КЛ</v>
          </cell>
        </row>
        <row r="140">
          <cell r="A140" t="str">
            <v>В-19862/КЛ</v>
          </cell>
        </row>
        <row r="141">
          <cell r="A141" t="str">
            <v>В-07072/КЛ</v>
          </cell>
        </row>
        <row r="142">
          <cell r="A142" t="str">
            <v>В-05105/КЛ</v>
          </cell>
        </row>
        <row r="143">
          <cell r="A143" t="str">
            <v>В-23919/КЛ</v>
          </cell>
        </row>
        <row r="144">
          <cell r="A144" t="str">
            <v>В-19227/КЛ</v>
          </cell>
        </row>
        <row r="145">
          <cell r="A145" t="str">
            <v>В-18586/КЛ</v>
          </cell>
        </row>
        <row r="146">
          <cell r="A146" t="str">
            <v>В-12670/КЛ</v>
          </cell>
        </row>
        <row r="147">
          <cell r="A147" t="str">
            <v>В-18334/КЛ</v>
          </cell>
        </row>
        <row r="148">
          <cell r="A148" t="str">
            <v>В-27438/АЗ</v>
          </cell>
        </row>
        <row r="149">
          <cell r="A149" t="str">
            <v>В-28471/КЛ</v>
          </cell>
        </row>
        <row r="150">
          <cell r="A150" t="str">
            <v>В-01051/АЗ</v>
          </cell>
        </row>
        <row r="151">
          <cell r="A151" t="str">
            <v>В-28684/КЛ</v>
          </cell>
        </row>
        <row r="152">
          <cell r="A152" t="str">
            <v>В-28655/КЛ</v>
          </cell>
        </row>
        <row r="153">
          <cell r="A153" t="str">
            <v>В-25466/АЗ</v>
          </cell>
        </row>
        <row r="154">
          <cell r="A154" t="str">
            <v>В-20210/КЛ</v>
          </cell>
        </row>
        <row r="155">
          <cell r="A155" t="str">
            <v>В-23897/КЛ</v>
          </cell>
        </row>
        <row r="156">
          <cell r="A156" t="str">
            <v>В-22996/КЛ</v>
          </cell>
        </row>
        <row r="157">
          <cell r="A157" t="str">
            <v>В-15881/КЛ</v>
          </cell>
        </row>
        <row r="158">
          <cell r="A158" t="str">
            <v>В-18851/КЛ</v>
          </cell>
        </row>
        <row r="159">
          <cell r="A159" t="str">
            <v>В-28383/КЛ</v>
          </cell>
        </row>
        <row r="160">
          <cell r="A160" t="str">
            <v>В-27256/КЛ</v>
          </cell>
        </row>
        <row r="161">
          <cell r="A161" t="str">
            <v>В-21666/КЛ</v>
          </cell>
        </row>
        <row r="162">
          <cell r="A162" t="str">
            <v>В-01207/АЗ</v>
          </cell>
        </row>
        <row r="163">
          <cell r="A163" t="str">
            <v>В-20458/КЛ</v>
          </cell>
        </row>
        <row r="164">
          <cell r="A164" t="str">
            <v>В-20172/КЛ</v>
          </cell>
        </row>
        <row r="165">
          <cell r="A165" t="str">
            <v>В-05256/КЛ</v>
          </cell>
        </row>
        <row r="166">
          <cell r="A166" t="str">
            <v>В-18890/КЛ</v>
          </cell>
        </row>
        <row r="167">
          <cell r="A167" t="str">
            <v>В-25687/АЗ</v>
          </cell>
        </row>
        <row r="168">
          <cell r="A168" t="str">
            <v>В-19179/КЛ</v>
          </cell>
        </row>
        <row r="169">
          <cell r="A169" t="str">
            <v>В-07729/КЛ</v>
          </cell>
        </row>
        <row r="170">
          <cell r="A170" t="str">
            <v>В-29072/КЛ</v>
          </cell>
        </row>
        <row r="171">
          <cell r="A171" t="str">
            <v>В-16541/КЛ</v>
          </cell>
        </row>
        <row r="172">
          <cell r="A172" t="str">
            <v>В-24336/КЛ</v>
          </cell>
        </row>
        <row r="173">
          <cell r="A173" t="str">
            <v>В-25529/КЛ</v>
          </cell>
        </row>
        <row r="174">
          <cell r="A174" t="str">
            <v>В-26093/КЛ</v>
          </cell>
        </row>
        <row r="175">
          <cell r="A175" t="str">
            <v>В-21175/КЛ</v>
          </cell>
        </row>
        <row r="176">
          <cell r="A176" t="str">
            <v>В-16432/КЛ</v>
          </cell>
        </row>
        <row r="177">
          <cell r="A177" t="str">
            <v>В-27878/АЗ</v>
          </cell>
        </row>
        <row r="178">
          <cell r="A178" t="str">
            <v>В-27848/АЗ</v>
          </cell>
        </row>
        <row r="179">
          <cell r="A179" t="str">
            <v>В-14633/КЛ</v>
          </cell>
        </row>
        <row r="180">
          <cell r="A180" t="str">
            <v>В-17506/КЛ</v>
          </cell>
        </row>
        <row r="181">
          <cell r="A181" t="str">
            <v>В-03359/КЛ</v>
          </cell>
        </row>
        <row r="182">
          <cell r="A182" t="str">
            <v>В-00239/КЛ</v>
          </cell>
        </row>
        <row r="183">
          <cell r="A183" t="str">
            <v>В-18438/КЛ</v>
          </cell>
        </row>
        <row r="184">
          <cell r="A184" t="str">
            <v>В-26474/КЛ</v>
          </cell>
        </row>
        <row r="185">
          <cell r="A185" t="str">
            <v>В-20787/КЛ</v>
          </cell>
        </row>
        <row r="186">
          <cell r="A186" t="str">
            <v>В-17199/КЛ</v>
          </cell>
        </row>
        <row r="187">
          <cell r="A187" t="str">
            <v>В-27105/КЛ</v>
          </cell>
        </row>
        <row r="188">
          <cell r="A188" t="str">
            <v>В-28544/КЛ</v>
          </cell>
        </row>
        <row r="189">
          <cell r="A189" t="str">
            <v>В-14860/КЛ</v>
          </cell>
        </row>
        <row r="190">
          <cell r="A190" t="str">
            <v>В-27416/АЗ</v>
          </cell>
        </row>
        <row r="191">
          <cell r="A191" t="str">
            <v>В-15393/КЛ</v>
          </cell>
        </row>
        <row r="192">
          <cell r="A192" t="str">
            <v>В-01148/АЗ</v>
          </cell>
        </row>
        <row r="193">
          <cell r="A193" t="str">
            <v>В-01147/АЗ</v>
          </cell>
        </row>
        <row r="194">
          <cell r="A194" t="str">
            <v>В-27050/АЗ</v>
          </cell>
        </row>
        <row r="195">
          <cell r="A195" t="str">
            <v>В-17824/КЛ</v>
          </cell>
        </row>
        <row r="196">
          <cell r="A196" t="str">
            <v>В-17752/КЛ</v>
          </cell>
        </row>
        <row r="197">
          <cell r="A197" t="str">
            <v>В-25806/КЛ</v>
          </cell>
        </row>
        <row r="198">
          <cell r="A198" t="str">
            <v>В-20218/КЛ</v>
          </cell>
        </row>
        <row r="199">
          <cell r="A199" t="str">
            <v>В-20032/КЛ</v>
          </cell>
        </row>
        <row r="200">
          <cell r="A200" t="str">
            <v>В-19451/КЛ</v>
          </cell>
        </row>
        <row r="201">
          <cell r="A201" t="str">
            <v>В-15163/КЛ</v>
          </cell>
        </row>
        <row r="202">
          <cell r="A202" t="str">
            <v>В-25367/АЗ</v>
          </cell>
        </row>
        <row r="203">
          <cell r="A203" t="str">
            <v>В-25370/АЗ</v>
          </cell>
        </row>
        <row r="204">
          <cell r="A204" t="str">
            <v>В-25304/АЗ</v>
          </cell>
        </row>
        <row r="205">
          <cell r="A205" t="str">
            <v>В-23242/КЛ</v>
          </cell>
        </row>
        <row r="206">
          <cell r="A206" t="str">
            <v>В-25513/КЛ</v>
          </cell>
        </row>
        <row r="207">
          <cell r="A207" t="str">
            <v>В-26776/КЛ</v>
          </cell>
        </row>
        <row r="208">
          <cell r="A208" t="str">
            <v>В-27747/КЛ</v>
          </cell>
        </row>
        <row r="209">
          <cell r="A209" t="str">
            <v>В-24261/КЛ</v>
          </cell>
        </row>
        <row r="210">
          <cell r="A210" t="str">
            <v>В-21075/КЛ</v>
          </cell>
        </row>
        <row r="211">
          <cell r="A211" t="str">
            <v>В-01098/АЗ</v>
          </cell>
        </row>
        <row r="212">
          <cell r="A212" t="str">
            <v>В-00017/КЛ</v>
          </cell>
        </row>
        <row r="213">
          <cell r="A213" t="str">
            <v>В-22057/КЛ</v>
          </cell>
        </row>
        <row r="214">
          <cell r="A214" t="str">
            <v>В-14544/КЛ</v>
          </cell>
        </row>
        <row r="215">
          <cell r="A215" t="str">
            <v>В-27521/КЛ</v>
          </cell>
        </row>
        <row r="216">
          <cell r="A216" t="str">
            <v>В-14907/КЛ</v>
          </cell>
        </row>
        <row r="217">
          <cell r="A217" t="str">
            <v>В-19526/КЛ</v>
          </cell>
        </row>
        <row r="218">
          <cell r="A218" t="str">
            <v>В-24927/КЛ</v>
          </cell>
        </row>
        <row r="219">
          <cell r="A219" t="str">
            <v>В-23712/КЛ</v>
          </cell>
        </row>
        <row r="220">
          <cell r="A220" t="str">
            <v>В-00473/КЛ</v>
          </cell>
        </row>
        <row r="221">
          <cell r="A221" t="str">
            <v>В-17106/КЛ</v>
          </cell>
        </row>
        <row r="222">
          <cell r="A222" t="str">
            <v>В-11534/КЛ</v>
          </cell>
        </row>
        <row r="223">
          <cell r="A223" t="str">
            <v>В-24878/КЛ</v>
          </cell>
        </row>
        <row r="224">
          <cell r="A224" t="str">
            <v>В-08745/КЛ</v>
          </cell>
        </row>
        <row r="225">
          <cell r="A225" t="str">
            <v>В-24823/КЛ</v>
          </cell>
        </row>
        <row r="226">
          <cell r="A226" t="str">
            <v>В-22627/КЛ</v>
          </cell>
        </row>
        <row r="227">
          <cell r="A227" t="str">
            <v>В-06035/КЛ</v>
          </cell>
        </row>
        <row r="228">
          <cell r="A228" t="str">
            <v>В-21574/КЛ</v>
          </cell>
        </row>
        <row r="229">
          <cell r="A229" t="str">
            <v>В-20200/КЛ</v>
          </cell>
        </row>
        <row r="230">
          <cell r="A230" t="str">
            <v>В-20490/КЛ</v>
          </cell>
        </row>
        <row r="231">
          <cell r="A231" t="str">
            <v>В-00077/КЭ</v>
          </cell>
        </row>
        <row r="232">
          <cell r="A232" t="str">
            <v>В-11162/КЛ</v>
          </cell>
        </row>
        <row r="233">
          <cell r="A233" t="str">
            <v>В-14196/КЛ</v>
          </cell>
        </row>
        <row r="234">
          <cell r="A234" t="str">
            <v>В-18757/КЛ</v>
          </cell>
        </row>
        <row r="235">
          <cell r="A235" t="str">
            <v>В-14178/КЛ</v>
          </cell>
        </row>
        <row r="236">
          <cell r="A236" t="str">
            <v>В-17934/КЛ</v>
          </cell>
        </row>
        <row r="237">
          <cell r="A237" t="str">
            <v>В-27980/КЛ</v>
          </cell>
        </row>
        <row r="238">
          <cell r="A238" t="str">
            <v>В-15532/КЛ</v>
          </cell>
        </row>
        <row r="239">
          <cell r="A239" t="str">
            <v>В-12279/КЛ</v>
          </cell>
        </row>
        <row r="240">
          <cell r="A240" t="str">
            <v>В-09795/КЛ</v>
          </cell>
        </row>
        <row r="241">
          <cell r="A241" t="str">
            <v>В-17788/КЛ</v>
          </cell>
        </row>
        <row r="242">
          <cell r="A242" t="str">
            <v>В-20060/КЛ</v>
          </cell>
        </row>
        <row r="243">
          <cell r="A243" t="str">
            <v>В-28329/КЛ</v>
          </cell>
        </row>
        <row r="244">
          <cell r="A244" t="str">
            <v>В-25457/КЛ</v>
          </cell>
        </row>
        <row r="245">
          <cell r="A245" t="str">
            <v>В-21048/КЛ</v>
          </cell>
        </row>
        <row r="246">
          <cell r="A246" t="str">
            <v>В-16959/КЛ</v>
          </cell>
        </row>
        <row r="247">
          <cell r="A247" t="str">
            <v>В-22538/КЛ</v>
          </cell>
        </row>
        <row r="248">
          <cell r="A248" t="str">
            <v>В-15560/КЛ</v>
          </cell>
        </row>
        <row r="249">
          <cell r="A249" t="str">
            <v>В-00068/КЭ</v>
          </cell>
        </row>
        <row r="250">
          <cell r="A250" t="str">
            <v>В-00070/КЭ</v>
          </cell>
        </row>
        <row r="251">
          <cell r="A251" t="str">
            <v>В-25302/КЛ</v>
          </cell>
        </row>
        <row r="252">
          <cell r="A252" t="str">
            <v>В-27434/КЛ</v>
          </cell>
        </row>
        <row r="253">
          <cell r="A253" t="str">
            <v>В-05654/КЛ</v>
          </cell>
        </row>
        <row r="254">
          <cell r="A254" t="str">
            <v>В-20855/КЛ</v>
          </cell>
        </row>
        <row r="255">
          <cell r="A255" t="str">
            <v>В-24021/КЛ</v>
          </cell>
        </row>
        <row r="256">
          <cell r="A256" t="str">
            <v>В-18370/КЛ</v>
          </cell>
        </row>
        <row r="257">
          <cell r="A257" t="str">
            <v>В-01061/АЗ</v>
          </cell>
        </row>
        <row r="258">
          <cell r="A258" t="str">
            <v>В-04210/КЛ</v>
          </cell>
        </row>
        <row r="259">
          <cell r="A259" t="str">
            <v>В-22728/КЛ</v>
          </cell>
        </row>
        <row r="260">
          <cell r="A260" t="str">
            <v>В-16023/КЛ</v>
          </cell>
        </row>
        <row r="261">
          <cell r="A261" t="str">
            <v>В-21079/КЛ</v>
          </cell>
        </row>
        <row r="262">
          <cell r="A262" t="str">
            <v>В-17051/КЛ</v>
          </cell>
        </row>
        <row r="263">
          <cell r="A263" t="str">
            <v>В-21847/КЛ</v>
          </cell>
        </row>
        <row r="264">
          <cell r="A264" t="str">
            <v>В-11407/КЛ</v>
          </cell>
        </row>
        <row r="265">
          <cell r="A265" t="str">
            <v>В-26247/КЛ</v>
          </cell>
        </row>
        <row r="266">
          <cell r="A266" t="str">
            <v>В-26242/КЛ</v>
          </cell>
        </row>
        <row r="267">
          <cell r="A267" t="str">
            <v>В-27006/КЛ</v>
          </cell>
        </row>
        <row r="268">
          <cell r="A268" t="str">
            <v>В-12368/КЛ</v>
          </cell>
        </row>
        <row r="269">
          <cell r="A269" t="str">
            <v>В-01202/АЗ</v>
          </cell>
        </row>
        <row r="270">
          <cell r="A270" t="str">
            <v>В-08918/КЛ</v>
          </cell>
        </row>
        <row r="271">
          <cell r="A271" t="str">
            <v>В-02154/КЛ</v>
          </cell>
        </row>
        <row r="272">
          <cell r="A272" t="str">
            <v>В-10934/КЛ</v>
          </cell>
        </row>
        <row r="273">
          <cell r="A273" t="str">
            <v>В-25747/КЛ</v>
          </cell>
        </row>
        <row r="274">
          <cell r="A274" t="str">
            <v>В-22352/АЗ</v>
          </cell>
        </row>
        <row r="275">
          <cell r="A275" t="str">
            <v>В-12391/КЛ</v>
          </cell>
        </row>
        <row r="276">
          <cell r="A276" t="str">
            <v>В-21208/КЛ</v>
          </cell>
        </row>
        <row r="277">
          <cell r="A277" t="str">
            <v>В-17687/КЛ</v>
          </cell>
        </row>
        <row r="278">
          <cell r="A278" t="str">
            <v>В-12427/КЛ</v>
          </cell>
        </row>
        <row r="279">
          <cell r="A279" t="str">
            <v>В-22897/КЛ</v>
          </cell>
        </row>
        <row r="280">
          <cell r="A280" t="str">
            <v>В-13254/КЛ</v>
          </cell>
        </row>
        <row r="281">
          <cell r="A281" t="str">
            <v>В-01692/КЛ</v>
          </cell>
        </row>
        <row r="282">
          <cell r="A282" t="str">
            <v>В-03974/КЛ</v>
          </cell>
        </row>
        <row r="283">
          <cell r="A283" t="str">
            <v>В-11825/КЛ</v>
          </cell>
        </row>
        <row r="284">
          <cell r="A284" t="str">
            <v>В-21040/КЛ</v>
          </cell>
        </row>
        <row r="285">
          <cell r="A285" t="str">
            <v>В-10012/КЭ</v>
          </cell>
        </row>
        <row r="286">
          <cell r="A286" t="str">
            <v>В-13104/КЛ</v>
          </cell>
        </row>
        <row r="287">
          <cell r="A287" t="str">
            <v>В-19655/КЛ</v>
          </cell>
        </row>
        <row r="288">
          <cell r="A288" t="str">
            <v>В-21858/КЛ</v>
          </cell>
        </row>
        <row r="289">
          <cell r="A289" t="str">
            <v>В-12401/КЛ</v>
          </cell>
        </row>
        <row r="290">
          <cell r="A290" t="str">
            <v>В-17153/КЛ</v>
          </cell>
        </row>
        <row r="291">
          <cell r="A291" t="str">
            <v>В-09890/КЛ</v>
          </cell>
        </row>
        <row r="292">
          <cell r="A292" t="str">
            <v>Т-10006/КЭ_Т-20211028/Ц</v>
          </cell>
        </row>
        <row r="293">
          <cell r="A293" t="str">
            <v>В-23840/КЛ</v>
          </cell>
        </row>
        <row r="294">
          <cell r="A294" t="str">
            <v>В-12483/КЛ</v>
          </cell>
        </row>
        <row r="295">
          <cell r="A295" t="str">
            <v>В-11334/КЛ</v>
          </cell>
        </row>
        <row r="296">
          <cell r="A296" t="str">
            <v>В-01107/АЗ</v>
          </cell>
        </row>
        <row r="297">
          <cell r="A297" t="str">
            <v>В-09213/КЛ</v>
          </cell>
        </row>
        <row r="298">
          <cell r="A298" t="str">
            <v>В-12246/КЛ</v>
          </cell>
        </row>
        <row r="299">
          <cell r="A299" t="str">
            <v>В-20437/КЛ</v>
          </cell>
        </row>
        <row r="300">
          <cell r="A300" t="str">
            <v>В-17062/КЛ</v>
          </cell>
        </row>
        <row r="301">
          <cell r="A301" t="str">
            <v>В-25131/КЛ</v>
          </cell>
        </row>
        <row r="302">
          <cell r="A302" t="str">
            <v>В-00439/КЛ</v>
          </cell>
        </row>
        <row r="303">
          <cell r="A303" t="str">
            <v>В-00145/КЛ</v>
          </cell>
        </row>
        <row r="304">
          <cell r="A304" t="str">
            <v>В-23633/КЛ</v>
          </cell>
        </row>
        <row r="305">
          <cell r="A305" t="str">
            <v>В-20497/КЛ</v>
          </cell>
        </row>
        <row r="306">
          <cell r="A306" t="str">
            <v>В-17805/КЛ</v>
          </cell>
        </row>
        <row r="307">
          <cell r="A307" t="str">
            <v>В-21454/КЛ</v>
          </cell>
        </row>
        <row r="308">
          <cell r="A308" t="str">
            <v>В-01898/КЛ</v>
          </cell>
        </row>
        <row r="309">
          <cell r="A309" t="str">
            <v>В-15750/КЛ</v>
          </cell>
        </row>
        <row r="310">
          <cell r="A310" t="str">
            <v>В-01200/АЗ</v>
          </cell>
        </row>
        <row r="311">
          <cell r="A311" t="str">
            <v>В-22026/КЛ</v>
          </cell>
        </row>
        <row r="312">
          <cell r="A312" t="str">
            <v>В-22026/КЛ</v>
          </cell>
        </row>
        <row r="313">
          <cell r="A313" t="str">
            <v>В-24267/КЛ</v>
          </cell>
        </row>
        <row r="314">
          <cell r="A314" t="str">
            <v>В-01175/АЗ</v>
          </cell>
        </row>
        <row r="315">
          <cell r="A315" t="str">
            <v>В-00039/КЭ</v>
          </cell>
        </row>
        <row r="316">
          <cell r="A316" t="str">
            <v>В-18654/КЛ</v>
          </cell>
        </row>
        <row r="317">
          <cell r="A317" t="str">
            <v>В-30009/КЭ</v>
          </cell>
        </row>
        <row r="318">
          <cell r="A318" t="str">
            <v>В-18366/КЛ</v>
          </cell>
        </row>
        <row r="319">
          <cell r="A319" t="str">
            <v>В-22426/КЛ</v>
          </cell>
        </row>
        <row r="320">
          <cell r="A320" t="str">
            <v>В-02707/КЛ</v>
          </cell>
        </row>
        <row r="321">
          <cell r="A321" t="str">
            <v>В-20046/КЛ</v>
          </cell>
        </row>
        <row r="322">
          <cell r="A322" t="str">
            <v>В-20546/КЛ</v>
          </cell>
        </row>
        <row r="323">
          <cell r="A323" t="str">
            <v>В-22833/КЛ</v>
          </cell>
        </row>
        <row r="324">
          <cell r="A324" t="str">
            <v>В-24989/АЗ</v>
          </cell>
        </row>
        <row r="325">
          <cell r="A325" t="str">
            <v>В-24642/АЗ</v>
          </cell>
        </row>
        <row r="326">
          <cell r="A326" t="str">
            <v>В-17073/КЛ</v>
          </cell>
        </row>
        <row r="327">
          <cell r="A327" t="str">
            <v>Т-01914/АЗ_Т-20211028/Ц</v>
          </cell>
        </row>
        <row r="328">
          <cell r="A328" t="str">
            <v>В-15200/КЛ</v>
          </cell>
        </row>
        <row r="329">
          <cell r="A329" t="str">
            <v>В-17708/КЛ</v>
          </cell>
        </row>
        <row r="330">
          <cell r="A330" t="str">
            <v>В-13219/КЛ</v>
          </cell>
        </row>
        <row r="331">
          <cell r="A331" t="str">
            <v>В-24072/АЗ</v>
          </cell>
        </row>
        <row r="332">
          <cell r="A332" t="str">
            <v>В-23045/КЛ</v>
          </cell>
        </row>
        <row r="333">
          <cell r="A333" t="str">
            <v>Т-01931/АЗ_Т-20211028/Ц</v>
          </cell>
        </row>
        <row r="334">
          <cell r="A334" t="str">
            <v>В-00951/АЗ</v>
          </cell>
        </row>
        <row r="335">
          <cell r="A335" t="str">
            <v>В-15165/КЛ</v>
          </cell>
        </row>
        <row r="336">
          <cell r="A336" t="str">
            <v>В-21146/КЛ</v>
          </cell>
        </row>
        <row r="337">
          <cell r="A337" t="str">
            <v>В-23325/АЗ</v>
          </cell>
        </row>
        <row r="338">
          <cell r="A338" t="str">
            <v>В-23339/АЗ</v>
          </cell>
        </row>
        <row r="339">
          <cell r="A339" t="str">
            <v>В-00021/КЭ</v>
          </cell>
        </row>
        <row r="340">
          <cell r="A340" t="str">
            <v>В-17362/КЛ</v>
          </cell>
        </row>
        <row r="341">
          <cell r="A341" t="str">
            <v>В-21269/КЛ</v>
          </cell>
        </row>
        <row r="342">
          <cell r="A342" t="str">
            <v>В-22642/КЛ</v>
          </cell>
        </row>
        <row r="343">
          <cell r="A343" t="str">
            <v>В-01159/АЗ</v>
          </cell>
        </row>
        <row r="344">
          <cell r="A344" t="str">
            <v>В-11595/КЛ</v>
          </cell>
        </row>
        <row r="345">
          <cell r="A345" t="str">
            <v>В-08148/КЛ</v>
          </cell>
        </row>
        <row r="346">
          <cell r="A346" t="str">
            <v>В-09725/КЛ</v>
          </cell>
        </row>
        <row r="347">
          <cell r="A347" t="str">
            <v>В-15822/КЛ</v>
          </cell>
        </row>
        <row r="348">
          <cell r="A348" t="str">
            <v>В-15908/КЛ</v>
          </cell>
        </row>
        <row r="349">
          <cell r="A349" t="str">
            <v>В-20766/КЛ</v>
          </cell>
        </row>
        <row r="350">
          <cell r="A350" t="str">
            <v>В-13136/КЛ</v>
          </cell>
        </row>
        <row r="351">
          <cell r="A351" t="str">
            <v>В-14529/КЛ</v>
          </cell>
        </row>
        <row r="352">
          <cell r="A352" t="str">
            <v>В-01179/АЗ</v>
          </cell>
        </row>
        <row r="353">
          <cell r="A353" t="str">
            <v>В-17030/КЛ</v>
          </cell>
        </row>
        <row r="354">
          <cell r="A354" t="str">
            <v>В-07147/КЛ</v>
          </cell>
        </row>
        <row r="355">
          <cell r="A355" t="str">
            <v>В-12410/КЛ</v>
          </cell>
        </row>
        <row r="356">
          <cell r="A356" t="str">
            <v>В-00137/АЗ</v>
          </cell>
        </row>
        <row r="357">
          <cell r="A357" t="str">
            <v>В-00034/КЭ</v>
          </cell>
        </row>
        <row r="358">
          <cell r="A358" t="str">
            <v>В-14335/КЛ</v>
          </cell>
        </row>
        <row r="359">
          <cell r="A359" t="str">
            <v>В-00553/КЛ</v>
          </cell>
        </row>
        <row r="360">
          <cell r="A360" t="str">
            <v>В-18163/КЛ</v>
          </cell>
        </row>
        <row r="361">
          <cell r="A361" t="str">
            <v>В-22436/АЗ</v>
          </cell>
        </row>
        <row r="362">
          <cell r="A362" t="str">
            <v>В-22434/АЗ</v>
          </cell>
        </row>
        <row r="363">
          <cell r="A363" t="str">
            <v>В-22201/КЛ</v>
          </cell>
        </row>
        <row r="364">
          <cell r="A364" t="str">
            <v>В-22173/КЛ</v>
          </cell>
        </row>
        <row r="365">
          <cell r="A365" t="str">
            <v>Т-01893/АЗ_Т-20211028/Ц</v>
          </cell>
        </row>
        <row r="366">
          <cell r="A366" t="str">
            <v>В-02961/КЛ</v>
          </cell>
        </row>
        <row r="367">
          <cell r="A367" t="str">
            <v>В-24983/КЛ</v>
          </cell>
        </row>
        <row r="368">
          <cell r="A368" t="str">
            <v>В-13051/КЛ</v>
          </cell>
        </row>
        <row r="369">
          <cell r="A369" t="str">
            <v>В-16757/КЛ</v>
          </cell>
        </row>
        <row r="370">
          <cell r="A370" t="str">
            <v>В-16757/КЛ</v>
          </cell>
        </row>
        <row r="371">
          <cell r="A371" t="str">
            <v>В-15085/КЛ</v>
          </cell>
        </row>
        <row r="372">
          <cell r="A372" t="str">
            <v>В-12551/КЛ</v>
          </cell>
        </row>
        <row r="373">
          <cell r="A373" t="str">
            <v>В-11946/КЛ</v>
          </cell>
        </row>
        <row r="374">
          <cell r="A374" t="str">
            <v>В-19349/КЛ</v>
          </cell>
        </row>
        <row r="375">
          <cell r="A375" t="str">
            <v>В-20442/КЛ</v>
          </cell>
        </row>
        <row r="376">
          <cell r="A376" t="str">
            <v>В-00772/АЗ</v>
          </cell>
        </row>
        <row r="377">
          <cell r="A377" t="str">
            <v>В-18008/КЛ</v>
          </cell>
        </row>
        <row r="378">
          <cell r="A378" t="str">
            <v>В-01216/КЛ</v>
          </cell>
        </row>
        <row r="379">
          <cell r="A379" t="str">
            <v>В-04229/КЛ</v>
          </cell>
        </row>
        <row r="380">
          <cell r="A380" t="str">
            <v>В-14005/КЛ</v>
          </cell>
        </row>
        <row r="381">
          <cell r="A381" t="str">
            <v>В-00708/АЗ</v>
          </cell>
        </row>
        <row r="382">
          <cell r="A382" t="str">
            <v>В-01252/КЛ</v>
          </cell>
        </row>
        <row r="383">
          <cell r="A383" t="str">
            <v>В-22238/КЛ</v>
          </cell>
        </row>
        <row r="384">
          <cell r="A384" t="str">
            <v>В-14310/КЛ</v>
          </cell>
        </row>
        <row r="385">
          <cell r="A385" t="str">
            <v>В-21019/КЛ</v>
          </cell>
        </row>
        <row r="386">
          <cell r="A386" t="str">
            <v>В-00806/АЗ</v>
          </cell>
        </row>
        <row r="387">
          <cell r="A387" t="str">
            <v>В-00733/АЗ</v>
          </cell>
        </row>
        <row r="388">
          <cell r="A388" t="str">
            <v>В-00496/АЗ</v>
          </cell>
        </row>
        <row r="389">
          <cell r="A389" t="str">
            <v>В-19791/КЛ</v>
          </cell>
        </row>
        <row r="390">
          <cell r="A390" t="str">
            <v>В-13264/КЛ</v>
          </cell>
        </row>
        <row r="391">
          <cell r="A391" t="str">
            <v>В-08064/КЛ</v>
          </cell>
        </row>
        <row r="392">
          <cell r="A392" t="str">
            <v>В-17315/КЛ</v>
          </cell>
        </row>
        <row r="393">
          <cell r="A393" t="str">
            <v>В-20300/КЛ</v>
          </cell>
        </row>
        <row r="394">
          <cell r="A394" t="str">
            <v>В-11934/КЛ</v>
          </cell>
        </row>
        <row r="395">
          <cell r="A395" t="str">
            <v>В-14453/КЛ</v>
          </cell>
        </row>
        <row r="396">
          <cell r="A396" t="str">
            <v>В-10123/КЛ</v>
          </cell>
        </row>
        <row r="397">
          <cell r="A397" t="str">
            <v>В-17167/КЛ</v>
          </cell>
        </row>
        <row r="398">
          <cell r="A398" t="str">
            <v>В-12548/КЛ</v>
          </cell>
        </row>
        <row r="399">
          <cell r="A399" t="str">
            <v>В-20703/КЛ</v>
          </cell>
        </row>
        <row r="400">
          <cell r="A400" t="str">
            <v>В-01271/КЛ</v>
          </cell>
        </row>
        <row r="401">
          <cell r="A401" t="str">
            <v>В-12484/КЛ</v>
          </cell>
        </row>
        <row r="402">
          <cell r="A402" t="str">
            <v>В-09292/КЛ</v>
          </cell>
        </row>
        <row r="403">
          <cell r="A403" t="str">
            <v>В-07717/КЛ</v>
          </cell>
        </row>
        <row r="404">
          <cell r="A404" t="str">
            <v>В-08065/КЛ</v>
          </cell>
        </row>
        <row r="405">
          <cell r="A405" t="str">
            <v>В-20635/КЛ</v>
          </cell>
        </row>
        <row r="406">
          <cell r="A406" t="str">
            <v xml:space="preserve">В-00918/АЗ </v>
          </cell>
        </row>
        <row r="407">
          <cell r="A407" t="str">
            <v>В-03938/КЛ</v>
          </cell>
        </row>
        <row r="408">
          <cell r="A408" t="str">
            <v>В-08603/КЛ</v>
          </cell>
        </row>
        <row r="409">
          <cell r="A409" t="str">
            <v>В-17852/КЛ</v>
          </cell>
        </row>
        <row r="410">
          <cell r="A410" t="str">
            <v>В-00612/АЗ</v>
          </cell>
        </row>
        <row r="411">
          <cell r="A411" t="str">
            <v>В-13507/КЛ</v>
          </cell>
        </row>
        <row r="412">
          <cell r="A412" t="str">
            <v>В-15412/КЛ</v>
          </cell>
        </row>
        <row r="413">
          <cell r="A413" t="str">
            <v>В-00178/КЛ</v>
          </cell>
        </row>
        <row r="414">
          <cell r="A414" t="str">
            <v>В-19846/КЛ</v>
          </cell>
        </row>
        <row r="415">
          <cell r="A415" t="str">
            <v>В-15330/КЛ</v>
          </cell>
        </row>
        <row r="416">
          <cell r="A416" t="str">
            <v>В-19766/КЛ</v>
          </cell>
        </row>
        <row r="417">
          <cell r="A417" t="str">
            <v>А-05082/АЗ</v>
          </cell>
        </row>
        <row r="418">
          <cell r="A418" t="str">
            <v>В-17201/КЛ</v>
          </cell>
        </row>
        <row r="419">
          <cell r="A419" t="str">
            <v>В-07411/КЛ</v>
          </cell>
        </row>
        <row r="420">
          <cell r="A420" t="str">
            <v>В-18538/КЛ</v>
          </cell>
        </row>
        <row r="421">
          <cell r="A421" t="str">
            <v>В-16861/КЛ</v>
          </cell>
        </row>
        <row r="422">
          <cell r="A422" t="str">
            <v>В-08391/КЛ</v>
          </cell>
        </row>
        <row r="423">
          <cell r="A423" t="str">
            <v>В-08361/КЛ</v>
          </cell>
        </row>
        <row r="424">
          <cell r="A424" t="str">
            <v>В-12675/КЛ</v>
          </cell>
        </row>
        <row r="425">
          <cell r="A425" t="str">
            <v>В-00023/КЭ</v>
          </cell>
        </row>
        <row r="426">
          <cell r="A426" t="str">
            <v>В-18167/КЛ</v>
          </cell>
        </row>
        <row r="427">
          <cell r="A427" t="str">
            <v>В-00012/КЭ</v>
          </cell>
        </row>
        <row r="428">
          <cell r="A428" t="str">
            <v>В-11932/КЛ</v>
          </cell>
        </row>
        <row r="429">
          <cell r="A429" t="str">
            <v>В-19329/КЛ</v>
          </cell>
        </row>
        <row r="430">
          <cell r="A430" t="str">
            <v>В-00339/АЗ</v>
          </cell>
        </row>
        <row r="431">
          <cell r="A431" t="str">
            <v>В-15222/КЛ</v>
          </cell>
        </row>
        <row r="432">
          <cell r="A432" t="str">
            <v>Т-00008/КЭ</v>
          </cell>
        </row>
        <row r="433">
          <cell r="A433" t="str">
            <v>В-13629/КЛ</v>
          </cell>
        </row>
        <row r="434">
          <cell r="A434" t="str">
            <v>В-01172/АЗ</v>
          </cell>
        </row>
        <row r="435">
          <cell r="A435" t="str">
            <v>В-01171/АЗ</v>
          </cell>
        </row>
        <row r="436">
          <cell r="A436" t="str">
            <v>В-15448/КЛ</v>
          </cell>
        </row>
        <row r="437">
          <cell r="A437" t="str">
            <v>В-04293/КЛ</v>
          </cell>
        </row>
        <row r="438">
          <cell r="A438" t="str">
            <v>В-11521/КЛ</v>
          </cell>
        </row>
        <row r="439">
          <cell r="A439" t="str">
            <v>В-18791/КЛ</v>
          </cell>
        </row>
        <row r="440">
          <cell r="A440" t="str">
            <v>В-19097/КЛ</v>
          </cell>
        </row>
        <row r="441">
          <cell r="A441" t="str">
            <v>В-19025/КЛ</v>
          </cell>
        </row>
        <row r="442">
          <cell r="A442" t="str">
            <v>В-18983/КЛ</v>
          </cell>
        </row>
        <row r="443">
          <cell r="A443" t="str">
            <v>В-18237/КЛ</v>
          </cell>
        </row>
        <row r="444">
          <cell r="A444" t="str">
            <v>В-05425/КЛ</v>
          </cell>
        </row>
        <row r="445">
          <cell r="A445" t="str">
            <v>В-11186/КЛ</v>
          </cell>
        </row>
        <row r="446">
          <cell r="A446" t="str">
            <v>В-19132/КЛ</v>
          </cell>
        </row>
        <row r="447">
          <cell r="A447" t="str">
            <v>В-04096/КЛ</v>
          </cell>
        </row>
        <row r="448">
          <cell r="A448" t="str">
            <v>Т-00038/БЭ</v>
          </cell>
        </row>
        <row r="449">
          <cell r="A449" t="str">
            <v>А-00063/БЭ</v>
          </cell>
        </row>
        <row r="450">
          <cell r="A450" t="str">
            <v>В-17625/КЛ</v>
          </cell>
        </row>
        <row r="451">
          <cell r="A451" t="str">
            <v>В-13070/КЛ</v>
          </cell>
        </row>
        <row r="452">
          <cell r="A452" t="str">
            <v>В-07384/КЛ</v>
          </cell>
        </row>
        <row r="453">
          <cell r="A453" t="str">
            <v>В-16915/КЛ</v>
          </cell>
        </row>
        <row r="454">
          <cell r="A454" t="str">
            <v>В-15583/КЛ</v>
          </cell>
        </row>
        <row r="455">
          <cell r="A455" t="str">
            <v>В-13042/КЛ</v>
          </cell>
        </row>
        <row r="456">
          <cell r="A456" t="str">
            <v>В-08288/КЛ</v>
          </cell>
        </row>
        <row r="457">
          <cell r="A457" t="str">
            <v>В-17043/КЛ</v>
          </cell>
        </row>
        <row r="458">
          <cell r="A458" t="str">
            <v>В-21219/КЛ</v>
          </cell>
        </row>
        <row r="459">
          <cell r="A459" t="str">
            <v>В-18055/КЛ</v>
          </cell>
        </row>
        <row r="460">
          <cell r="A460" t="str">
            <v>В-18216/КЛ</v>
          </cell>
        </row>
        <row r="461">
          <cell r="A461" t="str">
            <v>В-17075/КЛ</v>
          </cell>
        </row>
        <row r="462">
          <cell r="A462" t="str">
            <v>Т-01878/АЗ</v>
          </cell>
        </row>
        <row r="463">
          <cell r="A463" t="str">
            <v>В-18171/КЛ</v>
          </cell>
        </row>
        <row r="464">
          <cell r="A464" t="str">
            <v>В-10278/КЛ</v>
          </cell>
        </row>
        <row r="465">
          <cell r="A465" t="str">
            <v>В-01104/АЗ</v>
          </cell>
        </row>
        <row r="466">
          <cell r="A466" t="str">
            <v>В-17242/КЛ</v>
          </cell>
        </row>
        <row r="467">
          <cell r="A467" t="str">
            <v>А-10122/КЭ</v>
          </cell>
        </row>
        <row r="468">
          <cell r="A468" t="str">
            <v>В-00508/АЗ</v>
          </cell>
        </row>
        <row r="469">
          <cell r="A469" t="str">
            <v>В-17724/КЛ</v>
          </cell>
        </row>
        <row r="470">
          <cell r="A470" t="str">
            <v>В-00963/АЗ</v>
          </cell>
        </row>
        <row r="471">
          <cell r="A471" t="str">
            <v>А-05463/АЗ</v>
          </cell>
        </row>
        <row r="472">
          <cell r="A472" t="str">
            <v>Т-01935/АЗ</v>
          </cell>
        </row>
        <row r="473">
          <cell r="A473" t="str">
            <v>А-04639/АЗ</v>
          </cell>
        </row>
        <row r="474">
          <cell r="A474" t="str">
            <v>В-10433/КЛ</v>
          </cell>
        </row>
        <row r="475">
          <cell r="A475" t="str">
            <v>В-13669/КЛ</v>
          </cell>
        </row>
        <row r="476">
          <cell r="A476" t="str">
            <v>В-12380/КЛ</v>
          </cell>
        </row>
        <row r="477">
          <cell r="A477" t="str">
            <v>В-10638/КЛ</v>
          </cell>
        </row>
        <row r="478">
          <cell r="A478" t="str">
            <v>В-17533/КЛ</v>
          </cell>
        </row>
        <row r="479">
          <cell r="A479" t="str">
            <v>В-11733/КЛ</v>
          </cell>
        </row>
        <row r="480">
          <cell r="A480" t="str">
            <v>В-01176/АЗ</v>
          </cell>
        </row>
        <row r="481">
          <cell r="A481" t="str">
            <v>В-17940/КЛ</v>
          </cell>
        </row>
        <row r="482">
          <cell r="A482" t="str">
            <v>В-01092/КЛ</v>
          </cell>
        </row>
        <row r="483">
          <cell r="A483" t="str">
            <v>В-00319/КЛ</v>
          </cell>
        </row>
        <row r="484">
          <cell r="A484" t="str">
            <v>В-16186/КЛ</v>
          </cell>
        </row>
        <row r="485">
          <cell r="A485" t="str">
            <v>В-09916/КЛ</v>
          </cell>
        </row>
        <row r="486">
          <cell r="A486" t="str">
            <v>В-16877/КЛ</v>
          </cell>
        </row>
        <row r="487">
          <cell r="A487" t="str">
            <v>В-16777/КЛ</v>
          </cell>
        </row>
        <row r="488">
          <cell r="A488" t="str">
            <v>В-09302/КЛ</v>
          </cell>
        </row>
        <row r="489">
          <cell r="A489" t="str">
            <v>В-03324/КЛ</v>
          </cell>
        </row>
        <row r="490">
          <cell r="A490" t="str">
            <v>В-16457/КЛ</v>
          </cell>
        </row>
        <row r="491">
          <cell r="A491" t="str">
            <v>В-00011/КЭ</v>
          </cell>
        </row>
        <row r="492">
          <cell r="A492" t="str">
            <v>В-01131/АЗ</v>
          </cell>
        </row>
        <row r="493">
          <cell r="A493" t="str">
            <v>В-14484/КЛ</v>
          </cell>
        </row>
        <row r="494">
          <cell r="A494" t="str">
            <v>В-14621/КЛ</v>
          </cell>
        </row>
        <row r="495">
          <cell r="A495" t="str">
            <v>В-10013/КЭ</v>
          </cell>
        </row>
        <row r="496">
          <cell r="A496" t="str">
            <v>В-11861/КЛ</v>
          </cell>
        </row>
        <row r="497">
          <cell r="A497" t="str">
            <v>В-15156/КЛ</v>
          </cell>
        </row>
        <row r="498">
          <cell r="A498" t="str">
            <v>В-11824/КЛ</v>
          </cell>
        </row>
        <row r="499">
          <cell r="A499" t="str">
            <v>В-01084/АЗ</v>
          </cell>
        </row>
        <row r="500">
          <cell r="A500" t="str">
            <v>В-01085/АЗ</v>
          </cell>
        </row>
        <row r="501">
          <cell r="A501" t="str">
            <v>В-02690/КЛ</v>
          </cell>
        </row>
        <row r="502">
          <cell r="A502" t="str">
            <v>В-16441/КЛ</v>
          </cell>
        </row>
        <row r="503">
          <cell r="A503" t="str">
            <v>Т-10005/КЭ</v>
          </cell>
        </row>
        <row r="504">
          <cell r="A504" t="str">
            <v>В-01110/АЗ</v>
          </cell>
        </row>
        <row r="505">
          <cell r="A505" t="str">
            <v>В-00022/КЭ</v>
          </cell>
        </row>
        <row r="506">
          <cell r="A506" t="str">
            <v>А-00458/КЭ</v>
          </cell>
        </row>
        <row r="507">
          <cell r="A507" t="str">
            <v>В-00370/АЗ</v>
          </cell>
        </row>
        <row r="508">
          <cell r="A508" t="str">
            <v>В-18929/КЛ</v>
          </cell>
        </row>
        <row r="509">
          <cell r="A509" t="str">
            <v>В-12894/КЛ</v>
          </cell>
        </row>
        <row r="510">
          <cell r="A510" t="str">
            <v>В-00881/АЗ</v>
          </cell>
        </row>
        <row r="511">
          <cell r="A511" t="str">
            <v>В-09247/КЛ</v>
          </cell>
        </row>
        <row r="512">
          <cell r="A512" t="str">
            <v>В-12042/КЛ</v>
          </cell>
        </row>
        <row r="513">
          <cell r="A513" t="str">
            <v>В-00359/КЛ</v>
          </cell>
        </row>
        <row r="514">
          <cell r="A514" t="str">
            <v>А-00009/ИЗ</v>
          </cell>
        </row>
        <row r="515">
          <cell r="A515" t="str">
            <v>В-02777/КЛ</v>
          </cell>
        </row>
        <row r="516">
          <cell r="A516" t="str">
            <v>В-14727/КЛ</v>
          </cell>
        </row>
        <row r="517">
          <cell r="A517" t="str">
            <v>В-11333/КЛ</v>
          </cell>
        </row>
        <row r="518">
          <cell r="A518" t="str">
            <v>В-16873/КЛ</v>
          </cell>
        </row>
        <row r="519">
          <cell r="A519" t="str">
            <v>В-17494/КЛ</v>
          </cell>
        </row>
        <row r="520">
          <cell r="A520" t="str">
            <v>В-14569/КЛ</v>
          </cell>
        </row>
        <row r="521">
          <cell r="A521" t="str">
            <v>В-13600/КЛ</v>
          </cell>
        </row>
        <row r="522">
          <cell r="A522" t="str">
            <v>В-03392/КЛ</v>
          </cell>
        </row>
        <row r="523">
          <cell r="A523" t="str">
            <v>В-12294/КЛ</v>
          </cell>
        </row>
        <row r="524">
          <cell r="A524" t="str">
            <v>В-07544/КЛ</v>
          </cell>
        </row>
        <row r="525">
          <cell r="A525" t="str">
            <v>В-11307/КЛ</v>
          </cell>
        </row>
        <row r="526">
          <cell r="A526" t="str">
            <v>В-05009/КЛ</v>
          </cell>
        </row>
        <row r="527">
          <cell r="A527" t="str">
            <v>А-00404/КЭ</v>
          </cell>
        </row>
        <row r="528">
          <cell r="A528" t="str">
            <v>В-03040/КЛ</v>
          </cell>
        </row>
        <row r="529">
          <cell r="A529" t="str">
            <v>В-00884/АЗ</v>
          </cell>
        </row>
        <row r="530">
          <cell r="A530" t="str">
            <v>В-01109/АЗ</v>
          </cell>
        </row>
        <row r="531">
          <cell r="A531" t="str">
            <v>В-01099/АЗ</v>
          </cell>
        </row>
        <row r="532">
          <cell r="A532" t="str">
            <v>В-11523/КЛ</v>
          </cell>
        </row>
        <row r="533">
          <cell r="A533" t="str">
            <v>В-13177/КЛ</v>
          </cell>
        </row>
        <row r="534">
          <cell r="A534" t="str">
            <v>В-00992/АЗ</v>
          </cell>
        </row>
        <row r="535">
          <cell r="A535" t="str">
            <v>В-07008/КЛ</v>
          </cell>
        </row>
        <row r="536">
          <cell r="A536" t="str">
            <v>В-13625/КЛ</v>
          </cell>
        </row>
        <row r="537">
          <cell r="A537" t="str">
            <v>В-09290/КЛ</v>
          </cell>
        </row>
        <row r="538">
          <cell r="A538" t="str">
            <v>В-12741/КЛ</v>
          </cell>
        </row>
        <row r="539">
          <cell r="A539" t="str">
            <v>В-09513/КЛ</v>
          </cell>
        </row>
        <row r="540">
          <cell r="A540" t="str">
            <v>В-00988/АЗ</v>
          </cell>
        </row>
        <row r="541">
          <cell r="A541" t="str">
            <v>В-00687/АЗ</v>
          </cell>
        </row>
        <row r="542">
          <cell r="A542" t="str">
            <v>В-11190/КЛ</v>
          </cell>
        </row>
        <row r="543">
          <cell r="A543" t="str">
            <v>В-15171/КЛ</v>
          </cell>
        </row>
        <row r="544">
          <cell r="A544" t="str">
            <v>В-01046/АЗ</v>
          </cell>
        </row>
        <row r="545">
          <cell r="A545" t="str">
            <v>В-13544/КЛ</v>
          </cell>
        </row>
        <row r="546">
          <cell r="A546" t="str">
            <v>В-12016/КЛ</v>
          </cell>
        </row>
        <row r="547">
          <cell r="A547" t="str">
            <v>В-01647/КЛ</v>
          </cell>
        </row>
        <row r="548">
          <cell r="A548" t="str">
            <v>Т-00002/КЭ</v>
          </cell>
        </row>
        <row r="549">
          <cell r="A549" t="str">
            <v>В-00808/АЗ</v>
          </cell>
        </row>
        <row r="550">
          <cell r="A550" t="str">
            <v>В-00737/АЗ</v>
          </cell>
        </row>
        <row r="551">
          <cell r="A551" t="str">
            <v>В-05401/КЛ</v>
          </cell>
        </row>
        <row r="552">
          <cell r="A552" t="str">
            <v>В-01102/АЗ</v>
          </cell>
        </row>
        <row r="553">
          <cell r="A553" t="str">
            <v>В-14944/КЛ</v>
          </cell>
        </row>
        <row r="554">
          <cell r="A554" t="str">
            <v>В-08626/КЛ</v>
          </cell>
        </row>
        <row r="555">
          <cell r="A555" t="str">
            <v>В-07971/КЛ</v>
          </cell>
        </row>
        <row r="556">
          <cell r="A556" t="str">
            <v>В-14029/КЛ</v>
          </cell>
        </row>
        <row r="557">
          <cell r="A557" t="str">
            <v>В-03197/КЛ</v>
          </cell>
        </row>
        <row r="558">
          <cell r="A558" t="str">
            <v>В-11533/КЛ</v>
          </cell>
        </row>
        <row r="559">
          <cell r="A559" t="str">
            <v>Т-01922/АЗ</v>
          </cell>
        </row>
        <row r="560">
          <cell r="A560" t="str">
            <v>В-08822/КЛ</v>
          </cell>
        </row>
        <row r="561">
          <cell r="A561" t="str">
            <v>В-13886/КЛ</v>
          </cell>
        </row>
        <row r="562">
          <cell r="A562" t="str">
            <v>В-13297/КЛ</v>
          </cell>
        </row>
        <row r="563">
          <cell r="A563" t="str">
            <v>В-12631/КЛ</v>
          </cell>
        </row>
        <row r="564">
          <cell r="A564" t="str">
            <v>В-09948/КЛ</v>
          </cell>
        </row>
        <row r="565">
          <cell r="A565" t="str">
            <v>В-08584/КЛ</v>
          </cell>
        </row>
        <row r="566">
          <cell r="A566" t="str">
            <v>В-13719/КЛ</v>
          </cell>
        </row>
        <row r="567">
          <cell r="A567" t="str">
            <v>Т-01867/АЗ</v>
          </cell>
        </row>
        <row r="568">
          <cell r="A568" t="str">
            <v>В-02090/КЛ</v>
          </cell>
        </row>
        <row r="569">
          <cell r="A569" t="str">
            <v>В-00854/АЗ</v>
          </cell>
        </row>
        <row r="570">
          <cell r="A570" t="str">
            <v>В-00980/АЗ</v>
          </cell>
        </row>
        <row r="571">
          <cell r="A571" t="str">
            <v>В-11085/КЛ</v>
          </cell>
        </row>
        <row r="572">
          <cell r="A572" t="str">
            <v>В-00967/АЗ</v>
          </cell>
        </row>
        <row r="573">
          <cell r="A573" t="str">
            <v>В-12372/КЛ</v>
          </cell>
        </row>
        <row r="574">
          <cell r="A574" t="str">
            <v>В-06092/КЛ</v>
          </cell>
        </row>
        <row r="575">
          <cell r="A575" t="str">
            <v>В-10890/КЛ</v>
          </cell>
        </row>
        <row r="576">
          <cell r="A576" t="str">
            <v>В-30003/КЭ</v>
          </cell>
        </row>
        <row r="577">
          <cell r="A577" t="str">
            <v>Т-01675/АЗ</v>
          </cell>
        </row>
        <row r="578">
          <cell r="A578" t="str">
            <v>А-04839/АЗ</v>
          </cell>
        </row>
        <row r="579">
          <cell r="A579" t="str">
            <v>В-01119/АЗ</v>
          </cell>
        </row>
        <row r="580">
          <cell r="A580" t="str">
            <v>В-01120/АЗ</v>
          </cell>
        </row>
        <row r="581">
          <cell r="A581" t="str">
            <v>В-12163/КЛ</v>
          </cell>
        </row>
        <row r="582">
          <cell r="A582" t="str">
            <v>В-11967/КЛ</v>
          </cell>
        </row>
        <row r="583">
          <cell r="A583" t="str">
            <v>В-09649/КЛ</v>
          </cell>
        </row>
        <row r="584">
          <cell r="A584" t="str">
            <v>В-11892/КЛ</v>
          </cell>
        </row>
        <row r="585">
          <cell r="A585" t="str">
            <v>В-13055/КЛ</v>
          </cell>
        </row>
        <row r="586">
          <cell r="A586" t="str">
            <v>В-11280/КЛ</v>
          </cell>
        </row>
        <row r="587">
          <cell r="A587" t="str">
            <v>А-00467/КЭ</v>
          </cell>
        </row>
        <row r="588">
          <cell r="A588" t="str">
            <v>А-10100/КЭ</v>
          </cell>
        </row>
        <row r="589">
          <cell r="A589" t="str">
            <v>А-05455/АЗ</v>
          </cell>
        </row>
        <row r="590">
          <cell r="A590" t="str">
            <v>В-06186/КЛ</v>
          </cell>
        </row>
        <row r="591">
          <cell r="A591" t="str">
            <v>В-03585/КЛ</v>
          </cell>
        </row>
        <row r="592">
          <cell r="A592" t="str">
            <v>В-10492/КЛ</v>
          </cell>
        </row>
        <row r="593">
          <cell r="A593" t="str">
            <v>В-08189/КЛ</v>
          </cell>
        </row>
        <row r="594">
          <cell r="A594" t="str">
            <v>Т-01835/АЗ</v>
          </cell>
        </row>
        <row r="595">
          <cell r="A595" t="str">
            <v>В-06379/КЛ</v>
          </cell>
        </row>
        <row r="596">
          <cell r="A596" t="str">
            <v>Т-00004/КЭ</v>
          </cell>
        </row>
        <row r="597">
          <cell r="A597" t="str">
            <v>В-03629/КЛ</v>
          </cell>
        </row>
        <row r="598">
          <cell r="A598" t="str">
            <v>В-08942/КЛ</v>
          </cell>
        </row>
        <row r="599">
          <cell r="A599" t="str">
            <v>Т-01899/АЗ</v>
          </cell>
        </row>
        <row r="600">
          <cell r="A600" t="str">
            <v>В-11653/КЛ</v>
          </cell>
        </row>
        <row r="601">
          <cell r="A601" t="str">
            <v>В-12167/КЛ</v>
          </cell>
        </row>
        <row r="602">
          <cell r="A602" t="str">
            <v>В-09961/КЛ</v>
          </cell>
        </row>
        <row r="603">
          <cell r="A603" t="str">
            <v>В-12000/КЛ</v>
          </cell>
        </row>
        <row r="604">
          <cell r="A604" t="str">
            <v>А-00446/КЭ</v>
          </cell>
        </row>
        <row r="605">
          <cell r="A605" t="str">
            <v xml:space="preserve">А-05271/АЗ </v>
          </cell>
        </row>
        <row r="606">
          <cell r="A606" t="str">
            <v>В-02902/КЛ</v>
          </cell>
        </row>
        <row r="607">
          <cell r="A607" t="str">
            <v>В-00714/КЛ</v>
          </cell>
        </row>
        <row r="608">
          <cell r="A608" t="str">
            <v>В-07275/КЛ</v>
          </cell>
        </row>
        <row r="609">
          <cell r="A609" t="str">
            <v>А-10096/КЭ</v>
          </cell>
        </row>
        <row r="610">
          <cell r="A610" t="str">
            <v>В-11882/КЛ</v>
          </cell>
        </row>
        <row r="611">
          <cell r="A611" t="str">
            <v>В-09695/КЛ</v>
          </cell>
        </row>
        <row r="612">
          <cell r="A612" t="str">
            <v>В-12216/КЛ</v>
          </cell>
        </row>
        <row r="613">
          <cell r="A613" t="str">
            <v>В-13025/КЛ</v>
          </cell>
        </row>
        <row r="614">
          <cell r="A614" t="str">
            <v>В-02376/КЛ</v>
          </cell>
        </row>
        <row r="615">
          <cell r="A615" t="str">
            <v>В-10703/КЛ</v>
          </cell>
        </row>
        <row r="616">
          <cell r="A616" t="str">
            <v>В-03074/КЛ</v>
          </cell>
        </row>
        <row r="617">
          <cell r="A617" t="str">
            <v xml:space="preserve">Т-01869/АЗ </v>
          </cell>
        </row>
        <row r="618">
          <cell r="A618" t="str">
            <v>В-12614/КЛ</v>
          </cell>
        </row>
        <row r="619">
          <cell r="A619" t="str">
            <v>В-11713/КЛ</v>
          </cell>
        </row>
        <row r="620">
          <cell r="A620" t="str">
            <v>В-03811/КЛ</v>
          </cell>
        </row>
        <row r="621">
          <cell r="A621" t="str">
            <v>В-11603/КЛ</v>
          </cell>
        </row>
        <row r="622">
          <cell r="A622" t="str">
            <v>А-04848/АЗ</v>
          </cell>
        </row>
        <row r="623">
          <cell r="A623" t="str">
            <v>В-11162/КЛ</v>
          </cell>
        </row>
        <row r="624">
          <cell r="A624" t="str">
            <v>Т-01681/АЗ</v>
          </cell>
        </row>
        <row r="625">
          <cell r="A625" t="str">
            <v>А-03533/АЗ</v>
          </cell>
        </row>
        <row r="626">
          <cell r="A626" t="str">
            <v>В-12535/КЛ</v>
          </cell>
        </row>
        <row r="627">
          <cell r="A627" t="str">
            <v>В-08251/КЛ</v>
          </cell>
        </row>
        <row r="628">
          <cell r="A628" t="str">
            <v>В-09288/КЛ</v>
          </cell>
        </row>
        <row r="629">
          <cell r="A629" t="str">
            <v>В-09241/КЛ</v>
          </cell>
        </row>
        <row r="630">
          <cell r="A630" t="str">
            <v>В-03541/КЛ</v>
          </cell>
        </row>
        <row r="631">
          <cell r="A631" t="str">
            <v>Т-01875/АЗ</v>
          </cell>
        </row>
        <row r="632">
          <cell r="A632" t="str">
            <v>В-10010/КЭ</v>
          </cell>
        </row>
        <row r="633">
          <cell r="A633" t="str">
            <v>В-02641/КЛ</v>
          </cell>
        </row>
        <row r="634">
          <cell r="A634" t="str">
            <v>А-04955/АЗ</v>
          </cell>
        </row>
        <row r="635">
          <cell r="A635" t="str">
            <v>В-05135/КЛ</v>
          </cell>
        </row>
        <row r="636">
          <cell r="A636" t="str">
            <v>В-01875/КЛ</v>
          </cell>
        </row>
        <row r="637">
          <cell r="A637" t="str">
            <v>В-08629/КЛ</v>
          </cell>
        </row>
        <row r="638">
          <cell r="A638" t="str">
            <v>В-06852/КЛ</v>
          </cell>
        </row>
        <row r="639">
          <cell r="A639" t="str">
            <v>В-00839/КЛ</v>
          </cell>
        </row>
        <row r="640">
          <cell r="A640" t="str">
            <v>В-00317/АЗ</v>
          </cell>
        </row>
        <row r="641">
          <cell r="A641" t="str">
            <v>В-08416/КЛ</v>
          </cell>
        </row>
        <row r="642">
          <cell r="A642" t="str">
            <v>В-05187/КЛ</v>
          </cell>
        </row>
        <row r="643">
          <cell r="A643" t="str">
            <v>В-03869/КЛ</v>
          </cell>
        </row>
        <row r="644">
          <cell r="A644" t="str">
            <v>В-04620/КЛ</v>
          </cell>
        </row>
        <row r="645">
          <cell r="A645" t="str">
            <v>В-00568/АЗ</v>
          </cell>
        </row>
        <row r="646">
          <cell r="A646" t="str">
            <v>Т-01876/АЗ</v>
          </cell>
        </row>
        <row r="647">
          <cell r="A647" t="str">
            <v>В-06682/КЛ</v>
          </cell>
        </row>
        <row r="648">
          <cell r="A648" t="str">
            <v>В-00447/АЗ</v>
          </cell>
        </row>
        <row r="649">
          <cell r="A649" t="str">
            <v>В-09037/КЛ</v>
          </cell>
        </row>
        <row r="650">
          <cell r="A650" t="str">
            <v>Т-10003/КЭ</v>
          </cell>
        </row>
        <row r="651">
          <cell r="A651" t="str">
            <v>В-06955/КЛ</v>
          </cell>
        </row>
        <row r="652">
          <cell r="A652" t="str">
            <v>В-01388/КЛ</v>
          </cell>
        </row>
        <row r="653">
          <cell r="A653" t="str">
            <v>В-00540/КЛ</v>
          </cell>
        </row>
        <row r="654">
          <cell r="A654" t="str">
            <v>В-09805/КЛ</v>
          </cell>
        </row>
        <row r="655">
          <cell r="A655" t="str">
            <v>В-03473/КЛ</v>
          </cell>
        </row>
        <row r="656">
          <cell r="A656" t="str">
            <v>В-09625/КЛ</v>
          </cell>
        </row>
        <row r="657">
          <cell r="A657" t="str">
            <v>А-04827/АЗ</v>
          </cell>
        </row>
        <row r="658">
          <cell r="A658" t="str">
            <v>В-00790/АЗ</v>
          </cell>
        </row>
        <row r="659">
          <cell r="A659" t="str">
            <v>В-00923/АЗ</v>
          </cell>
        </row>
        <row r="660">
          <cell r="A660" t="str">
            <v>В-00858/АЗ</v>
          </cell>
        </row>
        <row r="661">
          <cell r="A661" t="str">
            <v>В-03039/КЛ</v>
          </cell>
        </row>
        <row r="662">
          <cell r="A662" t="str">
            <v>А-05370/АЗ</v>
          </cell>
        </row>
        <row r="663">
          <cell r="A663" t="str">
            <v>В-00730/АЗ</v>
          </cell>
        </row>
        <row r="664">
          <cell r="A664" t="str">
            <v>В-07444/КЛ</v>
          </cell>
        </row>
        <row r="665">
          <cell r="A665" t="str">
            <v>В-00817/АЗ</v>
          </cell>
        </row>
        <row r="666">
          <cell r="A666" t="str">
            <v>А-05439/АЗ</v>
          </cell>
        </row>
        <row r="667">
          <cell r="A667" t="str">
            <v>Т-01850/АЗ</v>
          </cell>
        </row>
        <row r="668">
          <cell r="A668" t="str">
            <v>Т-01497/АЗ</v>
          </cell>
        </row>
        <row r="669">
          <cell r="A669" t="str">
            <v>А-03947/АЗ</v>
          </cell>
        </row>
        <row r="670">
          <cell r="A670" t="str">
            <v>В-01552/КЛ</v>
          </cell>
        </row>
        <row r="671">
          <cell r="A671" t="str">
            <v>А-05105/АЗ</v>
          </cell>
        </row>
        <row r="672">
          <cell r="A672" t="str">
            <v>Т-01866/АЗ</v>
          </cell>
        </row>
        <row r="673">
          <cell r="A673" t="str">
            <v>В-09250/КЛ</v>
          </cell>
        </row>
        <row r="674">
          <cell r="A674" t="str">
            <v>В-01020/АЗ</v>
          </cell>
        </row>
        <row r="675">
          <cell r="A675" t="str">
            <v>В-04162/КЛ</v>
          </cell>
        </row>
        <row r="676">
          <cell r="A676" t="str">
            <v>А-00466/КЭ</v>
          </cell>
        </row>
        <row r="677">
          <cell r="A677" t="str">
            <v>А-00418/КЭ</v>
          </cell>
        </row>
        <row r="678">
          <cell r="A678" t="str">
            <v>В-07632/КЛ</v>
          </cell>
        </row>
        <row r="679">
          <cell r="A679" t="str">
            <v>В-03631/КЛ</v>
          </cell>
        </row>
        <row r="680">
          <cell r="A680" t="str">
            <v>В-07328/КЛ</v>
          </cell>
        </row>
        <row r="681">
          <cell r="A681" t="str">
            <v>А-05447/АЗ</v>
          </cell>
        </row>
        <row r="682">
          <cell r="A682" t="str">
            <v>В-00885/АЗ</v>
          </cell>
        </row>
        <row r="683">
          <cell r="A683" t="str">
            <v>В-00321/АЗ</v>
          </cell>
        </row>
        <row r="684">
          <cell r="A684" t="str">
            <v>В-05772/КЛ</v>
          </cell>
        </row>
        <row r="685">
          <cell r="A685" t="str">
            <v xml:space="preserve">В-00982/АЗ </v>
          </cell>
        </row>
        <row r="686">
          <cell r="A686" t="str">
            <v>В-01482/КЛ</v>
          </cell>
        </row>
        <row r="687">
          <cell r="A687" t="str">
            <v>В-03383/КЛ</v>
          </cell>
        </row>
        <row r="688">
          <cell r="A688" t="str">
            <v>В-02402/КЛ</v>
          </cell>
        </row>
        <row r="689">
          <cell r="A689" t="str">
            <v>В-07706/КЛ</v>
          </cell>
        </row>
        <row r="690">
          <cell r="A690" t="str">
            <v>Т-01747/АЗ</v>
          </cell>
        </row>
        <row r="691">
          <cell r="A691" t="str">
            <v>А-05164/АЗ</v>
          </cell>
        </row>
        <row r="692">
          <cell r="A692" t="str">
            <v>В-03071/КЛ</v>
          </cell>
        </row>
        <row r="693">
          <cell r="A693" t="str">
            <v>А-00395/КЭ</v>
          </cell>
        </row>
        <row r="694">
          <cell r="A694" t="str">
            <v>В-00051/КЛ</v>
          </cell>
        </row>
        <row r="695">
          <cell r="A695" t="str">
            <v>В-00365/АЗ</v>
          </cell>
        </row>
        <row r="696">
          <cell r="A696" t="str">
            <v>В-00079/КЛ</v>
          </cell>
        </row>
        <row r="697">
          <cell r="A697" t="str">
            <v>В-00324/АЗ</v>
          </cell>
        </row>
        <row r="698">
          <cell r="A698" t="str">
            <v>В-01086/КЛ</v>
          </cell>
        </row>
        <row r="699">
          <cell r="A699" t="str">
            <v>В-00088/АЗ</v>
          </cell>
        </row>
        <row r="700">
          <cell r="A700" t="str">
            <v>В-01417/КЛ</v>
          </cell>
        </row>
        <row r="701">
          <cell r="A701" t="str">
            <v>А-04614/АЗ</v>
          </cell>
        </row>
        <row r="702">
          <cell r="A702" t="str">
            <v>В-04809/КЛ</v>
          </cell>
        </row>
        <row r="703">
          <cell r="A703" t="str">
            <v>В-00003/КЭ</v>
          </cell>
        </row>
        <row r="704">
          <cell r="A704" t="str">
            <v>Т-01752/АЗ</v>
          </cell>
        </row>
        <row r="705">
          <cell r="A705" t="str">
            <v>А-05182/АЗ</v>
          </cell>
        </row>
        <row r="706">
          <cell r="A706" t="str">
            <v>Т-00001/КЭ</v>
          </cell>
        </row>
        <row r="707">
          <cell r="A707" t="str">
            <v>В-08204/КЛ</v>
          </cell>
        </row>
        <row r="708">
          <cell r="A708" t="str">
            <v>В-01174/КЛ</v>
          </cell>
        </row>
        <row r="709">
          <cell r="A709" t="str">
            <v>В-00872/АЗ</v>
          </cell>
        </row>
        <row r="710">
          <cell r="A710" t="str">
            <v>В-00866/АЗ</v>
          </cell>
        </row>
        <row r="711">
          <cell r="A711" t="str">
            <v>В-00449/КЛ</v>
          </cell>
        </row>
        <row r="712">
          <cell r="A712" t="str">
            <v>В-00438/КЛ</v>
          </cell>
        </row>
        <row r="713">
          <cell r="A713" t="str">
            <v>В-03907/КЛ</v>
          </cell>
        </row>
        <row r="714">
          <cell r="A714" t="str">
            <v>В-00425/КЛ</v>
          </cell>
        </row>
        <row r="715">
          <cell r="A715" t="str">
            <v>Т-01865/АЗ</v>
          </cell>
        </row>
        <row r="716">
          <cell r="A716" t="str">
            <v>В-02644/КЛ</v>
          </cell>
        </row>
        <row r="717">
          <cell r="A717" t="str">
            <v>Т-01862/АЗ</v>
          </cell>
        </row>
        <row r="718">
          <cell r="A718" t="str">
            <v>В-00899/АЗ</v>
          </cell>
        </row>
        <row r="719">
          <cell r="A719" t="str">
            <v>В-00824/АЗ</v>
          </cell>
        </row>
        <row r="720">
          <cell r="A720" t="str">
            <v>А-00053/БЭ</v>
          </cell>
        </row>
        <row r="721">
          <cell r="A721" t="str">
            <v>А-04119/АЗ</v>
          </cell>
        </row>
        <row r="722">
          <cell r="A722" t="str">
            <v>А-04328/АЗ</v>
          </cell>
        </row>
        <row r="723">
          <cell r="A723" t="str">
            <v>Т-00030/БЭ</v>
          </cell>
        </row>
        <row r="724">
          <cell r="A724" t="str">
            <v>А-00051/БЭ</v>
          </cell>
        </row>
        <row r="725">
          <cell r="A725" t="str">
            <v>В-00788/АЗ</v>
          </cell>
        </row>
        <row r="726">
          <cell r="A726" t="str">
            <v>А-03565/АЗ</v>
          </cell>
        </row>
        <row r="727">
          <cell r="A727" t="str">
            <v>Т-01404/АЗ</v>
          </cell>
        </row>
        <row r="728">
          <cell r="A728" t="str">
            <v>В-00883/АЗ</v>
          </cell>
        </row>
        <row r="729">
          <cell r="A729" t="str">
            <v>В-02944/КЛ</v>
          </cell>
        </row>
        <row r="730">
          <cell r="A730" t="str">
            <v>В-01072/КЛ</v>
          </cell>
        </row>
        <row r="731">
          <cell r="A731" t="str">
            <v>В-03615/КЛ</v>
          </cell>
        </row>
        <row r="732">
          <cell r="A732" t="str">
            <v xml:space="preserve">А-00386/КЭ </v>
          </cell>
        </row>
        <row r="733">
          <cell r="A733" t="str">
            <v>В-01526/КЛ</v>
          </cell>
        </row>
        <row r="734">
          <cell r="A734" t="str">
            <v>В-00932/АЗ</v>
          </cell>
        </row>
        <row r="735">
          <cell r="A735" t="str">
            <v xml:space="preserve">В-00608/АЗ </v>
          </cell>
        </row>
        <row r="736">
          <cell r="A736" t="str">
            <v xml:space="preserve">Т-01722/АЗ </v>
          </cell>
        </row>
        <row r="737">
          <cell r="A737" t="str">
            <v>В-02026/КЛ</v>
          </cell>
        </row>
        <row r="738">
          <cell r="A738" t="str">
            <v>В-03672/КЛ</v>
          </cell>
        </row>
        <row r="739">
          <cell r="A739" t="str">
            <v>Т-01797/АЗ</v>
          </cell>
        </row>
        <row r="740">
          <cell r="A740" t="str">
            <v>А-05332/АЗ</v>
          </cell>
        </row>
        <row r="741">
          <cell r="A741" t="str">
            <v>В-01422/КЛ</v>
          </cell>
        </row>
        <row r="742">
          <cell r="A742" t="str">
            <v>В-00478/КЛ</v>
          </cell>
        </row>
        <row r="743">
          <cell r="A743" t="str">
            <v>В-00256/КЛ</v>
          </cell>
        </row>
        <row r="744">
          <cell r="A744" t="str">
            <v>В-00603/КЛ</v>
          </cell>
        </row>
        <row r="745">
          <cell r="A745" t="str">
            <v>Т-01798/АЗ</v>
          </cell>
        </row>
        <row r="746">
          <cell r="A746" t="str">
            <v>А-05334/АЗ</v>
          </cell>
        </row>
        <row r="747">
          <cell r="A747" t="str">
            <v>В-08042/КЛ</v>
          </cell>
        </row>
        <row r="748">
          <cell r="A748" t="str">
            <v>В-07240/КЛ</v>
          </cell>
        </row>
        <row r="749">
          <cell r="A749" t="str">
            <v>В-05290/КЛ</v>
          </cell>
        </row>
        <row r="750">
          <cell r="A750" t="str">
            <v>В-00662/АЗ</v>
          </cell>
        </row>
        <row r="751">
          <cell r="A751" t="str">
            <v>В-03277/КЛ</v>
          </cell>
        </row>
        <row r="752">
          <cell r="A752" t="str">
            <v>В-00774/АЗ</v>
          </cell>
        </row>
        <row r="753">
          <cell r="A753" t="str">
            <v>В-00673/АЗ</v>
          </cell>
        </row>
        <row r="754">
          <cell r="A754" t="str">
            <v>Т-01809/АЗ</v>
          </cell>
        </row>
        <row r="755">
          <cell r="A755" t="str">
            <v>В-03114/КЛ</v>
          </cell>
        </row>
        <row r="756">
          <cell r="A756" t="str">
            <v>В-00593/АЗ</v>
          </cell>
        </row>
        <row r="757">
          <cell r="A757" t="str">
            <v>А-05009/АЗ</v>
          </cell>
        </row>
        <row r="758">
          <cell r="A758" t="str">
            <v>А-00328/КЭ</v>
          </cell>
        </row>
        <row r="759">
          <cell r="A759" t="str">
            <v>В-00183/КЛ</v>
          </cell>
        </row>
        <row r="760">
          <cell r="A760" t="str">
            <v>В-03846/КЛ</v>
          </cell>
        </row>
        <row r="761">
          <cell r="A761" t="str">
            <v>А-05166/АЗ</v>
          </cell>
        </row>
        <row r="762">
          <cell r="A762" t="str">
            <v>В-00573/АЗ</v>
          </cell>
        </row>
        <row r="763">
          <cell r="A763" t="str">
            <v>А-10099/КЭ</v>
          </cell>
        </row>
        <row r="764">
          <cell r="A764" t="str">
            <v>А-10098/КЭ</v>
          </cell>
        </row>
        <row r="765">
          <cell r="A765" t="str">
            <v>В-01642/КЛ</v>
          </cell>
        </row>
        <row r="766">
          <cell r="A766" t="str">
            <v>В-01035/КЛ</v>
          </cell>
        </row>
        <row r="767">
          <cell r="A767" t="str">
            <v>А-04171/АЗ</v>
          </cell>
        </row>
        <row r="768">
          <cell r="A768" t="str">
            <v>Т-01841/АЗ_Т-20200626/Ц</v>
          </cell>
        </row>
        <row r="769">
          <cell r="A769" t="str">
            <v>В-00884/КЛ</v>
          </cell>
        </row>
        <row r="770">
          <cell r="A770" t="str">
            <v>В-00762/АЗ</v>
          </cell>
        </row>
        <row r="771">
          <cell r="A771" t="str">
            <v>В-00581/АЗ</v>
          </cell>
        </row>
        <row r="772">
          <cell r="A772" t="str">
            <v>В-03129/КЛ</v>
          </cell>
        </row>
        <row r="773">
          <cell r="A773" t="str">
            <v>В-01987/КЛ</v>
          </cell>
        </row>
        <row r="774">
          <cell r="A774" t="str">
            <v>В-00565/АЗ</v>
          </cell>
        </row>
        <row r="775">
          <cell r="A775" t="str">
            <v>В-00547/АЗ</v>
          </cell>
        </row>
        <row r="776">
          <cell r="A776" t="str">
            <v>В-02186/КЛ</v>
          </cell>
        </row>
        <row r="777">
          <cell r="A777" t="str">
            <v>Т-01612/АЗ</v>
          </cell>
        </row>
        <row r="778">
          <cell r="A778" t="str">
            <v>А-04501/АЗ</v>
          </cell>
        </row>
        <row r="779">
          <cell r="A779" t="str">
            <v>В-00648/АЗ</v>
          </cell>
        </row>
        <row r="780">
          <cell r="A780" t="str">
            <v>В-01227/КЛ</v>
          </cell>
        </row>
        <row r="781">
          <cell r="A781" t="str">
            <v>В-00927/АЗ</v>
          </cell>
        </row>
        <row r="782">
          <cell r="A782" t="str">
            <v>В-00614/АЗ</v>
          </cell>
        </row>
        <row r="783">
          <cell r="A783" t="str">
            <v>В-00911/АЗ</v>
          </cell>
        </row>
        <row r="784">
          <cell r="A784" t="str">
            <v>А-00403/КЭ</v>
          </cell>
        </row>
        <row r="785">
          <cell r="A785" t="str">
            <v>А-00343/КЭ</v>
          </cell>
        </row>
        <row r="786">
          <cell r="A786" t="str">
            <v>В-00557/АЗ</v>
          </cell>
        </row>
        <row r="787">
          <cell r="A787" t="str">
            <v>Т-01631/АЗ</v>
          </cell>
        </row>
        <row r="788">
          <cell r="A788" t="str">
            <v>А-04628/АЗ</v>
          </cell>
        </row>
        <row r="789">
          <cell r="A789" t="str">
            <v>В-03463/КЛ</v>
          </cell>
        </row>
        <row r="790">
          <cell r="A790" t="str">
            <v>В-03741/КЛ</v>
          </cell>
        </row>
        <row r="791">
          <cell r="A791" t="str">
            <v>В-00819/АЗ</v>
          </cell>
        </row>
        <row r="792">
          <cell r="A792" t="str">
            <v>А-04793/АЗ</v>
          </cell>
        </row>
        <row r="793">
          <cell r="A793" t="str">
            <v>В-00840/АЗ</v>
          </cell>
        </row>
        <row r="794">
          <cell r="A794" t="str">
            <v>А-10092/КЭ</v>
          </cell>
        </row>
        <row r="795">
          <cell r="A795" t="str">
            <v>В-00710/АЗ</v>
          </cell>
        </row>
        <row r="796">
          <cell r="A796" t="str">
            <v>В-01319/КЛ</v>
          </cell>
        </row>
        <row r="797">
          <cell r="A797" t="str">
            <v>В-00635/АЗ</v>
          </cell>
        </row>
        <row r="798">
          <cell r="A798" t="str">
            <v>А-00429/КЭ</v>
          </cell>
        </row>
        <row r="799">
          <cell r="A799" t="str">
            <v>В-03749/КЛ</v>
          </cell>
        </row>
        <row r="800">
          <cell r="A800" t="str">
            <v>В-03155/КЛ</v>
          </cell>
        </row>
        <row r="801">
          <cell r="A801" t="str">
            <v>В-01428/КЛ</v>
          </cell>
        </row>
        <row r="802">
          <cell r="A802" t="str">
            <v>В-00553/АЗ</v>
          </cell>
        </row>
        <row r="803">
          <cell r="A803" t="str">
            <v>В-00847/АЗ</v>
          </cell>
        </row>
        <row r="804">
          <cell r="A804" t="str">
            <v>В-00610/АЗ</v>
          </cell>
        </row>
        <row r="805">
          <cell r="A805" t="str">
            <v>В-03738/КЛ</v>
          </cell>
        </row>
        <row r="806">
          <cell r="A806" t="str">
            <v>В-00046/АЗ</v>
          </cell>
        </row>
        <row r="807">
          <cell r="A807" t="str">
            <v>В-02105/КЛ</v>
          </cell>
        </row>
        <row r="808">
          <cell r="A808" t="str">
            <v>В-03543/КЛ</v>
          </cell>
        </row>
        <row r="809">
          <cell r="A809" t="str">
            <v>В-00254/АЗ</v>
          </cell>
        </row>
        <row r="810">
          <cell r="A810" t="str">
            <v>В-04357/КЛ</v>
          </cell>
        </row>
        <row r="811">
          <cell r="A811" t="str">
            <v>В-02500/КЛ</v>
          </cell>
        </row>
        <row r="812">
          <cell r="A812" t="str">
            <v>В-00219/АЗ</v>
          </cell>
        </row>
        <row r="813">
          <cell r="A813" t="str">
            <v>В-00291/АЗ</v>
          </cell>
        </row>
        <row r="814">
          <cell r="A814" t="str">
            <v>В-00726/АЗ</v>
          </cell>
        </row>
        <row r="815">
          <cell r="A815" t="str">
            <v>В-04159/КЛ</v>
          </cell>
        </row>
        <row r="816">
          <cell r="A816" t="str">
            <v>А-00366/КЭ</v>
          </cell>
        </row>
        <row r="817">
          <cell r="A817" t="str">
            <v>А-00327/КЭ</v>
          </cell>
        </row>
        <row r="818">
          <cell r="A818" t="str">
            <v>А-04751/АЗ</v>
          </cell>
        </row>
        <row r="819">
          <cell r="A819" t="str">
            <v>В-03414/КЛ</v>
          </cell>
        </row>
        <row r="820">
          <cell r="A820" t="str">
            <v>В-00272/АЗ</v>
          </cell>
        </row>
        <row r="821">
          <cell r="A821" t="str">
            <v>В-00507/АЗ</v>
          </cell>
        </row>
        <row r="822">
          <cell r="A822" t="str">
            <v>В-03858/КЛ</v>
          </cell>
        </row>
        <row r="823">
          <cell r="A823" t="str">
            <v>В-03960/КЛ</v>
          </cell>
        </row>
        <row r="824">
          <cell r="A824" t="str">
            <v>В-00237/АЗ</v>
          </cell>
        </row>
        <row r="825">
          <cell r="A825" t="str">
            <v>В-03465/КЛ</v>
          </cell>
        </row>
        <row r="826">
          <cell r="A826" t="str">
            <v>В-00566/АЗ</v>
          </cell>
        </row>
        <row r="827">
          <cell r="A827" t="str">
            <v>В-00683/КЛ</v>
          </cell>
        </row>
        <row r="828">
          <cell r="A828" t="str">
            <v>А-10026/БЭ</v>
          </cell>
        </row>
        <row r="829">
          <cell r="A829" t="str">
            <v>В-03758/КЛ</v>
          </cell>
        </row>
        <row r="830">
          <cell r="A830" t="str">
            <v>В-03899/КЛ</v>
          </cell>
        </row>
        <row r="831">
          <cell r="A831" t="str">
            <v>В-00887/АЗ</v>
          </cell>
        </row>
        <row r="832">
          <cell r="A832" t="str">
            <v>В-00835/АЗ</v>
          </cell>
        </row>
        <row r="833">
          <cell r="A833" t="str">
            <v>В-00833/АЗ</v>
          </cell>
        </row>
        <row r="834">
          <cell r="A834" t="str">
            <v>В-00832/АЗ</v>
          </cell>
        </row>
        <row r="835">
          <cell r="A835" t="str">
            <v>В-03686/КЛ</v>
          </cell>
        </row>
        <row r="836">
          <cell r="A836" t="str">
            <v>В-00836/АЗ</v>
          </cell>
        </row>
        <row r="837">
          <cell r="A837" t="str">
            <v>В-00338/АЗ</v>
          </cell>
        </row>
        <row r="838">
          <cell r="A838" t="str">
            <v>В-03413/КЛ</v>
          </cell>
        </row>
        <row r="839">
          <cell r="A839" t="str">
            <v>В-01345/КЛ</v>
          </cell>
        </row>
        <row r="840">
          <cell r="A840" t="str">
            <v>В-00766/АЗ</v>
          </cell>
        </row>
        <row r="841">
          <cell r="A841" t="str">
            <v>А-05291/АЗ</v>
          </cell>
        </row>
        <row r="842">
          <cell r="A842" t="str">
            <v>Т-01847/АЗ</v>
          </cell>
        </row>
        <row r="843">
          <cell r="A843" t="str">
            <v>В-01220/КЛ</v>
          </cell>
        </row>
        <row r="844">
          <cell r="A844" t="str">
            <v>В-00789/АЗ</v>
          </cell>
        </row>
        <row r="845">
          <cell r="A845" t="str">
            <v>А-05431/АЗ</v>
          </cell>
        </row>
        <row r="846">
          <cell r="A846" t="str">
            <v>В-01911/КЛ</v>
          </cell>
        </row>
        <row r="847">
          <cell r="A847" t="str">
            <v>В-00407/АЗ</v>
          </cell>
        </row>
        <row r="848">
          <cell r="A848" t="str">
            <v>В-00690/АЗ</v>
          </cell>
        </row>
        <row r="849">
          <cell r="A849" t="str">
            <v>В-00693/АЗ</v>
          </cell>
        </row>
        <row r="850">
          <cell r="A850" t="str">
            <v>В-00302/КЛ</v>
          </cell>
        </row>
        <row r="851">
          <cell r="A851" t="str">
            <v>А-10066/КЭ</v>
          </cell>
        </row>
        <row r="852">
          <cell r="A852" t="str">
            <v>В-00538/АЗ</v>
          </cell>
        </row>
        <row r="853">
          <cell r="A853" t="str">
            <v>А-04413/АЗ</v>
          </cell>
        </row>
        <row r="854">
          <cell r="A854" t="str">
            <v>Т-01677/АЗ</v>
          </cell>
        </row>
        <row r="855">
          <cell r="A855" t="str">
            <v>Т-01843/АЗ</v>
          </cell>
        </row>
        <row r="856">
          <cell r="A856" t="str">
            <v>А-04356/АЗ</v>
          </cell>
        </row>
        <row r="857">
          <cell r="A857" t="str">
            <v>А-05421/АЗ</v>
          </cell>
        </row>
        <row r="858">
          <cell r="A858" t="str">
            <v>В-00702/АЗ</v>
          </cell>
        </row>
        <row r="859">
          <cell r="A859" t="str">
            <v>А-05088/АЗ</v>
          </cell>
        </row>
        <row r="860">
          <cell r="A860" t="str">
            <v>В-00118/КЛ</v>
          </cell>
        </row>
        <row r="861">
          <cell r="A861" t="str">
            <v>А-30005/КЭ</v>
          </cell>
        </row>
        <row r="862">
          <cell r="A862" t="str">
            <v>В-00865/АЗ</v>
          </cell>
        </row>
        <row r="863">
          <cell r="A863" t="str">
            <v>В-00575/АЗ</v>
          </cell>
        </row>
        <row r="864">
          <cell r="A864" t="str">
            <v>В-03206/КЛ</v>
          </cell>
        </row>
        <row r="865">
          <cell r="A865" t="str">
            <v>В-00818/АЗ</v>
          </cell>
        </row>
        <row r="866">
          <cell r="A866" t="str">
            <v>А-10045/КЭ</v>
          </cell>
        </row>
        <row r="867">
          <cell r="A867" t="str">
            <v>В-01509/КЛ</v>
          </cell>
        </row>
        <row r="868">
          <cell r="A868" t="str">
            <v>В-00706/АЗ</v>
          </cell>
        </row>
        <row r="869">
          <cell r="A869" t="str">
            <v>В-00609/АЗ</v>
          </cell>
        </row>
        <row r="870">
          <cell r="A870" t="str">
            <v>А-05411/АЗ</v>
          </cell>
        </row>
        <row r="871">
          <cell r="A871" t="str">
            <v>А-04223/АЗ</v>
          </cell>
        </row>
        <row r="872">
          <cell r="A872" t="str">
            <v>В-02255/КЛ</v>
          </cell>
        </row>
        <row r="873">
          <cell r="A873" t="str">
            <v>В-01713/КЛ</v>
          </cell>
        </row>
        <row r="874">
          <cell r="A874" t="str">
            <v>В-01562/КЛ</v>
          </cell>
        </row>
        <row r="875">
          <cell r="A875" t="str">
            <v>В-00249/АЗ</v>
          </cell>
        </row>
        <row r="876">
          <cell r="A876" t="str">
            <v>В-01768/КЛ</v>
          </cell>
        </row>
        <row r="877">
          <cell r="A877" t="str">
            <v>В-01925/КЛ</v>
          </cell>
        </row>
        <row r="878">
          <cell r="A878" t="str">
            <v>В-01528/КЛ</v>
          </cell>
        </row>
        <row r="879">
          <cell r="A879" t="str">
            <v>А-10102/КЭ</v>
          </cell>
        </row>
        <row r="880">
          <cell r="A880" t="str">
            <v>А-05193/АЗ</v>
          </cell>
        </row>
        <row r="881">
          <cell r="A881" t="str">
            <v>В-00598/АЗ</v>
          </cell>
        </row>
        <row r="882">
          <cell r="A882" t="str">
            <v>В-01710/КЛ</v>
          </cell>
        </row>
        <row r="883">
          <cell r="A883" t="str">
            <v>В-00660/АЗ</v>
          </cell>
        </row>
        <row r="884">
          <cell r="A884" t="str">
            <v>А-00058/БЭ</v>
          </cell>
        </row>
        <row r="885">
          <cell r="A885" t="str">
            <v>В-00399/АЗ</v>
          </cell>
        </row>
        <row r="886">
          <cell r="A886" t="str">
            <v>В-00489/КЛ</v>
          </cell>
        </row>
        <row r="887">
          <cell r="A887" t="str">
            <v>А-00049/БЭ</v>
          </cell>
        </row>
        <row r="888">
          <cell r="A888" t="str">
            <v>В-01175/КЛ</v>
          </cell>
        </row>
        <row r="889">
          <cell r="A889" t="str">
            <v>А-00435/КЭ</v>
          </cell>
        </row>
        <row r="890">
          <cell r="A890" t="str">
            <v>А-04670/АЗ</v>
          </cell>
        </row>
        <row r="891">
          <cell r="A891" t="str">
            <v>В-00678/КЛ</v>
          </cell>
        </row>
        <row r="892">
          <cell r="A892" t="str">
            <v>А-05132/АЗ</v>
          </cell>
        </row>
        <row r="893">
          <cell r="A893" t="str">
            <v>В-00820/АЗ</v>
          </cell>
        </row>
        <row r="894">
          <cell r="A894" t="str">
            <v>В-00823/АЗ</v>
          </cell>
        </row>
        <row r="895">
          <cell r="A895" t="str">
            <v>В-00559/АЗ</v>
          </cell>
        </row>
        <row r="896">
          <cell r="A896" t="str">
            <v>А-05372/АЗ</v>
          </cell>
        </row>
        <row r="897">
          <cell r="A897" t="str">
            <v>А-05305/АЗ</v>
          </cell>
        </row>
        <row r="898">
          <cell r="A898" t="str">
            <v>В-02110/КЛ</v>
          </cell>
        </row>
        <row r="899">
          <cell r="A899" t="str">
            <v>А-00255/КЭ</v>
          </cell>
        </row>
        <row r="900">
          <cell r="A900" t="str">
            <v>В-00233/КЛ</v>
          </cell>
        </row>
        <row r="901">
          <cell r="A901" t="str">
            <v>В-00085/АЗ</v>
          </cell>
        </row>
        <row r="902">
          <cell r="A902" t="str">
            <v>А-00433/КЭ</v>
          </cell>
        </row>
        <row r="903">
          <cell r="A903" t="str">
            <v>В-00727/АЗ</v>
          </cell>
        </row>
        <row r="904">
          <cell r="A904" t="str">
            <v>В-00562/АЗ</v>
          </cell>
        </row>
        <row r="905">
          <cell r="A905" t="str">
            <v>А-05435/АЗ</v>
          </cell>
        </row>
        <row r="906">
          <cell r="A906" t="str">
            <v>Т-01790/АЗ</v>
          </cell>
        </row>
        <row r="907">
          <cell r="A907" t="str">
            <v>Каверин Владимир Геннадьевич</v>
          </cell>
        </row>
        <row r="908">
          <cell r="A908" t="str">
            <v>А-05231/АЗ</v>
          </cell>
        </row>
        <row r="909">
          <cell r="A909" t="str">
            <v>В-00948/КЛ</v>
          </cell>
        </row>
        <row r="910">
          <cell r="A910" t="str">
            <v>В-00233/АЗ</v>
          </cell>
        </row>
        <row r="911">
          <cell r="A911" t="str">
            <v>В-01375/КЛ</v>
          </cell>
        </row>
        <row r="912">
          <cell r="A912" t="str">
            <v>В-00586/АЗ</v>
          </cell>
        </row>
        <row r="913">
          <cell r="A913" t="str">
            <v>В-01448/КЛ</v>
          </cell>
        </row>
        <row r="914">
          <cell r="A914" t="str">
            <v>А-00347/КЭ</v>
          </cell>
        </row>
        <row r="915">
          <cell r="A915" t="str">
            <v>А-05157/АЗ</v>
          </cell>
        </row>
        <row r="916">
          <cell r="A916" t="str">
            <v>В-00838/АЗ</v>
          </cell>
        </row>
        <row r="917">
          <cell r="A917" t="str">
            <v>В-00837/АЗ</v>
          </cell>
        </row>
        <row r="918">
          <cell r="A918" t="str">
            <v>В-00522/АЗ</v>
          </cell>
        </row>
        <row r="919">
          <cell r="A919" t="str">
            <v>В-01371/КЛ</v>
          </cell>
        </row>
        <row r="920">
          <cell r="A920" t="str">
            <v>Т-01670/АЗ</v>
          </cell>
        </row>
        <row r="921">
          <cell r="A921" t="str">
            <v>А-04787/АЗ</v>
          </cell>
        </row>
        <row r="922">
          <cell r="A922" t="str">
            <v>В-00038/АЗ</v>
          </cell>
        </row>
        <row r="923">
          <cell r="A923" t="str">
            <v>А-05101/АЗ</v>
          </cell>
        </row>
        <row r="924">
          <cell r="A924" t="str">
            <v>В-00497/АЗ</v>
          </cell>
        </row>
        <row r="925">
          <cell r="A925" t="str">
            <v>А-10090/КЭ</v>
          </cell>
        </row>
        <row r="926">
          <cell r="A926" t="str">
            <v>А-05170/АЗ</v>
          </cell>
        </row>
        <row r="927">
          <cell r="A927" t="str">
            <v>В-00286/АЗ</v>
          </cell>
        </row>
        <row r="928">
          <cell r="A928" t="str">
            <v>А-05337/АЗ</v>
          </cell>
        </row>
        <row r="929">
          <cell r="A929" t="str">
            <v>В-00264/АЗ</v>
          </cell>
        </row>
        <row r="930">
          <cell r="A930" t="str">
            <v>В-00643/АЗ</v>
          </cell>
        </row>
        <row r="931">
          <cell r="A931" t="str">
            <v>В-00650/АЗ</v>
          </cell>
        </row>
        <row r="932">
          <cell r="A932" t="str">
            <v>В-01023/КЛ</v>
          </cell>
        </row>
        <row r="933">
          <cell r="A933" t="str">
            <v>В-00094/КЛ</v>
          </cell>
        </row>
        <row r="934">
          <cell r="A934" t="str">
            <v>В-01055/КЛ</v>
          </cell>
        </row>
        <row r="935">
          <cell r="A935" t="str">
            <v>В-00339/КЛ</v>
          </cell>
        </row>
        <row r="936">
          <cell r="A936" t="str">
            <v>В-00489/АЗ</v>
          </cell>
        </row>
        <row r="937">
          <cell r="A937" t="str">
            <v>В-00223/КЛ</v>
          </cell>
        </row>
        <row r="938">
          <cell r="A938" t="str">
            <v>В-00986/КЛ</v>
          </cell>
        </row>
        <row r="939">
          <cell r="A939" t="str">
            <v>В-00182/КЛ</v>
          </cell>
        </row>
        <row r="940">
          <cell r="A940" t="str">
            <v>А-05225/АЗ</v>
          </cell>
        </row>
        <row r="941">
          <cell r="A941" t="str">
            <v>В-00617/АЗ</v>
          </cell>
        </row>
        <row r="942">
          <cell r="A942" t="str">
            <v>А-03641/АЗ</v>
          </cell>
        </row>
        <row r="943">
          <cell r="A943" t="str">
            <v>В-00391/АЗ</v>
          </cell>
        </row>
        <row r="944">
          <cell r="A944" t="str">
            <v>А-00389/КЭ</v>
          </cell>
        </row>
        <row r="945">
          <cell r="A945" t="str">
            <v>А-00309/КЭ</v>
          </cell>
        </row>
        <row r="946">
          <cell r="A946" t="str">
            <v>А-00281/КЭ</v>
          </cell>
        </row>
        <row r="947">
          <cell r="A947" t="str">
            <v>А-05282/АЗ</v>
          </cell>
        </row>
        <row r="948">
          <cell r="A948" t="str">
            <v>В-00103/КЛ</v>
          </cell>
        </row>
        <row r="949">
          <cell r="A949" t="str">
            <v>А-04397/АЗ</v>
          </cell>
        </row>
        <row r="950">
          <cell r="A950" t="str">
            <v>В-00463/КЛ</v>
          </cell>
        </row>
        <row r="951">
          <cell r="A951" t="str">
            <v>В-00536/АЗ</v>
          </cell>
        </row>
        <row r="952">
          <cell r="A952" t="str">
            <v>В-00514/АЗ</v>
          </cell>
        </row>
        <row r="953">
          <cell r="A953" t="str">
            <v>А-05139/АЗ</v>
          </cell>
        </row>
        <row r="954">
          <cell r="A954" t="str">
            <v>А-00410/КЭ</v>
          </cell>
        </row>
        <row r="955">
          <cell r="A955" t="str">
            <v>В-00428/АЗ</v>
          </cell>
        </row>
        <row r="956">
          <cell r="A956" t="str">
            <v>В-00395/АЗ</v>
          </cell>
        </row>
        <row r="957">
          <cell r="A957" t="str">
            <v>А-04742/АЗ</v>
          </cell>
        </row>
        <row r="958">
          <cell r="A958" t="str">
            <v>А-05338/АЗ</v>
          </cell>
        </row>
        <row r="959">
          <cell r="A959" t="str">
            <v>В-00450/АЗ</v>
          </cell>
        </row>
        <row r="960">
          <cell r="A960" t="str">
            <v>В-00175/АЗ</v>
          </cell>
        </row>
        <row r="961">
          <cell r="A961" t="str">
            <v>В-00263/АЗ</v>
          </cell>
        </row>
        <row r="962">
          <cell r="A962" t="str">
            <v>В-00638/АЗ</v>
          </cell>
        </row>
        <row r="963">
          <cell r="A963" t="str">
            <v>В-00622/АЗ</v>
          </cell>
        </row>
        <row r="964">
          <cell r="A964" t="str">
            <v>А-10024/БЭ</v>
          </cell>
        </row>
        <row r="965">
          <cell r="A965" t="str">
            <v>В-00947/КЛ</v>
          </cell>
        </row>
        <row r="966">
          <cell r="A966" t="str">
            <v>А-05349/АЗ</v>
          </cell>
        </row>
        <row r="967">
          <cell r="A967" t="str">
            <v>В-00079/АЗ</v>
          </cell>
        </row>
        <row r="968">
          <cell r="A968" t="str">
            <v>В-00404/АЗ</v>
          </cell>
        </row>
        <row r="969">
          <cell r="A969" t="str">
            <v>А-05308/АЗ</v>
          </cell>
        </row>
        <row r="970">
          <cell r="A970" t="str">
            <v>В-00411/АЗ</v>
          </cell>
        </row>
        <row r="971">
          <cell r="A971" t="str">
            <v>В-00592/АЗ</v>
          </cell>
        </row>
        <row r="972">
          <cell r="A972" t="str">
            <v>В-00204/АЗ</v>
          </cell>
        </row>
        <row r="973">
          <cell r="A973" t="str">
            <v>В-00271/АЗ</v>
          </cell>
        </row>
        <row r="974">
          <cell r="A974" t="str">
            <v>В-00360/АЗ</v>
          </cell>
        </row>
        <row r="975">
          <cell r="A975" t="str">
            <v>А-04984/АЗ</v>
          </cell>
        </row>
        <row r="976">
          <cell r="A976" t="str">
            <v>Т-01705/АЗ</v>
          </cell>
        </row>
        <row r="977">
          <cell r="A977" t="str">
            <v>Т-01499/АЗ</v>
          </cell>
        </row>
        <row r="978">
          <cell r="A978" t="str">
            <v>А-03951/АЗ</v>
          </cell>
        </row>
        <row r="979">
          <cell r="A979" t="str">
            <v>В-00020/АЗ</v>
          </cell>
        </row>
        <row r="980">
          <cell r="A980" t="str">
            <v>А-04220/АЗ</v>
          </cell>
        </row>
        <row r="981">
          <cell r="A981" t="str">
            <v>В-00320/КЛ</v>
          </cell>
        </row>
        <row r="982">
          <cell r="A982" t="str">
            <v>А-05165/АЗ</v>
          </cell>
        </row>
        <row r="983">
          <cell r="A983" t="str">
            <v>И-00141/АЗ</v>
          </cell>
        </row>
        <row r="984">
          <cell r="A984" t="str">
            <v>А-30002/КЭ</v>
          </cell>
        </row>
        <row r="985">
          <cell r="A985" t="str">
            <v>А-10036/КЭ</v>
          </cell>
        </row>
        <row r="986">
          <cell r="A986" t="str">
            <v>А-05380/АЗ</v>
          </cell>
        </row>
        <row r="987">
          <cell r="A987" t="str">
            <v>Т-01820/АЗ</v>
          </cell>
        </row>
        <row r="988">
          <cell r="A988" t="str">
            <v>В-00457/АЗ</v>
          </cell>
        </row>
        <row r="989">
          <cell r="A989" t="str">
            <v>Т-01799/АЗ</v>
          </cell>
        </row>
        <row r="990">
          <cell r="A990" t="str">
            <v>В-00147/АЗ</v>
          </cell>
        </row>
        <row r="991">
          <cell r="A991" t="str">
            <v>А-05110/АЗ</v>
          </cell>
        </row>
        <row r="992">
          <cell r="A992" t="str">
            <v>А-04950/АЗ</v>
          </cell>
        </row>
        <row r="993">
          <cell r="A993" t="str">
            <v>А-05076/АЗ</v>
          </cell>
        </row>
        <row r="994">
          <cell r="A994" t="str">
            <v>В-00617/КЛ</v>
          </cell>
        </row>
        <row r="995">
          <cell r="A995" t="str">
            <v>В-00141/АЗ</v>
          </cell>
        </row>
        <row r="996">
          <cell r="A996" t="str">
            <v>В-00469/АЗ</v>
          </cell>
        </row>
        <row r="997">
          <cell r="A997" t="str">
            <v>В-00467/АЗ</v>
          </cell>
        </row>
        <row r="998">
          <cell r="A998" t="str">
            <v>В-00267/КЛ</v>
          </cell>
        </row>
        <row r="999">
          <cell r="A999" t="str">
            <v>В-00357/АЗ</v>
          </cell>
        </row>
        <row r="1000">
          <cell r="A1000" t="str">
            <v>Т-01774/АЗ</v>
          </cell>
        </row>
        <row r="1001">
          <cell r="A1001" t="str">
            <v>В-00398/АЗ</v>
          </cell>
        </row>
        <row r="1002">
          <cell r="A1002" t="str">
            <v>Т-01725/АЗ</v>
          </cell>
        </row>
        <row r="1003">
          <cell r="A1003" t="str">
            <v>А-05377/АЗ</v>
          </cell>
        </row>
        <row r="1004">
          <cell r="A1004" t="str">
            <v>В-00434/АЗ</v>
          </cell>
        </row>
        <row r="1005">
          <cell r="A1005" t="str">
            <v>А-04901/АЗ</v>
          </cell>
        </row>
        <row r="1006">
          <cell r="A1006" t="str">
            <v>А-05245/АЗ</v>
          </cell>
        </row>
        <row r="1007">
          <cell r="A1007" t="str">
            <v>В-00043/КЛ</v>
          </cell>
        </row>
        <row r="1008">
          <cell r="A1008" t="str">
            <v>В-00201/АЗ</v>
          </cell>
        </row>
        <row r="1009">
          <cell r="A1009" t="str">
            <v>А-04910/АЗ</v>
          </cell>
        </row>
        <row r="1010">
          <cell r="A1010" t="str">
            <v>А-10039/КЭ</v>
          </cell>
        </row>
        <row r="1011">
          <cell r="A1011" t="str">
            <v>А-00363/КЭ</v>
          </cell>
        </row>
        <row r="1012">
          <cell r="A1012" t="str">
            <v>А-05178/АЗ</v>
          </cell>
        </row>
        <row r="1013">
          <cell r="A1013" t="str">
            <v>Т-01750/АЗ</v>
          </cell>
        </row>
        <row r="1014">
          <cell r="A1014" t="str">
            <v>А-00375/КЭ</v>
          </cell>
        </row>
        <row r="1015">
          <cell r="A1015" t="str">
            <v>В-00763/КЛ</v>
          </cell>
        </row>
        <row r="1016">
          <cell r="A1016" t="str">
            <v>А-00257/КЭ</v>
          </cell>
        </row>
        <row r="1017">
          <cell r="A1017" t="str">
            <v>В-00275/АЗ</v>
          </cell>
        </row>
        <row r="1018">
          <cell r="A1018" t="str">
            <v>В-00326/АЗ</v>
          </cell>
        </row>
        <row r="1019">
          <cell r="A1019" t="str">
            <v>В-00169/АЗ</v>
          </cell>
        </row>
        <row r="1020">
          <cell r="A1020" t="str">
            <v>А-04018/АЗ</v>
          </cell>
        </row>
        <row r="1021">
          <cell r="A1021" t="str">
            <v>А-04641/АЗ</v>
          </cell>
        </row>
        <row r="1022">
          <cell r="A1022" t="str">
            <v>В-00135/АЗ</v>
          </cell>
        </row>
        <row r="1023">
          <cell r="A1023" t="str">
            <v>А-04404/АЗ</v>
          </cell>
        </row>
        <row r="1024">
          <cell r="A1024" t="str">
            <v>А-03870/АЗ</v>
          </cell>
        </row>
        <row r="1025">
          <cell r="A1025" t="str">
            <v>В-00039/АЗ</v>
          </cell>
        </row>
        <row r="1026">
          <cell r="A1026" t="str">
            <v>А-10032/КЭ</v>
          </cell>
        </row>
        <row r="1027">
          <cell r="A1027" t="str">
            <v>Т-01540/АЗ</v>
          </cell>
        </row>
        <row r="1028">
          <cell r="A1028" t="str">
            <v>А-04160/АЗ</v>
          </cell>
        </row>
        <row r="1029">
          <cell r="A1029" t="str">
            <v>В-00100/АЗ</v>
          </cell>
        </row>
        <row r="1030">
          <cell r="A1030" t="str">
            <v>В-00308/АЗ</v>
          </cell>
        </row>
        <row r="1031">
          <cell r="A1031" t="str">
            <v>А-04953/АЗ</v>
          </cell>
        </row>
        <row r="1032">
          <cell r="A1032" t="str">
            <v>А-00357/КЭ</v>
          </cell>
        </row>
        <row r="1033">
          <cell r="A1033" t="str">
            <v>В-00040/АЗ</v>
          </cell>
        </row>
        <row r="1034">
          <cell r="A1034" t="str">
            <v>Т-01646/АЗ</v>
          </cell>
        </row>
        <row r="1035">
          <cell r="A1035" t="str">
            <v>А-04684/АЗ</v>
          </cell>
        </row>
        <row r="1036">
          <cell r="A1036" t="str">
            <v>А-04958/АЗ</v>
          </cell>
        </row>
        <row r="1037">
          <cell r="A1037" t="str">
            <v>А-04914/АЗ</v>
          </cell>
        </row>
        <row r="1038">
          <cell r="A1038" t="str">
            <v>Т-01718/АЗ</v>
          </cell>
        </row>
        <row r="1039">
          <cell r="A1039" t="str">
            <v>А-04943/АЗ</v>
          </cell>
        </row>
        <row r="1040">
          <cell r="A1040" t="str">
            <v>Т-01706/АЗ</v>
          </cell>
        </row>
        <row r="1041">
          <cell r="A1041" t="str">
            <v>А-04674/АЗ</v>
          </cell>
        </row>
        <row r="1042">
          <cell r="A1042" t="str">
            <v>В-00041/АЗ</v>
          </cell>
        </row>
        <row r="1043">
          <cell r="A1043" t="str">
            <v>Т-01610/АЗ</v>
          </cell>
        </row>
        <row r="1044">
          <cell r="A1044" t="str">
            <v>А-04490/АЗ</v>
          </cell>
        </row>
        <row r="1045">
          <cell r="A1045" t="str">
            <v>В-00151/АЗ</v>
          </cell>
        </row>
        <row r="1046">
          <cell r="A1046" t="str">
            <v>В-00161/АЗ</v>
          </cell>
        </row>
        <row r="1047">
          <cell r="A1047" t="str">
            <v>А-05138/АЗ</v>
          </cell>
        </row>
        <row r="1048">
          <cell r="A1048" t="str">
            <v>А-05130/АЗ</v>
          </cell>
        </row>
        <row r="1049">
          <cell r="A1049" t="str">
            <v>В-00018/АЗ</v>
          </cell>
        </row>
        <row r="1050">
          <cell r="A1050" t="str">
            <v>А-10020/КЭ</v>
          </cell>
        </row>
        <row r="1051">
          <cell r="A1051" t="str">
            <v>В-00065/АЗ</v>
          </cell>
        </row>
        <row r="1052">
          <cell r="A1052" t="str">
            <v>И-00154/АЗ</v>
          </cell>
        </row>
        <row r="1053">
          <cell r="A1053" t="str">
            <v>В-00073/АЗ</v>
          </cell>
        </row>
        <row r="1054">
          <cell r="A1054" t="str">
            <v>А-10087/КЭ</v>
          </cell>
        </row>
        <row r="1055">
          <cell r="A1055" t="str">
            <v>А-05335/АЗ</v>
          </cell>
        </row>
        <row r="1056">
          <cell r="A1056" t="str">
            <v>В-00243/АЗ</v>
          </cell>
        </row>
        <row r="1057">
          <cell r="A1057" t="str">
            <v>А-05100/АЗ</v>
          </cell>
        </row>
        <row r="1058">
          <cell r="A1058" t="str">
            <v>А-05159/АЗ</v>
          </cell>
        </row>
        <row r="1059">
          <cell r="A1059" t="str">
            <v>А-05031/АЗ</v>
          </cell>
        </row>
        <row r="1060">
          <cell r="A1060" t="str">
            <v>А-04601/АЗ</v>
          </cell>
        </row>
        <row r="1061">
          <cell r="A1061" t="str">
            <v>В-00052/АЗ</v>
          </cell>
        </row>
        <row r="1062">
          <cell r="A1062" t="str">
            <v>А-03933/АЗ</v>
          </cell>
        </row>
        <row r="1063">
          <cell r="A1063" t="str">
            <v>А-04868/АЗ</v>
          </cell>
        </row>
        <row r="1064">
          <cell r="A1064" t="str">
            <v>А-04352/АЗ</v>
          </cell>
        </row>
        <row r="1065">
          <cell r="A1065" t="str">
            <v>А-05137/АЗ</v>
          </cell>
        </row>
        <row r="1066">
          <cell r="A1066" t="str">
            <v>А-04802/АЗ</v>
          </cell>
        </row>
        <row r="1067">
          <cell r="A1067" t="str">
            <v>Т-01805/АЗ</v>
          </cell>
        </row>
        <row r="1068">
          <cell r="A1068" t="str">
            <v>А-05346/АЗ</v>
          </cell>
        </row>
        <row r="1069">
          <cell r="A1069" t="str">
            <v>А-00268/КЭ</v>
          </cell>
        </row>
        <row r="1070">
          <cell r="A1070" t="str">
            <v>А-10063/КЭ</v>
          </cell>
        </row>
        <row r="1071">
          <cell r="A1071" t="str">
            <v>А-05123/АЗ</v>
          </cell>
        </row>
        <row r="1072">
          <cell r="A1072" t="str">
            <v>А-05230/АЗ</v>
          </cell>
        </row>
        <row r="1073">
          <cell r="A1073" t="str">
            <v>И-00163/АЗ</v>
          </cell>
        </row>
        <row r="1074">
          <cell r="A1074" t="str">
            <v>Т-01642/АЗ</v>
          </cell>
        </row>
        <row r="1075">
          <cell r="A1075" t="str">
            <v>А-04668/АЗ</v>
          </cell>
        </row>
        <row r="1076">
          <cell r="A1076" t="str">
            <v>А-05208/АЗ</v>
          </cell>
        </row>
        <row r="1077">
          <cell r="A1077" t="str">
            <v>Т-01758/АЗ</v>
          </cell>
        </row>
        <row r="1078">
          <cell r="A1078" t="str">
            <v>А-04925/АЗ</v>
          </cell>
        </row>
        <row r="1079">
          <cell r="A1079" t="str">
            <v>А-05074/АЗ</v>
          </cell>
        </row>
        <row r="1080">
          <cell r="A1080" t="str">
            <v>Т-01720/АЗ</v>
          </cell>
        </row>
        <row r="1081">
          <cell r="A1081" t="str">
            <v>Т-01524/АЗ</v>
          </cell>
        </row>
        <row r="1082">
          <cell r="A1082" t="str">
            <v>А-04089/АЗ</v>
          </cell>
        </row>
        <row r="1083">
          <cell r="A1083" t="str">
            <v>А-04323/АЗ</v>
          </cell>
        </row>
        <row r="1084">
          <cell r="A1084" t="str">
            <v>А-05195/АЗ</v>
          </cell>
        </row>
        <row r="1085">
          <cell r="A1085" t="str">
            <v>Т-01754/АЗ</v>
          </cell>
        </row>
        <row r="1086">
          <cell r="A1086" t="str">
            <v>А-04735/АЗ</v>
          </cell>
        </row>
        <row r="1087">
          <cell r="A1087" t="str">
            <v>И-00170/АЗ</v>
          </cell>
        </row>
        <row r="1088">
          <cell r="A1088" t="str">
            <v>А-05073/АЗ</v>
          </cell>
        </row>
        <row r="1089">
          <cell r="A1089" t="str">
            <v>А-04962/АЗ</v>
          </cell>
        </row>
        <row r="1090">
          <cell r="A1090" t="str">
            <v>А-04842/АЗ</v>
          </cell>
        </row>
        <row r="1091">
          <cell r="A1091" t="str">
            <v>А-05198/АЗ</v>
          </cell>
        </row>
        <row r="1092">
          <cell r="A1092" t="str">
            <v>А-04593/АЗ</v>
          </cell>
        </row>
        <row r="1093">
          <cell r="A1093" t="str">
            <v>А-10019/БЭ</v>
          </cell>
        </row>
        <row r="1094">
          <cell r="A1094" t="str">
            <v>А-00019/ИЗ</v>
          </cell>
        </row>
        <row r="1095">
          <cell r="A1095" t="str">
            <v>А-04818/АЗ</v>
          </cell>
        </row>
        <row r="1096">
          <cell r="A1096" t="str">
            <v>А-04193/АЗ</v>
          </cell>
        </row>
        <row r="1097">
          <cell r="A1097" t="str">
            <v>А-04805/АЗ</v>
          </cell>
        </row>
        <row r="1098">
          <cell r="A1098" t="str">
            <v>А-05087/АЗ</v>
          </cell>
        </row>
        <row r="1099">
          <cell r="A1099" t="str">
            <v>Т-01724/АЗ</v>
          </cell>
        </row>
        <row r="1100">
          <cell r="A1100" t="str">
            <v>А-04676/АЗ</v>
          </cell>
        </row>
        <row r="1101">
          <cell r="A1101" t="str">
            <v>Т-10005/БЭ</v>
          </cell>
        </row>
        <row r="1102">
          <cell r="A1102" t="str">
            <v>И-00097/АЗ</v>
          </cell>
        </row>
        <row r="1103">
          <cell r="A1103" t="str">
            <v>А-05048/АЗ</v>
          </cell>
        </row>
        <row r="1104">
          <cell r="A1104" t="str">
            <v>Т-01716/АЗ</v>
          </cell>
        </row>
        <row r="1105">
          <cell r="A1105" t="str">
            <v>А-05114/АЗ</v>
          </cell>
        </row>
        <row r="1106">
          <cell r="A1106" t="str">
            <v>А-04070/АЗ</v>
          </cell>
        </row>
        <row r="1107">
          <cell r="A1107" t="str">
            <v>А-04535/АЗ</v>
          </cell>
        </row>
        <row r="1108">
          <cell r="A1108" t="str">
            <v>Т-01707/АЗ</v>
          </cell>
        </row>
        <row r="1109">
          <cell r="A1109" t="str">
            <v>А-30001/КЭ</v>
          </cell>
        </row>
        <row r="1110">
          <cell r="A1110" t="str">
            <v>А-04237/АЗ</v>
          </cell>
        </row>
        <row r="1111">
          <cell r="A1111" t="str">
            <v>А-04329/АЗ</v>
          </cell>
        </row>
        <row r="1112">
          <cell r="A1112" t="str">
            <v>Т-01775/АЗ</v>
          </cell>
        </row>
        <row r="1113">
          <cell r="A1113" t="str">
            <v>А-05285/АЗ</v>
          </cell>
        </row>
        <row r="1114">
          <cell r="A1114" t="str">
            <v>А-00217/КЭ</v>
          </cell>
        </row>
        <row r="1115">
          <cell r="A1115" t="str">
            <v>Т-01672/АЗ</v>
          </cell>
        </row>
        <row r="1116">
          <cell r="A1116" t="str">
            <v>А-04027/АЗ</v>
          </cell>
        </row>
        <row r="1117">
          <cell r="A1117" t="str">
            <v>А-04829/АЗ</v>
          </cell>
        </row>
        <row r="1118">
          <cell r="A1118" t="str">
            <v>А-00346/КЭ</v>
          </cell>
        </row>
        <row r="1119">
          <cell r="A1119" t="str">
            <v>А-10050/КЭ</v>
          </cell>
        </row>
        <row r="1120">
          <cell r="A1120" t="str">
            <v>А-00229/КЭ</v>
          </cell>
        </row>
        <row r="1121">
          <cell r="A1121" t="str">
            <v>Т-01572/АЗ</v>
          </cell>
        </row>
        <row r="1122">
          <cell r="A1122" t="str">
            <v>Т-01571/АЗ</v>
          </cell>
        </row>
        <row r="1123">
          <cell r="A1123" t="str">
            <v>А-04281/АЗ</v>
          </cell>
        </row>
        <row r="1124">
          <cell r="A1124" t="str">
            <v>А-04282/АЗ</v>
          </cell>
        </row>
        <row r="1125">
          <cell r="A1125" t="str">
            <v>А-05006/АЗ</v>
          </cell>
        </row>
        <row r="1126">
          <cell r="A1126" t="str">
            <v>А-05160/АЗ</v>
          </cell>
        </row>
        <row r="1127">
          <cell r="A1127" t="str">
            <v>А-04815/АЗ</v>
          </cell>
        </row>
        <row r="1128">
          <cell r="A1128" t="str">
            <v>А-05030/АЗ</v>
          </cell>
        </row>
        <row r="1129">
          <cell r="A1129" t="str">
            <v>А-04701/АЗ</v>
          </cell>
        </row>
        <row r="1130">
          <cell r="A1130" t="str">
            <v>А-04499/АЗ</v>
          </cell>
        </row>
        <row r="1131">
          <cell r="A1131" t="str">
            <v>Т-01611/АЗ</v>
          </cell>
        </row>
        <row r="1132">
          <cell r="A1132" t="str">
            <v>А-04801/АЗ</v>
          </cell>
        </row>
        <row r="1133">
          <cell r="A1133" t="str">
            <v>А-10001/КЭ</v>
          </cell>
        </row>
        <row r="1134">
          <cell r="A1134" t="str">
            <v>А-00274/КЭ</v>
          </cell>
        </row>
        <row r="1135">
          <cell r="A1135" t="str">
            <v>А-04942/АЗ</v>
          </cell>
        </row>
        <row r="1136">
          <cell r="A1136" t="str">
            <v>А-04594/АЗ</v>
          </cell>
        </row>
        <row r="1137">
          <cell r="A1137" t="str">
            <v>А-04167/АЗ</v>
          </cell>
        </row>
        <row r="1138">
          <cell r="A1138" t="str">
            <v>А-04789/АЗ</v>
          </cell>
        </row>
        <row r="1139">
          <cell r="A1139" t="str">
            <v>А-03837/АЗ</v>
          </cell>
        </row>
        <row r="1140">
          <cell r="A1140" t="str">
            <v>А-04236/АЗ</v>
          </cell>
        </row>
        <row r="1141">
          <cell r="A1141" t="str">
            <v>А-04538/АЗ</v>
          </cell>
        </row>
        <row r="1142">
          <cell r="A1142" t="str">
            <v>Т-10002/БЭ</v>
          </cell>
        </row>
        <row r="1143">
          <cell r="A1143" t="str">
            <v>Т-01607/АЗ</v>
          </cell>
        </row>
        <row r="1144">
          <cell r="A1144" t="str">
            <v>А-04355/АЗ</v>
          </cell>
        </row>
        <row r="1145">
          <cell r="A1145" t="str">
            <v>А-04470/АЗ</v>
          </cell>
        </row>
        <row r="1146">
          <cell r="A1146" t="str">
            <v>А-00352/КЭ</v>
          </cell>
        </row>
        <row r="1147">
          <cell r="A1147" t="str">
            <v>А-04681/АЗ</v>
          </cell>
        </row>
        <row r="1148">
          <cell r="A1148" t="str">
            <v>А-04680/АЗ</v>
          </cell>
        </row>
        <row r="1149">
          <cell r="A1149" t="str">
            <v>А-04132/АЗ</v>
          </cell>
        </row>
        <row r="1150">
          <cell r="A1150" t="str">
            <v>А-04888/АЗ</v>
          </cell>
        </row>
        <row r="1151">
          <cell r="A1151" t="str">
            <v>А-03926/АЗ</v>
          </cell>
        </row>
        <row r="1152">
          <cell r="A1152" t="str">
            <v>А-10037/КЭ</v>
          </cell>
        </row>
        <row r="1153">
          <cell r="A1153" t="str">
            <v>А-00305/КЭ</v>
          </cell>
        </row>
        <row r="1154">
          <cell r="A1154" t="str">
            <v>А-04658/АЗ</v>
          </cell>
        </row>
        <row r="1155">
          <cell r="A1155" t="str">
            <v>А-04541/АЗ</v>
          </cell>
        </row>
        <row r="1156">
          <cell r="A1156" t="str">
            <v>Т-01457/АЗ</v>
          </cell>
        </row>
        <row r="1157">
          <cell r="A1157" t="str">
            <v>А-03753/АЗ</v>
          </cell>
        </row>
        <row r="1158">
          <cell r="A1158" t="str">
            <v>А-04117/АЗ</v>
          </cell>
        </row>
        <row r="1159">
          <cell r="A1159" t="str">
            <v>А-04003/АЗ</v>
          </cell>
        </row>
        <row r="1160">
          <cell r="A1160" t="str">
            <v>А-04695/АЗ</v>
          </cell>
        </row>
        <row r="1161">
          <cell r="A1161" t="str">
            <v>И-00125/АЗ</v>
          </cell>
        </row>
        <row r="1162">
          <cell r="A1162" t="str">
            <v>А-04669/АЗ</v>
          </cell>
        </row>
        <row r="1163">
          <cell r="A1163" t="str">
            <v>Т-01643/АЗ</v>
          </cell>
        </row>
        <row r="1164">
          <cell r="A1164" t="str">
            <v>Т-01539/АЗ</v>
          </cell>
        </row>
        <row r="1165">
          <cell r="A1165" t="str">
            <v>А-04156/АЗ</v>
          </cell>
        </row>
        <row r="1166">
          <cell r="A1166" t="str">
            <v>А-04015/АЗ</v>
          </cell>
        </row>
        <row r="1167">
          <cell r="A1167" t="str">
            <v>Т-01510/АЗ</v>
          </cell>
        </row>
        <row r="1168">
          <cell r="A1168" t="str">
            <v>А-00294/КЭ</v>
          </cell>
        </row>
        <row r="1169">
          <cell r="A1169" t="str">
            <v>А-10034/КЭ</v>
          </cell>
        </row>
        <row r="1170">
          <cell r="A1170" t="str">
            <v>А-03749/АЗ</v>
          </cell>
        </row>
        <row r="1171">
          <cell r="A1171" t="str">
            <v>А-03788/АЗ</v>
          </cell>
        </row>
        <row r="1172">
          <cell r="A1172" t="str">
            <v>А-04617/АЗ</v>
          </cell>
        </row>
        <row r="1173">
          <cell r="A1173" t="str">
            <v>А-04771/АЗ</v>
          </cell>
        </row>
        <row r="1174">
          <cell r="A1174" t="str">
            <v>А-03750/АЗ</v>
          </cell>
        </row>
        <row r="1175">
          <cell r="A1175" t="str">
            <v>А-04158/АЗ</v>
          </cell>
        </row>
        <row r="1176">
          <cell r="A1176" t="str">
            <v>А-10016/БЭ</v>
          </cell>
        </row>
        <row r="1177">
          <cell r="A1177" t="str">
            <v>А-03591/АЗ</v>
          </cell>
        </row>
        <row r="1178">
          <cell r="A1178" t="str">
            <v>А-00035/БЭ</v>
          </cell>
        </row>
        <row r="1179">
          <cell r="A1179" t="str">
            <v>А-04548/АЗ</v>
          </cell>
        </row>
        <row r="1180">
          <cell r="A1180" t="str">
            <v>А-00259/КЭ</v>
          </cell>
        </row>
        <row r="1181">
          <cell r="A1181" t="str">
            <v>А-10061/КЭ</v>
          </cell>
        </row>
        <row r="1182">
          <cell r="A1182" t="str">
            <v>А-03768/АЗ</v>
          </cell>
        </row>
        <row r="1183">
          <cell r="A1183" t="str">
            <v>А-10041/КЭ</v>
          </cell>
        </row>
        <row r="1184">
          <cell r="A1184" t="str">
            <v>А-03934/АЗ</v>
          </cell>
        </row>
        <row r="1185">
          <cell r="A1185" t="str">
            <v>А-04173/АЗ</v>
          </cell>
        </row>
        <row r="1186">
          <cell r="A1186" t="str">
            <v>А-03942/АЗ</v>
          </cell>
        </row>
        <row r="1187">
          <cell r="A1187" t="str">
            <v>А-03756/АЗ</v>
          </cell>
        </row>
        <row r="1188">
          <cell r="A1188" t="str">
            <v>А-10047/КЭ</v>
          </cell>
        </row>
        <row r="1189">
          <cell r="A1189" t="str">
            <v>А-04384/АЗ</v>
          </cell>
        </row>
        <row r="1190">
          <cell r="A1190" t="str">
            <v>А-04382/АЗ</v>
          </cell>
        </row>
        <row r="1191">
          <cell r="A1191" t="str">
            <v>А-04275/АЗ</v>
          </cell>
        </row>
        <row r="1192">
          <cell r="A1192" t="str">
            <v>А-04341/АЗ</v>
          </cell>
        </row>
        <row r="1193">
          <cell r="A1193" t="str">
            <v>Т-01585/АЗ</v>
          </cell>
        </row>
        <row r="1194">
          <cell r="A1194" t="str">
            <v>А-04464/АЗ</v>
          </cell>
        </row>
        <row r="1195">
          <cell r="A1195" t="str">
            <v>А-03853/АЗ</v>
          </cell>
        </row>
        <row r="1196">
          <cell r="A1196" t="str">
            <v>А-04151/АЗ</v>
          </cell>
        </row>
        <row r="1197">
          <cell r="A1197" t="str">
            <v>А-03918/АЗ</v>
          </cell>
        </row>
        <row r="1198">
          <cell r="A1198" t="str">
            <v>А-10017/КЭ</v>
          </cell>
        </row>
        <row r="1199">
          <cell r="A1199" t="str">
            <v>А-03511/АЗ</v>
          </cell>
        </row>
        <row r="1200">
          <cell r="A1200" t="str">
            <v>А-00242/КЭ</v>
          </cell>
        </row>
        <row r="1201">
          <cell r="A1201" t="str">
            <v>А-10048/КЭ</v>
          </cell>
        </row>
        <row r="1202">
          <cell r="A1202" t="str">
            <v>А-04206/АЗ</v>
          </cell>
        </row>
        <row r="1203">
          <cell r="A1203" t="str">
            <v>А-00314/КЭ</v>
          </cell>
        </row>
        <row r="1204">
          <cell r="A1204" t="str">
            <v>А-00211/КЭ</v>
          </cell>
        </row>
        <row r="1205">
          <cell r="A1205" t="str">
            <v>А-00165/КЭ</v>
          </cell>
        </row>
        <row r="1206">
          <cell r="A1206" t="str">
            <v>А-04028/АЗ</v>
          </cell>
        </row>
        <row r="1207">
          <cell r="A1207" t="str">
            <v>И-00119/АЗ</v>
          </cell>
        </row>
        <row r="1208">
          <cell r="A1208" t="str">
            <v>А-03544/АЗ</v>
          </cell>
        </row>
        <row r="1209">
          <cell r="A1209" t="str">
            <v>Т-01396/АЗ</v>
          </cell>
        </row>
        <row r="1210">
          <cell r="A1210" t="str">
            <v>А-00006/ИЗ</v>
          </cell>
        </row>
        <row r="1211">
          <cell r="A1211" t="str">
            <v>А-04092/АЗ</v>
          </cell>
        </row>
        <row r="1212">
          <cell r="A1212" t="str">
            <v>А-00230/КЭ</v>
          </cell>
        </row>
        <row r="1213">
          <cell r="A1213" t="str">
            <v>А-10010/БЭ</v>
          </cell>
        </row>
        <row r="1214">
          <cell r="A1214" t="str">
            <v>А-04022/АЗ</v>
          </cell>
        </row>
        <row r="1215">
          <cell r="A1215" t="str">
            <v>А-03980/АЗ</v>
          </cell>
        </row>
        <row r="1216">
          <cell r="A1216" t="str">
            <v>А-04096/АЗ</v>
          </cell>
        </row>
        <row r="1217">
          <cell r="A1217" t="str">
            <v>А-04088/АЗ</v>
          </cell>
        </row>
        <row r="1218">
          <cell r="A1218" t="str">
            <v>А-00169/КЭ</v>
          </cell>
        </row>
        <row r="1219">
          <cell r="A1219" t="str">
            <v>А-00247/КЭ</v>
          </cell>
        </row>
        <row r="1220">
          <cell r="A1220" t="str">
            <v>А-00084/КЭ</v>
          </cell>
        </row>
        <row r="1221">
          <cell r="A1221" t="str">
            <v>А-00254/КЭ</v>
          </cell>
        </row>
        <row r="1222">
          <cell r="A1222" t="str">
            <v>А-00001/БЭ</v>
          </cell>
        </row>
        <row r="1223">
          <cell r="A1223" t="str">
            <v>А-04412/АЗ</v>
          </cell>
        </row>
        <row r="1224">
          <cell r="A1224" t="str">
            <v>Т-01596/АЗ</v>
          </cell>
        </row>
        <row r="1225">
          <cell r="A1225" t="str">
            <v>А-03766/АЗ</v>
          </cell>
        </row>
        <row r="1226">
          <cell r="A1226" t="str">
            <v>А-00029/БЭ</v>
          </cell>
        </row>
        <row r="1227">
          <cell r="A1227" t="str">
            <v>А-04056/АЗ</v>
          </cell>
        </row>
        <row r="1228">
          <cell r="A1228" t="str">
            <v>А-00262/КЭ</v>
          </cell>
        </row>
        <row r="1229">
          <cell r="A1229" t="str">
            <v>Т-10003/БЭ</v>
          </cell>
        </row>
        <row r="1230">
          <cell r="A1230" t="str">
            <v>А-03925/АЗ</v>
          </cell>
        </row>
        <row r="1231">
          <cell r="A1231" t="str">
            <v>А-03444/АЗ</v>
          </cell>
        </row>
        <row r="1232">
          <cell r="A1232" t="str">
            <v>А-00293/КЭ</v>
          </cell>
        </row>
        <row r="1233">
          <cell r="A1233" t="str">
            <v>А-02682/АЗ</v>
          </cell>
        </row>
        <row r="1234">
          <cell r="A1234" t="str">
            <v>А-03792/АЗ</v>
          </cell>
        </row>
        <row r="1235">
          <cell r="A1235" t="str">
            <v>А-03814/АЗ</v>
          </cell>
        </row>
        <row r="1236">
          <cell r="A1236" t="str">
            <v>А-00034/БЭ</v>
          </cell>
        </row>
        <row r="1237">
          <cell r="A1237" t="str">
            <v>А-03822/АЗ</v>
          </cell>
        </row>
        <row r="1238">
          <cell r="A1238" t="str">
            <v>А-03507/АЗ</v>
          </cell>
        </row>
        <row r="1239">
          <cell r="A1239" t="str">
            <v>А-00236/КЭ</v>
          </cell>
        </row>
        <row r="1240">
          <cell r="A1240" t="str">
            <v>А-10004/КЭ</v>
          </cell>
        </row>
        <row r="1241">
          <cell r="A1241" t="str">
            <v>А-10035/КЭ</v>
          </cell>
        </row>
        <row r="1242">
          <cell r="A1242" t="str">
            <v>А-00130/КЭ</v>
          </cell>
        </row>
        <row r="1243">
          <cell r="A1243" t="str">
            <v>А-03437/АЗ</v>
          </cell>
        </row>
        <row r="1244">
          <cell r="A1244" t="str">
            <v>А-00263/КЭ</v>
          </cell>
        </row>
        <row r="1245">
          <cell r="A1245" t="str">
            <v>А-03599/АЗ</v>
          </cell>
        </row>
        <row r="1246">
          <cell r="A1246" t="str">
            <v>А-00289/КЭ</v>
          </cell>
        </row>
        <row r="1247">
          <cell r="A1247" t="str">
            <v>А-03137/АЗ</v>
          </cell>
        </row>
        <row r="1248">
          <cell r="A1248" t="str">
            <v>А-00273/КЭ</v>
          </cell>
        </row>
        <row r="1249">
          <cell r="A1249" t="str">
            <v>А-02821/АЗ</v>
          </cell>
        </row>
        <row r="1250">
          <cell r="A1250" t="str">
            <v>А-00238/КЭ</v>
          </cell>
        </row>
        <row r="1251">
          <cell r="A1251" t="str">
            <v>Т-01236/АЗ</v>
          </cell>
        </row>
        <row r="1252">
          <cell r="A1252" t="str">
            <v>А-02936/АЗ</v>
          </cell>
        </row>
        <row r="1253">
          <cell r="A1253" t="str">
            <v>И-00042/АЗ</v>
          </cell>
        </row>
        <row r="1254">
          <cell r="A1254" t="str">
            <v>А-00160/КЭ</v>
          </cell>
        </row>
        <row r="1255">
          <cell r="A1255" t="str">
            <v>А-00221/КЭ</v>
          </cell>
        </row>
        <row r="1256">
          <cell r="A1256" t="str">
            <v>А-03237/АЗ</v>
          </cell>
        </row>
        <row r="1257">
          <cell r="A1257" t="str">
            <v>А-10007/КЭ</v>
          </cell>
        </row>
        <row r="1258">
          <cell r="A1258" t="str">
            <v>А-20003/КЭ</v>
          </cell>
        </row>
        <row r="1259">
          <cell r="A1259" t="str">
            <v>А-00210/КЭ</v>
          </cell>
        </row>
        <row r="1260">
          <cell r="A1260" t="str">
            <v>А-03342/АЗ</v>
          </cell>
        </row>
        <row r="1261">
          <cell r="A1261" t="str">
            <v>А-00195/КЭ</v>
          </cell>
        </row>
        <row r="1262">
          <cell r="A1262" t="str">
            <v>Т-01078/АЗ</v>
          </cell>
        </row>
        <row r="1263">
          <cell r="A1263" t="str">
            <v>А-00245/КЭ</v>
          </cell>
        </row>
        <row r="1264">
          <cell r="A1264" t="str">
            <v>А-00192/КЭ</v>
          </cell>
        </row>
        <row r="1265">
          <cell r="A1265" t="str">
            <v>А-02655/АЗ</v>
          </cell>
        </row>
        <row r="1266">
          <cell r="A1266" t="str">
            <v>А-02957/АЗ</v>
          </cell>
        </row>
        <row r="1267">
          <cell r="A1267" t="str">
            <v>А-10005/КЭ</v>
          </cell>
        </row>
        <row r="1268">
          <cell r="A1268" t="str">
            <v>А-03153/АЗ</v>
          </cell>
        </row>
        <row r="1269">
          <cell r="A1269" t="str">
            <v>А-00107/КЭ</v>
          </cell>
        </row>
        <row r="1270">
          <cell r="A1270" t="str">
            <v>А-00149/КЭ</v>
          </cell>
        </row>
        <row r="1271">
          <cell r="A1271" t="str">
            <v>А-03093/АЗ</v>
          </cell>
        </row>
        <row r="1272">
          <cell r="A1272" t="str">
            <v>Т-01284/АЗ</v>
          </cell>
        </row>
        <row r="1273">
          <cell r="A1273" t="str">
            <v>А-00183/КЭ</v>
          </cell>
        </row>
        <row r="1274">
          <cell r="A1274" t="str">
            <v>А-00224/КЭ</v>
          </cell>
        </row>
        <row r="1275">
          <cell r="A1275" t="str">
            <v>А-02772/АЗ</v>
          </cell>
        </row>
        <row r="1276">
          <cell r="A1276" t="str">
            <v>А-02656/АЗ</v>
          </cell>
        </row>
        <row r="1277">
          <cell r="A1277" t="str">
            <v>А-00094/КЭ</v>
          </cell>
        </row>
        <row r="1278">
          <cell r="A1278" t="str">
            <v>А-10003/КЭ</v>
          </cell>
        </row>
        <row r="1279">
          <cell r="A1279" t="str">
            <v>А-00147/КЭ</v>
          </cell>
        </row>
        <row r="1280">
          <cell r="A1280" t="str">
            <v>А-02524/АЗ</v>
          </cell>
        </row>
        <row r="1281">
          <cell r="A1281" t="str">
            <v>А-02939/АЗ</v>
          </cell>
        </row>
        <row r="1282">
          <cell r="A1282" t="str">
            <v>Т-01238/АЗ</v>
          </cell>
        </row>
        <row r="1283">
          <cell r="A1283" t="str">
            <v>А-02937/АЗ</v>
          </cell>
        </row>
        <row r="1284">
          <cell r="A1284" t="str">
            <v>А-00109/КЭ</v>
          </cell>
        </row>
        <row r="1285">
          <cell r="A1285" t="str">
            <v>А-00095/КЭ</v>
          </cell>
        </row>
        <row r="1286">
          <cell r="A1286" t="str">
            <v>А-02635/АЗ</v>
          </cell>
        </row>
        <row r="1287">
          <cell r="A1287" t="str">
            <v>А-02488/АЗ</v>
          </cell>
        </row>
        <row r="1288">
          <cell r="A1288" t="str">
            <v>А-00161/КЭ</v>
          </cell>
        </row>
        <row r="1289">
          <cell r="A1289" t="str">
            <v>Т-01186/АЗ</v>
          </cell>
        </row>
        <row r="1290">
          <cell r="A1290" t="str">
            <v>А-02792/АЗ</v>
          </cell>
        </row>
        <row r="1291">
          <cell r="A1291" t="str">
            <v>А-00074/КЭ</v>
          </cell>
        </row>
        <row r="1292">
          <cell r="A1292" t="str">
            <v>А-02646/АЗ</v>
          </cell>
        </row>
        <row r="1293">
          <cell r="A1293" t="str">
            <v>А-00002/ИЗ</v>
          </cell>
        </row>
        <row r="1294">
          <cell r="A1294" t="str">
            <v>А-00116/КЭ</v>
          </cell>
        </row>
        <row r="1295">
          <cell r="A1295" t="str">
            <v>А-00102/КЭ</v>
          </cell>
        </row>
        <row r="1296">
          <cell r="A1296" t="str">
            <v>А-02257/АЗ</v>
          </cell>
        </row>
        <row r="1297">
          <cell r="A1297" t="str">
            <v>А-02120/АЗ</v>
          </cell>
        </row>
        <row r="1298">
          <cell r="A1298" t="str">
            <v>А-00100/КЭ</v>
          </cell>
        </row>
        <row r="1299">
          <cell r="A1299" t="str">
            <v>А-00088/КЭ</v>
          </cell>
        </row>
        <row r="1300">
          <cell r="A1300" t="str">
            <v>А-00115/КЭ</v>
          </cell>
        </row>
        <row r="1301">
          <cell r="A1301" t="str">
            <v>А-00046/КЭ</v>
          </cell>
        </row>
        <row r="1302">
          <cell r="A1302" t="str">
            <v>А-01738/АЗ</v>
          </cell>
        </row>
        <row r="1303">
          <cell r="A1303" t="str">
            <v>А-00064/КЭ</v>
          </cell>
        </row>
        <row r="1304">
          <cell r="A1304" t="str">
            <v>А-00108/КЭ</v>
          </cell>
        </row>
        <row r="1305">
          <cell r="A1305" t="str">
            <v>Т-00769/АЗ</v>
          </cell>
        </row>
        <row r="1306">
          <cell r="A1306" t="str">
            <v>А-00058/КЭ</v>
          </cell>
        </row>
        <row r="1307">
          <cell r="A1307" t="str">
            <v>Т-00883/АЗ</v>
          </cell>
        </row>
        <row r="1308">
          <cell r="A1308" t="str">
            <v>А-00078/КЭ</v>
          </cell>
        </row>
        <row r="1309">
          <cell r="A1309" t="str">
            <v>А-00087/КЭ</v>
          </cell>
        </row>
        <row r="1310">
          <cell r="A1310" t="str">
            <v>А-00101/КЭ</v>
          </cell>
        </row>
        <row r="1311">
          <cell r="A1311" t="str">
            <v>А-00089/КЭ</v>
          </cell>
        </row>
        <row r="1312">
          <cell r="A1312" t="str">
            <v>А-00082/КЭ</v>
          </cell>
        </row>
        <row r="1313">
          <cell r="A1313" t="str">
            <v>А-00103/КЭ</v>
          </cell>
        </row>
        <row r="1314">
          <cell r="A1314" t="str">
            <v>А-02114/АЗ</v>
          </cell>
        </row>
        <row r="1315">
          <cell r="A1315" t="str">
            <v>Т-00820/АЗ</v>
          </cell>
        </row>
        <row r="1316">
          <cell r="A1316" t="str">
            <v>А-00059/КЭ</v>
          </cell>
        </row>
        <row r="1317">
          <cell r="A1317" t="str">
            <v>А-01665/АЗ</v>
          </cell>
        </row>
        <row r="1318">
          <cell r="A1318" t="str">
            <v>А-01984/АЗ</v>
          </cell>
        </row>
        <row r="1319">
          <cell r="A1319" t="str">
            <v>А-00096/КЭ</v>
          </cell>
        </row>
        <row r="1320">
          <cell r="A1320" t="str">
            <v>А-00030/КЭ</v>
          </cell>
        </row>
        <row r="1321">
          <cell r="A1321" t="str">
            <v>А-00062/КЭ</v>
          </cell>
        </row>
        <row r="1322">
          <cell r="A1322" t="str">
            <v>А-00018/КЭ</v>
          </cell>
        </row>
        <row r="1323">
          <cell r="A1323" t="str">
            <v>А-00086/КЭ</v>
          </cell>
        </row>
        <row r="1324">
          <cell r="A1324" t="str">
            <v>Т-00837/АЗ</v>
          </cell>
        </row>
        <row r="1325">
          <cell r="A1325" t="str">
            <v>А-01872/АЗ</v>
          </cell>
        </row>
        <row r="1326">
          <cell r="A1326" t="str">
            <v>А-00065/КЭ</v>
          </cell>
        </row>
        <row r="1327">
          <cell r="A1327" t="str">
            <v>А-01607/АЗ</v>
          </cell>
        </row>
        <row r="1328">
          <cell r="A1328" t="str">
            <v>А-00016/КЭ</v>
          </cell>
        </row>
        <row r="1329">
          <cell r="A1329" t="str">
            <v>А-00004/КЭ</v>
          </cell>
        </row>
        <row r="1330">
          <cell r="A1330" t="str">
            <v>А-00028/КЭ</v>
          </cell>
        </row>
        <row r="1331">
          <cell r="A1331" t="str">
            <v>А-00010/КЭ</v>
          </cell>
        </row>
        <row r="1332">
          <cell r="A1332" t="str">
            <v>Т-00462/АЗ</v>
          </cell>
        </row>
        <row r="1333">
          <cell r="A1333" t="str">
            <v>А-01775/АЗ</v>
          </cell>
        </row>
        <row r="1334">
          <cell r="A1334" t="str">
            <v>А-00014/КЭ</v>
          </cell>
        </row>
        <row r="1335">
          <cell r="A1335" t="str">
            <v>А-00015/КЭ</v>
          </cell>
        </row>
        <row r="1336">
          <cell r="A1336" t="str">
            <v>А-01652/АЗ</v>
          </cell>
        </row>
        <row r="1337">
          <cell r="A1337" t="str">
            <v>Т-00638/АЗ</v>
          </cell>
        </row>
        <row r="1338">
          <cell r="A1338" t="str">
            <v>А-00007/КЭ</v>
          </cell>
        </row>
        <row r="1339">
          <cell r="A1339" t="str">
            <v>А-01193/АЗ</v>
          </cell>
        </row>
        <row r="1340">
          <cell r="A1340" t="str">
            <v>А-00008/КЭ</v>
          </cell>
        </row>
        <row r="1341">
          <cell r="A1341" t="str">
            <v>А-00009/КЭ</v>
          </cell>
        </row>
        <row r="1342">
          <cell r="A1342" t="str">
            <v>А-00029/КЭ</v>
          </cell>
        </row>
        <row r="1343">
          <cell r="A1343" t="str">
            <v>А-00001/КЭ</v>
          </cell>
        </row>
        <row r="1344">
          <cell r="A1344" t="str">
            <v>А-00026/КЭ</v>
          </cell>
        </row>
        <row r="1345">
          <cell r="A1345" t="str">
            <v>А-01830/АЗ</v>
          </cell>
        </row>
        <row r="1346">
          <cell r="A1346" t="str">
            <v>А-01489/АЗ</v>
          </cell>
        </row>
        <row r="1347">
          <cell r="A1347" t="str">
            <v>А-01600/АЗ</v>
          </cell>
        </row>
        <row r="1348">
          <cell r="A1348" t="str">
            <v>Т-00360/АЗ</v>
          </cell>
        </row>
        <row r="1349">
          <cell r="A1349" t="str">
            <v>А-01251/АЗ</v>
          </cell>
        </row>
        <row r="1350">
          <cell r="A1350" t="str">
            <v>А-01405/АЗ</v>
          </cell>
        </row>
        <row r="1351">
          <cell r="A1351" t="str">
            <v>А-01147/АЗ</v>
          </cell>
        </row>
        <row r="1352">
          <cell r="A1352" t="str">
            <v>Т-00511/АЗ</v>
          </cell>
        </row>
        <row r="1353">
          <cell r="A1353" t="str">
            <v>А-01265/АЗ</v>
          </cell>
        </row>
        <row r="1354">
          <cell r="A1354" t="str">
            <v>Т-00353/АЗ</v>
          </cell>
        </row>
        <row r="1355">
          <cell r="A1355" t="str">
            <v>А-01097/АЗ</v>
          </cell>
        </row>
        <row r="1356">
          <cell r="A1356" t="str">
            <v>А-00874/АЗ</v>
          </cell>
        </row>
        <row r="1357">
          <cell r="A1357" t="str">
            <v>А-01379/АЗ</v>
          </cell>
        </row>
        <row r="1358">
          <cell r="A1358" t="str">
            <v>Т-00310/АЗ</v>
          </cell>
        </row>
        <row r="1359">
          <cell r="A1359" t="str">
            <v>А-01087/АЗ</v>
          </cell>
        </row>
        <row r="1360">
          <cell r="A1360" t="str">
            <v>А-01206/АЗ</v>
          </cell>
        </row>
        <row r="1361">
          <cell r="A1361" t="str">
            <v>А-01000/АЗ</v>
          </cell>
        </row>
        <row r="1362">
          <cell r="A1362" t="str">
            <v>А-00781/АЗ</v>
          </cell>
        </row>
        <row r="1363">
          <cell r="A1363" t="str">
            <v>А-01262/АЗ</v>
          </cell>
        </row>
        <row r="1364">
          <cell r="A1364" t="str">
            <v>А-01007/АЗ</v>
          </cell>
        </row>
        <row r="1365">
          <cell r="A1365" t="str">
            <v>А-01126/АЗ</v>
          </cell>
        </row>
        <row r="1366">
          <cell r="A1366" t="str">
            <v>Т-00193/АЗ</v>
          </cell>
        </row>
        <row r="1367">
          <cell r="A1367" t="str">
            <v>Т-00362/АЗ</v>
          </cell>
        </row>
        <row r="1368">
          <cell r="A1368" t="str">
            <v>А-00999/АЗ</v>
          </cell>
        </row>
        <row r="1369">
          <cell r="A1369" t="str">
            <v>А-01043/АЗ</v>
          </cell>
        </row>
        <row r="1370">
          <cell r="A1370" t="str">
            <v>Т-00395/АЗ</v>
          </cell>
        </row>
        <row r="1371">
          <cell r="A1371" t="str">
            <v>А-00714/АЗ</v>
          </cell>
        </row>
        <row r="1372">
          <cell r="A1372" t="str">
            <v>А-01001/АЗ</v>
          </cell>
        </row>
        <row r="1373">
          <cell r="A1373" t="str">
            <v>А-00934/АЗ</v>
          </cell>
        </row>
        <row r="1374">
          <cell r="A1374" t="str">
            <v>А-00953/АЗ</v>
          </cell>
        </row>
        <row r="1375">
          <cell r="A1375" t="str">
            <v>Т-00486/АЗ</v>
          </cell>
        </row>
        <row r="1376">
          <cell r="A1376" t="str">
            <v>А-00969/АЗ</v>
          </cell>
        </row>
        <row r="1377">
          <cell r="A1377" t="str">
            <v>Т-00060/АЗ</v>
          </cell>
        </row>
        <row r="1378">
          <cell r="A1378" t="str">
            <v>Т-00377/АЗ</v>
          </cell>
        </row>
        <row r="1379">
          <cell r="A1379" t="str">
            <v>Т-00286/АЗ</v>
          </cell>
        </row>
        <row r="1380">
          <cell r="A1380" t="str">
            <v>Т-00435/АЗ</v>
          </cell>
        </row>
        <row r="1381">
          <cell r="A1381" t="str">
            <v>А-00750/АЗ</v>
          </cell>
        </row>
        <row r="1382">
          <cell r="A1382" t="str">
            <v>А-00717/АЗ</v>
          </cell>
        </row>
        <row r="1383">
          <cell r="A1383" t="str">
            <v>А-00587/АЗ</v>
          </cell>
        </row>
        <row r="1384">
          <cell r="A1384" t="str">
            <v>Т-00282/АЗ</v>
          </cell>
        </row>
        <row r="1385">
          <cell r="A1385" t="str">
            <v>Т-00428/АЗ</v>
          </cell>
        </row>
        <row r="1386">
          <cell r="A1386" t="str">
            <v>Т-00344/АЗ</v>
          </cell>
        </row>
        <row r="1387">
          <cell r="A1387" t="str">
            <v>Т-00283/АЗ</v>
          </cell>
        </row>
        <row r="1388">
          <cell r="A1388" t="str">
            <v>А-00616/АЗ</v>
          </cell>
        </row>
        <row r="1389">
          <cell r="A1389" t="str">
            <v>Т-00375/АЗ</v>
          </cell>
        </row>
        <row r="1390">
          <cell r="A1390" t="str">
            <v>А-00492/АЗ</v>
          </cell>
        </row>
        <row r="1391">
          <cell r="A1391" t="str">
            <v>Т-00069/АЗ</v>
          </cell>
        </row>
        <row r="1392">
          <cell r="A1392" t="str">
            <v>Т-00108/АЗ</v>
          </cell>
        </row>
        <row r="1393">
          <cell r="A1393" t="str">
            <v>А-00597/АЗ</v>
          </cell>
        </row>
        <row r="1394">
          <cell r="A1394" t="str">
            <v>А-00559/АЗ</v>
          </cell>
        </row>
        <row r="1395">
          <cell r="A1395" t="str">
            <v>А-00285/АЗ</v>
          </cell>
        </row>
        <row r="1396">
          <cell r="A1396" t="str">
            <v>А-00103/АЗ</v>
          </cell>
        </row>
        <row r="1397">
          <cell r="A1397" t="str">
            <v>А-00241/АЗ</v>
          </cell>
        </row>
        <row r="1398">
          <cell r="A1398" t="str">
            <v>А-00036/АЗ</v>
          </cell>
        </row>
        <row r="1399">
          <cell r="A1399" t="str">
            <v>00049/АЗ</v>
          </cell>
        </row>
        <row r="1400">
          <cell r="A1400" t="str">
            <v>00141/АЗ</v>
          </cell>
        </row>
        <row r="1401">
          <cell r="A1401" t="str">
            <v>00071/АЗ</v>
          </cell>
        </row>
        <row r="1402">
          <cell r="A1402" t="str">
            <v>А-00091/АЗ</v>
          </cell>
        </row>
        <row r="1403">
          <cell r="A1403" t="str">
            <v>00096/АЗ</v>
          </cell>
        </row>
        <row r="1404">
          <cell r="A1404" t="str">
            <v>00157/АЗ</v>
          </cell>
        </row>
        <row r="1405">
          <cell r="A1405" t="str">
            <v>00055/АЗ</v>
          </cell>
        </row>
        <row r="1406">
          <cell r="A1406" t="str">
            <v>00232/АЗ</v>
          </cell>
        </row>
        <row r="1407">
          <cell r="A1407" t="str">
            <v>А-00022/АЗ</v>
          </cell>
        </row>
        <row r="1408">
          <cell r="A1408" t="str">
            <v>А-00090/АЗ</v>
          </cell>
        </row>
        <row r="1409">
          <cell r="A1409" t="str">
            <v>00151/АЗ</v>
          </cell>
        </row>
        <row r="1410">
          <cell r="A1410" t="str">
            <v>00202/АЗ</v>
          </cell>
        </row>
        <row r="1411">
          <cell r="A1411" t="str">
            <v>00324/АЗ</v>
          </cell>
        </row>
        <row r="1412">
          <cell r="A1412" t="str">
            <v>00168/АЗ</v>
          </cell>
        </row>
        <row r="1413">
          <cell r="A1413" t="str">
            <v>00116/АЗ</v>
          </cell>
        </row>
        <row r="1414">
          <cell r="A1414" t="str">
            <v>А-00052/АЗ</v>
          </cell>
        </row>
        <row r="1415">
          <cell r="A1415" t="str">
            <v>А-00029/АЗ</v>
          </cell>
        </row>
        <row r="1416">
          <cell r="A1416" t="str">
            <v>00292/АЗ</v>
          </cell>
        </row>
        <row r="1417">
          <cell r="A1417" t="str">
            <v>00252/АЗ</v>
          </cell>
        </row>
        <row r="1418">
          <cell r="A1418" t="str">
            <v>00184/АЗ</v>
          </cell>
        </row>
        <row r="1419">
          <cell r="A1419" t="str">
            <v>А-00110/АЗ</v>
          </cell>
        </row>
        <row r="1420">
          <cell r="A1420" t="str">
            <v>00020/АЗ</v>
          </cell>
        </row>
        <row r="1421">
          <cell r="A1421" t="str">
            <v>00346/АЗ</v>
          </cell>
        </row>
        <row r="1422">
          <cell r="A1422" t="str">
            <v>00414/АЗ</v>
          </cell>
        </row>
        <row r="1423">
          <cell r="A1423" t="str">
            <v>00222/АЗ</v>
          </cell>
        </row>
        <row r="1424">
          <cell r="A1424" t="str">
            <v>00301/АЗ</v>
          </cell>
        </row>
        <row r="1425">
          <cell r="A1425" t="str">
            <v>00284/АЗ</v>
          </cell>
        </row>
        <row r="1426">
          <cell r="A1426" t="str">
            <v>А-00067/АЗ</v>
          </cell>
        </row>
        <row r="1427">
          <cell r="A1427" t="str">
            <v>00331/АЗ</v>
          </cell>
        </row>
        <row r="1428">
          <cell r="A1428" t="str">
            <v>А-00020/АЗ</v>
          </cell>
        </row>
        <row r="1429">
          <cell r="A1429" t="str">
            <v>А-00100/АЗ</v>
          </cell>
        </row>
        <row r="1430">
          <cell r="A1430" t="str">
            <v>В-20109/КЛ</v>
          </cell>
        </row>
        <row r="1431">
          <cell r="A1431" t="str">
            <v>В-22100/КЛ</v>
          </cell>
        </row>
        <row r="1432">
          <cell r="A1432" t="str">
            <v>В-18022/КЛ</v>
          </cell>
        </row>
        <row r="1433">
          <cell r="A1433" t="str">
            <v>Т-01893/АЗ</v>
          </cell>
        </row>
        <row r="1434">
          <cell r="A1434" t="str">
            <v>В-17458/КЛ</v>
          </cell>
        </row>
        <row r="1435">
          <cell r="A1435" t="str">
            <v>В-19901/КЛ</v>
          </cell>
        </row>
        <row r="1436">
          <cell r="A1436" t="str">
            <v>В-02691/КЛ</v>
          </cell>
        </row>
        <row r="1437">
          <cell r="A1437" t="str">
            <v>В-15465/КЛ</v>
          </cell>
        </row>
        <row r="1438">
          <cell r="A1438" t="str">
            <v>Т-01869/АЗ</v>
          </cell>
        </row>
        <row r="1439">
          <cell r="A1439" t="str">
            <v>В-09421/КЛ</v>
          </cell>
        </row>
        <row r="1440">
          <cell r="A1440" t="str">
            <v>Т-01722/АЗ</v>
          </cell>
        </row>
        <row r="1441">
          <cell r="A1441" t="str">
            <v>В-00232/КЛ</v>
          </cell>
        </row>
        <row r="1442">
          <cell r="A1442" t="str">
            <v>В-00313/АЗ</v>
          </cell>
        </row>
        <row r="1443">
          <cell r="A1443" t="str">
            <v>А-05271/АЗ</v>
          </cell>
        </row>
        <row r="1444">
          <cell r="A1444" t="str">
            <v>А-02706/АЗ</v>
          </cell>
        </row>
        <row r="1445">
          <cell r="A1445" t="str">
            <v>В-24012/КЛ</v>
          </cell>
        </row>
        <row r="1446">
          <cell r="A1446" t="str">
            <v>Т-10006/КЭ</v>
          </cell>
        </row>
        <row r="1447">
          <cell r="A1447" t="str">
            <v>Т-01914/АЗ</v>
          </cell>
        </row>
        <row r="1448">
          <cell r="A1448" t="str">
            <v>В-04682/КЛ</v>
          </cell>
        </row>
        <row r="1449">
          <cell r="A1449" t="str">
            <v>А-00386/КЭ</v>
          </cell>
        </row>
        <row r="1450">
          <cell r="A1450" t="str">
            <v>В-24350/КЛ</v>
          </cell>
        </row>
        <row r="1451">
          <cell r="A1451" t="str">
            <v>В-00918/АЗ</v>
          </cell>
        </row>
        <row r="1452">
          <cell r="A1452" t="str">
            <v>В-13638/КЛ</v>
          </cell>
        </row>
        <row r="1453">
          <cell r="A1453" t="str">
            <v>В-12435/КЛ</v>
          </cell>
        </row>
        <row r="1454">
          <cell r="A1454" t="str">
            <v>В-00982/АЗ</v>
          </cell>
        </row>
        <row r="1455">
          <cell r="A1455" t="str">
            <v>В-00608/АЗ</v>
          </cell>
        </row>
        <row r="1456">
          <cell r="A1456" t="str">
            <v>В-00477/АЗ</v>
          </cell>
        </row>
        <row r="1457">
          <cell r="A1457" t="str">
            <v>А-00332/КЭ</v>
          </cell>
        </row>
        <row r="1458">
          <cell r="A1458" t="str">
            <v>В-00022/КЭ</v>
          </cell>
        </row>
        <row r="1459">
          <cell r="A1459" t="str">
            <v>А-00458/КЭ</v>
          </cell>
        </row>
        <row r="1460">
          <cell r="A1460" t="str">
            <v>В-14232/КЛ</v>
          </cell>
        </row>
        <row r="1461">
          <cell r="A1461" t="str">
            <v>А-04984/АЗ</v>
          </cell>
        </row>
        <row r="1462">
          <cell r="A1462" t="str">
            <v>В-00702/АЗ</v>
          </cell>
        </row>
        <row r="1463">
          <cell r="A1463" t="str">
            <v>Т-01775/АЗ</v>
          </cell>
        </row>
        <row r="1464">
          <cell r="A1464" t="str">
            <v>В-28684/КЛ</v>
          </cell>
        </row>
        <row r="1465">
          <cell r="A1465" t="str">
            <v>В-28684/КЛ</v>
          </cell>
        </row>
        <row r="1466">
          <cell r="A1466" t="str">
            <v>В-12427/КЛ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Base"/>
    </sheetNames>
    <sheetDataSet>
      <sheetData sheetId="0">
        <row r="1">
          <cell r="A1" t="str">
            <v>Заемщик</v>
          </cell>
          <cell r="B1" t="str">
            <v>Номер</v>
          </cell>
        </row>
        <row r="2">
          <cell r="A2" t="str">
            <v>Абазян Марат Норикович</v>
          </cell>
          <cell r="B2">
            <v>79060691106</v>
          </cell>
        </row>
        <row r="3">
          <cell r="A3" t="str">
            <v>Абакаров Абакар Магомедсалимович</v>
          </cell>
          <cell r="B3">
            <v>79658884555</v>
          </cell>
        </row>
        <row r="4">
          <cell r="A4" t="str">
            <v>Абакумов Алексей Михайлович</v>
          </cell>
          <cell r="B4">
            <v>79265916535</v>
          </cell>
        </row>
        <row r="5">
          <cell r="A5" t="str">
            <v>Абакумов Вадим Михайлович</v>
          </cell>
          <cell r="B5">
            <v>79254074074</v>
          </cell>
        </row>
        <row r="6">
          <cell r="A6" t="str">
            <v>Аббазов Рафаэль Рашидович</v>
          </cell>
          <cell r="B6">
            <v>79161319999</v>
          </cell>
        </row>
        <row r="7">
          <cell r="A7" t="str">
            <v>Аббазова Аида Рустемовна</v>
          </cell>
          <cell r="B7">
            <v>79645987407</v>
          </cell>
        </row>
        <row r="8">
          <cell r="A8" t="str">
            <v>Аббасов Эльшан Юсиф Оглы</v>
          </cell>
          <cell r="B8">
            <v>79250983604</v>
          </cell>
        </row>
        <row r="9">
          <cell r="A9" t="str">
            <v>Аббасов Эльшан Юсиф Оглы</v>
          </cell>
          <cell r="B9">
            <v>79299980404</v>
          </cell>
        </row>
        <row r="10">
          <cell r="A10" t="str">
            <v>Абдуганиев Салохиддин Сирожидинович</v>
          </cell>
          <cell r="B10">
            <v>79250013940</v>
          </cell>
        </row>
        <row r="11">
          <cell r="A11" t="str">
            <v>Абдуганиев Салохиддин Сирожидинович</v>
          </cell>
          <cell r="B11">
            <v>79857873980</v>
          </cell>
        </row>
        <row r="12">
          <cell r="A12" t="str">
            <v>Абдул Каюм Мохаммад Рахим</v>
          </cell>
          <cell r="B12">
            <v>79260797820</v>
          </cell>
        </row>
        <row r="13">
          <cell r="A13" t="str">
            <v>Абдулабеков Магомед Умарасхабович</v>
          </cell>
          <cell r="B13">
            <v>79158937409</v>
          </cell>
        </row>
        <row r="14">
          <cell r="A14" t="str">
            <v>Абдулин Алексей Владимирович</v>
          </cell>
          <cell r="B14">
            <v>79257408822</v>
          </cell>
        </row>
        <row r="15">
          <cell r="A15" t="str">
            <v>Абдуллаев Байрам Али Оглы</v>
          </cell>
          <cell r="B15">
            <v>79299760392</v>
          </cell>
        </row>
        <row r="16">
          <cell r="A16" t="str">
            <v>Абдуллаев Руслан Мушфигович</v>
          </cell>
          <cell r="B16">
            <v>79646367837</v>
          </cell>
        </row>
        <row r="17">
          <cell r="A17" t="str">
            <v>Абдуллахи Амина Халифовна</v>
          </cell>
          <cell r="B17">
            <v>79110281881</v>
          </cell>
        </row>
        <row r="18">
          <cell r="A18" t="str">
            <v>Абдуллин Азат Мазитович</v>
          </cell>
          <cell r="B18">
            <v>79655911940</v>
          </cell>
        </row>
        <row r="19">
          <cell r="A19" t="str">
            <v>Абдуллин Вадим Рафисович</v>
          </cell>
          <cell r="B19">
            <v>79191503151</v>
          </cell>
        </row>
        <row r="20">
          <cell r="A20" t="str">
            <v>Абдуллин Игорь Эдуардович</v>
          </cell>
          <cell r="B20">
            <v>79182111772</v>
          </cell>
        </row>
        <row r="21">
          <cell r="A21" t="str">
            <v>Абдульманова Ангелина Рамилевна</v>
          </cell>
          <cell r="B21">
            <v>79872423129</v>
          </cell>
        </row>
        <row r="22">
          <cell r="A22" t="str">
            <v>Абдурахманов Бехзод Хусанбаевич</v>
          </cell>
          <cell r="B22">
            <v>79995103977</v>
          </cell>
        </row>
        <row r="23">
          <cell r="A23" t="str">
            <v>Абдурахманов Ватан Сироджиддинович</v>
          </cell>
          <cell r="B23">
            <v>79096285971</v>
          </cell>
        </row>
        <row r="24">
          <cell r="A24" t="str">
            <v>Абдурахманов Солойиддин Хусанбаевич</v>
          </cell>
          <cell r="B24">
            <v>79118227932</v>
          </cell>
        </row>
        <row r="25">
          <cell r="A25" t="str">
            <v>Абдурашитов Озодбек Мавланжанович</v>
          </cell>
          <cell r="B25">
            <v>79057756992</v>
          </cell>
        </row>
        <row r="26">
          <cell r="A26" t="str">
            <v>Абелян Артак Шагенович</v>
          </cell>
          <cell r="B26">
            <v>79856839982</v>
          </cell>
        </row>
        <row r="27">
          <cell r="A27" t="str">
            <v>Аблязизов Эдем Рустемович</v>
          </cell>
          <cell r="B27">
            <v>79787145838</v>
          </cell>
        </row>
        <row r="28">
          <cell r="A28" t="str">
            <v>Абраамян Арут Ширазович</v>
          </cell>
          <cell r="B28">
            <v>79647779397</v>
          </cell>
        </row>
        <row r="29">
          <cell r="A29" t="str">
            <v>Абраамян Ашот Владимирович</v>
          </cell>
          <cell r="B29">
            <v>79206788588</v>
          </cell>
        </row>
        <row r="30">
          <cell r="A30" t="str">
            <v>Абраамян Карен Левикович</v>
          </cell>
          <cell r="B30">
            <v>79002871248</v>
          </cell>
        </row>
        <row r="31">
          <cell r="A31" t="str">
            <v>Абраменко Александр Владимирович</v>
          </cell>
          <cell r="B31">
            <v>79114003384</v>
          </cell>
        </row>
        <row r="32">
          <cell r="A32" t="str">
            <v>Абрамочкина Ирина Юрьевна</v>
          </cell>
          <cell r="B32" t="str">
            <v/>
          </cell>
        </row>
        <row r="33">
          <cell r="A33" t="str">
            <v>Абрамян Акоп Рафикович</v>
          </cell>
          <cell r="B33">
            <v>79605595959</v>
          </cell>
        </row>
        <row r="34">
          <cell r="A34" t="str">
            <v>Абрегов Айдамир Хаджимагаметович</v>
          </cell>
          <cell r="B34">
            <v>79284684222</v>
          </cell>
        </row>
        <row r="35">
          <cell r="A35" t="str">
            <v>Абузярова Дания Ильясовна</v>
          </cell>
          <cell r="B35">
            <v>79057051705</v>
          </cell>
        </row>
        <row r="36">
          <cell r="A36" t="str">
            <v>Авагимян Ара Жораевич</v>
          </cell>
          <cell r="B36">
            <v>79646444476</v>
          </cell>
        </row>
        <row r="37">
          <cell r="A37" t="str">
            <v>Авагян Максим Ашотович</v>
          </cell>
          <cell r="B37">
            <v>79852927333</v>
          </cell>
        </row>
        <row r="38">
          <cell r="A38" t="str">
            <v>Авагян Тигран Агванович</v>
          </cell>
          <cell r="B38">
            <v>79015017090</v>
          </cell>
        </row>
        <row r="39">
          <cell r="A39" t="str">
            <v>Аванесян Виген Эмикович</v>
          </cell>
          <cell r="B39">
            <v>79268240461</v>
          </cell>
        </row>
        <row r="40">
          <cell r="A40" t="str">
            <v>Аванесян Лилит Эдуардовна</v>
          </cell>
          <cell r="B40">
            <v>79651185822</v>
          </cell>
        </row>
        <row r="41">
          <cell r="A41" t="str">
            <v>Авдеев Дмитрий Николаевич</v>
          </cell>
          <cell r="B41">
            <v>79183331019</v>
          </cell>
        </row>
        <row r="42">
          <cell r="A42" t="str">
            <v>Авдеев Максим Игоревич</v>
          </cell>
          <cell r="B42">
            <v>79260100414</v>
          </cell>
        </row>
        <row r="43">
          <cell r="A43" t="str">
            <v>Авдеева Ольга Алексеевна</v>
          </cell>
          <cell r="B43">
            <v>79156047988</v>
          </cell>
        </row>
        <row r="44">
          <cell r="A44" t="str">
            <v>Авдошина Светлана Викторовна</v>
          </cell>
          <cell r="B44">
            <v>79685887023</v>
          </cell>
        </row>
        <row r="45">
          <cell r="A45" t="str">
            <v>Авдошина Светлана Викторовна</v>
          </cell>
          <cell r="B45">
            <v>79777711739</v>
          </cell>
        </row>
        <row r="46">
          <cell r="A46" t="str">
            <v>Аветисян Грант Араратович</v>
          </cell>
          <cell r="B46">
            <v>79300008003</v>
          </cell>
        </row>
        <row r="47">
          <cell r="A47" t="str">
            <v>АВТОКОНТИНЕНТ ООО</v>
          </cell>
          <cell r="B47">
            <v>79099959191</v>
          </cell>
        </row>
        <row r="48">
          <cell r="A48" t="str">
            <v>Авьюсов Владимир Аркадьевич</v>
          </cell>
          <cell r="B48">
            <v>79615412222</v>
          </cell>
        </row>
        <row r="49">
          <cell r="A49" t="str">
            <v>Агаджанян Самвел Амаякович</v>
          </cell>
          <cell r="B49">
            <v>79307087581</v>
          </cell>
        </row>
        <row r="50">
          <cell r="A50" t="str">
            <v>Агакишиев Ядуллах Али Оглы</v>
          </cell>
          <cell r="B50">
            <v>79268556331</v>
          </cell>
        </row>
        <row r="51">
          <cell r="A51" t="str">
            <v>Агалакова Анжелика Ириковна</v>
          </cell>
          <cell r="B51">
            <v>79995894101</v>
          </cell>
        </row>
        <row r="52">
          <cell r="A52" t="str">
            <v>Агапитова Мария Валерьевна</v>
          </cell>
          <cell r="B52">
            <v>79262292536</v>
          </cell>
        </row>
        <row r="53">
          <cell r="A53" t="str">
            <v>Агапов Сергей Петрович</v>
          </cell>
          <cell r="B53">
            <v>79035312601</v>
          </cell>
        </row>
        <row r="54">
          <cell r="A54" t="str">
            <v>Агапова Галина Анатольевна</v>
          </cell>
          <cell r="B54">
            <v>79851232246</v>
          </cell>
        </row>
        <row r="55">
          <cell r="A55" t="str">
            <v>Агапова Ирина Николаевна</v>
          </cell>
          <cell r="B55">
            <v>79647724385</v>
          </cell>
        </row>
        <row r="56">
          <cell r="A56" t="str">
            <v>Агапова Клавдия Степановна</v>
          </cell>
          <cell r="B56">
            <v>79035312948</v>
          </cell>
        </row>
        <row r="57">
          <cell r="A57" t="str">
            <v>Агапова Оксана Васильевна</v>
          </cell>
          <cell r="B57">
            <v>79803331350</v>
          </cell>
        </row>
        <row r="58">
          <cell r="A58" t="str">
            <v>Агаронов Виталий Семенович</v>
          </cell>
          <cell r="B58">
            <v>79117556268</v>
          </cell>
        </row>
        <row r="59">
          <cell r="A59" t="str">
            <v>Агафонов Алексей Юрьевич</v>
          </cell>
          <cell r="B59">
            <v>79119621549</v>
          </cell>
        </row>
        <row r="60">
          <cell r="A60" t="str">
            <v>Агросоюз ООО</v>
          </cell>
          <cell r="B60">
            <v>79264223090</v>
          </cell>
        </row>
        <row r="61">
          <cell r="A61" t="str">
            <v>Агузов Мурат Вячеславович</v>
          </cell>
          <cell r="B61">
            <v>79380282288</v>
          </cell>
        </row>
        <row r="62">
          <cell r="A62" t="str">
            <v>Адамов Николай Олегович</v>
          </cell>
          <cell r="B62">
            <v>79217569433</v>
          </cell>
        </row>
        <row r="63">
          <cell r="A63" t="str">
            <v>Адамян Ваграм Акобович</v>
          </cell>
          <cell r="B63">
            <v>79169407050</v>
          </cell>
        </row>
        <row r="64">
          <cell r="A64" t="str">
            <v>Адеулов Руслан Аснямович</v>
          </cell>
          <cell r="B64">
            <v>79211803161</v>
          </cell>
        </row>
        <row r="65">
          <cell r="A65" t="str">
            <v>Аджаматов Салимхан Гамидович</v>
          </cell>
          <cell r="B65">
            <v>79266140904</v>
          </cell>
        </row>
        <row r="66">
          <cell r="A66" t="str">
            <v>Аджаматова Рашия Магомеднуриевна</v>
          </cell>
          <cell r="B66">
            <v>79266140916</v>
          </cell>
        </row>
        <row r="67">
          <cell r="A67" t="str">
            <v>Адилбеков Алмаз Адилбекович</v>
          </cell>
          <cell r="B67">
            <v>79998431105</v>
          </cell>
        </row>
        <row r="68">
          <cell r="A68" t="str">
            <v>Адилов Низамудин Айнюдинович</v>
          </cell>
          <cell r="B68">
            <v>79265952373</v>
          </cell>
        </row>
        <row r="69">
          <cell r="A69" t="str">
            <v>Адилов Эмиль Раиз-Оглы</v>
          </cell>
          <cell r="B69">
            <v>79257195999</v>
          </cell>
        </row>
        <row r="70">
          <cell r="A70" t="str">
            <v>Азамова Фариза</v>
          </cell>
          <cell r="B70">
            <v>79104364747</v>
          </cell>
        </row>
        <row r="71">
          <cell r="A71" t="str">
            <v>Азаренков Антон Сергеевич</v>
          </cell>
          <cell r="B71">
            <v>79158516636</v>
          </cell>
        </row>
        <row r="72">
          <cell r="A72" t="str">
            <v>Азаров Александр Юрьевич</v>
          </cell>
          <cell r="B72">
            <v>79169649351</v>
          </cell>
        </row>
        <row r="73">
          <cell r="A73" t="str">
            <v>Азиев Абдурахман Авхадович</v>
          </cell>
          <cell r="B73">
            <v>79899072129</v>
          </cell>
        </row>
        <row r="74">
          <cell r="A74" t="str">
            <v>Азиева Милана Зайнуладаевна</v>
          </cell>
          <cell r="B74">
            <v>79661239595</v>
          </cell>
        </row>
        <row r="75">
          <cell r="A75" t="str">
            <v>Азизов Азизбек Журабекович</v>
          </cell>
          <cell r="B75">
            <v>79167645678</v>
          </cell>
        </row>
        <row r="76">
          <cell r="A76" t="str">
            <v>Азизов Эльшан Ровшан Оглы</v>
          </cell>
          <cell r="B76">
            <v>79267534866</v>
          </cell>
        </row>
        <row r="77">
          <cell r="A77" t="str">
            <v>Азимурадов Максатулло Сунатуллоевич</v>
          </cell>
          <cell r="B77">
            <v>79778551712</v>
          </cell>
        </row>
        <row r="78">
          <cell r="A78" t="str">
            <v>Азоев Стаматис Рудикович</v>
          </cell>
          <cell r="B78">
            <v>79250377827</v>
          </cell>
        </row>
        <row r="79">
          <cell r="A79" t="str">
            <v>АЗТ-Технологии ООО</v>
          </cell>
          <cell r="B79">
            <v>79060624856</v>
          </cell>
        </row>
        <row r="80">
          <cell r="A80" t="str">
            <v>Айвазян Артур Феликсович</v>
          </cell>
          <cell r="B80">
            <v>79268228936</v>
          </cell>
        </row>
        <row r="81">
          <cell r="A81" t="str">
            <v>Айвазян Карен Арменович</v>
          </cell>
          <cell r="B81">
            <v>79629851010</v>
          </cell>
        </row>
        <row r="82">
          <cell r="A82" t="str">
            <v>Айрапетян Нарек Гайкович</v>
          </cell>
          <cell r="B82">
            <v>79185287135</v>
          </cell>
        </row>
        <row r="83">
          <cell r="A83" t="str">
            <v>Айрапетянц Гаянэ Вартановна</v>
          </cell>
          <cell r="B83">
            <v>79035459004</v>
          </cell>
        </row>
        <row r="84">
          <cell r="A84" t="str">
            <v>Айриян Николай Эрнестович</v>
          </cell>
          <cell r="B84">
            <v>79680000101</v>
          </cell>
        </row>
        <row r="85">
          <cell r="A85" t="str">
            <v>Айриян Николай Эрнестович</v>
          </cell>
          <cell r="B85">
            <v>79015596383</v>
          </cell>
        </row>
        <row r="86">
          <cell r="A86" t="str">
            <v>Акимова Анастасия Игоревна</v>
          </cell>
          <cell r="B86">
            <v>79254838568</v>
          </cell>
        </row>
        <row r="87">
          <cell r="A87" t="str">
            <v>Акимова Жанна Константиновна</v>
          </cell>
          <cell r="B87">
            <v>79055809480</v>
          </cell>
        </row>
        <row r="88">
          <cell r="A88" t="str">
            <v>Акиньшин Олег Алексеевич</v>
          </cell>
          <cell r="B88">
            <v>79259185883</v>
          </cell>
        </row>
        <row r="89">
          <cell r="A89" t="str">
            <v>Акобян Анюта Борисовна</v>
          </cell>
          <cell r="B89">
            <v>79652786824</v>
          </cell>
        </row>
        <row r="90">
          <cell r="A90" t="str">
            <v>Акопов Артем Альбертович</v>
          </cell>
          <cell r="B90">
            <v>79636267777</v>
          </cell>
        </row>
        <row r="91">
          <cell r="A91" t="str">
            <v>Акопян Мелкон Карапетович</v>
          </cell>
          <cell r="B91">
            <v>79152989899</v>
          </cell>
        </row>
        <row r="92">
          <cell r="A92" t="str">
            <v>Акопян Нарине Самвеловна</v>
          </cell>
          <cell r="B92">
            <v>79258022020</v>
          </cell>
        </row>
        <row r="93">
          <cell r="A93" t="str">
            <v>Акопян Элина Юрьевна</v>
          </cell>
          <cell r="B93">
            <v>79646427079</v>
          </cell>
        </row>
        <row r="94">
          <cell r="A94" t="str">
            <v>Аксаментов Андрей Дмитриевич</v>
          </cell>
          <cell r="B94">
            <v>79998147229</v>
          </cell>
        </row>
        <row r="95">
          <cell r="A95" t="str">
            <v>Аксененко Александр Сергеевич</v>
          </cell>
          <cell r="B95">
            <v>79899809236</v>
          </cell>
        </row>
        <row r="96">
          <cell r="A96" t="str">
            <v>Аксенчук Александр Вячеславович</v>
          </cell>
          <cell r="B96">
            <v>79774206754</v>
          </cell>
        </row>
        <row r="97">
          <cell r="A97" t="str">
            <v>Акулинин Александр Владимирович</v>
          </cell>
          <cell r="B97">
            <v>79154977167</v>
          </cell>
        </row>
        <row r="98">
          <cell r="A98" t="str">
            <v>Акулов Андрей Александрович</v>
          </cell>
          <cell r="B98">
            <v>79263844367</v>
          </cell>
        </row>
        <row r="99">
          <cell r="A99" t="str">
            <v>Акчурин Фирит Кяшафович</v>
          </cell>
          <cell r="B99">
            <v>79647020965</v>
          </cell>
        </row>
        <row r="100">
          <cell r="A100" t="str">
            <v>Алавердян Аракся Хачиковна</v>
          </cell>
          <cell r="B100">
            <v>79671714603</v>
          </cell>
        </row>
        <row r="101">
          <cell r="A101" t="str">
            <v>Аладьин Никита Олегович</v>
          </cell>
          <cell r="B101">
            <v>79159781947</v>
          </cell>
        </row>
        <row r="102">
          <cell r="A102" t="str">
            <v>Алахвердиев Насиб Тахирович</v>
          </cell>
          <cell r="B102">
            <v>79269281888</v>
          </cell>
        </row>
        <row r="103">
          <cell r="A103" t="str">
            <v>Александров Дмитрий Алексеевич</v>
          </cell>
          <cell r="B103">
            <v>79219928788</v>
          </cell>
        </row>
        <row r="104">
          <cell r="A104" t="str">
            <v>Александров Дмитрий Юрьевич</v>
          </cell>
          <cell r="B104">
            <v>79002838379</v>
          </cell>
        </row>
        <row r="105">
          <cell r="A105" t="str">
            <v>Александров Максим Александрович</v>
          </cell>
          <cell r="B105">
            <v>79296927807</v>
          </cell>
        </row>
        <row r="106">
          <cell r="A106" t="str">
            <v>Александровский Павел Николаевич</v>
          </cell>
          <cell r="B106">
            <v>79166863706</v>
          </cell>
        </row>
        <row r="107">
          <cell r="A107" t="str">
            <v>Алексанян Карине Размиковна</v>
          </cell>
          <cell r="B107">
            <v>79816981215</v>
          </cell>
        </row>
        <row r="108">
          <cell r="A108" t="str">
            <v>Алексанян Роберт Робертович</v>
          </cell>
          <cell r="B108">
            <v>79992078749</v>
          </cell>
        </row>
        <row r="109">
          <cell r="A109" t="str">
            <v>Алексеев Алексей Борисович</v>
          </cell>
          <cell r="B109">
            <v>79296358142</v>
          </cell>
        </row>
        <row r="110">
          <cell r="A110" t="str">
            <v>Алексеев Михаил Александрович</v>
          </cell>
          <cell r="B110">
            <v>79817208331</v>
          </cell>
        </row>
        <row r="111">
          <cell r="A111" t="str">
            <v>Алексеев Никита Игоревич</v>
          </cell>
          <cell r="B111">
            <v>79174098730</v>
          </cell>
        </row>
        <row r="112">
          <cell r="A112" t="str">
            <v>Алексеев Станислав Игоревич</v>
          </cell>
          <cell r="B112">
            <v>79214114541</v>
          </cell>
        </row>
        <row r="113">
          <cell r="A113" t="str">
            <v>Алексеев Юрий Сергеевич</v>
          </cell>
          <cell r="B113">
            <v>79857663443</v>
          </cell>
        </row>
        <row r="114">
          <cell r="A114" t="str">
            <v>Алексеева Алла Анатольевна</v>
          </cell>
          <cell r="B114">
            <v>79854324899</v>
          </cell>
        </row>
        <row r="115">
          <cell r="A115" t="str">
            <v>Алексеева Светлана Николаевна</v>
          </cell>
          <cell r="B115">
            <v>79858362124</v>
          </cell>
        </row>
        <row r="116">
          <cell r="A116" t="str">
            <v>Алексеенко Денис Александрович</v>
          </cell>
          <cell r="B116">
            <v>79045550006</v>
          </cell>
        </row>
        <row r="117">
          <cell r="A117" t="str">
            <v>Алексенцев Евгений Игоревич</v>
          </cell>
          <cell r="B117">
            <v>79624595451</v>
          </cell>
        </row>
        <row r="118">
          <cell r="A118" t="str">
            <v>Алешин Виктор Викторович</v>
          </cell>
          <cell r="B118">
            <v>79031306610</v>
          </cell>
        </row>
        <row r="119">
          <cell r="A119" t="str">
            <v>Алешин Сергей Сергеевич</v>
          </cell>
          <cell r="B119">
            <v>79775983608</v>
          </cell>
        </row>
        <row r="120">
          <cell r="A120" t="str">
            <v>Алешин Эдуард Александрович</v>
          </cell>
          <cell r="B120">
            <v>79533334984</v>
          </cell>
        </row>
        <row r="121">
          <cell r="A121" t="str">
            <v>Алешина Мария Геннадьевна</v>
          </cell>
          <cell r="B121">
            <v>79250309095</v>
          </cell>
        </row>
        <row r="122">
          <cell r="A122" t="str">
            <v>Алешинский Юрий Николаевич</v>
          </cell>
          <cell r="B122" t="str">
            <v/>
          </cell>
        </row>
        <row r="123">
          <cell r="A123" t="str">
            <v>Алешкевич Алексей Викторович</v>
          </cell>
          <cell r="B123">
            <v>79139741742</v>
          </cell>
        </row>
        <row r="124">
          <cell r="A124" t="str">
            <v>Алешкин Алексей Владиславович</v>
          </cell>
          <cell r="B124">
            <v>79173144583</v>
          </cell>
        </row>
        <row r="125">
          <cell r="A125" t="str">
            <v>Алибаев Алайбек Куттукалиевич</v>
          </cell>
          <cell r="B125">
            <v>79267047919</v>
          </cell>
        </row>
        <row r="126">
          <cell r="A126" t="str">
            <v>Алиев Рамиль Али Оглы</v>
          </cell>
          <cell r="B126">
            <v>79166358080</v>
          </cell>
        </row>
        <row r="127">
          <cell r="A127" t="str">
            <v>Алиев Турал Эльдар Оглы</v>
          </cell>
          <cell r="B127">
            <v>79647204074</v>
          </cell>
        </row>
        <row r="128">
          <cell r="A128" t="str">
            <v>Алиева Марина Сергеевна</v>
          </cell>
          <cell r="B128">
            <v>79268214561</v>
          </cell>
        </row>
        <row r="129">
          <cell r="A129" t="str">
            <v>Алижанова Олмахон Базарбаевна</v>
          </cell>
          <cell r="B129">
            <v>79647177060</v>
          </cell>
        </row>
        <row r="130">
          <cell r="A130" t="str">
            <v>Аликулов Серик Ергалеевич</v>
          </cell>
          <cell r="B130">
            <v>79088274256</v>
          </cell>
        </row>
        <row r="131">
          <cell r="A131" t="str">
            <v>Алимирзаев Мурад Нурмагомедович</v>
          </cell>
          <cell r="B131">
            <v>79057420923</v>
          </cell>
        </row>
        <row r="132">
          <cell r="A132" t="str">
            <v>Алимкин Дмитрий Владимирович</v>
          </cell>
          <cell r="B132">
            <v>79254950452</v>
          </cell>
        </row>
        <row r="133">
          <cell r="A133" t="str">
            <v>Алимов Азамат Пулатович</v>
          </cell>
          <cell r="B133">
            <v>79779933738</v>
          </cell>
        </row>
        <row r="134">
          <cell r="A134" t="str">
            <v>Алихасов Александр Эдуардович</v>
          </cell>
          <cell r="B134">
            <v>79060888688</v>
          </cell>
        </row>
        <row r="135">
          <cell r="A135" t="str">
            <v>Аллилуев-Петровский Евгений Викторович</v>
          </cell>
          <cell r="B135">
            <v>79052568888</v>
          </cell>
        </row>
        <row r="136">
          <cell r="A136" t="str">
            <v>Алмазов Игорь Николаевич</v>
          </cell>
          <cell r="B136">
            <v>79263503990</v>
          </cell>
        </row>
        <row r="137">
          <cell r="A137" t="str">
            <v>Алтунашвили Иракли Джемалович</v>
          </cell>
          <cell r="B137">
            <v>79258085578</v>
          </cell>
        </row>
        <row r="138">
          <cell r="A138" t="str">
            <v>Алтухов Игорь Анатольевич</v>
          </cell>
          <cell r="B138">
            <v>79039552420</v>
          </cell>
        </row>
        <row r="139">
          <cell r="A139" t="str">
            <v>Алхименков Даниил Андреевич</v>
          </cell>
          <cell r="B139">
            <v>79056956259</v>
          </cell>
        </row>
        <row r="140">
          <cell r="A140" t="str">
            <v>Алыбаев Долеткельди Ягудович</v>
          </cell>
          <cell r="B140">
            <v>79154897142</v>
          </cell>
        </row>
        <row r="141">
          <cell r="A141" t="str">
            <v>Алыев Вафадар Бакир Оглы</v>
          </cell>
          <cell r="B141">
            <v>79067054943</v>
          </cell>
        </row>
        <row r="142">
          <cell r="A142" t="str">
            <v>Алымов Владимир Алексеевич</v>
          </cell>
          <cell r="B142">
            <v>79154111561</v>
          </cell>
        </row>
        <row r="143">
          <cell r="A143" t="str">
            <v>Альмухаметова Эльвира Дауратовна</v>
          </cell>
          <cell r="B143">
            <v>79177428254</v>
          </cell>
        </row>
        <row r="144">
          <cell r="A144" t="str">
            <v>Альхова Юлия Владимировна</v>
          </cell>
          <cell r="B144">
            <v>79166752582</v>
          </cell>
        </row>
        <row r="145">
          <cell r="A145" t="str">
            <v>Аманниязова Гулистан Атаевна</v>
          </cell>
          <cell r="B145">
            <v>79263972100</v>
          </cell>
        </row>
        <row r="146">
          <cell r="A146" t="str">
            <v>Амбарцумян Франц Григорьевич</v>
          </cell>
          <cell r="B146">
            <v>79295715778</v>
          </cell>
        </row>
        <row r="147">
          <cell r="A147" t="str">
            <v>Амбарян Манушак Камовна</v>
          </cell>
          <cell r="B147">
            <v>79151747376</v>
          </cell>
        </row>
        <row r="148">
          <cell r="A148" t="str">
            <v>Амбросиенко Павел Сергеевич</v>
          </cell>
          <cell r="B148">
            <v>79996051996</v>
          </cell>
        </row>
        <row r="149">
          <cell r="A149" t="str">
            <v>Аминжонов Уктам Раимжонович</v>
          </cell>
          <cell r="B149">
            <v>79154624804</v>
          </cell>
        </row>
        <row r="150">
          <cell r="A150" t="str">
            <v>Амирбеков Исабек Амирбекович</v>
          </cell>
          <cell r="B150">
            <v>79279406575</v>
          </cell>
        </row>
        <row r="151">
          <cell r="A151" t="str">
            <v>Амирханян Оганес Николаевич</v>
          </cell>
          <cell r="B151">
            <v>79037906960</v>
          </cell>
        </row>
        <row r="152">
          <cell r="A152" t="str">
            <v>Амирханян Эмиль Оганесович</v>
          </cell>
          <cell r="B152">
            <v>79160538081</v>
          </cell>
        </row>
        <row r="153">
          <cell r="A153" t="str">
            <v>Амосов Александр Анатольевич</v>
          </cell>
          <cell r="B153">
            <v>79315886103</v>
          </cell>
        </row>
        <row r="154">
          <cell r="A154" t="str">
            <v>Ан Мария Витальевна</v>
          </cell>
          <cell r="B154">
            <v>79098045328</v>
          </cell>
        </row>
        <row r="155">
          <cell r="A155" t="str">
            <v>Ананина Татьяна Григорьевна</v>
          </cell>
          <cell r="B155">
            <v>79021639695</v>
          </cell>
        </row>
        <row r="156">
          <cell r="A156" t="str">
            <v>Ананчев Ефим Иванович</v>
          </cell>
          <cell r="B156">
            <v>79587777888</v>
          </cell>
        </row>
        <row r="157">
          <cell r="A157" t="str">
            <v>Ананьев Владимир Юрьевич</v>
          </cell>
          <cell r="B157">
            <v>79299998292</v>
          </cell>
        </row>
        <row r="158">
          <cell r="A158" t="str">
            <v>Ананьева Анна Алексеевна</v>
          </cell>
          <cell r="B158">
            <v>79961366061</v>
          </cell>
        </row>
        <row r="159">
          <cell r="A159" t="str">
            <v>Ананян Давид Сержикович</v>
          </cell>
          <cell r="B159">
            <v>79257023039</v>
          </cell>
        </row>
        <row r="160">
          <cell r="A160" t="str">
            <v>Ангелов Алексей Славов</v>
          </cell>
          <cell r="B160">
            <v>79392222275</v>
          </cell>
        </row>
        <row r="161">
          <cell r="A161" t="str">
            <v>Андреев Василий Игоревич</v>
          </cell>
          <cell r="B161">
            <v>79162410674</v>
          </cell>
        </row>
        <row r="162">
          <cell r="A162" t="str">
            <v>Андреев Дмитрий Сергеевич</v>
          </cell>
          <cell r="B162">
            <v>79651073579</v>
          </cell>
        </row>
        <row r="163">
          <cell r="A163" t="str">
            <v>Андреев Евгений Петрович</v>
          </cell>
          <cell r="B163">
            <v>79266499523</v>
          </cell>
        </row>
        <row r="164">
          <cell r="A164" t="str">
            <v>Андреев Максим Вячеславович</v>
          </cell>
          <cell r="B164">
            <v>79653612744</v>
          </cell>
        </row>
        <row r="165">
          <cell r="A165" t="str">
            <v>Андреенкова Татьяна Александровна</v>
          </cell>
          <cell r="B165">
            <v>79153734580</v>
          </cell>
        </row>
        <row r="166">
          <cell r="A166" t="str">
            <v>Андрейчук Юлия Ренадовна</v>
          </cell>
          <cell r="B166">
            <v>79528507049</v>
          </cell>
        </row>
        <row r="167">
          <cell r="A167" t="str">
            <v>Андреященко Светлана Анатольевна</v>
          </cell>
          <cell r="B167">
            <v>79298010070</v>
          </cell>
        </row>
        <row r="168">
          <cell r="A168" t="str">
            <v>Андронова Александра Иосифовна</v>
          </cell>
          <cell r="B168">
            <v>79153481711</v>
          </cell>
        </row>
        <row r="169">
          <cell r="A169" t="str">
            <v>Андрющенко Анатолий Петрович</v>
          </cell>
          <cell r="B169">
            <v>79284461219</v>
          </cell>
        </row>
        <row r="170">
          <cell r="A170" t="str">
            <v>Анзорова Инна Руслановна</v>
          </cell>
          <cell r="B170">
            <v>79261264094</v>
          </cell>
        </row>
        <row r="171">
          <cell r="A171" t="str">
            <v>Аникин Николай Михайлович</v>
          </cell>
          <cell r="B171">
            <v>79189499174</v>
          </cell>
        </row>
        <row r="172">
          <cell r="A172" t="str">
            <v>Аничкин Алексей Алексеевич</v>
          </cell>
          <cell r="B172">
            <v>79200921100</v>
          </cell>
        </row>
        <row r="173">
          <cell r="A173" t="str">
            <v>Анищенкова Оксана Михайловна</v>
          </cell>
          <cell r="B173">
            <v>79827501106</v>
          </cell>
        </row>
        <row r="174">
          <cell r="A174" t="str">
            <v>Анкудинов Алексей Сергеевич</v>
          </cell>
          <cell r="B174">
            <v>79260843375</v>
          </cell>
        </row>
        <row r="175">
          <cell r="A175" t="str">
            <v>Аннишинец Вячеслав Иванович</v>
          </cell>
          <cell r="B175">
            <v>79288446218</v>
          </cell>
        </row>
        <row r="176">
          <cell r="A176" t="str">
            <v>Анохина Вероника Валерьевна</v>
          </cell>
          <cell r="B176">
            <v>79155148851</v>
          </cell>
        </row>
        <row r="177">
          <cell r="A177" t="str">
            <v>Антипов Антон Михайлович</v>
          </cell>
          <cell r="B177">
            <v>79260452980</v>
          </cell>
        </row>
        <row r="178">
          <cell r="A178" t="str">
            <v>Антоненко Дмитрий Владимирович</v>
          </cell>
          <cell r="B178">
            <v>79688078257</v>
          </cell>
        </row>
        <row r="179">
          <cell r="A179" t="str">
            <v>Антонов Валерий Иванович</v>
          </cell>
          <cell r="B179">
            <v>79268880472</v>
          </cell>
        </row>
        <row r="180">
          <cell r="A180" t="str">
            <v>Антонов Павел Владимирович</v>
          </cell>
          <cell r="B180">
            <v>79046321557</v>
          </cell>
        </row>
        <row r="181">
          <cell r="A181" t="str">
            <v>Антонов Сергей Петрович</v>
          </cell>
          <cell r="B181">
            <v>79313615194</v>
          </cell>
        </row>
        <row r="182">
          <cell r="A182" t="str">
            <v>Антонян Арам Меружанович</v>
          </cell>
          <cell r="B182">
            <v>79289606161</v>
          </cell>
        </row>
        <row r="183">
          <cell r="A183" t="str">
            <v>Ануфриев Алексей Александрович</v>
          </cell>
          <cell r="B183">
            <v>79884725364</v>
          </cell>
        </row>
        <row r="184">
          <cell r="A184" t="str">
            <v>Ануфриенко Михаил Сергеевич</v>
          </cell>
          <cell r="B184">
            <v>79117605842</v>
          </cell>
        </row>
        <row r="185">
          <cell r="A185" t="str">
            <v>Ануфриенко Сергей Владимирович</v>
          </cell>
          <cell r="B185">
            <v>79999681438</v>
          </cell>
        </row>
        <row r="186">
          <cell r="A186" t="str">
            <v>Аперян Любовь Артуровна</v>
          </cell>
          <cell r="B186">
            <v>79006315919</v>
          </cell>
        </row>
        <row r="187">
          <cell r="A187" t="str">
            <v>Апухтина Виолетта Байрамовна</v>
          </cell>
          <cell r="B187">
            <v>79771435088</v>
          </cell>
        </row>
        <row r="188">
          <cell r="A188" t="str">
            <v>Аракелов Александр Сергеевич</v>
          </cell>
          <cell r="B188" t="str">
            <v/>
          </cell>
        </row>
        <row r="189">
          <cell r="A189" t="str">
            <v>Аракелян Арут Арменович</v>
          </cell>
          <cell r="B189">
            <v>79615012246</v>
          </cell>
        </row>
        <row r="190">
          <cell r="A190" t="str">
            <v>Аракелян Лусине Вардановна</v>
          </cell>
          <cell r="B190">
            <v>79898338400</v>
          </cell>
        </row>
        <row r="191">
          <cell r="A191" t="str">
            <v>Аракелян Михаил Герасимович</v>
          </cell>
          <cell r="B191">
            <v>79104212400</v>
          </cell>
        </row>
        <row r="192">
          <cell r="A192" t="str">
            <v>Аракелян Тигран Арташович</v>
          </cell>
          <cell r="B192">
            <v>79037796848</v>
          </cell>
        </row>
        <row r="193">
          <cell r="A193" t="str">
            <v>Арефьев Максим Алексеевич</v>
          </cell>
          <cell r="B193">
            <v>79082820228</v>
          </cell>
        </row>
        <row r="194">
          <cell r="A194" t="str">
            <v>Аристанов Булат Рахметунлаевич</v>
          </cell>
          <cell r="B194">
            <v>79052130429</v>
          </cell>
        </row>
        <row r="195">
          <cell r="A195" t="str">
            <v>Аристова Елена Владимировна</v>
          </cell>
          <cell r="B195">
            <v>79164011207</v>
          </cell>
        </row>
        <row r="196">
          <cell r="A196" t="str">
            <v>Аркан Владимир Владимирович</v>
          </cell>
          <cell r="B196">
            <v>79857339203</v>
          </cell>
        </row>
        <row r="197">
          <cell r="A197" t="str">
            <v>Аркан Владимир Владимирович</v>
          </cell>
          <cell r="B197">
            <v>79153246736</v>
          </cell>
        </row>
        <row r="198">
          <cell r="A198" t="str">
            <v>Аркатов Денис Евгеньевич</v>
          </cell>
          <cell r="B198">
            <v>79264762000</v>
          </cell>
        </row>
        <row r="199">
          <cell r="A199" t="str">
            <v>Аркашкин Максим Владимирович</v>
          </cell>
          <cell r="B199">
            <v>79850673367</v>
          </cell>
        </row>
        <row r="200">
          <cell r="A200" t="str">
            <v>Арменакян Армен Борисович</v>
          </cell>
          <cell r="B200">
            <v>79160568434</v>
          </cell>
        </row>
        <row r="201">
          <cell r="A201" t="str">
            <v>Арменакян Армен Серёжаевич</v>
          </cell>
          <cell r="B201">
            <v>79299991599</v>
          </cell>
        </row>
        <row r="202">
          <cell r="A202" t="str">
            <v>Армяновский Сергей Владимирович</v>
          </cell>
          <cell r="B202">
            <v>79777619786</v>
          </cell>
        </row>
        <row r="203">
          <cell r="A203" t="str">
            <v>Артемов Михаил Васильевич</v>
          </cell>
          <cell r="B203">
            <v>79027544920</v>
          </cell>
        </row>
        <row r="204">
          <cell r="A204" t="str">
            <v>Артемьев Александр Сергеевич</v>
          </cell>
          <cell r="B204">
            <v>79110984965</v>
          </cell>
        </row>
        <row r="205">
          <cell r="A205" t="str">
            <v>Артемьев Максим Борисович</v>
          </cell>
          <cell r="B205">
            <v>79166714556</v>
          </cell>
        </row>
        <row r="206">
          <cell r="A206" t="str">
            <v>АРТПРОЕКТ ООО</v>
          </cell>
          <cell r="B206">
            <v>79119259881</v>
          </cell>
        </row>
        <row r="207">
          <cell r="A207" t="str">
            <v>Артыков Кыдырали Гапарович</v>
          </cell>
          <cell r="B207">
            <v>79269543388</v>
          </cell>
        </row>
        <row r="208">
          <cell r="A208" t="str">
            <v>АРТЭС ООО</v>
          </cell>
          <cell r="B208">
            <v>79219311400</v>
          </cell>
        </row>
        <row r="209">
          <cell r="A209" t="str">
            <v>Артюшенко Владимир Анатольевич</v>
          </cell>
          <cell r="B209">
            <v>79181812661</v>
          </cell>
        </row>
        <row r="210">
          <cell r="A210" t="str">
            <v>Артюшов Виталий Александрович</v>
          </cell>
          <cell r="B210">
            <v>79854248554</v>
          </cell>
        </row>
        <row r="211">
          <cell r="A211" t="str">
            <v>Арустамян Диана Артуровна</v>
          </cell>
          <cell r="B211">
            <v>79892922276</v>
          </cell>
        </row>
        <row r="212">
          <cell r="A212" t="str">
            <v>Арутюнова Рузанна Георгиевна</v>
          </cell>
          <cell r="B212">
            <v>79181202611</v>
          </cell>
        </row>
        <row r="213">
          <cell r="A213" t="str">
            <v>Арутюнян Ваге Андреасович</v>
          </cell>
          <cell r="B213">
            <v>79395550055</v>
          </cell>
        </row>
        <row r="214">
          <cell r="A214" t="str">
            <v>Арутюнян Вардан Сергоевич</v>
          </cell>
          <cell r="B214">
            <v>79053366552</v>
          </cell>
        </row>
        <row r="215">
          <cell r="A215" t="str">
            <v>Арутюнян Карен Варужанович</v>
          </cell>
          <cell r="B215">
            <v>79788815545</v>
          </cell>
        </row>
        <row r="216">
          <cell r="A216" t="str">
            <v>Арутюнян Сережа Теватосович</v>
          </cell>
          <cell r="B216">
            <v>79257950235</v>
          </cell>
        </row>
        <row r="217">
          <cell r="A217" t="str">
            <v>Архипов Данил Алексеевич</v>
          </cell>
          <cell r="B217">
            <v>79193953286</v>
          </cell>
        </row>
        <row r="218">
          <cell r="A218" t="str">
            <v>Архипов Николай Вадимович</v>
          </cell>
          <cell r="B218">
            <v>79093334343</v>
          </cell>
        </row>
        <row r="219">
          <cell r="A219" t="str">
            <v>Аршавский Юрий Михайлович</v>
          </cell>
          <cell r="B219">
            <v>79859224350</v>
          </cell>
        </row>
        <row r="220">
          <cell r="A220" t="str">
            <v>АС ЕВРО СТРОЙ ООО</v>
          </cell>
          <cell r="B220">
            <v>79670503102</v>
          </cell>
        </row>
        <row r="221">
          <cell r="A221" t="str">
            <v>АС ООО</v>
          </cell>
          <cell r="B221">
            <v>79522032333</v>
          </cell>
        </row>
        <row r="222">
          <cell r="A222" t="str">
            <v>Асадбеков Александр Файзович</v>
          </cell>
          <cell r="B222">
            <v>79160735278</v>
          </cell>
        </row>
        <row r="223">
          <cell r="A223" t="str">
            <v>Асадуллаева Айша Витальевна</v>
          </cell>
          <cell r="B223" t="str">
            <v/>
          </cell>
        </row>
        <row r="224">
          <cell r="A224" t="str">
            <v>Асланов Шахмар Фирадович</v>
          </cell>
          <cell r="B224">
            <v>79670516175</v>
          </cell>
        </row>
        <row r="225">
          <cell r="A225" t="str">
            <v>Асликян Гарик Самвелович</v>
          </cell>
          <cell r="B225">
            <v>79180081488</v>
          </cell>
        </row>
        <row r="226">
          <cell r="A226" t="str">
            <v>Аспидов Эдуард Николаевич</v>
          </cell>
          <cell r="B226">
            <v>79852112751</v>
          </cell>
        </row>
        <row r="227">
          <cell r="A227" t="str">
            <v>Асрян Андроник Валерьевич</v>
          </cell>
          <cell r="B227">
            <v>79853453035</v>
          </cell>
        </row>
        <row r="228">
          <cell r="A228" t="str">
            <v>Астапов Александр Иванович</v>
          </cell>
          <cell r="B228">
            <v>79916432953</v>
          </cell>
        </row>
        <row r="229">
          <cell r="A229" t="str">
            <v>Астапов Александр Иванович</v>
          </cell>
          <cell r="B229" t="str">
            <v/>
          </cell>
        </row>
        <row r="230">
          <cell r="A230" t="str">
            <v>Астахов Алексей Андреевич</v>
          </cell>
          <cell r="B230">
            <v>79855898204</v>
          </cell>
        </row>
        <row r="231">
          <cell r="A231" t="str">
            <v>Асулян Мгер Гарникович</v>
          </cell>
          <cell r="B231">
            <v>79188954414</v>
          </cell>
        </row>
        <row r="232">
          <cell r="A232" t="str">
            <v>Атабоев Каримжон Валижонович</v>
          </cell>
          <cell r="B232">
            <v>79774974812</v>
          </cell>
        </row>
        <row r="233">
          <cell r="A233" t="str">
            <v>Атакишиев Гасым Гара Оглы</v>
          </cell>
          <cell r="B233">
            <v>79264845959</v>
          </cell>
        </row>
        <row r="234">
          <cell r="A234" t="str">
            <v>Атаманов Максим Владимирович</v>
          </cell>
          <cell r="B234">
            <v>79099829612</v>
          </cell>
        </row>
        <row r="235">
          <cell r="A235" t="str">
            <v>Атаманский Владимир Иванович</v>
          </cell>
          <cell r="B235">
            <v>79185264504</v>
          </cell>
        </row>
        <row r="236">
          <cell r="A236" t="str">
            <v>Атанесян Гарегин Николаевич</v>
          </cell>
          <cell r="B236">
            <v>79267017578</v>
          </cell>
        </row>
        <row r="237">
          <cell r="A237" t="str">
            <v>АТЛАС ООО</v>
          </cell>
          <cell r="B237" t="str">
            <v/>
          </cell>
        </row>
        <row r="238">
          <cell r="A238" t="str">
            <v>Атоян Меружан Нурикович</v>
          </cell>
          <cell r="B238">
            <v>79264049111</v>
          </cell>
        </row>
        <row r="239">
          <cell r="A239" t="str">
            <v>Атрошенко Елена Владимировна</v>
          </cell>
          <cell r="B239">
            <v>79852797978</v>
          </cell>
        </row>
        <row r="240">
          <cell r="A240" t="str">
            <v>Атцаев Ахмед Шахитович</v>
          </cell>
          <cell r="B240">
            <v>79384486566</v>
          </cell>
        </row>
        <row r="241">
          <cell r="A241" t="str">
            <v>Атькин Алексей Александрович</v>
          </cell>
          <cell r="B241">
            <v>79653893833</v>
          </cell>
        </row>
        <row r="242">
          <cell r="A242" t="str">
            <v>Ауст Зарина Ивановна</v>
          </cell>
          <cell r="B242">
            <v>79032014710</v>
          </cell>
        </row>
        <row r="243">
          <cell r="A243" t="str">
            <v>Аутлева Сусанна Руслановна</v>
          </cell>
          <cell r="B243">
            <v>79604944224</v>
          </cell>
        </row>
        <row r="244">
          <cell r="A244" t="str">
            <v>Аушева Зарета Беслановна</v>
          </cell>
          <cell r="B244">
            <v>79264539727</v>
          </cell>
        </row>
        <row r="245">
          <cell r="A245" t="str">
            <v>Афанасенков Андрей Владимирович</v>
          </cell>
          <cell r="B245">
            <v>79671880888</v>
          </cell>
        </row>
        <row r="246">
          <cell r="A246" t="str">
            <v>Афонин Николай Юрьевич</v>
          </cell>
          <cell r="B246">
            <v>79164059403</v>
          </cell>
        </row>
        <row r="247">
          <cell r="A247" t="str">
            <v>Афонин Сергей Юрьевич</v>
          </cell>
          <cell r="B247">
            <v>79129455795</v>
          </cell>
        </row>
        <row r="248">
          <cell r="A248" t="str">
            <v>Афонский Максим Станиславович</v>
          </cell>
          <cell r="B248">
            <v>79038969450</v>
          </cell>
        </row>
        <row r="249">
          <cell r="A249" t="str">
            <v>Ахмеджанова Лия Анваровна</v>
          </cell>
          <cell r="B249">
            <v>79033487609</v>
          </cell>
        </row>
        <row r="250">
          <cell r="A250" t="str">
            <v>Ахмедов Вали Ахмед Оглы</v>
          </cell>
          <cell r="B250">
            <v>79263760053</v>
          </cell>
        </row>
        <row r="251">
          <cell r="A251" t="str">
            <v>Ахмедов Магомедрасул Камаладинович</v>
          </cell>
          <cell r="B251">
            <v>79861111103</v>
          </cell>
        </row>
        <row r="252">
          <cell r="A252" t="str">
            <v>Ахмедова Нарынгюль Низами Кызы</v>
          </cell>
          <cell r="B252">
            <v>79397001885</v>
          </cell>
        </row>
        <row r="253">
          <cell r="A253" t="str">
            <v>Ахметов Ривкат Багызович</v>
          </cell>
          <cell r="B253">
            <v>79297934561</v>
          </cell>
        </row>
        <row r="254">
          <cell r="A254" t="str">
            <v>Ахметова Елена Леонидовна</v>
          </cell>
          <cell r="B254">
            <v>79223224806</v>
          </cell>
        </row>
        <row r="255">
          <cell r="A255" t="str">
            <v>Ахмуллаев Марлен Ибрагимович</v>
          </cell>
          <cell r="B255">
            <v>79780501850</v>
          </cell>
        </row>
        <row r="256">
          <cell r="A256" t="str">
            <v>Ахназаров Вардан Левонович</v>
          </cell>
          <cell r="B256">
            <v>79264833705</v>
          </cell>
        </row>
        <row r="257">
          <cell r="A257" t="str">
            <v>Ахундова Нилюфер Шамседдин Кызы</v>
          </cell>
          <cell r="B257">
            <v>79266302076</v>
          </cell>
        </row>
        <row r="258">
          <cell r="A258" t="str">
            <v>АЭК ООО КА</v>
          </cell>
          <cell r="B258" t="str">
            <v/>
          </cell>
        </row>
        <row r="259">
          <cell r="A259" t="str">
            <v>Аюпов Данил Мухаметович</v>
          </cell>
          <cell r="B259">
            <v>79174166442</v>
          </cell>
        </row>
        <row r="260">
          <cell r="A260" t="str">
            <v>Бабаев Айдын Закария оглы</v>
          </cell>
          <cell r="B260">
            <v>79672010007</v>
          </cell>
        </row>
        <row r="261">
          <cell r="A261" t="str">
            <v>Бабаев Орудж Гамза Оглы</v>
          </cell>
          <cell r="B261">
            <v>79266264446</v>
          </cell>
        </row>
        <row r="262">
          <cell r="A262" t="str">
            <v>Бабаев Орудж Гамза Оглы</v>
          </cell>
          <cell r="B262">
            <v>79265602353</v>
          </cell>
        </row>
        <row r="263">
          <cell r="A263" t="str">
            <v>Бабак Николай Анатольевич</v>
          </cell>
          <cell r="B263">
            <v>79636633444</v>
          </cell>
        </row>
        <row r="264">
          <cell r="A264" t="str">
            <v>Бабаян Мартин Хачатурович</v>
          </cell>
          <cell r="B264">
            <v>79670000499</v>
          </cell>
        </row>
        <row r="265">
          <cell r="A265" t="str">
            <v>Бабаянц Артур Владимирович</v>
          </cell>
          <cell r="B265">
            <v>79169999550</v>
          </cell>
        </row>
        <row r="266">
          <cell r="A266" t="str">
            <v>Бабенышева Наталия Григорьевна</v>
          </cell>
          <cell r="B266">
            <v>79999999991</v>
          </cell>
        </row>
        <row r="267">
          <cell r="A267" t="str">
            <v>Бабенышева Наталия Григорьевна</v>
          </cell>
          <cell r="B267">
            <v>79032711853</v>
          </cell>
        </row>
        <row r="268">
          <cell r="A268" t="str">
            <v>Бабичев Андрей Юрьевич</v>
          </cell>
          <cell r="B268">
            <v>79898394443</v>
          </cell>
        </row>
        <row r="269">
          <cell r="A269" t="str">
            <v>Бабичев Геннадий Борисович</v>
          </cell>
          <cell r="B269">
            <v>79852269001</v>
          </cell>
        </row>
        <row r="270">
          <cell r="A270" t="str">
            <v>Бабокин Евгений Александрович</v>
          </cell>
          <cell r="B270">
            <v>79032337191</v>
          </cell>
        </row>
        <row r="271">
          <cell r="A271" t="str">
            <v>Бабоян Алексей Шагенович</v>
          </cell>
          <cell r="B271">
            <v>79107201001</v>
          </cell>
        </row>
        <row r="272">
          <cell r="A272" t="str">
            <v>Багаев Феликс Давидович</v>
          </cell>
          <cell r="B272">
            <v>79854114106</v>
          </cell>
        </row>
        <row r="273">
          <cell r="A273" t="str">
            <v>Багаты Марат Феликсович</v>
          </cell>
          <cell r="B273">
            <v>79151829592</v>
          </cell>
        </row>
        <row r="274">
          <cell r="A274" t="str">
            <v>Багдасарян Рафаэль Арменович</v>
          </cell>
          <cell r="B274">
            <v>79096648800</v>
          </cell>
        </row>
        <row r="275">
          <cell r="A275" t="str">
            <v>Багдасарян Сергей Анатольевич</v>
          </cell>
          <cell r="B275" t="str">
            <v/>
          </cell>
        </row>
        <row r="276">
          <cell r="A276" t="str">
            <v>Багранян Карен Парнавазович</v>
          </cell>
          <cell r="B276">
            <v>79526673000</v>
          </cell>
        </row>
        <row r="277">
          <cell r="A277" t="str">
            <v>Багрицевич Дмитрий Александрович</v>
          </cell>
          <cell r="B277">
            <v>79676695258</v>
          </cell>
        </row>
        <row r="278">
          <cell r="A278" t="str">
            <v>Бадеян Ерванд Вазгенович</v>
          </cell>
          <cell r="B278">
            <v>79006949492</v>
          </cell>
        </row>
        <row r="279">
          <cell r="A279" t="str">
            <v>Бадиров Али Абдухалыкович</v>
          </cell>
          <cell r="B279">
            <v>79054655565</v>
          </cell>
        </row>
        <row r="280">
          <cell r="A280" t="str">
            <v>Бадоян Карлен Самвелович</v>
          </cell>
          <cell r="B280" t="str">
            <v/>
          </cell>
        </row>
        <row r="281">
          <cell r="A281" t="str">
            <v>Бадуев Александр Леонидович</v>
          </cell>
          <cell r="B281">
            <v>79852504757</v>
          </cell>
        </row>
        <row r="282">
          <cell r="A282" t="str">
            <v>Бажанов Сергей Анатольевич</v>
          </cell>
          <cell r="B282">
            <v>79031271234</v>
          </cell>
        </row>
        <row r="283">
          <cell r="A283" t="str">
            <v>Бажанова Оксана Александровна</v>
          </cell>
          <cell r="B283">
            <v>79167565112</v>
          </cell>
        </row>
        <row r="284">
          <cell r="A284" t="str">
            <v>Бажуткин Николай Владимирович</v>
          </cell>
          <cell r="B284">
            <v>79991055035</v>
          </cell>
        </row>
        <row r="285">
          <cell r="A285" t="str">
            <v>Базарнова Татьяна Леонидовна</v>
          </cell>
          <cell r="B285">
            <v>79004754576</v>
          </cell>
        </row>
        <row r="286">
          <cell r="A286" t="str">
            <v>Базаров Атаджан Алланурович</v>
          </cell>
          <cell r="B286" t="str">
            <v/>
          </cell>
        </row>
        <row r="287">
          <cell r="A287" t="str">
            <v>Базарова Нафиса Ибрагимжановна</v>
          </cell>
          <cell r="B287">
            <v>79529124124</v>
          </cell>
        </row>
        <row r="288">
          <cell r="A288" t="str">
            <v>Байгужов Александр Владимирович</v>
          </cell>
          <cell r="B288">
            <v>79057630002</v>
          </cell>
        </row>
        <row r="289">
          <cell r="A289" t="str">
            <v>Байдалиев Рустам Сабитович</v>
          </cell>
          <cell r="B289">
            <v>79681932434</v>
          </cell>
        </row>
        <row r="290">
          <cell r="A290" t="str">
            <v>Байрамов Сабир Вагифович</v>
          </cell>
          <cell r="B290">
            <v>79175909191</v>
          </cell>
        </row>
        <row r="291">
          <cell r="A291" t="str">
            <v>Байрахтарян Артём Григорьевич</v>
          </cell>
          <cell r="B291">
            <v>79099695252</v>
          </cell>
        </row>
        <row r="292">
          <cell r="A292" t="str">
            <v>Байрахтарян Цолак Григорьевич</v>
          </cell>
          <cell r="B292">
            <v>79859280818</v>
          </cell>
        </row>
        <row r="293">
          <cell r="A293" t="str">
            <v>Байтемиров Ахметхан Магарамович</v>
          </cell>
          <cell r="B293">
            <v>79627567943</v>
          </cell>
        </row>
        <row r="294">
          <cell r="A294" t="str">
            <v>Байшурин Чингиз Берикович</v>
          </cell>
          <cell r="B294">
            <v>79096801059</v>
          </cell>
        </row>
        <row r="295">
          <cell r="A295" t="str">
            <v>Бакальчук Алексей Владиславович</v>
          </cell>
          <cell r="B295">
            <v>79213207651</v>
          </cell>
        </row>
        <row r="296">
          <cell r="A296" t="str">
            <v>Баканач Андрей Константинович</v>
          </cell>
          <cell r="B296">
            <v>79175663257</v>
          </cell>
        </row>
        <row r="297">
          <cell r="A297" t="str">
            <v>Бакиров Теймур Бахрам оглы</v>
          </cell>
          <cell r="B297">
            <v>79619438260</v>
          </cell>
        </row>
        <row r="298">
          <cell r="A298" t="str">
            <v>Бакласова Мирабелла Викторовна</v>
          </cell>
          <cell r="B298">
            <v>79302928808</v>
          </cell>
        </row>
        <row r="299">
          <cell r="A299" t="str">
            <v>Бакулин Андрей Валерьевич</v>
          </cell>
          <cell r="B299">
            <v>79184390308</v>
          </cell>
        </row>
        <row r="300">
          <cell r="A300" t="str">
            <v>Балабушка Александр Александрович</v>
          </cell>
          <cell r="B300">
            <v>79857214117</v>
          </cell>
        </row>
        <row r="301">
          <cell r="A301" t="str">
            <v>Баландин Алексей Сергеевич</v>
          </cell>
          <cell r="B301">
            <v>79255251152</v>
          </cell>
        </row>
        <row r="302">
          <cell r="A302" t="str">
            <v>Баландина Алина Валерьевна</v>
          </cell>
          <cell r="B302">
            <v>79152659188</v>
          </cell>
        </row>
        <row r="303">
          <cell r="A303" t="str">
            <v>Балаян Важно Амирович</v>
          </cell>
          <cell r="B303">
            <v>79269354333</v>
          </cell>
        </row>
        <row r="304">
          <cell r="A304" t="str">
            <v>Балнокин Александр Валерьевич</v>
          </cell>
          <cell r="B304">
            <v>79267094632</v>
          </cell>
        </row>
        <row r="305">
          <cell r="A305" t="str">
            <v>Балозян Геннадий Теймуразович</v>
          </cell>
          <cell r="B305">
            <v>79182701316</v>
          </cell>
        </row>
        <row r="306">
          <cell r="A306" t="str">
            <v>Балоян Армен Юрьевич</v>
          </cell>
          <cell r="B306">
            <v>79167121105</v>
          </cell>
        </row>
        <row r="307">
          <cell r="A307" t="str">
            <v>Балт Юнион ООО</v>
          </cell>
          <cell r="B307">
            <v>79119237877</v>
          </cell>
        </row>
        <row r="308">
          <cell r="A308" t="str">
            <v>Балыкина Марина Олеговна</v>
          </cell>
          <cell r="B308">
            <v>79057544240</v>
          </cell>
        </row>
        <row r="309">
          <cell r="A309" t="str">
            <v>Бандалак Олег Иванович</v>
          </cell>
          <cell r="B309">
            <v>79672543796</v>
          </cell>
        </row>
        <row r="310">
          <cell r="A310" t="str">
            <v>Барамия Иракли Роинович</v>
          </cell>
          <cell r="B310">
            <v>79181067474</v>
          </cell>
        </row>
        <row r="311">
          <cell r="A311" t="str">
            <v>Барамыков Рамиль Адипович</v>
          </cell>
          <cell r="B311">
            <v>79629534579</v>
          </cell>
        </row>
        <row r="312">
          <cell r="A312" t="str">
            <v>Баранов Аркадий Александрович</v>
          </cell>
          <cell r="B312">
            <v>79112208586</v>
          </cell>
        </row>
        <row r="313">
          <cell r="A313" t="str">
            <v>Баранов Вадим Викторович</v>
          </cell>
          <cell r="B313">
            <v>79262788314</v>
          </cell>
        </row>
        <row r="314">
          <cell r="A314" t="str">
            <v>Баранов Сергей Алексеевич</v>
          </cell>
          <cell r="B314">
            <v>79998273097</v>
          </cell>
        </row>
        <row r="315">
          <cell r="A315" t="str">
            <v>Баранова Светлана Александровна</v>
          </cell>
          <cell r="B315">
            <v>79522496649</v>
          </cell>
        </row>
        <row r="316">
          <cell r="A316" t="str">
            <v>Бардин Андрей Юрьевич</v>
          </cell>
          <cell r="B316">
            <v>79055070028</v>
          </cell>
        </row>
        <row r="317">
          <cell r="A317" t="str">
            <v>Барегамян Арам Эдуардович</v>
          </cell>
          <cell r="B317">
            <v>79660899922</v>
          </cell>
        </row>
        <row r="318">
          <cell r="A318" t="str">
            <v>Барегамян Арам Эдуардович</v>
          </cell>
          <cell r="B318">
            <v>79060299922</v>
          </cell>
        </row>
        <row r="319">
          <cell r="A319" t="str">
            <v>Барладян Иван Дмитриевич</v>
          </cell>
          <cell r="B319">
            <v>79652026144</v>
          </cell>
        </row>
        <row r="320">
          <cell r="A320" t="str">
            <v>Барсамян Маргарит Сережовна</v>
          </cell>
          <cell r="B320">
            <v>79180826731</v>
          </cell>
        </row>
        <row r="321">
          <cell r="A321" t="str">
            <v>Барсамян Нарине Хачатуровна</v>
          </cell>
          <cell r="B321" t="str">
            <v/>
          </cell>
        </row>
        <row r="322">
          <cell r="A322" t="str">
            <v>Барсегян Сисак Леваевич</v>
          </cell>
          <cell r="B322">
            <v>79680050001</v>
          </cell>
        </row>
        <row r="323">
          <cell r="A323" t="str">
            <v>Барсикян Эдуард Грачевич</v>
          </cell>
          <cell r="B323">
            <v>79185583434</v>
          </cell>
        </row>
        <row r="324">
          <cell r="A324" t="str">
            <v>Барт Денис Михайлович</v>
          </cell>
          <cell r="B324">
            <v>79213003297</v>
          </cell>
        </row>
        <row r="325">
          <cell r="A325" t="str">
            <v>Баруткин Артур Сергеевич</v>
          </cell>
          <cell r="B325">
            <v>79852802276</v>
          </cell>
        </row>
        <row r="326">
          <cell r="A326" t="str">
            <v>Бархударов Сергей Юрьевич</v>
          </cell>
          <cell r="B326">
            <v>79099000911</v>
          </cell>
        </row>
        <row r="327">
          <cell r="A327" t="str">
            <v>Барчукова Марина Алексеевна</v>
          </cell>
          <cell r="B327">
            <v>79186655116</v>
          </cell>
        </row>
        <row r="328">
          <cell r="A328" t="str">
            <v>Барыкина Анастасия Александровна</v>
          </cell>
          <cell r="B328">
            <v>79851630572</v>
          </cell>
        </row>
        <row r="329">
          <cell r="A329" t="str">
            <v>Барышникова Александра Андреевна</v>
          </cell>
          <cell r="B329">
            <v>79645995184</v>
          </cell>
        </row>
        <row r="330">
          <cell r="A330" t="str">
            <v>Басенцян Азнив Вачагановна</v>
          </cell>
          <cell r="B330">
            <v>79265352055</v>
          </cell>
        </row>
        <row r="331">
          <cell r="A331" t="str">
            <v>Батаковский Иван Викторович</v>
          </cell>
          <cell r="B331">
            <v>79119212767</v>
          </cell>
        </row>
        <row r="332">
          <cell r="A332" t="str">
            <v>Баталов Сергей Александрович</v>
          </cell>
          <cell r="B332">
            <v>79035193816</v>
          </cell>
        </row>
        <row r="333">
          <cell r="A333" t="str">
            <v>Батманов Дмитрий Юрьевич</v>
          </cell>
          <cell r="B333">
            <v>79092481113</v>
          </cell>
        </row>
        <row r="334">
          <cell r="A334" t="str">
            <v>Батманов Дмитрий Юрьевич</v>
          </cell>
          <cell r="B334">
            <v>79016829248</v>
          </cell>
        </row>
        <row r="335">
          <cell r="A335" t="str">
            <v>Батракова Ирина Александровна</v>
          </cell>
          <cell r="B335">
            <v>79159982323</v>
          </cell>
        </row>
        <row r="336">
          <cell r="A336" t="str">
            <v>Батракова Ирина Александровна</v>
          </cell>
          <cell r="B336">
            <v>79159972727</v>
          </cell>
        </row>
        <row r="337">
          <cell r="A337" t="str">
            <v>Батурин Василий Михайлович</v>
          </cell>
          <cell r="B337">
            <v>79251502107</v>
          </cell>
        </row>
        <row r="338">
          <cell r="A338" t="str">
            <v>Баулин Андрей Валерьевич</v>
          </cell>
          <cell r="B338">
            <v>79653312353</v>
          </cell>
        </row>
        <row r="339">
          <cell r="A339" t="str">
            <v>Баутина Ольга Сергеевна</v>
          </cell>
          <cell r="B339">
            <v>79151686637</v>
          </cell>
        </row>
        <row r="340">
          <cell r="A340" t="str">
            <v>Бауэр Вячеслав Викторович</v>
          </cell>
          <cell r="B340">
            <v>79126280870</v>
          </cell>
        </row>
        <row r="341">
          <cell r="A341" t="str">
            <v>Баханова Ирина Владимировна</v>
          </cell>
          <cell r="B341">
            <v>79671743590</v>
          </cell>
        </row>
        <row r="342">
          <cell r="A342" t="str">
            <v>Баханцов Семен Владимирович</v>
          </cell>
          <cell r="B342">
            <v>79062888444</v>
          </cell>
        </row>
        <row r="343">
          <cell r="A343" t="str">
            <v>Бахчоян Норик Варданович</v>
          </cell>
          <cell r="B343">
            <v>79184808307</v>
          </cell>
        </row>
        <row r="344">
          <cell r="A344" t="str">
            <v>Башарули Лали Владимировна</v>
          </cell>
          <cell r="B344">
            <v>79100027100</v>
          </cell>
        </row>
        <row r="345">
          <cell r="A345" t="str">
            <v>Башкатов Егор Иванович</v>
          </cell>
          <cell r="B345">
            <v>79119677172</v>
          </cell>
        </row>
        <row r="346">
          <cell r="A346" t="str">
            <v>Башленко Илья Васильевич</v>
          </cell>
          <cell r="B346">
            <v>79375342111</v>
          </cell>
        </row>
        <row r="347">
          <cell r="A347" t="str">
            <v>Баяндин Сергей Петрович</v>
          </cell>
          <cell r="B347">
            <v>79223681955</v>
          </cell>
        </row>
        <row r="348">
          <cell r="A348" t="str">
            <v>Бебия Тимур Мамукович</v>
          </cell>
          <cell r="B348">
            <v>79522884108</v>
          </cell>
        </row>
        <row r="349">
          <cell r="A349" t="str">
            <v>Бегларян Эдгар Артурович</v>
          </cell>
          <cell r="B349">
            <v>79858268888</v>
          </cell>
        </row>
        <row r="350">
          <cell r="A350" t="str">
            <v>Беднарчик Иван Игоревич</v>
          </cell>
          <cell r="B350">
            <v>79647663335</v>
          </cell>
        </row>
        <row r="351">
          <cell r="A351" t="str">
            <v>Беженарь Иван Георгиевич</v>
          </cell>
          <cell r="B351">
            <v>79262698000</v>
          </cell>
        </row>
        <row r="352">
          <cell r="A352" t="str">
            <v>Безрукова Надежда Дмитриевна</v>
          </cell>
          <cell r="B352">
            <v>79151784838</v>
          </cell>
        </row>
        <row r="353">
          <cell r="A353" t="str">
            <v>Бекетов Алексей Алексеевич</v>
          </cell>
          <cell r="B353">
            <v>79058318150</v>
          </cell>
        </row>
        <row r="354">
          <cell r="A354" t="str">
            <v>Белан Надежда Александровна</v>
          </cell>
          <cell r="B354">
            <v>79183323932</v>
          </cell>
        </row>
        <row r="355">
          <cell r="A355" t="str">
            <v>Белгер Эрнест Владимирович</v>
          </cell>
          <cell r="B355">
            <v>79780081478</v>
          </cell>
        </row>
        <row r="356">
          <cell r="A356" t="str">
            <v>Беленко Артем Вадимович</v>
          </cell>
          <cell r="B356">
            <v>79111207511</v>
          </cell>
        </row>
        <row r="357">
          <cell r="A357" t="str">
            <v>Беленкова Юлия</v>
          </cell>
          <cell r="B357">
            <v>79676705750</v>
          </cell>
        </row>
        <row r="358">
          <cell r="A358" t="str">
            <v>Белецкий Григорий Дмитриевич</v>
          </cell>
          <cell r="B358">
            <v>79184490218</v>
          </cell>
        </row>
        <row r="359">
          <cell r="A359" t="str">
            <v>Белик Галина Александровна</v>
          </cell>
          <cell r="B359">
            <v>7927273865</v>
          </cell>
        </row>
        <row r="360">
          <cell r="A360" t="str">
            <v>Белинский Сергей Игоревич</v>
          </cell>
          <cell r="B360">
            <v>79857777525</v>
          </cell>
        </row>
        <row r="361">
          <cell r="A361" t="str">
            <v>Белич Валерий Валериевич</v>
          </cell>
          <cell r="B361">
            <v>79186271220</v>
          </cell>
        </row>
        <row r="362">
          <cell r="A362" t="str">
            <v>Белковский Иван Андреевич</v>
          </cell>
          <cell r="B362">
            <v>79685677736</v>
          </cell>
        </row>
        <row r="363">
          <cell r="A363" t="str">
            <v>Белов Александр Сергеевич</v>
          </cell>
          <cell r="B363">
            <v>79099391969</v>
          </cell>
        </row>
        <row r="364">
          <cell r="A364" t="str">
            <v>Белов Вячеслав Сергеевич</v>
          </cell>
          <cell r="B364">
            <v>79771172294</v>
          </cell>
        </row>
        <row r="365">
          <cell r="A365" t="str">
            <v>Белов Олег Владимирович</v>
          </cell>
          <cell r="B365">
            <v>79154046296</v>
          </cell>
        </row>
        <row r="366">
          <cell r="A366" t="str">
            <v>Белова Галина Борисовна</v>
          </cell>
          <cell r="B366">
            <v>79168587992</v>
          </cell>
        </row>
        <row r="367">
          <cell r="A367" t="str">
            <v>Белова Евгения Валерьевна</v>
          </cell>
          <cell r="B367">
            <v>79104153810</v>
          </cell>
        </row>
        <row r="368">
          <cell r="A368" t="str">
            <v>Белова Мария Станиславовна</v>
          </cell>
          <cell r="B368">
            <v>79175226777</v>
          </cell>
        </row>
        <row r="369">
          <cell r="A369" t="str">
            <v>Белова Ольга Евгеньевна</v>
          </cell>
          <cell r="B369">
            <v>79057749493</v>
          </cell>
        </row>
        <row r="370">
          <cell r="A370" t="str">
            <v>Белоглазов Алексей Юрьевич</v>
          </cell>
          <cell r="B370" t="str">
            <v/>
          </cell>
        </row>
        <row r="371">
          <cell r="A371" t="str">
            <v>Белозеров Денис Сергеевич</v>
          </cell>
          <cell r="B371">
            <v>79174159160</v>
          </cell>
        </row>
        <row r="372">
          <cell r="A372" t="str">
            <v>Белозеров Дмитрий Владимирович</v>
          </cell>
          <cell r="B372">
            <v>79992187519</v>
          </cell>
        </row>
        <row r="373">
          <cell r="A373" t="str">
            <v>Белоконева Елена Ивановна</v>
          </cell>
          <cell r="B373">
            <v>79661894359</v>
          </cell>
        </row>
        <row r="374">
          <cell r="A374" t="str">
            <v>Белокопытов Юрий Анатольевич</v>
          </cell>
          <cell r="B374">
            <v>79104437783</v>
          </cell>
        </row>
        <row r="375">
          <cell r="A375" t="str">
            <v>Белолипцев Дмитрий Олегович</v>
          </cell>
          <cell r="B375">
            <v>79182351977</v>
          </cell>
        </row>
        <row r="376">
          <cell r="A376" t="str">
            <v>Беломытцев Илья Алексеевич</v>
          </cell>
          <cell r="B376">
            <v>79637714181</v>
          </cell>
        </row>
        <row r="377">
          <cell r="A377" t="str">
            <v>Белорыбкин Михаил Васильевич</v>
          </cell>
          <cell r="B377">
            <v>79641320395</v>
          </cell>
        </row>
        <row r="378">
          <cell r="A378" t="str">
            <v>Белоусов Валерий Владимирович</v>
          </cell>
          <cell r="B378">
            <v>79614366701</v>
          </cell>
        </row>
        <row r="379">
          <cell r="A379" t="str">
            <v>Белоусов Валерий Владиславович</v>
          </cell>
          <cell r="B379">
            <v>79184991950</v>
          </cell>
        </row>
        <row r="380">
          <cell r="A380" t="str">
            <v>Белоусов Сергей Александрович</v>
          </cell>
          <cell r="B380">
            <v>79650868600</v>
          </cell>
        </row>
        <row r="381">
          <cell r="A381" t="str">
            <v>Белоусова Наталья Анатольевна</v>
          </cell>
          <cell r="B381">
            <v>79168148833</v>
          </cell>
        </row>
        <row r="382">
          <cell r="A382" t="str">
            <v>Беляев Алексей Васильевич</v>
          </cell>
          <cell r="B382">
            <v>79818488965</v>
          </cell>
        </row>
        <row r="383">
          <cell r="A383" t="str">
            <v>Беляев Андрей Сергеевич</v>
          </cell>
          <cell r="B383">
            <v>79628712731</v>
          </cell>
        </row>
        <row r="384">
          <cell r="A384" t="str">
            <v>Беляев Денис Евгеньевич</v>
          </cell>
          <cell r="B384">
            <v>79213105214</v>
          </cell>
        </row>
        <row r="385">
          <cell r="A385" t="str">
            <v>Беляев Игорь Юрьевич</v>
          </cell>
          <cell r="B385">
            <v>79022908337</v>
          </cell>
        </row>
        <row r="386">
          <cell r="A386" t="str">
            <v>Беляева Елена Вадимовна</v>
          </cell>
          <cell r="B386">
            <v>79158357940</v>
          </cell>
        </row>
        <row r="387">
          <cell r="A387" t="str">
            <v>Беляева Юлия Олеговна</v>
          </cell>
          <cell r="B387">
            <v>79870434006</v>
          </cell>
        </row>
        <row r="388">
          <cell r="A388" t="str">
            <v>Белякова Марина Сергеевна</v>
          </cell>
          <cell r="B388">
            <v>79283012353</v>
          </cell>
        </row>
        <row r="389">
          <cell r="A389" t="str">
            <v>Белянин Анатолий Александрович</v>
          </cell>
          <cell r="B389">
            <v>79653857135</v>
          </cell>
        </row>
        <row r="390">
          <cell r="A390" t="str">
            <v>Бендас Евгений Васильевич</v>
          </cell>
          <cell r="B390">
            <v>79969318786</v>
          </cell>
        </row>
        <row r="391">
          <cell r="A391" t="str">
            <v>Берберян Эдуард Арутюнович</v>
          </cell>
          <cell r="B391">
            <v>79167875038</v>
          </cell>
        </row>
        <row r="392">
          <cell r="A392" t="str">
            <v>Берберян Эдуард Арутюнович</v>
          </cell>
          <cell r="B392">
            <v>79167875038</v>
          </cell>
        </row>
        <row r="393">
          <cell r="A393" t="str">
            <v>Бердиев Азатбай Максадбаевич</v>
          </cell>
          <cell r="B393">
            <v>79296482155</v>
          </cell>
        </row>
        <row r="394">
          <cell r="A394" t="str">
            <v>Берегеч Андрей Анатольевич</v>
          </cell>
          <cell r="B394">
            <v>79646450508</v>
          </cell>
        </row>
        <row r="395">
          <cell r="A395" t="str">
            <v>Бережнов Евгений Иванович</v>
          </cell>
          <cell r="B395">
            <v>79780948749</v>
          </cell>
        </row>
        <row r="396">
          <cell r="A396" t="str">
            <v>Бережных Николай Иванович</v>
          </cell>
          <cell r="B396">
            <v>79039039638</v>
          </cell>
        </row>
        <row r="397">
          <cell r="A397" t="str">
            <v>Березин Валентин Юрьевич</v>
          </cell>
          <cell r="B397">
            <v>79037118940</v>
          </cell>
        </row>
        <row r="398">
          <cell r="A398" t="str">
            <v>Березин Виктор Владимирович</v>
          </cell>
          <cell r="B398">
            <v>79500463011</v>
          </cell>
        </row>
        <row r="399">
          <cell r="A399" t="str">
            <v>Березовская Анастасия Юрьевна</v>
          </cell>
          <cell r="B399">
            <v>79250163960</v>
          </cell>
        </row>
        <row r="400">
          <cell r="A400" t="str">
            <v>Берстенева Марина Евгеньевна</v>
          </cell>
          <cell r="B400">
            <v>79778070307</v>
          </cell>
        </row>
        <row r="401">
          <cell r="A401" t="str">
            <v>Беряльцев Дмитрий Владимирович</v>
          </cell>
          <cell r="B401">
            <v>79096386912</v>
          </cell>
        </row>
        <row r="402">
          <cell r="A402" t="str">
            <v>Бесаев Заур Маратович</v>
          </cell>
          <cell r="B402">
            <v>79897485085</v>
          </cell>
        </row>
        <row r="403">
          <cell r="A403" t="str">
            <v>Бетешвили Серго Хвичаевич</v>
          </cell>
          <cell r="B403">
            <v>79774442745</v>
          </cell>
        </row>
        <row r="404">
          <cell r="A404" t="str">
            <v>Бешлега Виталий Валентинович</v>
          </cell>
          <cell r="B404">
            <v>79181350074</v>
          </cell>
        </row>
        <row r="405">
          <cell r="A405" t="str">
            <v>Бибнева Анастасия Дмитриевна</v>
          </cell>
          <cell r="B405">
            <v>79219431758</v>
          </cell>
        </row>
        <row r="406">
          <cell r="A406" t="str">
            <v>Бибяков Ринат Исмаилович</v>
          </cell>
          <cell r="B406">
            <v>79629166559</v>
          </cell>
        </row>
        <row r="407">
          <cell r="A407" t="str">
            <v>Бизнес Бухгалтер ООО</v>
          </cell>
          <cell r="B407">
            <v>79060545576</v>
          </cell>
        </row>
        <row r="408">
          <cell r="A408" t="str">
            <v>Бикеев Максим Васильевич</v>
          </cell>
          <cell r="B408">
            <v>79258884802</v>
          </cell>
        </row>
        <row r="409">
          <cell r="A409" t="str">
            <v>Бикиева Ольга Альбертовна</v>
          </cell>
          <cell r="B409">
            <v>79135623869</v>
          </cell>
        </row>
        <row r="410">
          <cell r="A410" t="str">
            <v>Бикметова Адель Филаритовна</v>
          </cell>
          <cell r="B410">
            <v>79177580477</v>
          </cell>
        </row>
        <row r="411">
          <cell r="A411" t="str">
            <v>Билалов Имам Исламович</v>
          </cell>
          <cell r="B411">
            <v>79153045444</v>
          </cell>
        </row>
        <row r="412">
          <cell r="A412" t="str">
            <v>Билтуев Юнади Юсупович</v>
          </cell>
          <cell r="B412">
            <v>79109928999</v>
          </cell>
        </row>
        <row r="413">
          <cell r="A413" t="str">
            <v>Бирюков Максим Александрович</v>
          </cell>
          <cell r="B413">
            <v>79774870943</v>
          </cell>
        </row>
        <row r="414">
          <cell r="A414" t="str">
            <v>Битюцких Александр Александрович</v>
          </cell>
          <cell r="B414">
            <v>79163131538</v>
          </cell>
        </row>
        <row r="415">
          <cell r="A415" t="str">
            <v>Биченов Сослан Эдуардович</v>
          </cell>
          <cell r="B415">
            <v>79057199949</v>
          </cell>
        </row>
        <row r="416">
          <cell r="A416" t="str">
            <v>Бичик Михаил Эдуардович</v>
          </cell>
          <cell r="B416">
            <v>79686272920</v>
          </cell>
        </row>
        <row r="417">
          <cell r="A417" t="str">
            <v>Биятов Малик Серекович</v>
          </cell>
          <cell r="B417">
            <v>79534579822</v>
          </cell>
        </row>
        <row r="418">
          <cell r="A418" t="str">
            <v>Блинов Сергей Владимирович</v>
          </cell>
          <cell r="B418">
            <v>79832020677</v>
          </cell>
        </row>
        <row r="419">
          <cell r="A419" t="str">
            <v>Блинова Ирина Вячеславовна</v>
          </cell>
          <cell r="B419">
            <v>79104691517</v>
          </cell>
        </row>
        <row r="420">
          <cell r="A420" t="str">
            <v>Блохин Виталий Анатольевич</v>
          </cell>
          <cell r="B420">
            <v>79184820047</v>
          </cell>
        </row>
        <row r="421">
          <cell r="A421" t="str">
            <v>Блохина Наталья Борисовна</v>
          </cell>
          <cell r="B421">
            <v>79184957703</v>
          </cell>
        </row>
        <row r="422">
          <cell r="A422" t="str">
            <v>Блохина Наталья Борисовна</v>
          </cell>
          <cell r="B422">
            <v>791849577033</v>
          </cell>
        </row>
        <row r="423">
          <cell r="A423" t="str">
            <v>Бобокалонов Джиход Хурсандович</v>
          </cell>
          <cell r="B423">
            <v>79771306455</v>
          </cell>
        </row>
        <row r="424">
          <cell r="A424" t="str">
            <v>Богачук Сергей Прокопьевич</v>
          </cell>
          <cell r="B424">
            <v>79165491616</v>
          </cell>
        </row>
        <row r="425">
          <cell r="A425" t="str">
            <v>Богданов Александр Сергеевич</v>
          </cell>
          <cell r="B425">
            <v>79675332806</v>
          </cell>
        </row>
        <row r="426">
          <cell r="A426" t="str">
            <v>Богданов Борис Владимирович</v>
          </cell>
          <cell r="B426">
            <v>79652302644</v>
          </cell>
        </row>
        <row r="427">
          <cell r="A427" t="str">
            <v>Богданов Павел Григорьевич</v>
          </cell>
          <cell r="B427">
            <v>79258869634</v>
          </cell>
        </row>
        <row r="428">
          <cell r="A428" t="str">
            <v>Богданова Анна Сергеевна</v>
          </cell>
          <cell r="B428">
            <v>79671666076</v>
          </cell>
        </row>
        <row r="429">
          <cell r="A429" t="str">
            <v>Богданова Марина Алексеевна</v>
          </cell>
          <cell r="B429">
            <v>79615943904</v>
          </cell>
        </row>
        <row r="430">
          <cell r="A430" t="str">
            <v>Богданова Ольга Геннадиевна</v>
          </cell>
          <cell r="B430">
            <v>79036307914</v>
          </cell>
        </row>
        <row r="431">
          <cell r="A431" t="str">
            <v>Бодров Алексей Андреевич</v>
          </cell>
          <cell r="B431">
            <v>79219143032</v>
          </cell>
        </row>
        <row r="432">
          <cell r="A432" t="str">
            <v>Боженик Ольга Андриановна</v>
          </cell>
          <cell r="B432">
            <v>79161807516</v>
          </cell>
        </row>
        <row r="433">
          <cell r="A433" t="str">
            <v>Божеску Алексей Дмитриевич</v>
          </cell>
          <cell r="B433">
            <v>79892407919</v>
          </cell>
        </row>
        <row r="434">
          <cell r="A434" t="str">
            <v>Божик Юлия Евгеньевна</v>
          </cell>
          <cell r="B434">
            <v>79685347092</v>
          </cell>
        </row>
        <row r="435">
          <cell r="A435" t="str">
            <v>Бозоян Агаси Климентович</v>
          </cell>
          <cell r="B435">
            <v>79167970100</v>
          </cell>
        </row>
        <row r="436">
          <cell r="A436" t="str">
            <v>Бойко Вадим Эдуардович</v>
          </cell>
          <cell r="B436">
            <v>79859251725</v>
          </cell>
        </row>
        <row r="437">
          <cell r="A437" t="str">
            <v>Бойко Василий Анатольевич</v>
          </cell>
          <cell r="B437">
            <v>79671222197</v>
          </cell>
        </row>
        <row r="438">
          <cell r="A438" t="str">
            <v>Бойков Дмитрий Николаевич</v>
          </cell>
          <cell r="B438">
            <v>79315951266</v>
          </cell>
        </row>
        <row r="439">
          <cell r="A439" t="str">
            <v>Бокарев Виталий Викторович</v>
          </cell>
          <cell r="B439">
            <v>79629435000</v>
          </cell>
        </row>
        <row r="440">
          <cell r="A440" t="str">
            <v>Бокучава Гиорги Тамазович</v>
          </cell>
          <cell r="B440">
            <v>79266688814</v>
          </cell>
        </row>
        <row r="441">
          <cell r="A441" t="str">
            <v>Болгов Владислав Петрович</v>
          </cell>
          <cell r="B441">
            <v>79262206286</v>
          </cell>
        </row>
        <row r="442">
          <cell r="A442" t="str">
            <v>Болквадзе Александр Теймуразович</v>
          </cell>
          <cell r="B442">
            <v>79857647438</v>
          </cell>
        </row>
        <row r="443">
          <cell r="A443" t="str">
            <v>Большаков Иван Анатольевич</v>
          </cell>
          <cell r="B443">
            <v>79184023777</v>
          </cell>
        </row>
        <row r="444">
          <cell r="A444" t="str">
            <v>Бондаренко Александр Александрович</v>
          </cell>
          <cell r="B444">
            <v>79005980224</v>
          </cell>
        </row>
        <row r="445">
          <cell r="A445" t="str">
            <v>Бондаренко Александр Александрович</v>
          </cell>
          <cell r="B445">
            <v>79525901132</v>
          </cell>
        </row>
        <row r="446">
          <cell r="A446" t="str">
            <v>Бондаренко Андрей Петрович</v>
          </cell>
          <cell r="B446">
            <v>79819110144</v>
          </cell>
        </row>
        <row r="447">
          <cell r="A447" t="str">
            <v>Бондаренко Светлана Евгеньевна</v>
          </cell>
          <cell r="B447">
            <v>79255497874</v>
          </cell>
        </row>
        <row r="448">
          <cell r="A448" t="str">
            <v>Бондарчик Алексей Михайлович</v>
          </cell>
          <cell r="B448">
            <v>79199615544</v>
          </cell>
        </row>
        <row r="449">
          <cell r="A449" t="str">
            <v>Бондарь Руслан Валерьевич</v>
          </cell>
          <cell r="B449">
            <v>79775131546</v>
          </cell>
        </row>
        <row r="450">
          <cell r="A450" t="str">
            <v>Бонч-Бруевич Татьяна Антоновна</v>
          </cell>
          <cell r="B450">
            <v>79037664442</v>
          </cell>
        </row>
        <row r="451">
          <cell r="A451" t="str">
            <v>Бориев Амир Аминович</v>
          </cell>
          <cell r="B451">
            <v>79601763704</v>
          </cell>
        </row>
        <row r="452">
          <cell r="A452" t="str">
            <v>Борисов Александр Михайлович</v>
          </cell>
          <cell r="B452">
            <v>79671182255</v>
          </cell>
        </row>
        <row r="453">
          <cell r="A453" t="str">
            <v>Борисов Алексей Валерьевич</v>
          </cell>
          <cell r="B453">
            <v>79169998637</v>
          </cell>
        </row>
        <row r="454">
          <cell r="A454" t="str">
            <v>Борисов Алексей Валерьевич</v>
          </cell>
          <cell r="B454">
            <v>79207515459</v>
          </cell>
        </row>
        <row r="455">
          <cell r="A455" t="str">
            <v>Борисов Андрей Сергеевич</v>
          </cell>
          <cell r="B455">
            <v>79261353076</v>
          </cell>
        </row>
        <row r="456">
          <cell r="A456" t="str">
            <v>Борисов Владимир Григорьевич</v>
          </cell>
          <cell r="B456">
            <v>79096475532</v>
          </cell>
        </row>
        <row r="457">
          <cell r="A457" t="str">
            <v>Борисов Вячеслав Вячеславович</v>
          </cell>
          <cell r="B457">
            <v>79629996059</v>
          </cell>
        </row>
        <row r="458">
          <cell r="A458" t="str">
            <v>Борисов Максим Валерьевич</v>
          </cell>
          <cell r="B458">
            <v>79164758181</v>
          </cell>
        </row>
        <row r="459">
          <cell r="A459" t="str">
            <v>Борисова Екатерина Борисовна</v>
          </cell>
          <cell r="B459">
            <v>79636342525</v>
          </cell>
        </row>
        <row r="460">
          <cell r="A460" t="str">
            <v>Борисова Наталия Николаевна</v>
          </cell>
          <cell r="B460">
            <v>79639992610</v>
          </cell>
        </row>
        <row r="461">
          <cell r="A461" t="str">
            <v>Бормотова Марина Александровна</v>
          </cell>
          <cell r="B461">
            <v>79296337141</v>
          </cell>
        </row>
        <row r="462">
          <cell r="A462" t="str">
            <v>Боровая Зинаида Сергеевна</v>
          </cell>
          <cell r="B462">
            <v>79055732909</v>
          </cell>
        </row>
        <row r="463">
          <cell r="A463" t="str">
            <v>Боровик Сергей Владимирович</v>
          </cell>
          <cell r="B463">
            <v>79811852090</v>
          </cell>
        </row>
        <row r="464">
          <cell r="A464" t="str">
            <v>Бородин Роман Романович</v>
          </cell>
          <cell r="B464">
            <v>79663318620</v>
          </cell>
        </row>
        <row r="465">
          <cell r="A465" t="str">
            <v>Ботев Роман Александрович</v>
          </cell>
          <cell r="B465">
            <v>79539445039</v>
          </cell>
        </row>
        <row r="466">
          <cell r="A466" t="str">
            <v>Боярко Анна Ивановна</v>
          </cell>
          <cell r="B466" t="str">
            <v/>
          </cell>
        </row>
        <row r="467">
          <cell r="A467" t="str">
            <v>Бредихин Александр Иванович</v>
          </cell>
          <cell r="B467">
            <v>79213525286</v>
          </cell>
        </row>
        <row r="468">
          <cell r="A468" t="str">
            <v>Брежнева Мария Михайловна</v>
          </cell>
          <cell r="B468">
            <v>79629993747</v>
          </cell>
        </row>
        <row r="469">
          <cell r="A469" t="str">
            <v>Брич Кирилл Сергеевич</v>
          </cell>
          <cell r="B469">
            <v>79110013323</v>
          </cell>
        </row>
        <row r="470">
          <cell r="A470" t="str">
            <v>Бровикова Ольга Юрьевна</v>
          </cell>
          <cell r="B470">
            <v>79161144421</v>
          </cell>
        </row>
        <row r="471">
          <cell r="A471" t="str">
            <v>Брсоян Владимир Мартинович</v>
          </cell>
          <cell r="B471">
            <v>79772689272</v>
          </cell>
        </row>
        <row r="472">
          <cell r="A472" t="str">
            <v>Брсоян Владимир Мартинович</v>
          </cell>
          <cell r="B472">
            <v>79017423467</v>
          </cell>
        </row>
        <row r="473">
          <cell r="A473" t="str">
            <v>Брусова Валерия Валерьевна</v>
          </cell>
          <cell r="B473">
            <v>79166353236</v>
          </cell>
        </row>
        <row r="474">
          <cell r="A474" t="str">
            <v>Брынский Артем Сергеевич</v>
          </cell>
          <cell r="B474">
            <v>79099671156</v>
          </cell>
        </row>
        <row r="475">
          <cell r="A475" t="str">
            <v>Будина Лариса Александровна</v>
          </cell>
          <cell r="B475">
            <v>79519292864</v>
          </cell>
        </row>
        <row r="476">
          <cell r="A476" t="str">
            <v>Будяков Алексей Владимирович</v>
          </cell>
          <cell r="B476">
            <v>79676705741</v>
          </cell>
        </row>
        <row r="477">
          <cell r="A477" t="str">
            <v>Буздалов Михаил Петрович</v>
          </cell>
          <cell r="B477">
            <v>79633076789</v>
          </cell>
        </row>
        <row r="478">
          <cell r="A478" t="str">
            <v>Бузина Виктория Юрьевна</v>
          </cell>
          <cell r="B478">
            <v>79119697571</v>
          </cell>
        </row>
        <row r="479">
          <cell r="A479" t="str">
            <v>Бузовский Вадим Сергеевич</v>
          </cell>
          <cell r="B479">
            <v>79680801010</v>
          </cell>
        </row>
        <row r="480">
          <cell r="A480" t="str">
            <v>Бузыканов Алексей Викторович</v>
          </cell>
          <cell r="B480">
            <v>79037292935</v>
          </cell>
        </row>
        <row r="481">
          <cell r="A481" t="str">
            <v>Буланкин Андрей Сергеевич</v>
          </cell>
          <cell r="B481">
            <v>78889571103</v>
          </cell>
        </row>
        <row r="482">
          <cell r="A482" t="str">
            <v>Булатов Даниил Владимирович</v>
          </cell>
          <cell r="B482">
            <v>79181817533</v>
          </cell>
        </row>
        <row r="483">
          <cell r="A483" t="str">
            <v>Булатов Роман Александрович</v>
          </cell>
          <cell r="B483" t="str">
            <v/>
          </cell>
        </row>
        <row r="484">
          <cell r="A484" t="str">
            <v>Булатов Юрий Александрович</v>
          </cell>
          <cell r="B484">
            <v>79687718181</v>
          </cell>
        </row>
        <row r="485">
          <cell r="A485" t="str">
            <v>Булатова Оксана Валерьевна</v>
          </cell>
          <cell r="B485">
            <v>79882475444</v>
          </cell>
        </row>
        <row r="486">
          <cell r="A486" t="str">
            <v>Булгаков Денис Васильевич</v>
          </cell>
          <cell r="B486">
            <v>79508724666</v>
          </cell>
        </row>
        <row r="487">
          <cell r="A487" t="str">
            <v>Булгакова Галия Закиевна</v>
          </cell>
          <cell r="B487">
            <v>79373435931</v>
          </cell>
        </row>
        <row r="488">
          <cell r="A488" t="str">
            <v>Бунаков Алексей Вячеславович</v>
          </cell>
          <cell r="B488">
            <v>79654272020</v>
          </cell>
        </row>
        <row r="489">
          <cell r="A489" t="str">
            <v>Буниатян Арман Арменакович</v>
          </cell>
          <cell r="B489">
            <v>79160973288</v>
          </cell>
        </row>
        <row r="490">
          <cell r="A490" t="str">
            <v>Бураков Александр Александрович</v>
          </cell>
          <cell r="B490">
            <v>79651845721</v>
          </cell>
        </row>
        <row r="491">
          <cell r="A491" t="str">
            <v>Буренкова Екатерина Сергеевна</v>
          </cell>
          <cell r="B491">
            <v>79532951339</v>
          </cell>
        </row>
        <row r="492">
          <cell r="A492" t="str">
            <v>Буренкова Екатерина Сергеевна</v>
          </cell>
          <cell r="B492">
            <v>79158023383</v>
          </cell>
        </row>
        <row r="493">
          <cell r="A493" t="str">
            <v>Буркан Александр Анатольевич</v>
          </cell>
          <cell r="B493">
            <v>79264444412</v>
          </cell>
        </row>
        <row r="494">
          <cell r="A494" t="str">
            <v>Бурков Анатолий Александрович</v>
          </cell>
          <cell r="B494">
            <v>79175659463</v>
          </cell>
        </row>
        <row r="495">
          <cell r="A495" t="str">
            <v>Бурков Андрей Геннадьевич</v>
          </cell>
          <cell r="B495">
            <v>79180468949</v>
          </cell>
        </row>
        <row r="496">
          <cell r="A496" t="str">
            <v>Бурма Мария Георгиевна</v>
          </cell>
          <cell r="B496">
            <v>79253310307</v>
          </cell>
        </row>
        <row r="497">
          <cell r="A497" t="str">
            <v>Бурцев Владимир Вячеславович</v>
          </cell>
          <cell r="B497">
            <v>79818595242</v>
          </cell>
        </row>
        <row r="498">
          <cell r="A498" t="str">
            <v>Бурцев Дмитрий Васильевич</v>
          </cell>
          <cell r="B498">
            <v>79298443381</v>
          </cell>
        </row>
        <row r="499">
          <cell r="A499" t="str">
            <v>Бурцева Мария Юрьевна</v>
          </cell>
          <cell r="B499">
            <v>79165612738</v>
          </cell>
        </row>
        <row r="500">
          <cell r="A500" t="str">
            <v>Бурьянов Андрей Михайлович</v>
          </cell>
          <cell r="B500">
            <v>79032097782</v>
          </cell>
        </row>
        <row r="501">
          <cell r="A501" t="str">
            <v>Буслов Валерий Александрович</v>
          </cell>
          <cell r="B501">
            <v>79997170924</v>
          </cell>
        </row>
        <row r="502">
          <cell r="A502" t="str">
            <v>Бутаков Владимир Владимирович</v>
          </cell>
          <cell r="B502" t="str">
            <v/>
          </cell>
        </row>
        <row r="503">
          <cell r="A503" t="str">
            <v>Бутенко Надежда Анатольевна</v>
          </cell>
          <cell r="B503">
            <v>79811942374</v>
          </cell>
        </row>
        <row r="504">
          <cell r="A504" t="str">
            <v>Бутерус Анна Рольфовна</v>
          </cell>
          <cell r="B504">
            <v>79649049079</v>
          </cell>
        </row>
        <row r="505">
          <cell r="A505" t="str">
            <v>Бутов Павел Александрович</v>
          </cell>
          <cell r="B505">
            <v>79608957993</v>
          </cell>
        </row>
        <row r="506">
          <cell r="A506" t="str">
            <v>Бутузов Артур Вячеславович</v>
          </cell>
          <cell r="B506">
            <v>79166018096</v>
          </cell>
        </row>
        <row r="507">
          <cell r="A507" t="str">
            <v>Бутурлакин Марк Николаевич</v>
          </cell>
          <cell r="B507">
            <v>79204038222</v>
          </cell>
        </row>
        <row r="508">
          <cell r="A508" t="str">
            <v>Бучнева Наталья Николаевна</v>
          </cell>
          <cell r="B508">
            <v>79119708475</v>
          </cell>
        </row>
        <row r="509">
          <cell r="A509" t="str">
            <v>Бушманов Алексей Сергеевич</v>
          </cell>
          <cell r="B509">
            <v>79000631420</v>
          </cell>
        </row>
        <row r="510">
          <cell r="A510" t="str">
            <v>Бушуев Василий Владимирович</v>
          </cell>
          <cell r="B510">
            <v>79030506555</v>
          </cell>
        </row>
        <row r="511">
          <cell r="A511" t="str">
            <v>Буянкин Сергей Сергеевич</v>
          </cell>
          <cell r="B511">
            <v>79269900300</v>
          </cell>
        </row>
        <row r="512">
          <cell r="A512" t="str">
            <v>Быкин Евгений Леонидович</v>
          </cell>
          <cell r="B512">
            <v>79153361755</v>
          </cell>
        </row>
        <row r="513">
          <cell r="A513" t="str">
            <v>Быстров Михаил Владимирович</v>
          </cell>
          <cell r="B513">
            <v>79818402754</v>
          </cell>
        </row>
        <row r="514">
          <cell r="A514" t="str">
            <v>Быченко Антон Николаевич</v>
          </cell>
          <cell r="B514">
            <v>79781027796</v>
          </cell>
        </row>
        <row r="515">
          <cell r="A515" t="str">
            <v>Бычков Алексей Александрович</v>
          </cell>
          <cell r="B515">
            <v>79261551735</v>
          </cell>
        </row>
        <row r="516">
          <cell r="A516" t="str">
            <v>Бычков Кирилл Андреевич</v>
          </cell>
          <cell r="B516">
            <v>79031926091</v>
          </cell>
        </row>
        <row r="517">
          <cell r="A517" t="str">
            <v>Бэтти Элиза Мовлади</v>
          </cell>
          <cell r="B517">
            <v>79851512222</v>
          </cell>
        </row>
        <row r="518">
          <cell r="A518" t="str">
            <v>Бятец Андрей Евгеньевич</v>
          </cell>
          <cell r="B518">
            <v>79064311718</v>
          </cell>
        </row>
        <row r="519">
          <cell r="A519" t="str">
            <v>Бячкова Наталья Николаевна</v>
          </cell>
          <cell r="B519" t="str">
            <v/>
          </cell>
        </row>
        <row r="520">
          <cell r="A520" t="str">
            <v>Ваднева Марина Александровна</v>
          </cell>
          <cell r="B520">
            <v>79307203302</v>
          </cell>
        </row>
        <row r="521">
          <cell r="A521" t="str">
            <v>Важнова Екатерина Юрьевна</v>
          </cell>
          <cell r="B521">
            <v>79057500500</v>
          </cell>
        </row>
        <row r="522">
          <cell r="A522" t="str">
            <v>Вакорина Екатерина Валентиновна</v>
          </cell>
          <cell r="B522">
            <v>79217947356</v>
          </cell>
        </row>
        <row r="523">
          <cell r="A523" t="str">
            <v>ВАЛАР ООО</v>
          </cell>
          <cell r="B523">
            <v>79153044635</v>
          </cell>
        </row>
        <row r="524">
          <cell r="A524" t="str">
            <v>Валеев Рамиль Равилович</v>
          </cell>
          <cell r="B524">
            <v>79178736594</v>
          </cell>
        </row>
        <row r="525">
          <cell r="A525" t="str">
            <v>Валеев Тимур Сагитович</v>
          </cell>
          <cell r="B525">
            <v>79655754688</v>
          </cell>
        </row>
        <row r="526">
          <cell r="A526" t="str">
            <v>Валигурский Дмитрий Иванович</v>
          </cell>
          <cell r="B526">
            <v>79168139664</v>
          </cell>
        </row>
        <row r="527">
          <cell r="A527" t="str">
            <v>Валиков Алексей Анатольевич</v>
          </cell>
          <cell r="B527">
            <v>79637534949</v>
          </cell>
        </row>
        <row r="528">
          <cell r="A528" t="str">
            <v>Валитов Марат Рифагатович</v>
          </cell>
          <cell r="B528">
            <v>79255006562</v>
          </cell>
        </row>
        <row r="529">
          <cell r="A529" t="str">
            <v>Ванунц Михаил Лаврентиевич</v>
          </cell>
          <cell r="B529">
            <v>79250272222</v>
          </cell>
        </row>
        <row r="530">
          <cell r="A530" t="str">
            <v>Ваньков Никита Валерьевич</v>
          </cell>
          <cell r="B530">
            <v>79150135838</v>
          </cell>
        </row>
        <row r="531">
          <cell r="A531" t="str">
            <v>Варданян Ара Лаврентович</v>
          </cell>
          <cell r="B531">
            <v>79898099181</v>
          </cell>
        </row>
        <row r="532">
          <cell r="A532" t="str">
            <v>Варданян Арман Татулович</v>
          </cell>
          <cell r="B532">
            <v>79680001100</v>
          </cell>
        </row>
        <row r="533">
          <cell r="A533" t="str">
            <v>Варданян Армен Вазгенович</v>
          </cell>
          <cell r="B533">
            <v>79852579695</v>
          </cell>
        </row>
        <row r="534">
          <cell r="A534" t="str">
            <v>Варданян Арсен Акопович</v>
          </cell>
          <cell r="B534">
            <v>79637821046</v>
          </cell>
        </row>
        <row r="535">
          <cell r="A535" t="str">
            <v>Варданян Масис Карапетович</v>
          </cell>
          <cell r="B535">
            <v>79848070830</v>
          </cell>
        </row>
        <row r="536">
          <cell r="A536" t="str">
            <v>Варданян Эдик Самвелович</v>
          </cell>
          <cell r="B536">
            <v>79183020455</v>
          </cell>
        </row>
        <row r="537">
          <cell r="A537" t="str">
            <v>Варков Андрей Юрьевич</v>
          </cell>
          <cell r="B537">
            <v>79055810678</v>
          </cell>
        </row>
        <row r="538">
          <cell r="A538" t="str">
            <v>Вартикян Карен Смбатович</v>
          </cell>
          <cell r="B538">
            <v>79951139356</v>
          </cell>
        </row>
        <row r="539">
          <cell r="A539" t="str">
            <v>Васадзе Коба Олегиевич</v>
          </cell>
          <cell r="B539">
            <v>79055617775</v>
          </cell>
        </row>
        <row r="540">
          <cell r="A540" t="str">
            <v>Васадзе Коба Олегиевич</v>
          </cell>
          <cell r="B540">
            <v>79015195442</v>
          </cell>
        </row>
        <row r="541">
          <cell r="A541" t="str">
            <v>Василевский Владислав Михайлович</v>
          </cell>
          <cell r="B541">
            <v>79112788987</v>
          </cell>
        </row>
        <row r="542">
          <cell r="A542" t="str">
            <v>Василевский Константин Дмитриевич</v>
          </cell>
          <cell r="B542">
            <v>79037386274</v>
          </cell>
        </row>
        <row r="543">
          <cell r="A543" t="str">
            <v>Васильев Вадим Владимирович</v>
          </cell>
          <cell r="B543">
            <v>79266808473</v>
          </cell>
        </row>
        <row r="544">
          <cell r="A544" t="str">
            <v>Васильев Валерий Борисович</v>
          </cell>
          <cell r="B544">
            <v>79855367117</v>
          </cell>
        </row>
        <row r="545">
          <cell r="A545" t="str">
            <v>Васильев Валерий Борисович</v>
          </cell>
          <cell r="B545">
            <v>79099169195</v>
          </cell>
        </row>
        <row r="546">
          <cell r="A546" t="str">
            <v>Васильев Дмитрий Валерьевич</v>
          </cell>
          <cell r="B546">
            <v>79150681431</v>
          </cell>
        </row>
        <row r="547">
          <cell r="A547" t="str">
            <v>Васильев Дмитрий Сергеевич</v>
          </cell>
          <cell r="B547">
            <v>79632434004</v>
          </cell>
        </row>
        <row r="548">
          <cell r="A548" t="str">
            <v>Васильев Олег Борисович</v>
          </cell>
          <cell r="B548">
            <v>79637141497</v>
          </cell>
        </row>
        <row r="549">
          <cell r="A549" t="str">
            <v>Васильев Сергей Владимирович</v>
          </cell>
          <cell r="B549">
            <v>79620237737</v>
          </cell>
        </row>
        <row r="550">
          <cell r="A550" t="str">
            <v>Васильев Сергей Юрьевич</v>
          </cell>
          <cell r="B550">
            <v>79262535728</v>
          </cell>
        </row>
        <row r="551">
          <cell r="A551" t="str">
            <v>Васильева Екатерина Николаевна</v>
          </cell>
          <cell r="B551">
            <v>79091547030</v>
          </cell>
        </row>
        <row r="552">
          <cell r="A552" t="str">
            <v>Васильева Ирина Александровна</v>
          </cell>
          <cell r="B552">
            <v>79873055995</v>
          </cell>
        </row>
        <row r="553">
          <cell r="A553" t="str">
            <v>Васильева Кристина Владимировна</v>
          </cell>
          <cell r="B553">
            <v>79042404005</v>
          </cell>
        </row>
        <row r="554">
          <cell r="A554" t="str">
            <v>Васильева Ольга Владимировна</v>
          </cell>
          <cell r="B554">
            <v>79002935182</v>
          </cell>
        </row>
        <row r="555">
          <cell r="A555" t="str">
            <v>Васильева Юлия Владимировна</v>
          </cell>
          <cell r="B555">
            <v>79268518908</v>
          </cell>
        </row>
        <row r="556">
          <cell r="A556" t="str">
            <v>Васильевич Здравко</v>
          </cell>
          <cell r="B556">
            <v>79856631319</v>
          </cell>
        </row>
        <row r="557">
          <cell r="A557" t="str">
            <v>Васильченко Валерий Владимирович</v>
          </cell>
          <cell r="B557">
            <v>79119503853</v>
          </cell>
        </row>
        <row r="558">
          <cell r="A558" t="str">
            <v>Васильчиков Максим Сергеевич</v>
          </cell>
          <cell r="B558">
            <v>79773334619</v>
          </cell>
        </row>
        <row r="559">
          <cell r="A559" t="str">
            <v>Васин Сергей Иванович</v>
          </cell>
          <cell r="B559">
            <v>79912411094</v>
          </cell>
        </row>
        <row r="560">
          <cell r="A560" t="str">
            <v>Васина Татьяна Алексеевна</v>
          </cell>
          <cell r="B560">
            <v>79777708042</v>
          </cell>
        </row>
        <row r="561">
          <cell r="A561" t="str">
            <v>Васина Татьяна Рустамовна</v>
          </cell>
          <cell r="B561">
            <v>79183022799</v>
          </cell>
        </row>
        <row r="562">
          <cell r="A562" t="str">
            <v>Васюков Дмитрий Викторович</v>
          </cell>
          <cell r="B562">
            <v>79057379656</v>
          </cell>
        </row>
        <row r="563">
          <cell r="A563" t="str">
            <v>Васюков Олег Викторович</v>
          </cell>
          <cell r="B563">
            <v>79256424015</v>
          </cell>
        </row>
        <row r="564">
          <cell r="A564" t="str">
            <v>Ватоян Артак Ашотович</v>
          </cell>
          <cell r="B564">
            <v>79654110001</v>
          </cell>
        </row>
        <row r="565">
          <cell r="A565" t="str">
            <v>Вахонин Александр Владимирович</v>
          </cell>
          <cell r="B565">
            <v>79032372436</v>
          </cell>
        </row>
        <row r="566">
          <cell r="A566" t="str">
            <v>Вахрушев Сергей Анатольевич</v>
          </cell>
          <cell r="B566">
            <v>79168453229</v>
          </cell>
        </row>
        <row r="567">
          <cell r="A567" t="str">
            <v>Ващенков Максим Валерьевич</v>
          </cell>
          <cell r="B567">
            <v>79110092222</v>
          </cell>
        </row>
        <row r="568">
          <cell r="A568" t="str">
            <v>Вдовенко Николай Николаевич</v>
          </cell>
          <cell r="B568">
            <v>79100001005</v>
          </cell>
        </row>
        <row r="569">
          <cell r="A569" t="str">
            <v>Вдовенков Сергей Константинович</v>
          </cell>
          <cell r="B569">
            <v>79624010739</v>
          </cell>
        </row>
        <row r="570">
          <cell r="A570" t="str">
            <v>Вдовец Сергей Викторович</v>
          </cell>
          <cell r="B570">
            <v>79037832876</v>
          </cell>
        </row>
        <row r="571">
          <cell r="A571" t="str">
            <v>Ведешин Максим Сергеевич</v>
          </cell>
          <cell r="B571">
            <v>79531044496</v>
          </cell>
        </row>
        <row r="572">
          <cell r="A572" t="str">
            <v>Везденецкий Иван Владимирович</v>
          </cell>
          <cell r="B572">
            <v>79881434998</v>
          </cell>
        </row>
        <row r="573">
          <cell r="A573" t="str">
            <v>Векилянц Екатерина Николаевна</v>
          </cell>
          <cell r="B573">
            <v>79057551169</v>
          </cell>
        </row>
        <row r="574">
          <cell r="A574" t="str">
            <v>Вековищев Андрей Анатольевич</v>
          </cell>
          <cell r="B574">
            <v>79250917656</v>
          </cell>
        </row>
        <row r="575">
          <cell r="A575" t="str">
            <v>ВЕЛЕС ООО</v>
          </cell>
          <cell r="B575">
            <v>79112926538</v>
          </cell>
        </row>
        <row r="576">
          <cell r="A576" t="str">
            <v>Велиев Гасан Ганбар Оглы</v>
          </cell>
          <cell r="B576">
            <v>79057597595</v>
          </cell>
        </row>
        <row r="577">
          <cell r="A577" t="str">
            <v>Велиева Дарья Петровна</v>
          </cell>
          <cell r="B577">
            <v>79253234288</v>
          </cell>
        </row>
        <row r="578">
          <cell r="A578" t="str">
            <v>Великанов Андрей Викторович</v>
          </cell>
          <cell r="B578">
            <v>79213091206</v>
          </cell>
        </row>
        <row r="579">
          <cell r="A579" t="str">
            <v>Венедиктов Александр Романович</v>
          </cell>
          <cell r="B579">
            <v>79164515252</v>
          </cell>
        </row>
        <row r="580">
          <cell r="A580" t="str">
            <v>Веремеенко Денис Валентинович</v>
          </cell>
          <cell r="B580">
            <v>79805268736</v>
          </cell>
        </row>
        <row r="581">
          <cell r="A581" t="str">
            <v>Веретошенко Михаил Владимирович</v>
          </cell>
          <cell r="B581">
            <v>79873680989</v>
          </cell>
        </row>
        <row r="582">
          <cell r="A582" t="str">
            <v>Верещагин Сергей Андреевич</v>
          </cell>
          <cell r="B582">
            <v>79202226566</v>
          </cell>
        </row>
        <row r="583">
          <cell r="A583" t="str">
            <v>Верин Александр Валентинович</v>
          </cell>
          <cell r="B583">
            <v>79015403524</v>
          </cell>
        </row>
        <row r="584">
          <cell r="A584" t="str">
            <v>Вершинина Ольга Владимировна</v>
          </cell>
          <cell r="B584">
            <v>79536007128</v>
          </cell>
        </row>
        <row r="585">
          <cell r="A585" t="str">
            <v>Веселов Олег Ильич</v>
          </cell>
          <cell r="B585">
            <v>79217423134</v>
          </cell>
        </row>
        <row r="586">
          <cell r="A586" t="str">
            <v>Веселовская Галина Васильевна</v>
          </cell>
          <cell r="B586">
            <v>79775292388</v>
          </cell>
        </row>
        <row r="587">
          <cell r="A587" t="str">
            <v>Веснин Игорь Николаевич</v>
          </cell>
          <cell r="B587">
            <v>79150405232</v>
          </cell>
        </row>
        <row r="588">
          <cell r="A588" t="str">
            <v>Ветров Андрей Валерьевич</v>
          </cell>
          <cell r="B588">
            <v>79037550315</v>
          </cell>
        </row>
        <row r="589">
          <cell r="A589" t="str">
            <v>Вехова Ирина Александровна</v>
          </cell>
          <cell r="B589">
            <v>79514428393</v>
          </cell>
        </row>
        <row r="590">
          <cell r="A590" t="str">
            <v>Видяев Алексей Сергеевич</v>
          </cell>
          <cell r="B590">
            <v>79152162638</v>
          </cell>
        </row>
        <row r="591">
          <cell r="A591" t="str">
            <v>Видяков Денис Сергеевич</v>
          </cell>
          <cell r="B591">
            <v>79033982593</v>
          </cell>
        </row>
        <row r="592">
          <cell r="A592" t="str">
            <v>Вилисов Георгий Георгиевич</v>
          </cell>
          <cell r="B592">
            <v>79199969929</v>
          </cell>
        </row>
        <row r="593">
          <cell r="A593" t="str">
            <v>Вилисова Татьяна Николаевна</v>
          </cell>
          <cell r="B593">
            <v>79104697988</v>
          </cell>
        </row>
        <row r="594">
          <cell r="A594" t="str">
            <v>Винников Андрей Владимирович</v>
          </cell>
          <cell r="B594">
            <v>79101101098</v>
          </cell>
        </row>
        <row r="595">
          <cell r="A595" t="str">
            <v>Виноградов Александр Александрович</v>
          </cell>
          <cell r="B595">
            <v>79167565549</v>
          </cell>
        </row>
        <row r="596">
          <cell r="A596" t="str">
            <v>Виноградов Алексей Валерьевич</v>
          </cell>
          <cell r="B596">
            <v>79853431147</v>
          </cell>
        </row>
        <row r="597">
          <cell r="A597" t="str">
            <v>Виноградов Данила Алексеевич</v>
          </cell>
          <cell r="B597">
            <v>79959974231</v>
          </cell>
        </row>
        <row r="598">
          <cell r="A598" t="str">
            <v>Виноградова Светлана Витальевна</v>
          </cell>
          <cell r="B598">
            <v>79262100201</v>
          </cell>
        </row>
        <row r="599">
          <cell r="A599" t="str">
            <v>Винокурова Ольга Алексеевна</v>
          </cell>
          <cell r="B599" t="str">
            <v/>
          </cell>
        </row>
        <row r="600">
          <cell r="A600" t="str">
            <v>Винокурова Юлия Геннадьевна</v>
          </cell>
          <cell r="B600">
            <v>79509180619</v>
          </cell>
        </row>
        <row r="601">
          <cell r="A601" t="str">
            <v>Витрюк Маргарита Владимировна</v>
          </cell>
          <cell r="B601" t="str">
            <v/>
          </cell>
        </row>
        <row r="602">
          <cell r="A602" t="str">
            <v>Витряк Дмитрий Александрович</v>
          </cell>
          <cell r="B602">
            <v>79261490755</v>
          </cell>
        </row>
        <row r="603">
          <cell r="A603" t="str">
            <v>Вишняк Екатерина Павловна</v>
          </cell>
          <cell r="B603">
            <v>79267157011</v>
          </cell>
        </row>
        <row r="604">
          <cell r="A604" t="str">
            <v>Вишняк Марина Петровна</v>
          </cell>
          <cell r="B604">
            <v>79165898587</v>
          </cell>
        </row>
        <row r="605">
          <cell r="A605" t="str">
            <v>Владимиров Александр Андреевич</v>
          </cell>
          <cell r="B605">
            <v>79255145637</v>
          </cell>
        </row>
        <row r="606">
          <cell r="A606" t="str">
            <v>Владимиров Сергей Прохорович</v>
          </cell>
          <cell r="B606">
            <v>79241777899</v>
          </cell>
        </row>
        <row r="607">
          <cell r="A607" t="str">
            <v>Власов Глеб Борисович</v>
          </cell>
          <cell r="B607">
            <v>79213721052</v>
          </cell>
        </row>
        <row r="608">
          <cell r="A608" t="str">
            <v>Власов Глеб Борисович</v>
          </cell>
          <cell r="B608">
            <v>79117477950</v>
          </cell>
        </row>
        <row r="609">
          <cell r="A609" t="str">
            <v>Власов Денис Николаевич</v>
          </cell>
          <cell r="B609">
            <v>79661777070</v>
          </cell>
        </row>
        <row r="610">
          <cell r="A610" t="str">
            <v>Власов Павел Васильевич</v>
          </cell>
          <cell r="B610">
            <v>79258309096</v>
          </cell>
        </row>
        <row r="611">
          <cell r="A611" t="str">
            <v>Власов Сергей Александрович</v>
          </cell>
          <cell r="B611">
            <v>79104197929</v>
          </cell>
        </row>
        <row r="612">
          <cell r="A612" t="str">
            <v>Вовк Надежда Владимировна</v>
          </cell>
          <cell r="B612">
            <v>79181558781</v>
          </cell>
        </row>
        <row r="613">
          <cell r="A613" t="str">
            <v>Вовк Таисия Руслановна</v>
          </cell>
          <cell r="B613">
            <v>79296069495</v>
          </cell>
        </row>
        <row r="614">
          <cell r="A614" t="str">
            <v>Водолазкин Александр Юрьевич</v>
          </cell>
          <cell r="B614">
            <v>79151714744</v>
          </cell>
        </row>
        <row r="615">
          <cell r="A615" t="str">
            <v>Водяницкий Александр Николаевич</v>
          </cell>
          <cell r="B615">
            <v>79031814140</v>
          </cell>
        </row>
        <row r="616">
          <cell r="A616" t="str">
            <v>Возиян Владислав Вадимович</v>
          </cell>
          <cell r="B616">
            <v>79112726117</v>
          </cell>
        </row>
        <row r="617">
          <cell r="A617" t="str">
            <v>Войнаровская Анна Николаевна</v>
          </cell>
          <cell r="B617">
            <v>79166212703</v>
          </cell>
        </row>
        <row r="618">
          <cell r="A618" t="str">
            <v>Войтович Елена Григорьевна</v>
          </cell>
          <cell r="B618">
            <v>79145405096</v>
          </cell>
        </row>
        <row r="619">
          <cell r="A619" t="str">
            <v>Войтович Елена Григорьевна</v>
          </cell>
          <cell r="B619">
            <v>79141999724</v>
          </cell>
        </row>
        <row r="620">
          <cell r="A620" t="str">
            <v>Войцеховский Виталий Геннадьевич</v>
          </cell>
          <cell r="B620">
            <v>79288835903</v>
          </cell>
        </row>
        <row r="621">
          <cell r="A621" t="str">
            <v>Волегов Николай Владиславович</v>
          </cell>
          <cell r="B621">
            <v>79226439993</v>
          </cell>
        </row>
        <row r="622">
          <cell r="A622" t="str">
            <v>Волков Александр Владимирович</v>
          </cell>
          <cell r="B622">
            <v>79261844793</v>
          </cell>
        </row>
        <row r="623">
          <cell r="A623" t="str">
            <v>Волков Василий Валерьевич</v>
          </cell>
          <cell r="B623">
            <v>79605005696</v>
          </cell>
        </row>
        <row r="624">
          <cell r="A624" t="str">
            <v>Волков Денис Александрович</v>
          </cell>
          <cell r="B624">
            <v>79853389090</v>
          </cell>
        </row>
        <row r="625">
          <cell r="A625" t="str">
            <v>Волков Дмитрий Юрьевич</v>
          </cell>
          <cell r="B625">
            <v>79250776744</v>
          </cell>
        </row>
        <row r="626">
          <cell r="A626" t="str">
            <v>Волков Михаил Александрович</v>
          </cell>
          <cell r="B626">
            <v>79854275148</v>
          </cell>
        </row>
        <row r="627">
          <cell r="A627" t="str">
            <v>Волкова Татьяна Михайловна</v>
          </cell>
          <cell r="B627">
            <v>79081663440</v>
          </cell>
        </row>
        <row r="628">
          <cell r="A628" t="str">
            <v>Волконский Михаил Владимирович</v>
          </cell>
          <cell r="B628">
            <v>79036661667</v>
          </cell>
        </row>
        <row r="629">
          <cell r="A629" t="str">
            <v>Володин Александр Николаевич</v>
          </cell>
          <cell r="B629">
            <v>79772636086</v>
          </cell>
        </row>
        <row r="630">
          <cell r="A630" t="str">
            <v>Володин Виктор Михайлович</v>
          </cell>
          <cell r="B630">
            <v>79672711112</v>
          </cell>
        </row>
        <row r="631">
          <cell r="A631" t="str">
            <v>Володин Виктор Михайлович</v>
          </cell>
          <cell r="B631">
            <v>79265584888</v>
          </cell>
        </row>
        <row r="632">
          <cell r="A632" t="str">
            <v>Володина Яна Петровна</v>
          </cell>
          <cell r="B632">
            <v>79388760909</v>
          </cell>
        </row>
        <row r="633">
          <cell r="A633" t="str">
            <v>Волохов Юрий Викторович</v>
          </cell>
          <cell r="B633">
            <v>79150507472</v>
          </cell>
        </row>
        <row r="634">
          <cell r="A634" t="str">
            <v>Воробьев Андрей Владимирович</v>
          </cell>
          <cell r="B634">
            <v>79272369726</v>
          </cell>
        </row>
        <row r="635">
          <cell r="A635" t="str">
            <v>Воробьев Андрей Владимирович</v>
          </cell>
          <cell r="B635">
            <v>79177570712</v>
          </cell>
        </row>
        <row r="636">
          <cell r="A636" t="str">
            <v>Воробьев Евгений Валерьевич</v>
          </cell>
          <cell r="B636">
            <v>79686548557</v>
          </cell>
        </row>
        <row r="637">
          <cell r="A637" t="str">
            <v>Воробьев Илья Александрович</v>
          </cell>
          <cell r="B637">
            <v>79222113445</v>
          </cell>
        </row>
        <row r="638">
          <cell r="A638" t="str">
            <v>Воронецкий Альберт Расимович</v>
          </cell>
          <cell r="B638">
            <v>79509063443</v>
          </cell>
        </row>
        <row r="639">
          <cell r="A639" t="str">
            <v>Воронко Александр Иванович</v>
          </cell>
          <cell r="B639">
            <v>79037908011</v>
          </cell>
        </row>
        <row r="640">
          <cell r="A640" t="str">
            <v>Воронков Сергей Владимирович</v>
          </cell>
          <cell r="B640">
            <v>79263815241</v>
          </cell>
        </row>
        <row r="641">
          <cell r="A641" t="str">
            <v>Воронкова Анастасия Сергеевна</v>
          </cell>
          <cell r="B641">
            <v>79103651008</v>
          </cell>
        </row>
        <row r="642">
          <cell r="A642" t="str">
            <v>Воронова Татьяна Алексеевна</v>
          </cell>
          <cell r="B642">
            <v>79262665181</v>
          </cell>
        </row>
        <row r="643">
          <cell r="A643" t="str">
            <v>Вороновский Евгений Григорьевич</v>
          </cell>
          <cell r="B643">
            <v>79266913548</v>
          </cell>
        </row>
        <row r="644">
          <cell r="A644" t="str">
            <v>Воронцова Инна Сергеевна</v>
          </cell>
          <cell r="B644">
            <v>79112674336</v>
          </cell>
        </row>
        <row r="645">
          <cell r="A645" t="str">
            <v>Ворошилин Владимир Игоревич</v>
          </cell>
          <cell r="B645">
            <v>79296012855</v>
          </cell>
        </row>
        <row r="646">
          <cell r="A646" t="str">
            <v>Ворсканян Элина Эдуардовна</v>
          </cell>
          <cell r="B646">
            <v>79150057444</v>
          </cell>
        </row>
        <row r="647">
          <cell r="A647" t="str">
            <v>Воскресенская Мария Валерьевна</v>
          </cell>
          <cell r="B647">
            <v>79161151768</v>
          </cell>
        </row>
        <row r="648">
          <cell r="A648" t="str">
            <v>Вохта Алексей Владимирович</v>
          </cell>
          <cell r="B648">
            <v>79219155757</v>
          </cell>
        </row>
        <row r="649">
          <cell r="A649" t="str">
            <v>Выговская Валентина Николаевна</v>
          </cell>
          <cell r="B649">
            <v>79183783415</v>
          </cell>
        </row>
        <row r="650">
          <cell r="A650" t="str">
            <v>Выдрин Олег Русланович</v>
          </cell>
          <cell r="B650">
            <v>79263804608</v>
          </cell>
        </row>
        <row r="651">
          <cell r="A651" t="str">
            <v>Выпов Сергей Викторович</v>
          </cell>
          <cell r="B651">
            <v>79195478703</v>
          </cell>
        </row>
        <row r="652">
          <cell r="A652" t="str">
            <v>Высоцкая Екатерина Владимировна</v>
          </cell>
          <cell r="B652">
            <v>79854562011</v>
          </cell>
        </row>
        <row r="653">
          <cell r="A653" t="str">
            <v>Вьюжанина Марина Ивановна</v>
          </cell>
          <cell r="B653">
            <v>79109103472</v>
          </cell>
        </row>
        <row r="654">
          <cell r="A654" t="str">
            <v>Вяткин Евгений Федорович</v>
          </cell>
          <cell r="B654">
            <v>79851150900</v>
          </cell>
        </row>
        <row r="655">
          <cell r="A655" t="str">
            <v>Габидуллин Вадим Тимурович</v>
          </cell>
          <cell r="B655" t="str">
            <v/>
          </cell>
        </row>
        <row r="656">
          <cell r="A656" t="str">
            <v>Габитов Альберт Наилевич</v>
          </cell>
          <cell r="B656">
            <v>79991945540</v>
          </cell>
        </row>
        <row r="657">
          <cell r="A657" t="str">
            <v>Габрусев Дмитрий Анатольевич</v>
          </cell>
          <cell r="B657">
            <v>79112558643</v>
          </cell>
        </row>
        <row r="658">
          <cell r="A658" t="str">
            <v>Гавриленко Денис Владимирович</v>
          </cell>
          <cell r="B658">
            <v>79032317868</v>
          </cell>
        </row>
        <row r="659">
          <cell r="A659" t="str">
            <v>Гаврилов Артем Валерьевич</v>
          </cell>
          <cell r="B659">
            <v>79874955331</v>
          </cell>
        </row>
        <row r="660">
          <cell r="A660" t="str">
            <v>Гаврилов Владимир Александрович</v>
          </cell>
          <cell r="B660">
            <v>79169920123</v>
          </cell>
        </row>
        <row r="661">
          <cell r="A661" t="str">
            <v>Гаврилов Дмитрий Вячеславович</v>
          </cell>
          <cell r="B661">
            <v>79916642173</v>
          </cell>
        </row>
        <row r="662">
          <cell r="A662" t="str">
            <v>Гаврилов Дмитрий Вячеславович</v>
          </cell>
          <cell r="B662">
            <v>79096656279</v>
          </cell>
        </row>
        <row r="663">
          <cell r="A663" t="str">
            <v>Гаврин Валентин Николаевич</v>
          </cell>
          <cell r="B663">
            <v>79260416134</v>
          </cell>
        </row>
        <row r="664">
          <cell r="A664" t="str">
            <v>Гавриш Наталья Николаевна</v>
          </cell>
          <cell r="B664">
            <v>79186238320</v>
          </cell>
        </row>
        <row r="665">
          <cell r="A665" t="str">
            <v>Гагарин Юрий Александрович</v>
          </cell>
          <cell r="B665">
            <v>79502023310</v>
          </cell>
        </row>
        <row r="666">
          <cell r="A666" t="str">
            <v>Гагаринский Денис Михайлович</v>
          </cell>
          <cell r="B666">
            <v>79603453309</v>
          </cell>
        </row>
        <row r="667">
          <cell r="A667" t="str">
            <v>Гаджиев Гаджимурад Омарович</v>
          </cell>
          <cell r="B667">
            <v>79006579998</v>
          </cell>
        </row>
        <row r="668">
          <cell r="A668" t="str">
            <v>Гаджиев Галиб Эйюб Оглы</v>
          </cell>
          <cell r="B668">
            <v>79151892040</v>
          </cell>
        </row>
        <row r="669">
          <cell r="A669" t="str">
            <v>Гаджиев Магомед Османович</v>
          </cell>
          <cell r="B669">
            <v>79671510000</v>
          </cell>
        </row>
        <row r="670">
          <cell r="A670" t="str">
            <v>Гаджиев Намик Али Оглы</v>
          </cell>
          <cell r="B670">
            <v>79868889363</v>
          </cell>
        </row>
        <row r="671">
          <cell r="A671" t="str">
            <v>Гаджиев Нюрбек Магомедтагирович</v>
          </cell>
          <cell r="B671">
            <v>79253028852</v>
          </cell>
        </row>
        <row r="672">
          <cell r="A672" t="str">
            <v>Гаджиев Эльчин Алийолдаш Оглы</v>
          </cell>
          <cell r="B672">
            <v>79268869217</v>
          </cell>
        </row>
        <row r="673">
          <cell r="A673" t="str">
            <v>Гадиев Эльдар Сергеевич</v>
          </cell>
          <cell r="B673">
            <v>79533796633</v>
          </cell>
        </row>
        <row r="674">
          <cell r="A674" t="str">
            <v>Гадян Артак Андраникович</v>
          </cell>
          <cell r="B674">
            <v>79645188888</v>
          </cell>
        </row>
        <row r="675">
          <cell r="A675" t="str">
            <v>Газали Оксана Владимировна</v>
          </cell>
          <cell r="B675">
            <v>79946666644</v>
          </cell>
        </row>
        <row r="676">
          <cell r="A676" t="str">
            <v>Газимагомаев Каир Русланович</v>
          </cell>
          <cell r="B676">
            <v>79269429595</v>
          </cell>
        </row>
        <row r="677">
          <cell r="A677" t="str">
            <v>Гайдарлы Андрей Васильевич</v>
          </cell>
          <cell r="B677">
            <v>79104231108</v>
          </cell>
        </row>
        <row r="678">
          <cell r="A678" t="str">
            <v>Гайдуков Андрей Валерьевич</v>
          </cell>
          <cell r="B678">
            <v>79117860555</v>
          </cell>
        </row>
        <row r="679">
          <cell r="A679" t="str">
            <v>Гайфутдинов Альберт Фиргатович</v>
          </cell>
          <cell r="B679">
            <v>79261499601</v>
          </cell>
        </row>
        <row r="680">
          <cell r="A680" t="str">
            <v>Галактионов Алексей Владимирович</v>
          </cell>
          <cell r="B680">
            <v>79213210342</v>
          </cell>
        </row>
        <row r="681">
          <cell r="A681" t="str">
            <v>Галанина Юлия Александровна</v>
          </cell>
          <cell r="B681">
            <v>79104237555</v>
          </cell>
        </row>
        <row r="682">
          <cell r="A682" t="str">
            <v>Галбацов Карим Магомедович</v>
          </cell>
          <cell r="B682" t="str">
            <v/>
          </cell>
        </row>
        <row r="683">
          <cell r="A683" t="str">
            <v>Галеев Александр Ринатович</v>
          </cell>
          <cell r="B683">
            <v>79780741936</v>
          </cell>
        </row>
        <row r="684">
          <cell r="A684" t="str">
            <v>Галёна Ольга Владимировна</v>
          </cell>
          <cell r="B684">
            <v>79052670497</v>
          </cell>
        </row>
        <row r="685">
          <cell r="A685" t="str">
            <v>Галечян Саят Вардгесович</v>
          </cell>
          <cell r="B685">
            <v>79631600628</v>
          </cell>
        </row>
        <row r="686">
          <cell r="A686" t="str">
            <v>Галивец Андрей Олегович</v>
          </cell>
          <cell r="B686">
            <v>79995551774</v>
          </cell>
        </row>
        <row r="687">
          <cell r="A687" t="str">
            <v>Галигузова Юлия Владимировна</v>
          </cell>
          <cell r="B687">
            <v>79287512223</v>
          </cell>
        </row>
        <row r="688">
          <cell r="A688" t="str">
            <v>Галимов Руслан Рашитович</v>
          </cell>
          <cell r="B688">
            <v>79192567809</v>
          </cell>
        </row>
        <row r="689">
          <cell r="A689" t="str">
            <v>Галицина Елена Викторовна</v>
          </cell>
          <cell r="B689">
            <v>79119379115</v>
          </cell>
        </row>
        <row r="690">
          <cell r="A690" t="str">
            <v>Галушка Светлана Анатольевна</v>
          </cell>
          <cell r="B690">
            <v>79689820536</v>
          </cell>
        </row>
        <row r="691">
          <cell r="A691" t="str">
            <v>Галыгин Иван Сергеевич</v>
          </cell>
          <cell r="B691">
            <v>79103570998</v>
          </cell>
        </row>
        <row r="692">
          <cell r="A692" t="str">
            <v>Гальчук Илья Анатольевич</v>
          </cell>
          <cell r="B692">
            <v>79217878342</v>
          </cell>
        </row>
        <row r="693">
          <cell r="A693" t="str">
            <v>Гамазинов Александр Сергеевич</v>
          </cell>
          <cell r="B693">
            <v>79255046560</v>
          </cell>
        </row>
        <row r="694">
          <cell r="A694" t="str">
            <v>Гамалеева Мария Викторовна</v>
          </cell>
          <cell r="B694">
            <v>79261886928</v>
          </cell>
        </row>
        <row r="695">
          <cell r="A695" t="str">
            <v>Ганаев Саид Тамержанович</v>
          </cell>
          <cell r="B695">
            <v>79636666653</v>
          </cell>
        </row>
        <row r="696">
          <cell r="A696" t="str">
            <v>Ганеев Александр Павлович</v>
          </cell>
          <cell r="B696">
            <v>79805444781</v>
          </cell>
        </row>
        <row r="697">
          <cell r="A697" t="str">
            <v>Ганиев Абдусаттор Халимович</v>
          </cell>
          <cell r="B697">
            <v>79036727517</v>
          </cell>
        </row>
        <row r="698">
          <cell r="A698" t="str">
            <v>Ганиев Элдияр Абдухалилович</v>
          </cell>
          <cell r="B698">
            <v>79850352667</v>
          </cell>
        </row>
        <row r="699">
          <cell r="A699" t="str">
            <v>Гапонько Максим Анатольевич</v>
          </cell>
          <cell r="B699">
            <v>79175099990</v>
          </cell>
        </row>
        <row r="700">
          <cell r="A700" t="str">
            <v>Гапураев Хусейн Рамзанович</v>
          </cell>
          <cell r="B700">
            <v>79263674347</v>
          </cell>
        </row>
        <row r="701">
          <cell r="A701" t="str">
            <v>Гараев Ровшан Гасымович</v>
          </cell>
          <cell r="B701">
            <v>79964500090</v>
          </cell>
        </row>
        <row r="702">
          <cell r="A702" t="str">
            <v>Гаранин Олег Юрьевич</v>
          </cell>
          <cell r="B702">
            <v>79164134363</v>
          </cell>
        </row>
        <row r="703">
          <cell r="A703" t="str">
            <v>Гарнер Роман Борисович</v>
          </cell>
          <cell r="B703">
            <v>79990446618</v>
          </cell>
        </row>
        <row r="704">
          <cell r="A704" t="str">
            <v>Гасанов Ниджат Назим Оглы</v>
          </cell>
          <cell r="B704">
            <v>79261630665</v>
          </cell>
        </row>
        <row r="705">
          <cell r="A705" t="str">
            <v>Гасанов Руслан Ровшан Оглы</v>
          </cell>
          <cell r="B705">
            <v>79857223456</v>
          </cell>
        </row>
        <row r="706">
          <cell r="A706" t="str">
            <v>Гасанов Самир Аласкар Оглы</v>
          </cell>
          <cell r="B706">
            <v>79885227838</v>
          </cell>
        </row>
        <row r="707">
          <cell r="A707" t="str">
            <v>Гасанова Хиала Елвар Кызы</v>
          </cell>
          <cell r="B707">
            <v>79654236262</v>
          </cell>
        </row>
        <row r="708">
          <cell r="A708" t="str">
            <v>Гаспарян Давид Ваганович</v>
          </cell>
          <cell r="B708">
            <v>79200901919</v>
          </cell>
        </row>
        <row r="709">
          <cell r="A709" t="str">
            <v>Гаспарян Норайр Овсепович</v>
          </cell>
          <cell r="B709">
            <v>79180808009</v>
          </cell>
        </row>
        <row r="710">
          <cell r="A710" t="str">
            <v>Гатауллин Рафаэль Винерович</v>
          </cell>
          <cell r="B710">
            <v>79099083731</v>
          </cell>
        </row>
        <row r="711">
          <cell r="A711" t="str">
            <v>Гатилов Александр Иванович</v>
          </cell>
          <cell r="B711">
            <v>79210973077</v>
          </cell>
        </row>
        <row r="712">
          <cell r="A712" t="str">
            <v>Гафиятов Ярослав Геннадьевич</v>
          </cell>
          <cell r="B712">
            <v>79114370688</v>
          </cell>
        </row>
        <row r="713">
          <cell r="A713" t="str">
            <v>Гахокидзе Давид Аверионович</v>
          </cell>
          <cell r="B713">
            <v>79268848954</v>
          </cell>
        </row>
        <row r="714">
          <cell r="A714" t="str">
            <v>Гачегов Дмитрий Сергеевич</v>
          </cell>
          <cell r="B714">
            <v>79194472584</v>
          </cell>
        </row>
        <row r="715">
          <cell r="A715" t="str">
            <v>Гварамадзе Теймураз Караманович</v>
          </cell>
          <cell r="B715">
            <v>79250002912</v>
          </cell>
        </row>
        <row r="716">
          <cell r="A716" t="str">
            <v>Гевондян Норайр Беникович</v>
          </cell>
          <cell r="B716">
            <v>79850970609</v>
          </cell>
        </row>
        <row r="717">
          <cell r="A717" t="str">
            <v>Гевондян Сергей Норайрович</v>
          </cell>
          <cell r="B717">
            <v>79099878181</v>
          </cell>
        </row>
        <row r="718">
          <cell r="A718" t="str">
            <v>Геворгян Агаси Ашотович</v>
          </cell>
          <cell r="B718">
            <v>79686660823</v>
          </cell>
        </row>
        <row r="719">
          <cell r="A719" t="str">
            <v>Гейнце Виктор Владимирович</v>
          </cell>
          <cell r="B719">
            <v>79020977620</v>
          </cell>
        </row>
        <row r="720">
          <cell r="A720" t="str">
            <v>Гельман Дмитрий Георгиевич</v>
          </cell>
          <cell r="B720">
            <v>79269871080</v>
          </cell>
        </row>
        <row r="721">
          <cell r="A721" t="str">
            <v>Гельцер Александр Александрович</v>
          </cell>
          <cell r="B721">
            <v>79671657782</v>
          </cell>
        </row>
        <row r="722">
          <cell r="A722" t="str">
            <v>Гельцер Александр Александрович</v>
          </cell>
          <cell r="B722">
            <v>79652418376</v>
          </cell>
        </row>
        <row r="723">
          <cell r="A723" t="str">
            <v>Гендельман Сергей Романович</v>
          </cell>
          <cell r="B723">
            <v>79099007779</v>
          </cell>
        </row>
        <row r="724">
          <cell r="A724" t="str">
            <v>Георгиева Марта Георгиевна</v>
          </cell>
          <cell r="B724">
            <v>79852241111</v>
          </cell>
        </row>
        <row r="725">
          <cell r="A725" t="str">
            <v>Герасименко Виталий Викторович</v>
          </cell>
          <cell r="B725">
            <v>79152774647</v>
          </cell>
        </row>
        <row r="726">
          <cell r="A726" t="str">
            <v>Герасимчук Сергей Васильевич</v>
          </cell>
          <cell r="B726">
            <v>79067228217</v>
          </cell>
        </row>
        <row r="727">
          <cell r="A727" t="str">
            <v>Гергая Шорена Игорьевна</v>
          </cell>
          <cell r="B727">
            <v>79851980080</v>
          </cell>
        </row>
        <row r="728">
          <cell r="A728" t="str">
            <v>Гергедава Михаил Михайлович</v>
          </cell>
          <cell r="B728">
            <v>79384545414</v>
          </cell>
        </row>
        <row r="729">
          <cell r="A729" t="str">
            <v>Герейханов Фаик Гуснеддинович</v>
          </cell>
          <cell r="B729">
            <v>79670913478</v>
          </cell>
        </row>
        <row r="730">
          <cell r="A730" t="str">
            <v>Герман Ян Георгиевич</v>
          </cell>
          <cell r="B730">
            <v>79995349072</v>
          </cell>
        </row>
        <row r="731">
          <cell r="A731" t="str">
            <v>ГЕРМЕС ООО</v>
          </cell>
          <cell r="B731">
            <v>79265209137</v>
          </cell>
        </row>
        <row r="732">
          <cell r="A732" t="str">
            <v>Герун Сергей Николаевич</v>
          </cell>
          <cell r="B732">
            <v>79625553564</v>
          </cell>
        </row>
        <row r="733">
          <cell r="A733" t="str">
            <v>Герюгов Расул Азнаурович</v>
          </cell>
          <cell r="B733">
            <v>79226920000</v>
          </cell>
        </row>
        <row r="734">
          <cell r="A734" t="str">
            <v>Гиенко Павел Анатольевич</v>
          </cell>
          <cell r="B734">
            <v>79517616983</v>
          </cell>
        </row>
        <row r="735">
          <cell r="A735" t="str">
            <v>Гизатулин Дмитрий Флюрович</v>
          </cell>
          <cell r="B735">
            <v>79024712822</v>
          </cell>
        </row>
        <row r="736">
          <cell r="A736" t="str">
            <v>Гилаев Флюс Фаусович</v>
          </cell>
          <cell r="B736">
            <v>79279436825</v>
          </cell>
        </row>
        <row r="737">
          <cell r="A737" t="str">
            <v>Гильмтдинов Ильдус Вазирович</v>
          </cell>
          <cell r="B737">
            <v>79199012345</v>
          </cell>
        </row>
        <row r="738">
          <cell r="A738" t="str">
            <v>Гильмтдинов Ильдус Вазирович</v>
          </cell>
          <cell r="B738">
            <v>79199012345</v>
          </cell>
        </row>
        <row r="739">
          <cell r="A739" t="str">
            <v>Гилязов Айвар Явгатович</v>
          </cell>
          <cell r="B739">
            <v>79870189474</v>
          </cell>
        </row>
        <row r="740">
          <cell r="A740" t="str">
            <v>Гладких Андрей Николаевич</v>
          </cell>
          <cell r="B740">
            <v>79773958911</v>
          </cell>
        </row>
        <row r="741">
          <cell r="A741" t="str">
            <v>Гладкова Татьяна Ильинична</v>
          </cell>
          <cell r="B741">
            <v>79263844845</v>
          </cell>
        </row>
        <row r="742">
          <cell r="A742" t="str">
            <v>Гладченко Владлен Валерьевич</v>
          </cell>
          <cell r="B742">
            <v>79163637250</v>
          </cell>
        </row>
        <row r="743">
          <cell r="A743" t="str">
            <v>Гладченко Владлен Валерьевич</v>
          </cell>
          <cell r="B743">
            <v>79255077457</v>
          </cell>
        </row>
        <row r="744">
          <cell r="A744" t="str">
            <v>Глазнев Денис Владимирович</v>
          </cell>
          <cell r="B744">
            <v>79268419772</v>
          </cell>
        </row>
        <row r="745">
          <cell r="A745" t="str">
            <v>Глазунов Максим Александрович</v>
          </cell>
          <cell r="B745">
            <v>79996745096</v>
          </cell>
        </row>
        <row r="746">
          <cell r="A746" t="str">
            <v>ГЛОБУС ООО</v>
          </cell>
          <cell r="B746">
            <v>79112127734</v>
          </cell>
        </row>
        <row r="747">
          <cell r="A747" t="str">
            <v>Глонин Денис Анатольевич</v>
          </cell>
          <cell r="B747">
            <v>79295596161</v>
          </cell>
        </row>
        <row r="748">
          <cell r="A748" t="str">
            <v>Глухов Александр Федорович</v>
          </cell>
          <cell r="B748">
            <v>79165106585</v>
          </cell>
        </row>
        <row r="749">
          <cell r="A749" t="str">
            <v>Глухов Василий Александрович</v>
          </cell>
          <cell r="B749">
            <v>79017991044</v>
          </cell>
        </row>
        <row r="750">
          <cell r="A750" t="str">
            <v>Глухов Максим Сергеевич</v>
          </cell>
          <cell r="B750">
            <v>79530237298</v>
          </cell>
        </row>
        <row r="751">
          <cell r="A751" t="str">
            <v>Глушак Диана Владимировна</v>
          </cell>
          <cell r="B751">
            <v>79034666388</v>
          </cell>
        </row>
        <row r="752">
          <cell r="A752" t="str">
            <v>Глушенкова Наталья Вячеславна</v>
          </cell>
          <cell r="B752">
            <v>79670764382</v>
          </cell>
        </row>
        <row r="753">
          <cell r="A753" t="str">
            <v>Глущенко Дарья Алексеевна</v>
          </cell>
          <cell r="B753">
            <v>79286151166</v>
          </cell>
        </row>
        <row r="754">
          <cell r="A754" t="str">
            <v>Гнедаш Александр Александрович</v>
          </cell>
          <cell r="B754">
            <v>79885261920</v>
          </cell>
        </row>
        <row r="755">
          <cell r="A755" t="str">
            <v>Говоруха Андрей Михайлович</v>
          </cell>
          <cell r="B755">
            <v>79197535350</v>
          </cell>
        </row>
        <row r="756">
          <cell r="A756" t="str">
            <v>Гоголев Александр Александрович</v>
          </cell>
          <cell r="B756">
            <v>79219788007</v>
          </cell>
        </row>
        <row r="757">
          <cell r="A757" t="str">
            <v>Гогохия Вероника Валериевна</v>
          </cell>
          <cell r="B757">
            <v>79772506866</v>
          </cell>
        </row>
        <row r="758">
          <cell r="A758" t="str">
            <v>Годуйко Николай Николаевич</v>
          </cell>
          <cell r="B758">
            <v>79113595178</v>
          </cell>
        </row>
        <row r="759">
          <cell r="A759" t="str">
            <v>Гойгереев Камал Исаевич</v>
          </cell>
          <cell r="B759">
            <v>79081691911</v>
          </cell>
        </row>
        <row r="760">
          <cell r="A760" t="str">
            <v>Гокорян Лиана Мишаевна</v>
          </cell>
          <cell r="B760">
            <v>79518477083</v>
          </cell>
        </row>
        <row r="761">
          <cell r="A761" t="str">
            <v>Голдэнберг Георгий Георгиевич</v>
          </cell>
          <cell r="B761">
            <v>79661713440</v>
          </cell>
        </row>
        <row r="762">
          <cell r="A762" t="str">
            <v>Голетиани Тэмураз Амиранович</v>
          </cell>
          <cell r="B762">
            <v>79250316588</v>
          </cell>
        </row>
        <row r="763">
          <cell r="A763" t="str">
            <v>Голешев Дмитрий Анатольевич</v>
          </cell>
          <cell r="B763">
            <v>79884613662</v>
          </cell>
        </row>
        <row r="764">
          <cell r="A764" t="str">
            <v>Голованева Наталья Алексеевна</v>
          </cell>
          <cell r="B764">
            <v>79604377719</v>
          </cell>
        </row>
        <row r="765">
          <cell r="A765" t="str">
            <v>Головатенко Владимир Владимирович</v>
          </cell>
          <cell r="B765">
            <v>79661610202</v>
          </cell>
        </row>
        <row r="766">
          <cell r="A766" t="str">
            <v>Головачев Павел Николаевич</v>
          </cell>
          <cell r="B766">
            <v>79252811136</v>
          </cell>
        </row>
        <row r="767">
          <cell r="A767" t="str">
            <v>Головенский Руслан Иванович</v>
          </cell>
          <cell r="B767">
            <v>79260070566</v>
          </cell>
        </row>
        <row r="768">
          <cell r="A768" t="str">
            <v>Головина Екатерина Давидовна</v>
          </cell>
          <cell r="B768">
            <v>79032413858</v>
          </cell>
        </row>
        <row r="769">
          <cell r="A769" t="str">
            <v>Головченко Галина Владимировна</v>
          </cell>
          <cell r="B769">
            <v>79209239963</v>
          </cell>
        </row>
        <row r="770">
          <cell r="A770" t="str">
            <v>Голосеев Алексей Анатольевич</v>
          </cell>
          <cell r="B770">
            <v>79264765646</v>
          </cell>
        </row>
        <row r="771">
          <cell r="A771" t="str">
            <v>Голосенин Тимофей Васильевич</v>
          </cell>
          <cell r="B771">
            <v>79785538206</v>
          </cell>
        </row>
        <row r="772">
          <cell r="A772" t="str">
            <v>Голота Илья Викторович</v>
          </cell>
          <cell r="B772">
            <v>79267580129</v>
          </cell>
        </row>
        <row r="773">
          <cell r="A773" t="str">
            <v>Голубев Михаил Владимирович</v>
          </cell>
          <cell r="B773">
            <v>79851565362</v>
          </cell>
        </row>
        <row r="774">
          <cell r="A774" t="str">
            <v>Голубева Анна Араратовна</v>
          </cell>
          <cell r="B774">
            <v>79150667575</v>
          </cell>
        </row>
        <row r="775">
          <cell r="A775" t="str">
            <v>Голубева Ольга Петровна</v>
          </cell>
          <cell r="B775">
            <v>79189187170</v>
          </cell>
        </row>
        <row r="776">
          <cell r="A776" t="str">
            <v>Голубева Юлия Константиновна</v>
          </cell>
          <cell r="B776">
            <v>79104555100</v>
          </cell>
        </row>
        <row r="777">
          <cell r="A777" t="str">
            <v>Голубков Олег Борисович</v>
          </cell>
          <cell r="B777">
            <v>79500390247</v>
          </cell>
        </row>
        <row r="778">
          <cell r="A778" t="str">
            <v>Голубь Елена Николаевна</v>
          </cell>
          <cell r="B778">
            <v>79054787383</v>
          </cell>
        </row>
        <row r="779">
          <cell r="A779" t="str">
            <v>Гончаров Александр Геннадьевич</v>
          </cell>
          <cell r="B779">
            <v>79013385033</v>
          </cell>
        </row>
        <row r="780">
          <cell r="A780" t="str">
            <v>Гончаров Роман Владимирович</v>
          </cell>
          <cell r="B780">
            <v>79883503416</v>
          </cell>
        </row>
        <row r="781">
          <cell r="A781" t="str">
            <v>Гончарь Юрий Валерьевич</v>
          </cell>
          <cell r="B781">
            <v>79020475456</v>
          </cell>
        </row>
        <row r="782">
          <cell r="A782" t="str">
            <v>Горбач Полина Валентиновна</v>
          </cell>
          <cell r="B782">
            <v>77775555555</v>
          </cell>
        </row>
        <row r="783">
          <cell r="A783" t="str">
            <v>Горбачев Денис Леонидович</v>
          </cell>
          <cell r="B783">
            <v>79312660646</v>
          </cell>
        </row>
        <row r="784">
          <cell r="A784" t="str">
            <v>Горбачев Иван Эдуардович</v>
          </cell>
          <cell r="B784">
            <v>79095704607</v>
          </cell>
        </row>
        <row r="785">
          <cell r="A785" t="str">
            <v>Горбачёв Олег Юрьевич</v>
          </cell>
          <cell r="B785">
            <v>79039678570</v>
          </cell>
        </row>
        <row r="786">
          <cell r="A786" t="str">
            <v>Горбачева Ольга Николаевна</v>
          </cell>
          <cell r="B786">
            <v>79057605757</v>
          </cell>
        </row>
        <row r="787">
          <cell r="A787" t="str">
            <v>Горбенко Олег Олегович</v>
          </cell>
          <cell r="B787">
            <v>79806862303</v>
          </cell>
        </row>
        <row r="788">
          <cell r="A788" t="str">
            <v>Горбунов Александр Георгиевич</v>
          </cell>
          <cell r="B788">
            <v>79257780505</v>
          </cell>
        </row>
        <row r="789">
          <cell r="A789" t="str">
            <v>Горбунов Артем Игоревич</v>
          </cell>
          <cell r="B789">
            <v>79268885790</v>
          </cell>
        </row>
        <row r="790">
          <cell r="A790" t="str">
            <v>Горгинова Ирина Рубеновна</v>
          </cell>
          <cell r="B790">
            <v>79037906960</v>
          </cell>
        </row>
        <row r="791">
          <cell r="A791" t="str">
            <v>Гордеев Дмитрий Романович</v>
          </cell>
          <cell r="B791">
            <v>79689060307</v>
          </cell>
        </row>
        <row r="792">
          <cell r="A792" t="str">
            <v>Гордеев Евгений Геннадьевич</v>
          </cell>
          <cell r="B792">
            <v>79108591521</v>
          </cell>
        </row>
        <row r="793">
          <cell r="A793" t="str">
            <v>Гордеева Наталья Николаевна</v>
          </cell>
          <cell r="B793">
            <v>79531512701</v>
          </cell>
        </row>
        <row r="794">
          <cell r="A794" t="str">
            <v>Гордиенко Максим Владимирович</v>
          </cell>
          <cell r="B794">
            <v>79182390070</v>
          </cell>
        </row>
        <row r="795">
          <cell r="A795" t="str">
            <v>Гордов Олег Анатольевич</v>
          </cell>
          <cell r="B795">
            <v>79112543850</v>
          </cell>
        </row>
        <row r="796">
          <cell r="A796" t="str">
            <v>Горелова Юлия Валерьевна</v>
          </cell>
          <cell r="B796">
            <v>79164862548</v>
          </cell>
        </row>
        <row r="797">
          <cell r="A797" t="str">
            <v>Горешнев Илья Владимирович</v>
          </cell>
          <cell r="B797">
            <v>79299391459</v>
          </cell>
        </row>
        <row r="798">
          <cell r="A798" t="str">
            <v>Горкальцев Евгений Алексеевич</v>
          </cell>
          <cell r="B798">
            <v>79189051551</v>
          </cell>
        </row>
        <row r="799">
          <cell r="A799" t="str">
            <v>Горобец Борис Борисович</v>
          </cell>
          <cell r="B799">
            <v>79136911144</v>
          </cell>
        </row>
        <row r="800">
          <cell r="A800" t="str">
            <v>Горобец Владислав Александрович</v>
          </cell>
          <cell r="B800" t="str">
            <v/>
          </cell>
        </row>
        <row r="801">
          <cell r="A801" t="str">
            <v>Городенок Дмитрий Петрович</v>
          </cell>
          <cell r="B801">
            <v>79254950096</v>
          </cell>
        </row>
        <row r="802">
          <cell r="A802" t="str">
            <v>Горохов Сергей Владимирович 2</v>
          </cell>
          <cell r="B802">
            <v>79296627026</v>
          </cell>
        </row>
        <row r="803">
          <cell r="A803" t="str">
            <v>Горских Владимир Николаевич</v>
          </cell>
          <cell r="B803">
            <v>79096940164</v>
          </cell>
        </row>
        <row r="804">
          <cell r="A804" t="str">
            <v>ГорСтрой ООО</v>
          </cell>
          <cell r="B804">
            <v>79628836006</v>
          </cell>
        </row>
        <row r="805">
          <cell r="A805" t="str">
            <v>Горшков Иван Владимирович</v>
          </cell>
          <cell r="B805">
            <v>79258015402</v>
          </cell>
        </row>
        <row r="806">
          <cell r="A806" t="str">
            <v>Горшков Никита Григорьевич</v>
          </cell>
          <cell r="B806">
            <v>79267172165</v>
          </cell>
        </row>
        <row r="807">
          <cell r="A807" t="str">
            <v>Горюнов Михаил Викторович</v>
          </cell>
          <cell r="B807">
            <v>79151505020</v>
          </cell>
        </row>
        <row r="808">
          <cell r="A808" t="str">
            <v>Горячихин Игорь Борисович</v>
          </cell>
          <cell r="B808">
            <v>79213810834</v>
          </cell>
        </row>
        <row r="809">
          <cell r="A809" t="str">
            <v>Грабовская Вероника Викторовна</v>
          </cell>
          <cell r="B809">
            <v>79255555113</v>
          </cell>
        </row>
        <row r="810">
          <cell r="A810" t="str">
            <v>Гранкин Алексей Эдуардович</v>
          </cell>
          <cell r="B810">
            <v>79827321036</v>
          </cell>
        </row>
        <row r="811">
          <cell r="A811" t="str">
            <v>Грачев Алексей Константинович</v>
          </cell>
          <cell r="B811">
            <v>79035496565</v>
          </cell>
        </row>
        <row r="812">
          <cell r="A812" t="str">
            <v>Грачев Сергей Владимирович</v>
          </cell>
          <cell r="B812">
            <v>79531567506</v>
          </cell>
        </row>
        <row r="813">
          <cell r="A813" t="str">
            <v>Грачева Наталия Викторовна</v>
          </cell>
          <cell r="B813">
            <v>79037723643</v>
          </cell>
        </row>
        <row r="814">
          <cell r="A814" t="str">
            <v>Гребнев Юрий Александрович</v>
          </cell>
          <cell r="B814">
            <v>79627090099</v>
          </cell>
        </row>
        <row r="815">
          <cell r="A815" t="str">
            <v>Греднекова Ольга Николаевна</v>
          </cell>
          <cell r="B815">
            <v>79104624207</v>
          </cell>
        </row>
        <row r="816">
          <cell r="A816" t="str">
            <v>Гречишкин Валерий Викторович</v>
          </cell>
          <cell r="B816">
            <v>79129439014</v>
          </cell>
        </row>
        <row r="817">
          <cell r="A817" t="str">
            <v>Гречкин Сергей Петрович</v>
          </cell>
          <cell r="B817">
            <v>79188891591</v>
          </cell>
        </row>
        <row r="818">
          <cell r="A818" t="str">
            <v>Гречко Алексей Сергеевич</v>
          </cell>
          <cell r="B818">
            <v>79289054735</v>
          </cell>
        </row>
        <row r="819">
          <cell r="A819" t="str">
            <v>Гриб Юрий Валерьевич</v>
          </cell>
          <cell r="B819">
            <v>79528209675</v>
          </cell>
        </row>
        <row r="820">
          <cell r="A820" t="str">
            <v>Григолия Аркадий Шахович</v>
          </cell>
          <cell r="B820">
            <v>79032842521</v>
          </cell>
        </row>
        <row r="821">
          <cell r="A821" t="str">
            <v>Григоренко Андрей Николаевич</v>
          </cell>
          <cell r="B821">
            <v>79811676768</v>
          </cell>
        </row>
        <row r="822">
          <cell r="A822" t="str">
            <v>Григорьев Алексей Валерьевич</v>
          </cell>
          <cell r="B822">
            <v>79688497888</v>
          </cell>
        </row>
        <row r="823">
          <cell r="A823" t="str">
            <v>Григорьев Алексей Викторович</v>
          </cell>
          <cell r="B823">
            <v>79218600907</v>
          </cell>
        </row>
        <row r="824">
          <cell r="A824" t="str">
            <v>Григорьев Андрей Сергеевич</v>
          </cell>
          <cell r="B824">
            <v>79266622619</v>
          </cell>
        </row>
        <row r="825">
          <cell r="A825" t="str">
            <v>Григорьев Олег Вячеславович</v>
          </cell>
          <cell r="B825">
            <v>79255668462</v>
          </cell>
        </row>
        <row r="826">
          <cell r="A826" t="str">
            <v>Григорьев Эдуард Юрьевич</v>
          </cell>
          <cell r="B826">
            <v>79055504528</v>
          </cell>
        </row>
        <row r="827">
          <cell r="A827" t="str">
            <v>Григорьева Альфия Сагитовна</v>
          </cell>
          <cell r="B827">
            <v>79191549360</v>
          </cell>
        </row>
        <row r="828">
          <cell r="A828" t="str">
            <v>Григорьева Наталья Владимировна</v>
          </cell>
          <cell r="B828">
            <v>79629696550</v>
          </cell>
        </row>
        <row r="829">
          <cell r="A829" t="str">
            <v>Григорьева Ольга Евгеньевна</v>
          </cell>
          <cell r="B829">
            <v>79650859134</v>
          </cell>
        </row>
        <row r="830">
          <cell r="A830" t="str">
            <v>Григорян Артур Амраги</v>
          </cell>
          <cell r="B830">
            <v>79856621240</v>
          </cell>
        </row>
        <row r="831">
          <cell r="A831" t="str">
            <v>Григорян Бениамин Эдуардович</v>
          </cell>
          <cell r="B831">
            <v>79150604242</v>
          </cell>
        </row>
        <row r="832">
          <cell r="A832" t="str">
            <v>Григорян Давид Микаелович</v>
          </cell>
          <cell r="B832">
            <v>79030065225</v>
          </cell>
        </row>
        <row r="833">
          <cell r="A833" t="str">
            <v>Григорян Эмма Петросовна</v>
          </cell>
          <cell r="B833">
            <v>79268586463</v>
          </cell>
        </row>
        <row r="834">
          <cell r="A834" t="str">
            <v>Григорян Эрик Рафаелович</v>
          </cell>
          <cell r="B834">
            <v>79100050500</v>
          </cell>
        </row>
        <row r="835">
          <cell r="A835" t="str">
            <v>Гриднева Татьяна Николаевна</v>
          </cell>
          <cell r="B835">
            <v>79221409471</v>
          </cell>
        </row>
        <row r="836">
          <cell r="A836" t="str">
            <v>Гридяева Лариса Павловна</v>
          </cell>
          <cell r="B836">
            <v>79028711574</v>
          </cell>
        </row>
        <row r="837">
          <cell r="A837" t="str">
            <v>Гринь Юлия Владимировна</v>
          </cell>
          <cell r="B837">
            <v>79000019313</v>
          </cell>
        </row>
        <row r="838">
          <cell r="A838" t="str">
            <v>Грицай Эдуард Викторович</v>
          </cell>
          <cell r="B838">
            <v>79628789878</v>
          </cell>
        </row>
        <row r="839">
          <cell r="A839" t="str">
            <v>Гриценко Дмитрий Владимирович</v>
          </cell>
          <cell r="B839">
            <v>79379741600</v>
          </cell>
        </row>
        <row r="840">
          <cell r="A840" t="str">
            <v>Гриценко Юрий Сергеевич</v>
          </cell>
          <cell r="B840">
            <v>79629348100</v>
          </cell>
        </row>
        <row r="841">
          <cell r="A841" t="str">
            <v>Гришенков Николай Викторович</v>
          </cell>
          <cell r="B841">
            <v>79112345357</v>
          </cell>
        </row>
        <row r="842">
          <cell r="A842" t="str">
            <v>Гришин Александр Викторович</v>
          </cell>
          <cell r="B842">
            <v>79067304545</v>
          </cell>
        </row>
        <row r="843">
          <cell r="A843" t="str">
            <v>Гришков Александр Андреевич</v>
          </cell>
          <cell r="B843">
            <v>79888911169</v>
          </cell>
        </row>
        <row r="844">
          <cell r="A844" t="str">
            <v>Громов Александр Леонидович</v>
          </cell>
          <cell r="B844">
            <v>79217440361</v>
          </cell>
        </row>
        <row r="845">
          <cell r="A845" t="str">
            <v>Громов Алексей Геннадьевич</v>
          </cell>
          <cell r="B845">
            <v>79257820905</v>
          </cell>
        </row>
        <row r="846">
          <cell r="A846" t="str">
            <v>Громов Вячеслав Александрович</v>
          </cell>
          <cell r="B846">
            <v>79602588237</v>
          </cell>
        </row>
        <row r="847">
          <cell r="A847" t="str">
            <v>Громов Николай Дмитриевич</v>
          </cell>
          <cell r="B847">
            <v>79852960830</v>
          </cell>
        </row>
        <row r="848">
          <cell r="A848" t="str">
            <v>Громов Сергей Дмитриевич</v>
          </cell>
          <cell r="B848">
            <v>79167136953</v>
          </cell>
        </row>
        <row r="849">
          <cell r="A849" t="str">
            <v>Груничев Александр Леонидович</v>
          </cell>
          <cell r="B849">
            <v>79213673273</v>
          </cell>
        </row>
        <row r="850">
          <cell r="A850" t="str">
            <v>ГТ.Билдинг ООО</v>
          </cell>
          <cell r="B850">
            <v>79778791077</v>
          </cell>
        </row>
        <row r="851">
          <cell r="A851" t="str">
            <v>Губайдуллаев Хафиз Рафхатович</v>
          </cell>
          <cell r="B851">
            <v>79272855894</v>
          </cell>
        </row>
        <row r="852">
          <cell r="A852" t="str">
            <v>Губайдуллин Валерий Вячиславович</v>
          </cell>
          <cell r="B852">
            <v>79779319066</v>
          </cell>
        </row>
        <row r="853">
          <cell r="A853" t="str">
            <v>Губенок Игорь Владимирович</v>
          </cell>
          <cell r="B853">
            <v>79263659808</v>
          </cell>
        </row>
        <row r="854">
          <cell r="A854" t="str">
            <v>Губская Светлана Анатольевна</v>
          </cell>
          <cell r="B854">
            <v>79852289127</v>
          </cell>
        </row>
        <row r="855">
          <cell r="A855" t="str">
            <v>Гуда Александр Сергеевич</v>
          </cell>
          <cell r="B855">
            <v>79265849666</v>
          </cell>
        </row>
        <row r="856">
          <cell r="A856" t="str">
            <v>Гудименко Константин Алексеевич</v>
          </cell>
          <cell r="B856">
            <v>79854422722</v>
          </cell>
        </row>
        <row r="857">
          <cell r="A857" t="str">
            <v>Гудков Дмитрий Львович</v>
          </cell>
          <cell r="B857">
            <v>79152785321</v>
          </cell>
        </row>
        <row r="858">
          <cell r="A858" t="str">
            <v>Гузенко Игорь Николаевич</v>
          </cell>
          <cell r="B858">
            <v>79182577781</v>
          </cell>
        </row>
        <row r="859">
          <cell r="A859" t="str">
            <v>Гукасян Павел Владимирович</v>
          </cell>
          <cell r="B859">
            <v>79670036000</v>
          </cell>
        </row>
        <row r="860">
          <cell r="A860" t="str">
            <v>Гулиев Адиль Джангирович</v>
          </cell>
          <cell r="B860">
            <v>79161090060</v>
          </cell>
        </row>
        <row r="861">
          <cell r="A861" t="str">
            <v>Гулиева Сусан Мубариз Кызы</v>
          </cell>
          <cell r="B861">
            <v>79913807181</v>
          </cell>
        </row>
        <row r="862">
          <cell r="A862" t="str">
            <v>Гулина Елена Александровна</v>
          </cell>
          <cell r="B862">
            <v>79067889544</v>
          </cell>
        </row>
        <row r="863">
          <cell r="A863" t="str">
            <v>Гулканян Наири Гарникович</v>
          </cell>
          <cell r="B863">
            <v>79261434729</v>
          </cell>
        </row>
        <row r="864">
          <cell r="A864" t="str">
            <v>Гуляев Георгий Владимирович</v>
          </cell>
          <cell r="B864">
            <v>79269698822</v>
          </cell>
        </row>
        <row r="865">
          <cell r="A865" t="str">
            <v>Гуляев Михаил Геннадьевич</v>
          </cell>
          <cell r="B865">
            <v>79031809570</v>
          </cell>
        </row>
        <row r="866">
          <cell r="A866" t="str">
            <v>Гулян Эрик Арутюнович</v>
          </cell>
          <cell r="B866">
            <v>79993183308</v>
          </cell>
        </row>
        <row r="867">
          <cell r="A867" t="str">
            <v>Гупало Илья Александрович</v>
          </cell>
          <cell r="B867">
            <v>79119212562</v>
          </cell>
        </row>
        <row r="868">
          <cell r="A868" t="str">
            <v>Гуркин Александр Юрьевич</v>
          </cell>
          <cell r="B868">
            <v>79277163538</v>
          </cell>
        </row>
        <row r="869">
          <cell r="A869" t="str">
            <v>Гуркин Владимир Рудольфович</v>
          </cell>
          <cell r="B869">
            <v>79881860636</v>
          </cell>
        </row>
        <row r="870">
          <cell r="A870" t="str">
            <v>Гуркин Владимир Рудольфович</v>
          </cell>
          <cell r="B870">
            <v>79271310093</v>
          </cell>
        </row>
        <row r="871">
          <cell r="A871" t="str">
            <v>Гуров Евгений Сергеевич</v>
          </cell>
          <cell r="B871">
            <v>79154250785</v>
          </cell>
        </row>
        <row r="872">
          <cell r="A872" t="str">
            <v>Гурова Лира Рамилевна</v>
          </cell>
          <cell r="B872">
            <v>79874767999</v>
          </cell>
        </row>
        <row r="873">
          <cell r="A873" t="str">
            <v>Гурская Ольга Владимировна</v>
          </cell>
          <cell r="B873">
            <v>79199983568</v>
          </cell>
        </row>
        <row r="874">
          <cell r="A874" t="str">
            <v>Гурьянов Кирилл Владимирович</v>
          </cell>
          <cell r="B874">
            <v>79032220999</v>
          </cell>
        </row>
        <row r="875">
          <cell r="A875" t="str">
            <v>Гусаков Алексей Владимирович</v>
          </cell>
          <cell r="B875">
            <v>79858087484</v>
          </cell>
        </row>
        <row r="876">
          <cell r="A876" t="str">
            <v>Гусев Алексей Васильевич</v>
          </cell>
          <cell r="B876">
            <v>79052187712</v>
          </cell>
        </row>
        <row r="877">
          <cell r="A877" t="str">
            <v>Гусев Алексей Юрьевич</v>
          </cell>
          <cell r="B877">
            <v>79817252302</v>
          </cell>
        </row>
        <row r="878">
          <cell r="A878" t="str">
            <v>Гусев Владимир Николаевич</v>
          </cell>
          <cell r="B878">
            <v>79057584727</v>
          </cell>
        </row>
        <row r="879">
          <cell r="A879" t="str">
            <v>Гусев Владимир Николаевич</v>
          </cell>
          <cell r="B879">
            <v>79060330420</v>
          </cell>
        </row>
        <row r="880">
          <cell r="A880" t="str">
            <v>Гусев Вячеслав Васильевич</v>
          </cell>
          <cell r="B880">
            <v>79039796098</v>
          </cell>
        </row>
        <row r="881">
          <cell r="A881" t="str">
            <v>Гусев Евгений Владимирович</v>
          </cell>
          <cell r="B881">
            <v>79011810578</v>
          </cell>
        </row>
        <row r="882">
          <cell r="A882" t="str">
            <v>Гусев Олег Александрович</v>
          </cell>
          <cell r="B882">
            <v>79882373833</v>
          </cell>
        </row>
        <row r="883">
          <cell r="A883" t="str">
            <v>Гусейинов Рафиг Шамил</v>
          </cell>
          <cell r="B883">
            <v>79670963535</v>
          </cell>
        </row>
        <row r="884">
          <cell r="A884" t="str">
            <v>Гусейнов Владимир Искендерович</v>
          </cell>
          <cell r="B884">
            <v>79262692081</v>
          </cell>
        </row>
        <row r="885">
          <cell r="A885" t="str">
            <v>Гусейнов Магомед Динисламович</v>
          </cell>
          <cell r="B885">
            <v>79011808364</v>
          </cell>
        </row>
        <row r="886">
          <cell r="A886" t="str">
            <v>Гусейнов Муслум Нурали Оглы</v>
          </cell>
          <cell r="B886">
            <v>79160281047</v>
          </cell>
        </row>
        <row r="887">
          <cell r="A887" t="str">
            <v>Гуциев Илес Эдильбекович</v>
          </cell>
          <cell r="B887">
            <v>79250599777</v>
          </cell>
        </row>
        <row r="888">
          <cell r="A888" t="str">
            <v>Гучок Артур Владимирович</v>
          </cell>
          <cell r="B888">
            <v>79160439539</v>
          </cell>
        </row>
        <row r="889">
          <cell r="A889" t="str">
            <v>Гучуа Натия Геноевна</v>
          </cell>
          <cell r="B889">
            <v>79523954672</v>
          </cell>
        </row>
        <row r="890">
          <cell r="A890" t="str">
            <v>Гюльбалаев Азамат Шарфитдинович</v>
          </cell>
          <cell r="B890">
            <v>79672695733</v>
          </cell>
        </row>
        <row r="891">
          <cell r="A891" t="str">
            <v>Давтян Аршак Амбарцумович</v>
          </cell>
          <cell r="B891" t="str">
            <v/>
          </cell>
        </row>
        <row r="892">
          <cell r="A892" t="str">
            <v>Давтян Григор Адибекович</v>
          </cell>
          <cell r="B892">
            <v>79859289955</v>
          </cell>
        </row>
        <row r="893">
          <cell r="A893" t="str">
            <v>Давыдов Евгений Федорович</v>
          </cell>
          <cell r="B893">
            <v>79164223403</v>
          </cell>
        </row>
        <row r="894">
          <cell r="A894" t="str">
            <v>Давыдов Игорь Александрович</v>
          </cell>
          <cell r="B894">
            <v>79996977662</v>
          </cell>
        </row>
        <row r="895">
          <cell r="A895" t="str">
            <v>Давыдов Михаил Сергеевич</v>
          </cell>
          <cell r="B895">
            <v>79673024321</v>
          </cell>
        </row>
        <row r="896">
          <cell r="A896" t="str">
            <v>Дагиров Рустам Шамсутдинович</v>
          </cell>
          <cell r="B896">
            <v>79260559936</v>
          </cell>
        </row>
        <row r="897">
          <cell r="A897" t="str">
            <v>Дадиев Мансур Ахтанович</v>
          </cell>
          <cell r="B897">
            <v>79299990741</v>
          </cell>
        </row>
        <row r="898">
          <cell r="A898" t="str">
            <v>Далгатов Гаджимурад Магомедович</v>
          </cell>
          <cell r="B898">
            <v>79259999244</v>
          </cell>
        </row>
        <row r="899">
          <cell r="A899" t="str">
            <v>Дали Илья Явдатович</v>
          </cell>
          <cell r="B899">
            <v>79857695694</v>
          </cell>
        </row>
        <row r="900">
          <cell r="A900" t="str">
            <v>Даллакян Гегецик Артаковна</v>
          </cell>
          <cell r="B900">
            <v>79254844668</v>
          </cell>
        </row>
        <row r="901">
          <cell r="A901" t="str">
            <v>Даллакян Гегецик Артаковна</v>
          </cell>
          <cell r="B901">
            <v>79254844668</v>
          </cell>
        </row>
        <row r="902">
          <cell r="A902" t="str">
            <v>Данелян Рафик Размикович</v>
          </cell>
          <cell r="B902">
            <v>79151876677</v>
          </cell>
        </row>
        <row r="903">
          <cell r="A903" t="str">
            <v>Данилкина Марьяна Руслановна</v>
          </cell>
          <cell r="B903">
            <v>79857575161</v>
          </cell>
        </row>
        <row r="904">
          <cell r="A904" t="str">
            <v>Данилкина Марьяна Руслановна</v>
          </cell>
          <cell r="B904">
            <v>79169629008</v>
          </cell>
        </row>
        <row r="905">
          <cell r="A905" t="str">
            <v>Данилов Денис Николаевич</v>
          </cell>
          <cell r="B905">
            <v>79255130949</v>
          </cell>
        </row>
        <row r="906">
          <cell r="A906" t="str">
            <v>Даниялов Марат Алавутдинович</v>
          </cell>
          <cell r="B906">
            <v>79046045670</v>
          </cell>
        </row>
        <row r="907">
          <cell r="A907" t="str">
            <v>Даньшин Виктор Петрович</v>
          </cell>
          <cell r="B907">
            <v>79871957032</v>
          </cell>
        </row>
        <row r="908">
          <cell r="A908" t="str">
            <v>Дарвичева Татьяна Викторовна</v>
          </cell>
          <cell r="B908">
            <v>79649401001</v>
          </cell>
        </row>
        <row r="909">
          <cell r="A909" t="str">
            <v>Двинянина Елена Владимировна</v>
          </cell>
          <cell r="B909">
            <v>79626794732</v>
          </cell>
        </row>
        <row r="910">
          <cell r="A910" t="str">
            <v>Двухшерстнов Игорь Олегович</v>
          </cell>
          <cell r="B910">
            <v>79639901209</v>
          </cell>
        </row>
        <row r="911">
          <cell r="A911" t="str">
            <v>Девляшкин Денис Андреевич</v>
          </cell>
          <cell r="B911">
            <v>79654016153</v>
          </cell>
        </row>
        <row r="912">
          <cell r="A912" t="str">
            <v>Деев Андрей Валентинович</v>
          </cell>
          <cell r="B912">
            <v>79151992454</v>
          </cell>
        </row>
        <row r="913">
          <cell r="A913" t="str">
            <v>Деменкова София Дмитриевна</v>
          </cell>
          <cell r="B913">
            <v>79037225315</v>
          </cell>
        </row>
        <row r="914">
          <cell r="A914" t="str">
            <v>Дементьев Александр Валерьевич</v>
          </cell>
          <cell r="B914">
            <v>79875984452</v>
          </cell>
        </row>
        <row r="915">
          <cell r="A915" t="str">
            <v>Дементьев Василий Алексеевич</v>
          </cell>
          <cell r="B915">
            <v>79370745455</v>
          </cell>
        </row>
        <row r="916">
          <cell r="A916" t="str">
            <v>Дементьева Юлия Алексеевна</v>
          </cell>
          <cell r="B916">
            <v>79217446899</v>
          </cell>
        </row>
        <row r="917">
          <cell r="A917" t="str">
            <v>Деменьшин Всеволод Николаевич</v>
          </cell>
          <cell r="B917">
            <v>79511297485</v>
          </cell>
        </row>
        <row r="918">
          <cell r="A918" t="str">
            <v>Демидов Андрей Александрович</v>
          </cell>
          <cell r="B918">
            <v>79257208256</v>
          </cell>
        </row>
        <row r="919">
          <cell r="A919" t="str">
            <v>Демидов Евгений Александрович</v>
          </cell>
          <cell r="B919">
            <v>79197227446</v>
          </cell>
        </row>
        <row r="920">
          <cell r="A920" t="str">
            <v>Демидова Зинаида Анатольевна</v>
          </cell>
          <cell r="B920">
            <v>79688926888</v>
          </cell>
        </row>
        <row r="921">
          <cell r="A921" t="str">
            <v>Демин Дмитрий Сергеевич</v>
          </cell>
          <cell r="B921">
            <v>79685113313</v>
          </cell>
        </row>
        <row r="922">
          <cell r="A922" t="str">
            <v>Демин Сергей Сергеевич</v>
          </cell>
          <cell r="B922">
            <v>79046401851</v>
          </cell>
        </row>
        <row r="923">
          <cell r="A923" t="str">
            <v>Демченко Андрей Сергеевич</v>
          </cell>
          <cell r="B923">
            <v>79181848343</v>
          </cell>
        </row>
        <row r="924">
          <cell r="A924" t="str">
            <v>Демьянов Дмитрий Александрович</v>
          </cell>
          <cell r="B924">
            <v>79643338864</v>
          </cell>
        </row>
        <row r="925">
          <cell r="A925" t="str">
            <v>Денисенко Олег Александрович</v>
          </cell>
          <cell r="B925">
            <v>79803219305</v>
          </cell>
        </row>
        <row r="926">
          <cell r="A926" t="str">
            <v>Денисенко Павел Павлович</v>
          </cell>
          <cell r="B926" t="str">
            <v/>
          </cell>
        </row>
        <row r="927">
          <cell r="A927" t="str">
            <v>Денисенко Руслана Анатольевна</v>
          </cell>
          <cell r="B927">
            <v>79192213172</v>
          </cell>
        </row>
        <row r="928">
          <cell r="A928" t="str">
            <v>Денисов Вячеслав Алексеевич</v>
          </cell>
          <cell r="B928">
            <v>79522242910</v>
          </cell>
        </row>
        <row r="929">
          <cell r="A929" t="str">
            <v>Денющенков Евгений Вячеславович</v>
          </cell>
          <cell r="B929">
            <v>79661234744</v>
          </cell>
        </row>
        <row r="930">
          <cell r="A930" t="str">
            <v>Дергунов Андрей Владимирович</v>
          </cell>
          <cell r="B930">
            <v>79219444581</v>
          </cell>
        </row>
        <row r="931">
          <cell r="A931" t="str">
            <v>Деревяга Илья Викторович</v>
          </cell>
          <cell r="B931">
            <v>79292876220</v>
          </cell>
        </row>
        <row r="932">
          <cell r="A932" t="str">
            <v>Деречина Светлана Робертовна</v>
          </cell>
          <cell r="B932">
            <v>79315414904</v>
          </cell>
        </row>
        <row r="933">
          <cell r="A933" t="str">
            <v>Джабраилов Алияр Абдулали Оглы</v>
          </cell>
          <cell r="B933">
            <v>79269838174</v>
          </cell>
        </row>
        <row r="934">
          <cell r="A934" t="str">
            <v>Джабраилов Саид-Хусейн Хасанович</v>
          </cell>
          <cell r="B934">
            <v>79189250990</v>
          </cell>
        </row>
        <row r="935">
          <cell r="A935" t="str">
            <v>Джалалова Гульмира Эльман Кызы</v>
          </cell>
          <cell r="B935">
            <v>79046166462</v>
          </cell>
        </row>
        <row r="936">
          <cell r="A936" t="str">
            <v>Джангуланова Амина Бауржановна</v>
          </cell>
          <cell r="B936">
            <v>79889362730</v>
          </cell>
        </row>
        <row r="937">
          <cell r="A937" t="str">
            <v>Джаукян Ваагн Сергеевич</v>
          </cell>
          <cell r="B937">
            <v>79132954040</v>
          </cell>
        </row>
        <row r="938">
          <cell r="A938" t="str">
            <v>Джафаров Намиг Джамил Оглы</v>
          </cell>
          <cell r="B938">
            <v>79202704561</v>
          </cell>
        </row>
        <row r="939">
          <cell r="A939" t="str">
            <v>Джебраилов Расим Эйюб-Оглы</v>
          </cell>
          <cell r="B939">
            <v>79652076396</v>
          </cell>
        </row>
        <row r="940">
          <cell r="A940" t="str">
            <v>Джулакян Мартирос Жораевич</v>
          </cell>
          <cell r="B940">
            <v>79166698782</v>
          </cell>
        </row>
        <row r="941">
          <cell r="A941" t="str">
            <v>Джумаева Муслима Султоновна</v>
          </cell>
          <cell r="B941">
            <v>79654428428</v>
          </cell>
        </row>
        <row r="942">
          <cell r="A942" t="str">
            <v>Дзейтов Муслим Алиевич</v>
          </cell>
          <cell r="B942">
            <v>79604328888</v>
          </cell>
        </row>
        <row r="943">
          <cell r="A943" t="str">
            <v>Дзюба Евгений Григорьевич</v>
          </cell>
          <cell r="B943">
            <v>79243287578</v>
          </cell>
        </row>
        <row r="944">
          <cell r="A944" t="str">
            <v>Дзямба Юрий Викторович</v>
          </cell>
          <cell r="B944">
            <v>79654003002</v>
          </cell>
        </row>
        <row r="945">
          <cell r="A945" t="str">
            <v>Диакону Сергей Борисович</v>
          </cell>
          <cell r="B945">
            <v>79653384337</v>
          </cell>
        </row>
        <row r="946">
          <cell r="A946" t="str">
            <v>Диденко Роман Владимирович</v>
          </cell>
          <cell r="B946">
            <v>79040950112</v>
          </cell>
        </row>
        <row r="947">
          <cell r="A947" t="str">
            <v>Дидиев Хасан Асланович</v>
          </cell>
          <cell r="B947">
            <v>79100000660</v>
          </cell>
        </row>
        <row r="948">
          <cell r="A948" t="str">
            <v>Дидур Юрий Александрович</v>
          </cell>
          <cell r="B948">
            <v>79160123202</v>
          </cell>
        </row>
        <row r="949">
          <cell r="A949" t="str">
            <v>Дидык Павел Сергеевич</v>
          </cell>
          <cell r="B949">
            <v>79252586632</v>
          </cell>
        </row>
        <row r="950">
          <cell r="A950" t="str">
            <v>Дмитренко Сергей Валериевич</v>
          </cell>
          <cell r="B950">
            <v>79789472442</v>
          </cell>
        </row>
        <row r="951">
          <cell r="A951" t="str">
            <v>Дмитриев Алексей Евгеньевич</v>
          </cell>
          <cell r="B951">
            <v>79689301685</v>
          </cell>
        </row>
        <row r="952">
          <cell r="A952" t="str">
            <v>Дмитриев Андрей Владимирович</v>
          </cell>
          <cell r="B952">
            <v>79150113686</v>
          </cell>
        </row>
        <row r="953">
          <cell r="A953" t="str">
            <v>Дмитриев Антон Романович</v>
          </cell>
          <cell r="B953">
            <v>79210605055</v>
          </cell>
        </row>
        <row r="954">
          <cell r="A954" t="str">
            <v>Дмитриев Дмитрий Михайлович</v>
          </cell>
          <cell r="B954">
            <v>79771327359</v>
          </cell>
        </row>
        <row r="955">
          <cell r="A955" t="str">
            <v>Дмитриева Любовь Юрьевна</v>
          </cell>
          <cell r="B955">
            <v>79180227594</v>
          </cell>
        </row>
        <row r="956">
          <cell r="A956" t="str">
            <v>Добров Дмитрий Сергеевич</v>
          </cell>
          <cell r="B956">
            <v>79060912718</v>
          </cell>
        </row>
        <row r="957">
          <cell r="A957" t="str">
            <v>Добровольский Максим Николаевич</v>
          </cell>
          <cell r="B957">
            <v>79214029040</v>
          </cell>
        </row>
        <row r="958">
          <cell r="A958" t="str">
            <v>Добрынин Алексей Юрьевич</v>
          </cell>
          <cell r="B958">
            <v>79030983743</v>
          </cell>
        </row>
        <row r="959">
          <cell r="A959" t="str">
            <v>Довгополая Мадина Александровна</v>
          </cell>
          <cell r="B959">
            <v>79164381608</v>
          </cell>
        </row>
        <row r="960">
          <cell r="A960" t="str">
            <v>Довженко Людмила Александровна</v>
          </cell>
          <cell r="B960">
            <v>79882452930</v>
          </cell>
        </row>
        <row r="961">
          <cell r="A961" t="str">
            <v>Довлатян Григорий Вараздатович</v>
          </cell>
          <cell r="B961">
            <v>79652874737</v>
          </cell>
        </row>
        <row r="962">
          <cell r="A962" t="str">
            <v>Догарева Мария Станиславовна</v>
          </cell>
          <cell r="B962">
            <v>79687969551</v>
          </cell>
        </row>
        <row r="963">
          <cell r="A963" t="str">
            <v>Додохова Анна Николаевна</v>
          </cell>
          <cell r="B963">
            <v>79851610177</v>
          </cell>
        </row>
        <row r="964">
          <cell r="A964" t="str">
            <v>Долгих Андрей Иванович</v>
          </cell>
          <cell r="B964">
            <v>79043443343</v>
          </cell>
        </row>
        <row r="965">
          <cell r="A965" t="str">
            <v>Долгих Анна Геннадьевна</v>
          </cell>
          <cell r="B965">
            <v>79620286689</v>
          </cell>
        </row>
        <row r="966">
          <cell r="A966" t="str">
            <v>Долгов Николай Петрович</v>
          </cell>
          <cell r="B966">
            <v>79104216325</v>
          </cell>
        </row>
        <row r="967">
          <cell r="A967" t="str">
            <v>Долгополов Сергей Юрьевич</v>
          </cell>
          <cell r="B967">
            <v>79771848609</v>
          </cell>
        </row>
        <row r="968">
          <cell r="A968" t="str">
            <v>Долгошеев Александр Юрьевич</v>
          </cell>
          <cell r="B968">
            <v>79636517614</v>
          </cell>
        </row>
        <row r="969">
          <cell r="A969" t="str">
            <v>Доля Семен Владимирович</v>
          </cell>
          <cell r="B969">
            <v>79214371301</v>
          </cell>
        </row>
        <row r="970">
          <cell r="A970" t="str">
            <v>Домников Александр Сергеевич</v>
          </cell>
          <cell r="B970">
            <v>79262136237</v>
          </cell>
        </row>
        <row r="971">
          <cell r="A971" t="str">
            <v>Доморощенков Сергей Валентинович</v>
          </cell>
          <cell r="B971">
            <v>79216373972</v>
          </cell>
        </row>
        <row r="972">
          <cell r="A972" t="str">
            <v>Домрачев Евгений Александрович</v>
          </cell>
          <cell r="B972">
            <v>79625237203</v>
          </cell>
        </row>
        <row r="973">
          <cell r="A973" t="str">
            <v>Домышев Григорий Валерьевич</v>
          </cell>
          <cell r="B973" t="str">
            <v/>
          </cell>
        </row>
        <row r="974">
          <cell r="A974" t="str">
            <v>Домышева Елена Александровна</v>
          </cell>
          <cell r="B974">
            <v>79086640469</v>
          </cell>
        </row>
        <row r="975">
          <cell r="A975" t="str">
            <v>Доновский Даниил Дмитриевич</v>
          </cell>
          <cell r="B975">
            <v>79817820994</v>
          </cell>
        </row>
        <row r="976">
          <cell r="A976" t="str">
            <v>Донская Виктория Зурабовна</v>
          </cell>
          <cell r="B976">
            <v>79688538583</v>
          </cell>
        </row>
        <row r="977">
          <cell r="A977" t="str">
            <v>Дорожинская Екатерина Андреевна</v>
          </cell>
          <cell r="B977">
            <v>79045231800</v>
          </cell>
        </row>
        <row r="978">
          <cell r="A978" t="str">
            <v>Дорохин Артем Олегович</v>
          </cell>
          <cell r="B978">
            <v>79159993506</v>
          </cell>
        </row>
        <row r="979">
          <cell r="A979" t="str">
            <v>ДОРРЕМСТРОЙ ООО</v>
          </cell>
          <cell r="B979">
            <v>79614999927</v>
          </cell>
        </row>
        <row r="980">
          <cell r="A980" t="str">
            <v>Дортман Ольга Александровна</v>
          </cell>
          <cell r="B980">
            <v>79645851812</v>
          </cell>
        </row>
        <row r="981">
          <cell r="A981" t="str">
            <v>Доценко Артём Анатольевич</v>
          </cell>
          <cell r="B981">
            <v>79046461888</v>
          </cell>
        </row>
        <row r="982">
          <cell r="A982" t="str">
            <v>Дробный Александр Олегович</v>
          </cell>
          <cell r="B982">
            <v>79629951331</v>
          </cell>
        </row>
        <row r="983">
          <cell r="A983" t="str">
            <v>Дробот Роман Вячеславович</v>
          </cell>
          <cell r="B983">
            <v>79270689752</v>
          </cell>
        </row>
        <row r="984">
          <cell r="A984" t="str">
            <v>Дрогин Дмитрий Владимирович</v>
          </cell>
          <cell r="B984">
            <v>79263555556</v>
          </cell>
        </row>
        <row r="985">
          <cell r="A985" t="str">
            <v>Дрожжин Андрей Юрьевич</v>
          </cell>
          <cell r="B985">
            <v>79855607848</v>
          </cell>
        </row>
        <row r="986">
          <cell r="A986" t="str">
            <v>Дроздова Людмила Васильевна</v>
          </cell>
          <cell r="B986">
            <v>79107620486</v>
          </cell>
        </row>
        <row r="987">
          <cell r="A987" t="str">
            <v>Друшевский Олег Владимирович</v>
          </cell>
          <cell r="B987">
            <v>79054386500</v>
          </cell>
        </row>
        <row r="988">
          <cell r="A988" t="str">
            <v>Дряхлова Марина Николаевна</v>
          </cell>
          <cell r="B988">
            <v>79996349354</v>
          </cell>
        </row>
        <row r="989">
          <cell r="A989" t="str">
            <v>Дряхлова Марина Николаевна</v>
          </cell>
          <cell r="B989">
            <v>79996313162</v>
          </cell>
        </row>
        <row r="990">
          <cell r="A990" t="str">
            <v>Дубовицкий Глеб Романович</v>
          </cell>
          <cell r="B990">
            <v>79680560202</v>
          </cell>
        </row>
        <row r="991">
          <cell r="A991" t="str">
            <v>Дубовская Юлия Олеговна</v>
          </cell>
          <cell r="B991">
            <v>79161251076</v>
          </cell>
        </row>
        <row r="992">
          <cell r="A992" t="str">
            <v>Дубров Алексей Владимирович</v>
          </cell>
          <cell r="B992">
            <v>79881315422</v>
          </cell>
        </row>
        <row r="993">
          <cell r="A993" t="str">
            <v>Дубский Денис Николаевич</v>
          </cell>
          <cell r="B993">
            <v>79823345661</v>
          </cell>
        </row>
        <row r="994">
          <cell r="A994" t="str">
            <v>Дубский Денис Николаевич</v>
          </cell>
          <cell r="B994">
            <v>79822759202</v>
          </cell>
        </row>
        <row r="995">
          <cell r="A995" t="str">
            <v>Дугаржапов Бато Дугарович</v>
          </cell>
          <cell r="B995">
            <v>79265616202</v>
          </cell>
        </row>
        <row r="996">
          <cell r="A996" t="str">
            <v>Дугина Олеся Сергеевна</v>
          </cell>
          <cell r="B996">
            <v>79270926642</v>
          </cell>
        </row>
        <row r="997">
          <cell r="A997" t="str">
            <v>Дударенок Сергей Сергеевич</v>
          </cell>
          <cell r="B997">
            <v>79214452105</v>
          </cell>
        </row>
        <row r="998">
          <cell r="A998" t="str">
            <v>Дудин Василий Васильевич</v>
          </cell>
          <cell r="B998">
            <v>79621334524</v>
          </cell>
        </row>
        <row r="999">
          <cell r="A999" t="str">
            <v>Дудник Юрий Григорьевич</v>
          </cell>
          <cell r="B999">
            <v>79189802185</v>
          </cell>
        </row>
        <row r="1000">
          <cell r="A1000" t="str">
            <v>Дудырина Мария Юрьевна</v>
          </cell>
          <cell r="B1000">
            <v>79258901220</v>
          </cell>
        </row>
        <row r="1001">
          <cell r="A1001" t="str">
            <v>Дунаев Игорь Николаевич</v>
          </cell>
          <cell r="B1001">
            <v>79112176799</v>
          </cell>
        </row>
        <row r="1002">
          <cell r="A1002" t="str">
            <v>Дунаева Анна Александровна</v>
          </cell>
          <cell r="B1002">
            <v>79055175061</v>
          </cell>
        </row>
        <row r="1003">
          <cell r="A1003" t="str">
            <v>Дунаева Любовь Анатольевна</v>
          </cell>
          <cell r="B1003">
            <v>79035483254</v>
          </cell>
        </row>
        <row r="1004">
          <cell r="A1004" t="str">
            <v>Духовник Сергей Викторович</v>
          </cell>
          <cell r="B1004">
            <v>79676397733</v>
          </cell>
        </row>
        <row r="1005">
          <cell r="A1005" t="str">
            <v>Дученко Анастасия Олеговна</v>
          </cell>
          <cell r="B1005">
            <v>79269930098</v>
          </cell>
        </row>
        <row r="1006">
          <cell r="A1006" t="str">
            <v>Дученко Виталий Валерьевич</v>
          </cell>
          <cell r="B1006">
            <v>79269930081</v>
          </cell>
        </row>
        <row r="1007">
          <cell r="A1007" t="str">
            <v>Дыгова Раиса Мусарбиевна</v>
          </cell>
          <cell r="B1007">
            <v>79955067888</v>
          </cell>
        </row>
        <row r="1008">
          <cell r="A1008" t="str">
            <v>Дыдышко Ксения Викторовна</v>
          </cell>
          <cell r="B1008">
            <v>79112248526</v>
          </cell>
        </row>
        <row r="1009">
          <cell r="A1009" t="str">
            <v>Дьяков Павел Леонидович</v>
          </cell>
          <cell r="B1009">
            <v>79152897200</v>
          </cell>
        </row>
        <row r="1010">
          <cell r="A1010" t="str">
            <v>Дьяконов Константин Андреевич</v>
          </cell>
          <cell r="B1010">
            <v>79267047960</v>
          </cell>
        </row>
        <row r="1011">
          <cell r="A1011" t="str">
            <v>Дьячук Анна Анатольевна</v>
          </cell>
          <cell r="B1011">
            <v>79650002053</v>
          </cell>
        </row>
        <row r="1012">
          <cell r="A1012" t="str">
            <v>Дюнина Светлана Владимировна</v>
          </cell>
          <cell r="B1012">
            <v>79153246026</v>
          </cell>
        </row>
        <row r="1013">
          <cell r="A1013" t="str">
            <v>Дядченко Елена Валентиновна</v>
          </cell>
          <cell r="B1013">
            <v>79852928484</v>
          </cell>
        </row>
        <row r="1014">
          <cell r="A1014" t="str">
            <v>Евграфов Евгений Викторович</v>
          </cell>
          <cell r="B1014">
            <v>79999734655</v>
          </cell>
        </row>
        <row r="1015">
          <cell r="A1015" t="str">
            <v>Евсеев Кирилл Юрьевич</v>
          </cell>
          <cell r="B1015">
            <v>79778510200</v>
          </cell>
        </row>
        <row r="1016">
          <cell r="A1016" t="str">
            <v>Евсеев Сергей Анатольевич</v>
          </cell>
          <cell r="B1016">
            <v>79080610858</v>
          </cell>
        </row>
        <row r="1017">
          <cell r="A1017" t="str">
            <v>Евсин Иван Евгеньевич</v>
          </cell>
          <cell r="B1017">
            <v>79250237077</v>
          </cell>
        </row>
        <row r="1018">
          <cell r="A1018" t="str">
            <v>Евстигнеев Дмитрий Станиславович</v>
          </cell>
          <cell r="B1018">
            <v>79161179491</v>
          </cell>
        </row>
        <row r="1019">
          <cell r="A1019" t="str">
            <v>Евстратов Игорь Владимирович</v>
          </cell>
          <cell r="B1019">
            <v>79019831564</v>
          </cell>
        </row>
        <row r="1020">
          <cell r="A1020" t="str">
            <v>Евтеев Денис Владимирович</v>
          </cell>
          <cell r="B1020">
            <v>79645251703</v>
          </cell>
        </row>
        <row r="1021">
          <cell r="A1021" t="str">
            <v>Евтеев Павел Петрович</v>
          </cell>
          <cell r="B1021">
            <v>79166301985</v>
          </cell>
        </row>
        <row r="1022">
          <cell r="A1022" t="str">
            <v>Евтина Яна Анатольевна</v>
          </cell>
          <cell r="B1022">
            <v>79514157455</v>
          </cell>
        </row>
        <row r="1023">
          <cell r="A1023" t="str">
            <v>Евтух Александр Валерьевич</v>
          </cell>
          <cell r="B1023">
            <v>79639788778</v>
          </cell>
        </row>
        <row r="1024">
          <cell r="A1024" t="str">
            <v>Евтушенко Александр Александрович</v>
          </cell>
          <cell r="B1024">
            <v>77952873000</v>
          </cell>
        </row>
        <row r="1025">
          <cell r="A1025" t="str">
            <v>Евтушенко Александр Александрович</v>
          </cell>
          <cell r="B1025">
            <v>79528730008</v>
          </cell>
        </row>
        <row r="1026">
          <cell r="A1026" t="str">
            <v>Евтушенко Дмитрий Николаевич</v>
          </cell>
          <cell r="B1026">
            <v>79650816117</v>
          </cell>
        </row>
        <row r="1027">
          <cell r="A1027" t="str">
            <v>Егиазарян Геворг Рубикович</v>
          </cell>
          <cell r="B1027">
            <v>79035900820</v>
          </cell>
        </row>
        <row r="1028">
          <cell r="A1028" t="str">
            <v>Егикян Оганнес Юрикович</v>
          </cell>
          <cell r="B1028">
            <v>79881316613</v>
          </cell>
        </row>
        <row r="1029">
          <cell r="A1029" t="str">
            <v>Егоров Александр Иванович</v>
          </cell>
          <cell r="B1029" t="str">
            <v/>
          </cell>
        </row>
        <row r="1030">
          <cell r="A1030" t="str">
            <v>Егоров Андрей Вячеславович</v>
          </cell>
          <cell r="B1030">
            <v>79539657046</v>
          </cell>
        </row>
        <row r="1031">
          <cell r="A1031" t="str">
            <v>Егоров Виктор Евгеньевич</v>
          </cell>
          <cell r="B1031">
            <v>79261170426</v>
          </cell>
        </row>
        <row r="1032">
          <cell r="A1032" t="str">
            <v>Егоров Владимир Борисович</v>
          </cell>
          <cell r="B1032">
            <v>79219092868</v>
          </cell>
        </row>
        <row r="1033">
          <cell r="A1033" t="str">
            <v>Егоров Денис Сергеевич</v>
          </cell>
          <cell r="B1033">
            <v>79881327058</v>
          </cell>
        </row>
        <row r="1034">
          <cell r="A1034" t="str">
            <v>Егоров Павел Евгеньевич</v>
          </cell>
          <cell r="B1034">
            <v>79602316434</v>
          </cell>
        </row>
        <row r="1035">
          <cell r="A1035" t="str">
            <v>Егоров Сергей Владимирович</v>
          </cell>
          <cell r="B1035">
            <v>79017129658</v>
          </cell>
        </row>
        <row r="1036">
          <cell r="A1036" t="str">
            <v>Егоршева Ирина Александровна</v>
          </cell>
          <cell r="B1036">
            <v>79037716969</v>
          </cell>
        </row>
        <row r="1037">
          <cell r="A1037" t="str">
            <v>Егоян Арарат Хнгяносович</v>
          </cell>
          <cell r="B1037">
            <v>79685452266</v>
          </cell>
        </row>
        <row r="1038">
          <cell r="A1038" t="str">
            <v>Егоян Вард Баласанович</v>
          </cell>
          <cell r="B1038">
            <v>79032135256</v>
          </cell>
        </row>
        <row r="1039">
          <cell r="A1039" t="str">
            <v>Егупов Дмитрий Сергеевич</v>
          </cell>
          <cell r="B1039">
            <v>79023113609</v>
          </cell>
        </row>
        <row r="1040">
          <cell r="A1040" t="str">
            <v>Екатеринчева Элина Ашотовна</v>
          </cell>
          <cell r="B1040">
            <v>79777713224</v>
          </cell>
        </row>
        <row r="1041">
          <cell r="A1041" t="str">
            <v>Екимов Алексей Васильевич</v>
          </cell>
          <cell r="B1041">
            <v>79219343475</v>
          </cell>
        </row>
        <row r="1042">
          <cell r="A1042" t="str">
            <v>Елецких Денис Александрович</v>
          </cell>
          <cell r="B1042">
            <v>79036799838</v>
          </cell>
        </row>
        <row r="1043">
          <cell r="A1043" t="str">
            <v>Елизарова Виктория Андреевна</v>
          </cell>
          <cell r="B1043">
            <v>79006503653</v>
          </cell>
        </row>
        <row r="1044">
          <cell r="A1044" t="str">
            <v>Елисеев Вячеслав Викторович</v>
          </cell>
          <cell r="B1044">
            <v>79661279090</v>
          </cell>
        </row>
        <row r="1045">
          <cell r="A1045" t="str">
            <v>Елисеев Никита Вячеславович</v>
          </cell>
          <cell r="B1045">
            <v>79997645124</v>
          </cell>
        </row>
        <row r="1046">
          <cell r="A1046" t="str">
            <v>Елисеев Сергей Алексеевич</v>
          </cell>
          <cell r="B1046">
            <v>79253441401</v>
          </cell>
        </row>
        <row r="1047">
          <cell r="A1047" t="str">
            <v>Елистратов Сергей Викторович</v>
          </cell>
          <cell r="B1047">
            <v>79163455552</v>
          </cell>
        </row>
        <row r="1048">
          <cell r="A1048" t="str">
            <v>Елишева Татьяна Валерьевна</v>
          </cell>
          <cell r="B1048">
            <v>79266455330</v>
          </cell>
        </row>
        <row r="1049">
          <cell r="A1049" t="str">
            <v>Еловикова Елена Сергеевна</v>
          </cell>
          <cell r="B1049">
            <v>79607977776</v>
          </cell>
        </row>
        <row r="1050">
          <cell r="A1050" t="str">
            <v>Ельникова Анастасия Евгеньевна</v>
          </cell>
          <cell r="B1050">
            <v>79965001886</v>
          </cell>
        </row>
        <row r="1051">
          <cell r="A1051" t="str">
            <v>Ельшин Владимир Анатольевич</v>
          </cell>
          <cell r="B1051">
            <v>79260403500</v>
          </cell>
        </row>
        <row r="1052">
          <cell r="A1052" t="str">
            <v>Емелин Сергей Анатольевич</v>
          </cell>
          <cell r="B1052">
            <v>79536694040</v>
          </cell>
        </row>
        <row r="1053">
          <cell r="A1053" t="str">
            <v>Емельяненко Александр Николаевич</v>
          </cell>
          <cell r="B1053">
            <v>79167185401</v>
          </cell>
        </row>
        <row r="1054">
          <cell r="A1054" t="str">
            <v>Емельянов Дмитрий Сергеевич</v>
          </cell>
          <cell r="B1054">
            <v>79052048503</v>
          </cell>
        </row>
        <row r="1055">
          <cell r="A1055" t="str">
            <v>Ендубаев Сергей Васильевич</v>
          </cell>
          <cell r="B1055">
            <v>79859232757</v>
          </cell>
        </row>
        <row r="1056">
          <cell r="A1056" t="str">
            <v>Ендубаева Елена Александровна</v>
          </cell>
          <cell r="B1056">
            <v>79859232757</v>
          </cell>
        </row>
        <row r="1057">
          <cell r="A1057" t="str">
            <v>Енцова Виктория Александровна</v>
          </cell>
          <cell r="B1057">
            <v>79269089601</v>
          </cell>
        </row>
        <row r="1058">
          <cell r="A1058" t="str">
            <v>Епифанов Дмитрий Анатольевич</v>
          </cell>
          <cell r="B1058">
            <v>79161164350</v>
          </cell>
        </row>
        <row r="1059">
          <cell r="A1059" t="str">
            <v>Ерамишян Мхитар Мурадович</v>
          </cell>
          <cell r="B1059">
            <v>79269336106</v>
          </cell>
        </row>
        <row r="1060">
          <cell r="A1060" t="str">
            <v>Ергашев Мухаммаджон Абдувалиевич</v>
          </cell>
          <cell r="B1060">
            <v>79060407129</v>
          </cell>
        </row>
        <row r="1061">
          <cell r="A1061" t="str">
            <v>Ерема Андрей Геннадиевич</v>
          </cell>
          <cell r="B1061">
            <v>79032825235</v>
          </cell>
        </row>
        <row r="1062">
          <cell r="A1062" t="str">
            <v>Еремеев Виталий Валерьевич</v>
          </cell>
          <cell r="B1062">
            <v>79168222238</v>
          </cell>
        </row>
        <row r="1063">
          <cell r="A1063" t="str">
            <v>Еременко Максим Викторович</v>
          </cell>
          <cell r="B1063">
            <v>79096784730</v>
          </cell>
        </row>
        <row r="1064">
          <cell r="A1064" t="str">
            <v>Еременко Сергей Артурович</v>
          </cell>
          <cell r="B1064">
            <v>79040021967</v>
          </cell>
        </row>
        <row r="1065">
          <cell r="A1065" t="str">
            <v>Еременко Сергей Артурович</v>
          </cell>
          <cell r="B1065">
            <v>79309556325</v>
          </cell>
        </row>
        <row r="1066">
          <cell r="A1066" t="str">
            <v>Еремин Алексей Валерьевич</v>
          </cell>
          <cell r="B1066">
            <v>79219463737</v>
          </cell>
        </row>
        <row r="1067">
          <cell r="A1067" t="str">
            <v>Еремин Николай Алексеевич</v>
          </cell>
          <cell r="B1067">
            <v>79173036997</v>
          </cell>
        </row>
        <row r="1068">
          <cell r="A1068" t="str">
            <v>Еремян Артур Корюнович</v>
          </cell>
          <cell r="B1068">
            <v>79778044852</v>
          </cell>
        </row>
        <row r="1069">
          <cell r="A1069" t="str">
            <v>Еримеев Константин Викторович</v>
          </cell>
          <cell r="B1069">
            <v>79161414058</v>
          </cell>
        </row>
        <row r="1070">
          <cell r="A1070" t="str">
            <v>Ермак Анатолий Антонович</v>
          </cell>
          <cell r="B1070">
            <v>79647780138</v>
          </cell>
        </row>
        <row r="1071">
          <cell r="A1071" t="str">
            <v>Ермаков Александр Андреевич</v>
          </cell>
          <cell r="B1071">
            <v>79268204002</v>
          </cell>
        </row>
        <row r="1072">
          <cell r="A1072" t="str">
            <v>Ермаков Владислав Олегович</v>
          </cell>
          <cell r="B1072">
            <v>79852343377</v>
          </cell>
        </row>
        <row r="1073">
          <cell r="A1073" t="str">
            <v>Ермаков Дмитрий Сергеевич</v>
          </cell>
          <cell r="B1073">
            <v>79258205566</v>
          </cell>
        </row>
        <row r="1074">
          <cell r="A1074" t="str">
            <v>Ермаков Евгений Васильевич</v>
          </cell>
          <cell r="B1074">
            <v>79217815979</v>
          </cell>
        </row>
        <row r="1075">
          <cell r="A1075" t="str">
            <v>Ермаков Кирилл Андреевич</v>
          </cell>
          <cell r="B1075">
            <v>79055511185</v>
          </cell>
        </row>
        <row r="1076">
          <cell r="A1076" t="str">
            <v>Ермакова Кристина Алексеевна</v>
          </cell>
          <cell r="B1076">
            <v>79031346914</v>
          </cell>
        </row>
        <row r="1077">
          <cell r="A1077" t="str">
            <v>Ерманова Диана Рашитовна</v>
          </cell>
          <cell r="B1077">
            <v>79629196969</v>
          </cell>
        </row>
        <row r="1078">
          <cell r="A1078" t="str">
            <v>Ермилин Виталий Владимирович</v>
          </cell>
          <cell r="B1078">
            <v>79630996834</v>
          </cell>
        </row>
        <row r="1079">
          <cell r="A1079" t="str">
            <v>Ермишин Сергей Михайлович</v>
          </cell>
          <cell r="B1079">
            <v>79036299111</v>
          </cell>
        </row>
        <row r="1080">
          <cell r="A1080" t="str">
            <v>Ероносян Тигран Ардавасович</v>
          </cell>
          <cell r="B1080">
            <v>79891220476</v>
          </cell>
        </row>
        <row r="1081">
          <cell r="A1081" t="str">
            <v>Ерофеева Марина Игоревна</v>
          </cell>
          <cell r="B1081">
            <v>79145195995</v>
          </cell>
        </row>
        <row r="1082">
          <cell r="A1082" t="str">
            <v>Ерохин Владимир Васильевич</v>
          </cell>
          <cell r="B1082">
            <v>79629267138</v>
          </cell>
        </row>
        <row r="1083">
          <cell r="A1083" t="str">
            <v>Ерохин Сергей Сергеевич</v>
          </cell>
          <cell r="B1083">
            <v>79253668123</v>
          </cell>
        </row>
        <row r="1084">
          <cell r="A1084" t="str">
            <v>Ерохина Маргарида дэ Матушь</v>
          </cell>
          <cell r="B1084">
            <v>79774130804</v>
          </cell>
        </row>
        <row r="1085">
          <cell r="A1085" t="str">
            <v>Ерошкин Роман Сергеевич</v>
          </cell>
          <cell r="B1085">
            <v>79253754710</v>
          </cell>
        </row>
        <row r="1086">
          <cell r="A1086" t="str">
            <v>Ерошов Дмитрий Иванович</v>
          </cell>
          <cell r="B1086">
            <v>79096775510</v>
          </cell>
        </row>
        <row r="1087">
          <cell r="A1087" t="str">
            <v>Ерунов Захар Махмадюсуфович</v>
          </cell>
          <cell r="B1087">
            <v>79776224677</v>
          </cell>
        </row>
        <row r="1088">
          <cell r="A1088" t="str">
            <v>Ершов Николай Александрович</v>
          </cell>
          <cell r="B1088">
            <v>79151387360</v>
          </cell>
        </row>
        <row r="1089">
          <cell r="A1089" t="str">
            <v>Ершова Кристина Михайловна</v>
          </cell>
          <cell r="B1089">
            <v>79959171300</v>
          </cell>
        </row>
        <row r="1090">
          <cell r="A1090" t="str">
            <v>Ершова Кристина Михайловна</v>
          </cell>
          <cell r="B1090">
            <v>79959171300</v>
          </cell>
        </row>
        <row r="1091">
          <cell r="A1091" t="str">
            <v>Ершова Наталья Вениаминовна</v>
          </cell>
          <cell r="B1091">
            <v>79811477971</v>
          </cell>
        </row>
        <row r="1092">
          <cell r="A1092" t="str">
            <v>Есакова Ольга Геннадьевна</v>
          </cell>
          <cell r="B1092">
            <v>79255331415</v>
          </cell>
        </row>
        <row r="1093">
          <cell r="A1093" t="str">
            <v>Есиков Алексей Вячеславович</v>
          </cell>
          <cell r="B1093">
            <v>79602369556</v>
          </cell>
        </row>
        <row r="1094">
          <cell r="A1094" t="str">
            <v>Ефанов Андрей Александрович</v>
          </cell>
          <cell r="B1094">
            <v>79186768856</v>
          </cell>
        </row>
        <row r="1095">
          <cell r="A1095" t="str">
            <v>Ефимова Анастасия Владимировна</v>
          </cell>
          <cell r="B1095">
            <v>79772660523</v>
          </cell>
        </row>
        <row r="1096">
          <cell r="A1096" t="str">
            <v>Ефимчук Олег Николаевич</v>
          </cell>
          <cell r="B1096">
            <v>79161465673</v>
          </cell>
        </row>
        <row r="1097">
          <cell r="A1097" t="str">
            <v>Ефремов Николай Михайлович</v>
          </cell>
          <cell r="B1097">
            <v>79006366037</v>
          </cell>
        </row>
        <row r="1098">
          <cell r="A1098" t="str">
            <v>Ефутин Владимир Петрович</v>
          </cell>
          <cell r="B1098">
            <v>79216428230</v>
          </cell>
        </row>
        <row r="1099">
          <cell r="A1099" t="str">
            <v>Ешкин Роман Александрович</v>
          </cell>
          <cell r="B1099" t="str">
            <v/>
          </cell>
        </row>
        <row r="1100">
          <cell r="A1100" t="str">
            <v>Жакыпова Алтынай Абановна</v>
          </cell>
          <cell r="B1100">
            <v>79264125699</v>
          </cell>
        </row>
        <row r="1101">
          <cell r="A1101" t="str">
            <v>Жалилов Марифжон Махамадаминович</v>
          </cell>
          <cell r="B1101">
            <v>79533728902</v>
          </cell>
        </row>
        <row r="1102">
          <cell r="A1102" t="str">
            <v>Жалилов Руслан Мамасаитович</v>
          </cell>
          <cell r="B1102">
            <v>79261006026</v>
          </cell>
        </row>
        <row r="1103">
          <cell r="A1103" t="str">
            <v>Жалилова Айгул Бекназаровна</v>
          </cell>
          <cell r="B1103">
            <v>79777263077</v>
          </cell>
        </row>
        <row r="1104">
          <cell r="A1104" t="str">
            <v>Жалина Гузель Винеровна</v>
          </cell>
          <cell r="B1104" t="str">
            <v/>
          </cell>
        </row>
        <row r="1105">
          <cell r="A1105" t="str">
            <v>Жамлиханов Руслан Мигдятович</v>
          </cell>
          <cell r="B1105">
            <v>79504259973</v>
          </cell>
        </row>
        <row r="1106">
          <cell r="A1106" t="str">
            <v>Жаныбаев Арапбай Дуйшобаевич</v>
          </cell>
          <cell r="B1106">
            <v>79850939797</v>
          </cell>
        </row>
        <row r="1107">
          <cell r="A1107" t="str">
            <v>Жаркин Ян Юрьевич</v>
          </cell>
          <cell r="B1107">
            <v>79104299909</v>
          </cell>
        </row>
        <row r="1108">
          <cell r="A1108" t="str">
            <v>Жарков Камиль Орифжонович</v>
          </cell>
          <cell r="B1108">
            <v>79036663133</v>
          </cell>
        </row>
        <row r="1109">
          <cell r="A1109" t="str">
            <v>Жданова Александра Валерьевна</v>
          </cell>
          <cell r="B1109">
            <v>79858969307</v>
          </cell>
        </row>
        <row r="1110">
          <cell r="A1110" t="str">
            <v>Желез Марина Валентиновна</v>
          </cell>
          <cell r="B1110">
            <v>79216300317</v>
          </cell>
        </row>
        <row r="1111">
          <cell r="A1111" t="str">
            <v>Железняк Алексей Владимирович</v>
          </cell>
          <cell r="B1111">
            <v>79110240219</v>
          </cell>
        </row>
        <row r="1112">
          <cell r="A1112" t="str">
            <v>Железняков Виталий Александрович</v>
          </cell>
          <cell r="B1112">
            <v>79061873666</v>
          </cell>
        </row>
        <row r="1113">
          <cell r="A1113" t="str">
            <v>Желудков Виктор Викторович</v>
          </cell>
          <cell r="B1113">
            <v>79851164949</v>
          </cell>
        </row>
        <row r="1114">
          <cell r="A1114" t="str">
            <v>Желудкова Надежда Ивановна</v>
          </cell>
          <cell r="B1114">
            <v>79853131312</v>
          </cell>
        </row>
        <row r="1115">
          <cell r="A1115" t="str">
            <v>Женихов Александр Николаевич</v>
          </cell>
          <cell r="B1115">
            <v>79536708626</v>
          </cell>
        </row>
        <row r="1116">
          <cell r="A1116" t="str">
            <v>Женихов Вячеслав Николаевич</v>
          </cell>
          <cell r="B1116">
            <v>79104883360</v>
          </cell>
        </row>
        <row r="1117">
          <cell r="A1117" t="str">
            <v>Жиганов Сергей Петрович</v>
          </cell>
          <cell r="B1117">
            <v>79261446218</v>
          </cell>
        </row>
        <row r="1118">
          <cell r="A1118" t="str">
            <v>Жидкин Кирилл Романович</v>
          </cell>
          <cell r="B1118">
            <v>79260702727</v>
          </cell>
        </row>
        <row r="1119">
          <cell r="A1119" t="str">
            <v>Жирнов Игорь Владимирович</v>
          </cell>
          <cell r="B1119">
            <v>79997159400</v>
          </cell>
        </row>
        <row r="1120">
          <cell r="A1120" t="str">
            <v>Житаренко Юрий Иванович</v>
          </cell>
          <cell r="B1120">
            <v>79040121789</v>
          </cell>
        </row>
        <row r="1121">
          <cell r="A1121" t="str">
            <v>Житенева Татьяна Петровна</v>
          </cell>
          <cell r="B1121">
            <v>79164405057</v>
          </cell>
        </row>
        <row r="1122">
          <cell r="A1122" t="str">
            <v>Житников Дмитрий Владимирович</v>
          </cell>
          <cell r="B1122">
            <v>79298441819</v>
          </cell>
        </row>
        <row r="1123">
          <cell r="A1123" t="str">
            <v>Жолобов Алексей Юрьевич</v>
          </cell>
          <cell r="B1123">
            <v>79637560542</v>
          </cell>
        </row>
        <row r="1124">
          <cell r="A1124" t="str">
            <v>Жоробекова Асылгул Собурбековна</v>
          </cell>
          <cell r="B1124">
            <v>79260460976</v>
          </cell>
        </row>
        <row r="1125">
          <cell r="A1125" t="str">
            <v>Жоссан Сергей Вильевич</v>
          </cell>
          <cell r="B1125">
            <v>79219415497</v>
          </cell>
        </row>
        <row r="1126">
          <cell r="A1126" t="str">
            <v>Жоховец Ольга Георгиевна</v>
          </cell>
          <cell r="B1126">
            <v>79112238603</v>
          </cell>
        </row>
        <row r="1127">
          <cell r="A1127" t="str">
            <v>Жубоев Дамир Асланович</v>
          </cell>
          <cell r="B1127">
            <v>79256466364</v>
          </cell>
        </row>
        <row r="1128">
          <cell r="A1128" t="str">
            <v>Жуков Андрей Викторович</v>
          </cell>
          <cell r="B1128">
            <v>79163163361</v>
          </cell>
        </row>
        <row r="1129">
          <cell r="A1129" t="str">
            <v>Жуков Игорь Викторович</v>
          </cell>
          <cell r="B1129">
            <v>79645751000</v>
          </cell>
        </row>
        <row r="1130">
          <cell r="A1130" t="str">
            <v>Жукова Ольга Игоревна</v>
          </cell>
          <cell r="B1130">
            <v>79776499781</v>
          </cell>
        </row>
        <row r="1131">
          <cell r="A1131" t="str">
            <v>Жукова Юлия Николаевна</v>
          </cell>
          <cell r="B1131">
            <v>79110119616</v>
          </cell>
        </row>
        <row r="1132">
          <cell r="A1132" t="str">
            <v>Жуковская Медуза Александровна</v>
          </cell>
          <cell r="B1132">
            <v>79258518789</v>
          </cell>
        </row>
        <row r="1133">
          <cell r="A1133" t="str">
            <v>Жулев Максим Геннадьевич</v>
          </cell>
          <cell r="B1133">
            <v>79271226982</v>
          </cell>
        </row>
        <row r="1134">
          <cell r="A1134" t="str">
            <v>Жулева Галина Анатольевна</v>
          </cell>
          <cell r="B1134">
            <v>79032872822</v>
          </cell>
        </row>
        <row r="1135">
          <cell r="A1135" t="str">
            <v>Жумабаев Умар Сонунбекович</v>
          </cell>
          <cell r="B1135">
            <v>79918889390</v>
          </cell>
        </row>
        <row r="1136">
          <cell r="A1136" t="str">
            <v>Жупиков Сергей Вячеславович</v>
          </cell>
          <cell r="B1136">
            <v>79162970707</v>
          </cell>
        </row>
        <row r="1137">
          <cell r="A1137" t="str">
            <v>Журавлёв Денис Сергеевич</v>
          </cell>
          <cell r="B1137">
            <v>79229271317</v>
          </cell>
        </row>
        <row r="1138">
          <cell r="A1138" t="str">
            <v>Журавлев Дмитрий Сергеевич</v>
          </cell>
          <cell r="B1138">
            <v>79033912417</v>
          </cell>
        </row>
        <row r="1139">
          <cell r="A1139" t="str">
            <v>Журавлев Дмитрий Юрьевич 2</v>
          </cell>
          <cell r="B1139">
            <v>79265995919</v>
          </cell>
        </row>
        <row r="1140">
          <cell r="A1140" t="str">
            <v>Журавлева Анастасия Александровна</v>
          </cell>
          <cell r="B1140">
            <v>79055553616</v>
          </cell>
        </row>
        <row r="1141">
          <cell r="A1141" t="str">
            <v>Журавлева Наталья Юрьевна</v>
          </cell>
          <cell r="B1141">
            <v>79067819144</v>
          </cell>
        </row>
        <row r="1142">
          <cell r="A1142" t="str">
            <v>Забиров Ринат Шавкатович</v>
          </cell>
          <cell r="B1142">
            <v>79119863113</v>
          </cell>
        </row>
        <row r="1143">
          <cell r="A1143" t="str">
            <v>Забродин Валерий Петрович</v>
          </cell>
          <cell r="B1143">
            <v>79879198500</v>
          </cell>
        </row>
        <row r="1144">
          <cell r="A1144" t="str">
            <v>Завойских Станислав Вадимович</v>
          </cell>
          <cell r="B1144">
            <v>79168261965</v>
          </cell>
        </row>
        <row r="1145">
          <cell r="A1145" t="str">
            <v>Заворина Елена Георгиевна</v>
          </cell>
          <cell r="B1145">
            <v>79055613931</v>
          </cell>
        </row>
        <row r="1146">
          <cell r="A1146" t="str">
            <v>Завьялова Татьяна Владимировна</v>
          </cell>
          <cell r="B1146">
            <v>79158046470</v>
          </cell>
        </row>
        <row r="1147">
          <cell r="A1147" t="str">
            <v>Загиров Айдар Ахметович</v>
          </cell>
          <cell r="B1147">
            <v>79520317372</v>
          </cell>
        </row>
        <row r="1148">
          <cell r="A1148" t="str">
            <v>Загорулько Алексей Сергеевич</v>
          </cell>
          <cell r="B1148">
            <v>79654586720</v>
          </cell>
        </row>
        <row r="1149">
          <cell r="A1149" t="str">
            <v>Загорулько Елена Михайловна</v>
          </cell>
          <cell r="B1149">
            <v>79295634233</v>
          </cell>
        </row>
        <row r="1150">
          <cell r="A1150" t="str">
            <v>Загребельный Юрий Николаевич</v>
          </cell>
          <cell r="B1150">
            <v>79251766003</v>
          </cell>
        </row>
        <row r="1151">
          <cell r="A1151" t="str">
            <v>Заика Денис Викторович</v>
          </cell>
          <cell r="B1151">
            <v>79031598282</v>
          </cell>
        </row>
        <row r="1152">
          <cell r="A1152" t="str">
            <v>Заика Ольга Александровна</v>
          </cell>
          <cell r="B1152">
            <v>79851159979</v>
          </cell>
        </row>
        <row r="1153">
          <cell r="A1153" t="str">
            <v>Зайкин Владимир Владимирович</v>
          </cell>
          <cell r="B1153">
            <v>79166187926</v>
          </cell>
        </row>
        <row r="1154">
          <cell r="A1154" t="str">
            <v>Зайцев Антон Эдуардович</v>
          </cell>
          <cell r="B1154">
            <v>79869500103</v>
          </cell>
        </row>
        <row r="1155">
          <cell r="A1155" t="str">
            <v>Зайцев Владимир Васильевич</v>
          </cell>
          <cell r="B1155">
            <v>79091638358</v>
          </cell>
        </row>
        <row r="1156">
          <cell r="A1156" t="str">
            <v>Зайцев Герман Борисович</v>
          </cell>
          <cell r="B1156">
            <v>79082586550</v>
          </cell>
        </row>
        <row r="1157">
          <cell r="A1157" t="str">
            <v>Зайцев Иван Владимирович</v>
          </cell>
          <cell r="B1157">
            <v>79966163228</v>
          </cell>
        </row>
        <row r="1158">
          <cell r="A1158" t="str">
            <v>Зайцев Николай Владимирович</v>
          </cell>
          <cell r="B1158">
            <v>79647833986</v>
          </cell>
        </row>
        <row r="1159">
          <cell r="A1159" t="str">
            <v>Зайцев Сергей Сергеевич</v>
          </cell>
          <cell r="B1159">
            <v>79113128303</v>
          </cell>
        </row>
        <row r="1160">
          <cell r="A1160" t="str">
            <v>Зайцева Светлана Юрьевна</v>
          </cell>
          <cell r="B1160">
            <v>79517794128</v>
          </cell>
        </row>
        <row r="1161">
          <cell r="A1161" t="str">
            <v>Закарян Артак Юрикович</v>
          </cell>
          <cell r="B1161">
            <v>79689715600</v>
          </cell>
        </row>
        <row r="1162">
          <cell r="A1162" t="str">
            <v>Закарян Зорак Гришаевич</v>
          </cell>
          <cell r="B1162">
            <v>79107079090</v>
          </cell>
        </row>
        <row r="1163">
          <cell r="A1163" t="str">
            <v>Залевский Александр Владиславович</v>
          </cell>
          <cell r="B1163">
            <v>79777011323</v>
          </cell>
        </row>
        <row r="1164">
          <cell r="A1164" t="str">
            <v>Залевский Александр Владиславович</v>
          </cell>
          <cell r="B1164">
            <v>79683369352</v>
          </cell>
        </row>
        <row r="1165">
          <cell r="A1165" t="str">
            <v>Залётов Владимир Александрович</v>
          </cell>
          <cell r="B1165" t="str">
            <v/>
          </cell>
        </row>
        <row r="1166">
          <cell r="A1166" t="str">
            <v>Заманов Сулейман Валех оглы</v>
          </cell>
          <cell r="B1166">
            <v>79150554143</v>
          </cell>
        </row>
        <row r="1167">
          <cell r="A1167" t="str">
            <v>Замураев Василий Николаевич</v>
          </cell>
          <cell r="B1167">
            <v>79037431653</v>
          </cell>
        </row>
        <row r="1168">
          <cell r="A1168" t="str">
            <v>Занегин Евгений Николаевич</v>
          </cell>
          <cell r="B1168">
            <v>79654493162</v>
          </cell>
        </row>
        <row r="1169">
          <cell r="A1169" t="str">
            <v>Запуниди Павел Цалевич</v>
          </cell>
          <cell r="B1169">
            <v>79817027709</v>
          </cell>
        </row>
        <row r="1170">
          <cell r="A1170" t="str">
            <v>Заргаров Насиб Зияддин Оглы</v>
          </cell>
          <cell r="B1170">
            <v>79031415151</v>
          </cell>
        </row>
        <row r="1171">
          <cell r="A1171" t="str">
            <v>Заргарян Ваге Леваевич</v>
          </cell>
          <cell r="B1171">
            <v>79269059555</v>
          </cell>
        </row>
        <row r="1172">
          <cell r="A1172" t="str">
            <v>Заргарян Марианна Марленовна</v>
          </cell>
          <cell r="B1172">
            <v>79661451051</v>
          </cell>
        </row>
        <row r="1173">
          <cell r="A1173" t="str">
            <v>Заречкина Светлана Сергеевна</v>
          </cell>
          <cell r="B1173">
            <v>79151771236</v>
          </cell>
        </row>
        <row r="1174">
          <cell r="A1174" t="str">
            <v>Зарипов Булат Ульфатович</v>
          </cell>
          <cell r="B1174">
            <v>79997503686</v>
          </cell>
        </row>
        <row r="1175">
          <cell r="A1175" t="str">
            <v>Зарипов Василий Фаритович</v>
          </cell>
          <cell r="B1175">
            <v>79086369573</v>
          </cell>
        </row>
        <row r="1176">
          <cell r="A1176" t="str">
            <v>Зарипов Рифат Хасянович</v>
          </cell>
          <cell r="B1176">
            <v>79166777895</v>
          </cell>
        </row>
        <row r="1177">
          <cell r="A1177" t="str">
            <v>Зархи Брониа Викторовна</v>
          </cell>
          <cell r="B1177">
            <v>79150107037</v>
          </cell>
        </row>
        <row r="1178">
          <cell r="A1178" t="str">
            <v>Захаркин Алексей Викторович</v>
          </cell>
          <cell r="B1178">
            <v>79035496858</v>
          </cell>
        </row>
        <row r="1179">
          <cell r="A1179" t="str">
            <v>Захаркова Ирина Валерьевна</v>
          </cell>
          <cell r="B1179" t="str">
            <v/>
          </cell>
        </row>
        <row r="1180">
          <cell r="A1180" t="str">
            <v>Захаров Виктор Алексеевич</v>
          </cell>
          <cell r="B1180">
            <v>79778809927</v>
          </cell>
        </row>
        <row r="1181">
          <cell r="A1181" t="str">
            <v>Захаров Евгений Николаевич 2</v>
          </cell>
          <cell r="B1181">
            <v>79060977611</v>
          </cell>
        </row>
        <row r="1182">
          <cell r="A1182" t="str">
            <v>Захаров Иван Сергеевич</v>
          </cell>
          <cell r="B1182">
            <v>79263701223</v>
          </cell>
        </row>
        <row r="1183">
          <cell r="A1183" t="str">
            <v>Захаров Михаил Владимирович</v>
          </cell>
          <cell r="B1183">
            <v>79257059000</v>
          </cell>
        </row>
        <row r="1184">
          <cell r="A1184" t="str">
            <v>Захаров Федор Антонович</v>
          </cell>
          <cell r="B1184">
            <v>79118140231</v>
          </cell>
        </row>
        <row r="1185">
          <cell r="A1185" t="str">
            <v>Захарова Ирина Константиновна</v>
          </cell>
          <cell r="B1185">
            <v>79519086580</v>
          </cell>
        </row>
        <row r="1186">
          <cell r="A1186" t="str">
            <v>Захарцов Дмитрий Михайлович</v>
          </cell>
          <cell r="B1186">
            <v>79032131351</v>
          </cell>
        </row>
        <row r="1187">
          <cell r="A1187" t="str">
            <v>Захарян Арнольд Хачатурович</v>
          </cell>
          <cell r="B1187">
            <v>79892699992</v>
          </cell>
        </row>
        <row r="1188">
          <cell r="A1188" t="str">
            <v>Зацепин Евгений Сергеевич</v>
          </cell>
          <cell r="B1188">
            <v>79167807841</v>
          </cell>
        </row>
        <row r="1189">
          <cell r="A1189" t="str">
            <v>Здешнева Елена Вячеславовна</v>
          </cell>
          <cell r="B1189">
            <v>79153019383</v>
          </cell>
        </row>
        <row r="1190">
          <cell r="A1190" t="str">
            <v>Зеленко Марьяна Дмитриевна</v>
          </cell>
          <cell r="B1190">
            <v>79952936015</v>
          </cell>
        </row>
        <row r="1191">
          <cell r="A1191" t="str">
            <v>Зеленков Алексей Владимирович</v>
          </cell>
          <cell r="B1191">
            <v>79160050904</v>
          </cell>
        </row>
        <row r="1192">
          <cell r="A1192" t="str">
            <v>Зеленов Виталий Владимирович</v>
          </cell>
          <cell r="B1192">
            <v>79261375725</v>
          </cell>
        </row>
        <row r="1193">
          <cell r="A1193" t="str">
            <v>Зеленский Альберт Александрович</v>
          </cell>
          <cell r="B1193">
            <v>79283343232</v>
          </cell>
        </row>
        <row r="1194">
          <cell r="A1194" t="str">
            <v>Зеленский Валентин Викторович</v>
          </cell>
          <cell r="B1194">
            <v>79061765159</v>
          </cell>
        </row>
        <row r="1195">
          <cell r="A1195" t="str">
            <v>Зеленцова Анна Сергеевна</v>
          </cell>
          <cell r="B1195">
            <v>79184099154</v>
          </cell>
        </row>
        <row r="1196">
          <cell r="A1196" t="str">
            <v>Зелинский Антон Павлович</v>
          </cell>
          <cell r="B1196">
            <v>79646999991</v>
          </cell>
        </row>
        <row r="1197">
          <cell r="A1197" t="str">
            <v>Земский Демьян Сергеевич</v>
          </cell>
          <cell r="B1197">
            <v>79260091000</v>
          </cell>
        </row>
        <row r="1198">
          <cell r="A1198" t="str">
            <v>Зенин Кирилл Николаевич</v>
          </cell>
          <cell r="B1198">
            <v>79262682520</v>
          </cell>
        </row>
        <row r="1199">
          <cell r="A1199" t="str">
            <v>Зеночкин Николай Александрович</v>
          </cell>
          <cell r="B1199">
            <v>79778507922</v>
          </cell>
        </row>
        <row r="1200">
          <cell r="A1200" t="str">
            <v>Зимятов Андрей Дмитриевич</v>
          </cell>
          <cell r="B1200">
            <v>79850752050</v>
          </cell>
        </row>
        <row r="1201">
          <cell r="A1201" t="str">
            <v>Зинина Анна Вячеславовна</v>
          </cell>
          <cell r="B1201">
            <v>79033812771</v>
          </cell>
        </row>
        <row r="1202">
          <cell r="A1202" t="str">
            <v>Зинкевич Константин Владимирович</v>
          </cell>
          <cell r="B1202">
            <v>79284641675</v>
          </cell>
        </row>
        <row r="1203">
          <cell r="A1203" t="str">
            <v>Зиновьев Степан Владимирович</v>
          </cell>
          <cell r="B1203">
            <v>79005967873</v>
          </cell>
        </row>
        <row r="1204">
          <cell r="A1204" t="str">
            <v>Зиновьева Елена Николаевна</v>
          </cell>
          <cell r="B1204">
            <v>79155238688</v>
          </cell>
        </row>
        <row r="1205">
          <cell r="A1205" t="str">
            <v>Зинченко Андрей Артурович</v>
          </cell>
          <cell r="B1205">
            <v>79160037490</v>
          </cell>
        </row>
        <row r="1206">
          <cell r="A1206" t="str">
            <v>Зияев Азиз Джамшедович</v>
          </cell>
          <cell r="B1206">
            <v>79997114444</v>
          </cell>
        </row>
        <row r="1207">
          <cell r="A1207" t="str">
            <v>Златин Денис Петрович</v>
          </cell>
          <cell r="B1207">
            <v>79092265724</v>
          </cell>
        </row>
        <row r="1208">
          <cell r="A1208" t="str">
            <v>Зленко Виталий Юрьевич</v>
          </cell>
          <cell r="B1208" t="str">
            <v/>
          </cell>
        </row>
        <row r="1209">
          <cell r="A1209" t="str">
            <v>Зленко Кристина Александровна</v>
          </cell>
          <cell r="B1209">
            <v>79385044495</v>
          </cell>
        </row>
        <row r="1210">
          <cell r="A1210" t="str">
            <v>Змиевский Владимир Владимирович</v>
          </cell>
          <cell r="B1210">
            <v>79062610803</v>
          </cell>
        </row>
        <row r="1211">
          <cell r="A1211" t="str">
            <v>Зограбян Манук Вардкесович</v>
          </cell>
          <cell r="B1211">
            <v>79265805208</v>
          </cell>
        </row>
        <row r="1212">
          <cell r="A1212" t="str">
            <v>Зозулич Мария Федоровна</v>
          </cell>
          <cell r="B1212">
            <v>79102164993</v>
          </cell>
        </row>
        <row r="1213">
          <cell r="A1213" t="str">
            <v>Золотарева Марина Владимировна 2</v>
          </cell>
          <cell r="B1213">
            <v>79281640574</v>
          </cell>
        </row>
        <row r="1214">
          <cell r="A1214" t="str">
            <v>Золотарева Марина Владимировна 2</v>
          </cell>
          <cell r="B1214">
            <v>79289571255</v>
          </cell>
        </row>
        <row r="1215">
          <cell r="A1215" t="str">
            <v>Золотов Олег Владимирович</v>
          </cell>
          <cell r="B1215">
            <v>79011757052</v>
          </cell>
        </row>
        <row r="1216">
          <cell r="A1216" t="str">
            <v>Зоря Марина Владимировна</v>
          </cell>
          <cell r="B1216" t="str">
            <v/>
          </cell>
        </row>
        <row r="1217">
          <cell r="A1217" t="str">
            <v>Зотов Александр Владимирович</v>
          </cell>
          <cell r="B1217">
            <v>79167485930</v>
          </cell>
        </row>
        <row r="1218">
          <cell r="A1218" t="str">
            <v>Зотов Дмитрий Анатольевич</v>
          </cell>
          <cell r="B1218">
            <v>79156605620</v>
          </cell>
        </row>
        <row r="1219">
          <cell r="A1219" t="str">
            <v>Зотов Игорь Анатольевич</v>
          </cell>
          <cell r="B1219">
            <v>79055153621</v>
          </cell>
        </row>
        <row r="1220">
          <cell r="A1220" t="str">
            <v>Зотов Юрий Владимирович</v>
          </cell>
          <cell r="B1220">
            <v>79851567701</v>
          </cell>
        </row>
        <row r="1221">
          <cell r="A1221" t="str">
            <v>Зубехин Игорь Анатольевич</v>
          </cell>
          <cell r="B1221">
            <v>79109405051</v>
          </cell>
        </row>
        <row r="1222">
          <cell r="A1222" t="str">
            <v>Зубов Виталий Владимирович</v>
          </cell>
          <cell r="B1222">
            <v>79035427065</v>
          </cell>
        </row>
        <row r="1223">
          <cell r="A1223" t="str">
            <v>Зугумов Магомед Ахмедович</v>
          </cell>
          <cell r="B1223">
            <v>79640034444</v>
          </cell>
        </row>
        <row r="1224">
          <cell r="A1224" t="str">
            <v>Зуева Мария Михайловна</v>
          </cell>
          <cell r="B1224">
            <v>79858917170</v>
          </cell>
        </row>
        <row r="1225">
          <cell r="A1225" t="str">
            <v>Зуйков Максим Валерьевич</v>
          </cell>
          <cell r="B1225">
            <v>79153206056</v>
          </cell>
        </row>
        <row r="1226">
          <cell r="A1226" t="str">
            <v>Зюба Наталья Сергеевна</v>
          </cell>
          <cell r="B1226">
            <v>79661280456</v>
          </cell>
        </row>
        <row r="1227">
          <cell r="A1227" t="str">
            <v>Зюнин Александр Сергеевич</v>
          </cell>
          <cell r="B1227">
            <v>79268116094</v>
          </cell>
        </row>
        <row r="1228">
          <cell r="A1228" t="str">
            <v>Ибаев Георгий Хвичаевич</v>
          </cell>
          <cell r="B1228">
            <v>79112790739</v>
          </cell>
        </row>
        <row r="1229">
          <cell r="A1229" t="str">
            <v>Ибрагимов Асхаб Ибрагимович</v>
          </cell>
          <cell r="B1229">
            <v>79672545999</v>
          </cell>
        </row>
        <row r="1230">
          <cell r="A1230" t="str">
            <v>Ибрагимов Ибрагим Юнусович</v>
          </cell>
          <cell r="B1230">
            <v>79299994963</v>
          </cell>
        </row>
        <row r="1231">
          <cell r="A1231" t="str">
            <v>Ибрагимов Сейран Гидаят Оглы</v>
          </cell>
          <cell r="B1231">
            <v>79264329911</v>
          </cell>
        </row>
        <row r="1232">
          <cell r="A1232" t="str">
            <v>Ибрагимов Тимирбулат Мусаевич</v>
          </cell>
          <cell r="B1232">
            <v>79296335133</v>
          </cell>
        </row>
        <row r="1233">
          <cell r="A1233" t="str">
            <v>Ивакин Тимофей Геннадьевич</v>
          </cell>
          <cell r="B1233">
            <v>79105261243</v>
          </cell>
        </row>
        <row r="1234">
          <cell r="A1234" t="str">
            <v>Иванец Дмитрий Андреевич</v>
          </cell>
          <cell r="B1234">
            <v>79214459367</v>
          </cell>
        </row>
        <row r="1235">
          <cell r="A1235" t="str">
            <v>Иваницкий Станислав Юрьевич</v>
          </cell>
          <cell r="B1235">
            <v>79266010100</v>
          </cell>
        </row>
        <row r="1236">
          <cell r="A1236" t="str">
            <v>Иванов Александр Сергеевич</v>
          </cell>
          <cell r="B1236">
            <v>79162049438</v>
          </cell>
        </row>
        <row r="1237">
          <cell r="A1237" t="str">
            <v>Иванов Алексей Александрович</v>
          </cell>
          <cell r="B1237">
            <v>79384802224</v>
          </cell>
        </row>
        <row r="1238">
          <cell r="A1238" t="str">
            <v>Иванов Алексей Вадимович</v>
          </cell>
          <cell r="B1238">
            <v>79156013287</v>
          </cell>
        </row>
        <row r="1239">
          <cell r="A1239" t="str">
            <v>Иванов Антон Олегович</v>
          </cell>
          <cell r="B1239">
            <v>79206859288</v>
          </cell>
        </row>
        <row r="1240">
          <cell r="A1240" t="str">
            <v>Иванов Борис Александрович</v>
          </cell>
          <cell r="B1240">
            <v>79811123018</v>
          </cell>
        </row>
        <row r="1241">
          <cell r="A1241" t="str">
            <v>Иванов Борис Борисович</v>
          </cell>
          <cell r="B1241">
            <v>79181481778</v>
          </cell>
        </row>
        <row r="1242">
          <cell r="A1242" t="str">
            <v>Иванов Владимир Евгеньевич</v>
          </cell>
          <cell r="B1242">
            <v>79031758374</v>
          </cell>
        </row>
        <row r="1243">
          <cell r="A1243" t="str">
            <v>Иванов Владимир Леонидович</v>
          </cell>
          <cell r="B1243">
            <v>79637203035</v>
          </cell>
        </row>
        <row r="1244">
          <cell r="A1244" t="str">
            <v>Иванов Евгений Алексеевич</v>
          </cell>
          <cell r="B1244">
            <v>79164625703</v>
          </cell>
        </row>
        <row r="1245">
          <cell r="A1245" t="str">
            <v>Иванов Игорь Игоревич</v>
          </cell>
          <cell r="B1245">
            <v>79025850000</v>
          </cell>
        </row>
        <row r="1246">
          <cell r="A1246" t="str">
            <v>Иванов Илья Андреевич</v>
          </cell>
          <cell r="B1246">
            <v>79313541669</v>
          </cell>
        </row>
        <row r="1247">
          <cell r="A1247" t="str">
            <v>Иванов Михаил Петрович</v>
          </cell>
          <cell r="B1247">
            <v>79219673323</v>
          </cell>
        </row>
        <row r="1248">
          <cell r="A1248" t="str">
            <v>Иванов Николай Александрович</v>
          </cell>
          <cell r="B1248">
            <v>79033638557</v>
          </cell>
        </row>
        <row r="1249">
          <cell r="A1249" t="str">
            <v>Иванов Николай Валерьевич</v>
          </cell>
          <cell r="B1249">
            <v>79262781644</v>
          </cell>
        </row>
        <row r="1250">
          <cell r="A1250" t="str">
            <v>Иванов Сергей Викторович</v>
          </cell>
          <cell r="B1250">
            <v>79163337170</v>
          </cell>
        </row>
        <row r="1251">
          <cell r="A1251" t="str">
            <v>Иванов Сергей Сергеевич</v>
          </cell>
          <cell r="B1251" t="str">
            <v/>
          </cell>
        </row>
        <row r="1252">
          <cell r="A1252" t="str">
            <v>Иванова Елена Витальевна</v>
          </cell>
          <cell r="B1252">
            <v>79201131489</v>
          </cell>
        </row>
        <row r="1253">
          <cell r="A1253" t="str">
            <v>Иванова Мария Сергеевна</v>
          </cell>
          <cell r="B1253">
            <v>79853088727</v>
          </cell>
        </row>
        <row r="1254">
          <cell r="A1254" t="str">
            <v>Иванова Наталья Александровна</v>
          </cell>
          <cell r="B1254">
            <v>79859794646</v>
          </cell>
        </row>
        <row r="1255">
          <cell r="A1255" t="str">
            <v>Иванус Лариса Владимировна</v>
          </cell>
          <cell r="B1255">
            <v>79858973420</v>
          </cell>
        </row>
        <row r="1256">
          <cell r="A1256" t="str">
            <v>Иванченко Сергей Александрович</v>
          </cell>
          <cell r="B1256">
            <v>79123452515</v>
          </cell>
        </row>
        <row r="1257">
          <cell r="A1257" t="str">
            <v>Иванюто Евгений Дмитриевич</v>
          </cell>
          <cell r="B1257">
            <v>79031391919</v>
          </cell>
        </row>
        <row r="1258">
          <cell r="A1258" t="str">
            <v>Ивкин Александр Викторович</v>
          </cell>
          <cell r="B1258">
            <v>79034366683</v>
          </cell>
        </row>
        <row r="1259">
          <cell r="A1259" t="str">
            <v>Ивкин Сергей Викторович</v>
          </cell>
          <cell r="B1259">
            <v>79039687023</v>
          </cell>
        </row>
        <row r="1260">
          <cell r="A1260" t="str">
            <v>Ивлева Ольга Николаевна</v>
          </cell>
          <cell r="B1260">
            <v>79039650503</v>
          </cell>
        </row>
        <row r="1261">
          <cell r="A1261" t="str">
            <v>Игнатенко Александр Анатольевич</v>
          </cell>
          <cell r="B1261">
            <v>79119225906</v>
          </cell>
        </row>
        <row r="1262">
          <cell r="A1262" t="str">
            <v>Игнатенко Вера Александровна</v>
          </cell>
          <cell r="B1262">
            <v>79213793379</v>
          </cell>
        </row>
        <row r="1263">
          <cell r="A1263" t="str">
            <v>Игнатенко Константин Сергеевич</v>
          </cell>
          <cell r="B1263">
            <v>79112062787</v>
          </cell>
        </row>
        <row r="1264">
          <cell r="A1264" t="str">
            <v>Игнатов Алексей Анатольевич 2</v>
          </cell>
          <cell r="B1264">
            <v>79856643337</v>
          </cell>
        </row>
        <row r="1265">
          <cell r="A1265" t="str">
            <v>Игнатьев Андрей Владимирович</v>
          </cell>
          <cell r="B1265">
            <v>79296360676</v>
          </cell>
        </row>
        <row r="1266">
          <cell r="A1266" t="str">
            <v>Иджян Соломон Сергеевич</v>
          </cell>
          <cell r="B1266">
            <v>79881622202</v>
          </cell>
        </row>
        <row r="1267">
          <cell r="A1267" t="str">
            <v>Ижора-Теплоремонт ЗАО</v>
          </cell>
          <cell r="B1267">
            <v>79219317222</v>
          </cell>
        </row>
        <row r="1268">
          <cell r="A1268" t="str">
            <v>Измаилов Динар Анясович</v>
          </cell>
          <cell r="B1268">
            <v>79266243250</v>
          </cell>
        </row>
        <row r="1269">
          <cell r="A1269" t="str">
            <v>Измайлов Владимир Николаевич</v>
          </cell>
          <cell r="B1269">
            <v>79780972671</v>
          </cell>
        </row>
        <row r="1270">
          <cell r="A1270" t="str">
            <v>Измайлова Юлия Игоревна</v>
          </cell>
          <cell r="B1270">
            <v>79057510088</v>
          </cell>
        </row>
        <row r="1271">
          <cell r="A1271" t="str">
            <v>Изотов Александр Анатольевич</v>
          </cell>
          <cell r="B1271">
            <v>79257772090</v>
          </cell>
        </row>
        <row r="1272">
          <cell r="A1272" t="str">
            <v>Икиликян Саяд Жораевич</v>
          </cell>
          <cell r="B1272">
            <v>79099854905</v>
          </cell>
        </row>
        <row r="1273">
          <cell r="A1273" t="str">
            <v>Ильин Александр Сергеевич</v>
          </cell>
          <cell r="B1273" t="str">
            <v/>
          </cell>
        </row>
        <row r="1274">
          <cell r="A1274" t="str">
            <v>Ильин Артем Владимирович</v>
          </cell>
          <cell r="B1274">
            <v>79151564352</v>
          </cell>
        </row>
        <row r="1275">
          <cell r="A1275" t="str">
            <v>Ильин Игорь Александрович</v>
          </cell>
          <cell r="B1275">
            <v>79251071210</v>
          </cell>
        </row>
        <row r="1276">
          <cell r="A1276" t="str">
            <v>Ильин Игорь Борисович</v>
          </cell>
          <cell r="B1276">
            <v>79037286517</v>
          </cell>
        </row>
        <row r="1277">
          <cell r="A1277" t="str">
            <v>Ильин Руслан Михайлович</v>
          </cell>
          <cell r="B1277">
            <v>79186920208</v>
          </cell>
        </row>
        <row r="1278">
          <cell r="A1278" t="str">
            <v>Ильин Сергей Вадимович</v>
          </cell>
          <cell r="B1278">
            <v>79219661415</v>
          </cell>
        </row>
        <row r="1279">
          <cell r="A1279" t="str">
            <v>Ильин Сергей Михайлович</v>
          </cell>
          <cell r="B1279">
            <v>79157355780</v>
          </cell>
        </row>
        <row r="1280">
          <cell r="A1280" t="str">
            <v>Ильинский Владимир Юрьевич</v>
          </cell>
          <cell r="B1280">
            <v>79147072143</v>
          </cell>
        </row>
        <row r="1281">
          <cell r="A1281" t="str">
            <v>Ильичева Марина Николаевна</v>
          </cell>
          <cell r="B1281">
            <v>79779373743</v>
          </cell>
        </row>
        <row r="1282">
          <cell r="A1282" t="str">
            <v>Ильченко Анастасия Сергеевна</v>
          </cell>
          <cell r="B1282">
            <v>79261613726</v>
          </cell>
        </row>
        <row r="1283">
          <cell r="A1283" t="str">
            <v>Ильясов Роман Рафаилевич</v>
          </cell>
          <cell r="B1283">
            <v>79651651494</v>
          </cell>
        </row>
        <row r="1284">
          <cell r="A1284" t="str">
            <v>Илюшин Илья Игоревич</v>
          </cell>
          <cell r="B1284">
            <v>79296221155</v>
          </cell>
        </row>
        <row r="1285">
          <cell r="A1285" t="str">
            <v>Иманов Джейхун Латиф Оглы</v>
          </cell>
          <cell r="B1285">
            <v>79162123434</v>
          </cell>
        </row>
        <row r="1286">
          <cell r="A1286" t="str">
            <v>Имиранов Рауф Казым Оглы</v>
          </cell>
          <cell r="B1286">
            <v>79373113221</v>
          </cell>
        </row>
        <row r="1287">
          <cell r="A1287" t="str">
            <v>Инаишвили Тристан Суликоевич</v>
          </cell>
          <cell r="B1287">
            <v>79263117113</v>
          </cell>
        </row>
        <row r="1288">
          <cell r="A1288" t="str">
            <v>Инджелер Фатих</v>
          </cell>
          <cell r="B1288">
            <v>79295613402</v>
          </cell>
        </row>
        <row r="1289">
          <cell r="A1289" t="str">
            <v>Иноземцева Ольга Алексеевна</v>
          </cell>
          <cell r="B1289" t="str">
            <v/>
          </cell>
        </row>
        <row r="1290">
          <cell r="A1290" t="str">
            <v>Интегра ООО</v>
          </cell>
          <cell r="B1290">
            <v>79154514153</v>
          </cell>
        </row>
        <row r="1291">
          <cell r="A1291" t="str">
            <v>Инютин Никита Александрович</v>
          </cell>
          <cell r="B1291">
            <v>79192524444</v>
          </cell>
        </row>
        <row r="1292">
          <cell r="A1292" t="str">
            <v>Ионин Виталий Сергеевич</v>
          </cell>
          <cell r="B1292">
            <v>79267000055</v>
          </cell>
        </row>
        <row r="1293">
          <cell r="A1293" t="str">
            <v>Ионица Ефим Николаевич</v>
          </cell>
          <cell r="B1293">
            <v>79255156241</v>
          </cell>
        </row>
        <row r="1294">
          <cell r="A1294" t="str">
            <v>ИП Аракелян Мелине Микаеловна</v>
          </cell>
          <cell r="B1294">
            <v>79264361146</v>
          </cell>
        </row>
        <row r="1295">
          <cell r="A1295" t="str">
            <v>ИП Артемов Александр Викторович</v>
          </cell>
          <cell r="B1295">
            <v>79184334107</v>
          </cell>
        </row>
        <row r="1296">
          <cell r="A1296" t="str">
            <v>ИП Арутюнян Ваге Андреасович</v>
          </cell>
          <cell r="B1296">
            <v>79153880555</v>
          </cell>
        </row>
        <row r="1297">
          <cell r="A1297" t="str">
            <v>ИП Байрахтарян Артём Григорьевич</v>
          </cell>
          <cell r="B1297">
            <v>79099695252</v>
          </cell>
        </row>
        <row r="1298">
          <cell r="A1298" t="str">
            <v>ИП Белан Надежда Александровна</v>
          </cell>
          <cell r="B1298">
            <v>79183323932</v>
          </cell>
        </row>
        <row r="1299">
          <cell r="A1299" t="str">
            <v>ИП Белов Александр Сергеевич</v>
          </cell>
          <cell r="B1299">
            <v>79099391969</v>
          </cell>
        </row>
        <row r="1300">
          <cell r="A1300" t="str">
            <v>ИП Вертейко Алексей Михайлович</v>
          </cell>
          <cell r="B1300">
            <v>79182987033</v>
          </cell>
        </row>
        <row r="1301">
          <cell r="A1301" t="str">
            <v>ИП Галкина Юлия Александровна</v>
          </cell>
          <cell r="B1301">
            <v>79217520555</v>
          </cell>
        </row>
        <row r="1302">
          <cell r="A1302" t="str">
            <v>ИП Дедян Ашот Сократович</v>
          </cell>
          <cell r="B1302">
            <v>79119292319</v>
          </cell>
        </row>
        <row r="1303">
          <cell r="A1303" t="str">
            <v>ИП Деньга Виктор Иванович</v>
          </cell>
          <cell r="B1303">
            <v>79197747777</v>
          </cell>
        </row>
        <row r="1304">
          <cell r="A1304" t="str">
            <v>ИП Жаворонков Сергей Владимирович</v>
          </cell>
          <cell r="B1304">
            <v>79255898029</v>
          </cell>
        </row>
        <row r="1305">
          <cell r="A1305" t="str">
            <v>ИП Жилинский Алексей Михайлович</v>
          </cell>
          <cell r="B1305">
            <v>79032994068</v>
          </cell>
        </row>
        <row r="1306">
          <cell r="A1306" t="str">
            <v>ИП Керимов Азер Байрам Оглы</v>
          </cell>
          <cell r="B1306">
            <v>79256450105</v>
          </cell>
        </row>
        <row r="1307">
          <cell r="A1307" t="str">
            <v>ИП Короткин Алексей Наильевич</v>
          </cell>
          <cell r="B1307">
            <v>79037921165</v>
          </cell>
        </row>
        <row r="1308">
          <cell r="A1308" t="str">
            <v>ИП Мамедов Рамин Алим Оглы</v>
          </cell>
          <cell r="B1308">
            <v>79623235380</v>
          </cell>
        </row>
        <row r="1309">
          <cell r="A1309" t="str">
            <v>ИП Матвеев Николай Викторович</v>
          </cell>
          <cell r="B1309">
            <v>79219956858</v>
          </cell>
        </row>
        <row r="1310">
          <cell r="A1310" t="str">
            <v>ИП Месропян Аревик Орбеловна</v>
          </cell>
          <cell r="B1310">
            <v>79017013028</v>
          </cell>
        </row>
        <row r="1311">
          <cell r="A1311" t="str">
            <v>ИП Минаев Николай Тамазович</v>
          </cell>
          <cell r="B1311">
            <v>79661762288</v>
          </cell>
        </row>
        <row r="1312">
          <cell r="A1312" t="str">
            <v>ИП Мурашов Виталий Игоревич</v>
          </cell>
          <cell r="B1312">
            <v>79268518931</v>
          </cell>
        </row>
        <row r="1313">
          <cell r="A1313" t="str">
            <v>ИП Окунева Лилия Викторовна</v>
          </cell>
          <cell r="B1313">
            <v>79164344394</v>
          </cell>
        </row>
        <row r="1314">
          <cell r="A1314" t="str">
            <v>ИП Орловский Ян Новомирович</v>
          </cell>
          <cell r="B1314">
            <v>79527079999</v>
          </cell>
        </row>
        <row r="1315">
          <cell r="A1315" t="str">
            <v>ИП Орловский Ян Новомирович</v>
          </cell>
          <cell r="B1315">
            <v>79257000864</v>
          </cell>
        </row>
        <row r="1316">
          <cell r="A1316" t="str">
            <v>ИП Петров Юрий Викторович</v>
          </cell>
          <cell r="B1316">
            <v>79111440300</v>
          </cell>
        </row>
        <row r="1317">
          <cell r="A1317" t="str">
            <v>ИП Петрухин Анатолий Васильевич</v>
          </cell>
          <cell r="B1317">
            <v>79288819932</v>
          </cell>
        </row>
        <row r="1318">
          <cell r="A1318" t="str">
            <v>ИП Петрухин Анатолий Васильевич</v>
          </cell>
          <cell r="B1318">
            <v>79183629001</v>
          </cell>
        </row>
        <row r="1319">
          <cell r="A1319" t="str">
            <v>ИП Разумова Регина Дмитриевна</v>
          </cell>
          <cell r="B1319">
            <v>79777221997</v>
          </cell>
        </row>
        <row r="1320">
          <cell r="A1320" t="str">
            <v>ИП Рончинский Александр Алексеевич</v>
          </cell>
          <cell r="B1320">
            <v>79262102931</v>
          </cell>
        </row>
        <row r="1321">
          <cell r="A1321" t="str">
            <v>ИП Светлов Виталий Анатольевич</v>
          </cell>
          <cell r="B1321">
            <v>79219537332</v>
          </cell>
        </row>
        <row r="1322">
          <cell r="A1322" t="str">
            <v>ИП Силкин Максим Алексеевич</v>
          </cell>
          <cell r="B1322">
            <v>79653030110</v>
          </cell>
        </row>
        <row r="1323">
          <cell r="A1323" t="str">
            <v>ИП Соловьёв Дмитрий Сергеевич</v>
          </cell>
          <cell r="B1323">
            <v>79104581835</v>
          </cell>
        </row>
        <row r="1324">
          <cell r="A1324" t="str">
            <v>ИП Стрельникова Татьяна Владимировна</v>
          </cell>
          <cell r="B1324">
            <v>79268711354</v>
          </cell>
        </row>
        <row r="1325">
          <cell r="A1325" t="str">
            <v>ИП Тен Елена Манкильевна</v>
          </cell>
          <cell r="B1325">
            <v>79032215051</v>
          </cell>
        </row>
        <row r="1326">
          <cell r="A1326" t="str">
            <v>ИП Тен Елена Манкильевна</v>
          </cell>
          <cell r="B1326">
            <v>79032215051</v>
          </cell>
        </row>
        <row r="1327">
          <cell r="A1327" t="str">
            <v>ИП Фадеев Анатолий Петрович</v>
          </cell>
          <cell r="B1327">
            <v>79268330666</v>
          </cell>
        </row>
        <row r="1328">
          <cell r="A1328" t="str">
            <v>ИП Федотов Тихон Андреевич</v>
          </cell>
          <cell r="B1328">
            <v>79180796816</v>
          </cell>
        </row>
        <row r="1329">
          <cell r="A1329" t="str">
            <v>ИП Харин Евгений Александрович</v>
          </cell>
          <cell r="B1329">
            <v>79263901989</v>
          </cell>
        </row>
        <row r="1330">
          <cell r="A1330" t="str">
            <v>ИП Харченко Александр Юрьевич</v>
          </cell>
          <cell r="B1330">
            <v>79882447824</v>
          </cell>
        </row>
        <row r="1331">
          <cell r="A1331" t="str">
            <v>ИП Шумакова Наталья Владимировна</v>
          </cell>
          <cell r="B1331">
            <v>79265834643</v>
          </cell>
        </row>
        <row r="1332">
          <cell r="A1332" t="str">
            <v>Ипатова Оливия Валентиновна</v>
          </cell>
          <cell r="B1332">
            <v>79219411933</v>
          </cell>
        </row>
        <row r="1333">
          <cell r="A1333" t="str">
            <v>ИРБИС ООО</v>
          </cell>
          <cell r="B1333" t="str">
            <v/>
          </cell>
        </row>
        <row r="1334">
          <cell r="A1334" t="str">
            <v>Ирицян Армен Дживанович</v>
          </cell>
          <cell r="B1334">
            <v>79260579191</v>
          </cell>
        </row>
        <row r="1335">
          <cell r="A1335" t="str">
            <v>Исавнин Иван Сергеевич</v>
          </cell>
          <cell r="B1335">
            <v>79518843327</v>
          </cell>
        </row>
        <row r="1336">
          <cell r="A1336" t="str">
            <v>Исаев Александр Васильевич</v>
          </cell>
          <cell r="B1336">
            <v>79803760029</v>
          </cell>
        </row>
        <row r="1337">
          <cell r="A1337" t="str">
            <v>Исаев Андрей Юрьевич</v>
          </cell>
          <cell r="B1337">
            <v>79367776077</v>
          </cell>
        </row>
        <row r="1338">
          <cell r="A1338" t="str">
            <v>Исаева Валерия Германовна</v>
          </cell>
          <cell r="B1338">
            <v>79851402010</v>
          </cell>
        </row>
        <row r="1339">
          <cell r="A1339" t="str">
            <v>Исаева Екатерина Михайловна</v>
          </cell>
          <cell r="B1339">
            <v>79917773737</v>
          </cell>
        </row>
        <row r="1340">
          <cell r="A1340" t="str">
            <v>Исаева Ирина Владимировна</v>
          </cell>
          <cell r="B1340">
            <v>79152229662</v>
          </cell>
        </row>
        <row r="1341">
          <cell r="A1341" t="str">
            <v>Исаева Оксана Юрьевна</v>
          </cell>
          <cell r="B1341">
            <v>79037270011</v>
          </cell>
        </row>
        <row r="1342">
          <cell r="A1342" t="str">
            <v>Исаева Ольга Андреевна</v>
          </cell>
          <cell r="B1342">
            <v>79119269199</v>
          </cell>
        </row>
        <row r="1343">
          <cell r="A1343" t="str">
            <v>Исаков Иван Владимирович</v>
          </cell>
          <cell r="B1343">
            <v>79526609261</v>
          </cell>
        </row>
        <row r="1344">
          <cell r="A1344" t="str">
            <v>Исаков Магомед Владимирович</v>
          </cell>
          <cell r="B1344">
            <v>79653763822</v>
          </cell>
        </row>
        <row r="1345">
          <cell r="A1345" t="str">
            <v>Исаченков Сергей Алексеевич</v>
          </cell>
          <cell r="B1345">
            <v>79055468135</v>
          </cell>
        </row>
        <row r="1346">
          <cell r="A1346" t="str">
            <v>Искендеров Рашад Сахиб Оглы</v>
          </cell>
          <cell r="B1346">
            <v>79258719777</v>
          </cell>
        </row>
        <row r="1347">
          <cell r="A1347" t="str">
            <v>Искендеров Рашад Сахиб Оглы</v>
          </cell>
          <cell r="B1347">
            <v>79360039999</v>
          </cell>
        </row>
        <row r="1348">
          <cell r="A1348" t="str">
            <v>Искендерова Конуль Эльман Кызы</v>
          </cell>
          <cell r="B1348">
            <v>79256176522</v>
          </cell>
        </row>
        <row r="1349">
          <cell r="A1349" t="str">
            <v>Исламов Ибрагим Тахирович</v>
          </cell>
          <cell r="B1349">
            <v>79312003169</v>
          </cell>
        </row>
        <row r="1350">
          <cell r="A1350" t="str">
            <v>Исламов Магомед Ахмедович</v>
          </cell>
          <cell r="B1350">
            <v>79166928641</v>
          </cell>
        </row>
        <row r="1351">
          <cell r="A1351" t="str">
            <v>Исмагилова Айсылу Хамзаовна</v>
          </cell>
          <cell r="B1351">
            <v>79504595224</v>
          </cell>
        </row>
        <row r="1352">
          <cell r="A1352" t="str">
            <v>Исмаилов Имран Магомедович</v>
          </cell>
          <cell r="B1352">
            <v>79296887305</v>
          </cell>
        </row>
        <row r="1353">
          <cell r="A1353" t="str">
            <v>Исмаилов Мехман Миралам Оглы</v>
          </cell>
          <cell r="B1353">
            <v>79096429782</v>
          </cell>
        </row>
        <row r="1354">
          <cell r="A1354" t="str">
            <v>Исмаилова Олеся Ахмаджановна</v>
          </cell>
          <cell r="B1354">
            <v>79628908472</v>
          </cell>
        </row>
        <row r="1355">
          <cell r="A1355" t="str">
            <v>Исмаилова Ханум Исмаиловна</v>
          </cell>
          <cell r="B1355">
            <v>79267265322</v>
          </cell>
        </row>
        <row r="1356">
          <cell r="A1356" t="str">
            <v>Исмаилова Эльнара Ариф Кызы</v>
          </cell>
          <cell r="B1356">
            <v>79661555726</v>
          </cell>
        </row>
        <row r="1357">
          <cell r="A1357" t="str">
            <v>Исоев Мирзокарим Рабиевич</v>
          </cell>
          <cell r="B1357">
            <v>79999993924</v>
          </cell>
        </row>
        <row r="1358">
          <cell r="A1358" t="str">
            <v>Исраелян Антонида Ивановна</v>
          </cell>
          <cell r="B1358">
            <v>79102665047</v>
          </cell>
        </row>
        <row r="1359">
          <cell r="A1359" t="str">
            <v>Исрапилов Магомед Исрапилович</v>
          </cell>
          <cell r="B1359" t="str">
            <v/>
          </cell>
        </row>
        <row r="1360">
          <cell r="A1360" t="str">
            <v>Исхаков Олег Дауранович</v>
          </cell>
          <cell r="B1360" t="str">
            <v/>
          </cell>
        </row>
        <row r="1361">
          <cell r="A1361" t="str">
            <v>Ихно Константин Александрович</v>
          </cell>
          <cell r="B1361">
            <v>79184199007</v>
          </cell>
        </row>
        <row r="1362">
          <cell r="A1362" t="str">
            <v>Ичалов Абдула Гаджиахмедович</v>
          </cell>
          <cell r="B1362">
            <v>79260945209</v>
          </cell>
        </row>
        <row r="1363">
          <cell r="A1363" t="str">
            <v>Ишмаев Андрей Юрьевич</v>
          </cell>
          <cell r="B1363">
            <v>79206361746</v>
          </cell>
        </row>
        <row r="1364">
          <cell r="A1364" t="str">
            <v>Ишутин Станислав Андреевич</v>
          </cell>
          <cell r="B1364">
            <v>79246915179</v>
          </cell>
        </row>
        <row r="1365">
          <cell r="A1365" t="str">
            <v>Кабак Денис Петрович</v>
          </cell>
          <cell r="B1365">
            <v>79213336887</v>
          </cell>
        </row>
        <row r="1366">
          <cell r="A1366" t="str">
            <v>Кабанов Андрей Павлович</v>
          </cell>
          <cell r="B1366">
            <v>79213659169</v>
          </cell>
        </row>
        <row r="1367">
          <cell r="A1367" t="str">
            <v>Кабанов Илья Сергеевич</v>
          </cell>
          <cell r="B1367" t="str">
            <v/>
          </cell>
        </row>
        <row r="1368">
          <cell r="A1368" t="str">
            <v>Кабанов Сергей Владимирович</v>
          </cell>
          <cell r="B1368">
            <v>79654425895</v>
          </cell>
        </row>
        <row r="1369">
          <cell r="A1369" t="str">
            <v>Кабиров Руслан Наилевич</v>
          </cell>
          <cell r="B1369">
            <v>79677007773</v>
          </cell>
        </row>
        <row r="1370">
          <cell r="A1370" t="str">
            <v>Каверин Владимир Геннадьевич</v>
          </cell>
          <cell r="B1370">
            <v>79253915548</v>
          </cell>
        </row>
        <row r="1371">
          <cell r="A1371" t="str">
            <v>Кавкасян Ованес Эдуардович</v>
          </cell>
          <cell r="B1371">
            <v>79002376400</v>
          </cell>
        </row>
        <row r="1372">
          <cell r="A1372" t="str">
            <v>Кавун Игорь Сергеевич</v>
          </cell>
          <cell r="B1372">
            <v>79376738266</v>
          </cell>
        </row>
        <row r="1373">
          <cell r="A1373" t="str">
            <v>Каганович Сусанна Ильинична</v>
          </cell>
          <cell r="B1373">
            <v>79850262626</v>
          </cell>
        </row>
        <row r="1374">
          <cell r="A1374" t="str">
            <v>Кагерманов Хасан Мусаевич</v>
          </cell>
          <cell r="B1374">
            <v>79670827498</v>
          </cell>
        </row>
        <row r="1375">
          <cell r="A1375" t="str">
            <v>Каграманян Амалия Аршавировна</v>
          </cell>
          <cell r="B1375">
            <v>79261373338</v>
          </cell>
        </row>
        <row r="1376">
          <cell r="A1376" t="str">
            <v>Кадилов Юрий Викторович</v>
          </cell>
          <cell r="B1376" t="str">
            <v/>
          </cell>
        </row>
        <row r="1377">
          <cell r="A1377" t="str">
            <v>Кадолов Олег Вячеславович</v>
          </cell>
          <cell r="B1377">
            <v>79259115756</v>
          </cell>
        </row>
        <row r="1378">
          <cell r="A1378" t="str">
            <v>Казак Татьяна Петровна</v>
          </cell>
          <cell r="B1378">
            <v>79687279888</v>
          </cell>
        </row>
        <row r="1379">
          <cell r="A1379" t="str">
            <v>Казаков Александр Викторович</v>
          </cell>
          <cell r="B1379">
            <v>79625559295</v>
          </cell>
        </row>
        <row r="1380">
          <cell r="A1380" t="str">
            <v>Казаков Антон Ильич</v>
          </cell>
          <cell r="B1380">
            <v>79267805661</v>
          </cell>
        </row>
        <row r="1381">
          <cell r="A1381" t="str">
            <v>Казаков Антон Ильич</v>
          </cell>
          <cell r="B1381">
            <v>79850037482</v>
          </cell>
        </row>
        <row r="1382">
          <cell r="A1382" t="str">
            <v>Казакова Мария Эдуардовна</v>
          </cell>
          <cell r="B1382" t="str">
            <v/>
          </cell>
        </row>
        <row r="1383">
          <cell r="A1383" t="str">
            <v>Казакова Ольга Владимировна</v>
          </cell>
          <cell r="B1383">
            <v>79067805051</v>
          </cell>
        </row>
        <row r="1384">
          <cell r="A1384" t="str">
            <v>Казанин Игорь Викторович</v>
          </cell>
          <cell r="B1384">
            <v>79110906632</v>
          </cell>
        </row>
        <row r="1385">
          <cell r="A1385" t="str">
            <v>Казанцева Альбина Валерьевна</v>
          </cell>
          <cell r="B1385">
            <v>79686636333</v>
          </cell>
        </row>
        <row r="1386">
          <cell r="A1386" t="str">
            <v>Казанцева Юлия Викторовна</v>
          </cell>
          <cell r="B1386">
            <v>79019494152</v>
          </cell>
        </row>
        <row r="1387">
          <cell r="A1387" t="str">
            <v>Казарян Валико Беникович</v>
          </cell>
          <cell r="B1387">
            <v>79283330809</v>
          </cell>
        </row>
        <row r="1388">
          <cell r="A1388" t="str">
            <v>Казарян Мгер Нерсесович</v>
          </cell>
          <cell r="B1388" t="str">
            <v/>
          </cell>
        </row>
        <row r="1389">
          <cell r="A1389" t="str">
            <v>Казарян Нарек Артушевич</v>
          </cell>
          <cell r="B1389">
            <v>79689909997</v>
          </cell>
        </row>
        <row r="1390">
          <cell r="A1390" t="str">
            <v>Казачкин Андрей Юрьевич</v>
          </cell>
          <cell r="B1390">
            <v>79176862261</v>
          </cell>
        </row>
        <row r="1391">
          <cell r="A1391" t="str">
            <v>Казеев Радмир Рамирович</v>
          </cell>
          <cell r="B1391">
            <v>79507357541</v>
          </cell>
        </row>
        <row r="1392">
          <cell r="A1392" t="str">
            <v>Казыханова Лилия Расимовна</v>
          </cell>
          <cell r="B1392">
            <v>79373458961</v>
          </cell>
        </row>
        <row r="1393">
          <cell r="A1393" t="str">
            <v>Калабухов Дмитрий Сергеевич</v>
          </cell>
          <cell r="B1393">
            <v>79272086922</v>
          </cell>
        </row>
        <row r="1394">
          <cell r="A1394" t="str">
            <v>Калантаров Артур Григорьевич</v>
          </cell>
          <cell r="B1394">
            <v>79518318177</v>
          </cell>
        </row>
        <row r="1395">
          <cell r="A1395" t="str">
            <v>Калантарян Артур Вазгени</v>
          </cell>
          <cell r="B1395">
            <v>79263078831</v>
          </cell>
        </row>
        <row r="1396">
          <cell r="A1396" t="str">
            <v>Калашников Алексей Владимирович</v>
          </cell>
          <cell r="B1396">
            <v>79520936493</v>
          </cell>
        </row>
        <row r="1397">
          <cell r="A1397" t="str">
            <v>Калашников Юрий Витальевич</v>
          </cell>
          <cell r="B1397">
            <v>79788555595</v>
          </cell>
        </row>
        <row r="1398">
          <cell r="A1398" t="str">
            <v>Калашникова Екатерина Васильевна</v>
          </cell>
          <cell r="B1398">
            <v>79250247583</v>
          </cell>
        </row>
        <row r="1399">
          <cell r="A1399" t="str">
            <v>Калашян Алексан Дегединосович</v>
          </cell>
          <cell r="B1399">
            <v>79777291269</v>
          </cell>
        </row>
        <row r="1400">
          <cell r="A1400" t="str">
            <v>Календжян Вячеслав Вячеславович</v>
          </cell>
          <cell r="B1400">
            <v>79882831967</v>
          </cell>
        </row>
        <row r="1401">
          <cell r="A1401" t="str">
            <v>Календиров Зейнадин Равильевич</v>
          </cell>
          <cell r="B1401">
            <v>79266208744</v>
          </cell>
        </row>
        <row r="1402">
          <cell r="A1402" t="str">
            <v>Калинин Алексей Васильевич</v>
          </cell>
          <cell r="B1402">
            <v>79160516561</v>
          </cell>
        </row>
        <row r="1403">
          <cell r="A1403" t="str">
            <v>Калинин Алексей Дмитриевич</v>
          </cell>
          <cell r="B1403">
            <v>79852862217</v>
          </cell>
        </row>
        <row r="1404">
          <cell r="A1404" t="str">
            <v>Калинин Андрей Викторович</v>
          </cell>
          <cell r="B1404">
            <v>79161615586</v>
          </cell>
        </row>
        <row r="1405">
          <cell r="A1405" t="str">
            <v>Калинин Владислав Евгеньевич</v>
          </cell>
          <cell r="B1405">
            <v>79214429722</v>
          </cell>
        </row>
        <row r="1406">
          <cell r="A1406" t="str">
            <v>Калинин Лев Викторович</v>
          </cell>
          <cell r="B1406">
            <v>79851950062</v>
          </cell>
        </row>
        <row r="1407">
          <cell r="A1407" t="str">
            <v>Калинин Максим Александрович</v>
          </cell>
          <cell r="B1407">
            <v>79162309181</v>
          </cell>
        </row>
        <row r="1408">
          <cell r="A1408" t="str">
            <v>Калинина Наталия Юрьевна</v>
          </cell>
          <cell r="B1408">
            <v>79859560146</v>
          </cell>
        </row>
        <row r="1409">
          <cell r="A1409" t="str">
            <v>Калинников Сергей Николаевич</v>
          </cell>
          <cell r="B1409" t="str">
            <v/>
          </cell>
        </row>
        <row r="1410">
          <cell r="A1410" t="str">
            <v>Калмин Григорий Николаевич</v>
          </cell>
          <cell r="B1410">
            <v>79262393493</v>
          </cell>
        </row>
        <row r="1411">
          <cell r="A1411" t="str">
            <v>Калмыков Роман Александрович</v>
          </cell>
          <cell r="B1411">
            <v>79091564771</v>
          </cell>
        </row>
        <row r="1412">
          <cell r="A1412" t="str">
            <v>Калошин Павел Сергеевич</v>
          </cell>
          <cell r="B1412">
            <v>79263066332</v>
          </cell>
        </row>
        <row r="1413">
          <cell r="A1413" t="str">
            <v>Калядин Тарас Петрович</v>
          </cell>
          <cell r="B1413">
            <v>79260130588</v>
          </cell>
        </row>
        <row r="1414">
          <cell r="A1414" t="str">
            <v>Калядина Кристина Юрьевна</v>
          </cell>
          <cell r="B1414">
            <v>79518558465</v>
          </cell>
        </row>
        <row r="1415">
          <cell r="A1415" t="str">
            <v>Каляев Владимир Александрович</v>
          </cell>
          <cell r="B1415">
            <v>79096382011</v>
          </cell>
        </row>
        <row r="1416">
          <cell r="A1416" t="str">
            <v>Камаев Руслан Халитович</v>
          </cell>
          <cell r="B1416" t="str">
            <v/>
          </cell>
        </row>
        <row r="1417">
          <cell r="A1417" t="str">
            <v>Камальдинов Роман Рамильевич</v>
          </cell>
          <cell r="B1417">
            <v>79127780480</v>
          </cell>
        </row>
        <row r="1418">
          <cell r="A1418" t="str">
            <v>Камбулина Ирина Юрьевна</v>
          </cell>
          <cell r="B1418">
            <v>79775081549</v>
          </cell>
        </row>
        <row r="1419">
          <cell r="A1419" t="str">
            <v>Каменев Константин Николаевич</v>
          </cell>
          <cell r="B1419">
            <v>79999722055</v>
          </cell>
        </row>
        <row r="1420">
          <cell r="A1420" t="str">
            <v>Каминский Александр Сергеевич</v>
          </cell>
          <cell r="B1420">
            <v>79102879866</v>
          </cell>
        </row>
        <row r="1421">
          <cell r="A1421" t="str">
            <v>Камнев Сергей Михайлович</v>
          </cell>
          <cell r="B1421">
            <v>79670160707</v>
          </cell>
        </row>
        <row r="1422">
          <cell r="A1422" t="str">
            <v>Камышов Игорь Николаевич</v>
          </cell>
          <cell r="B1422">
            <v>79211160376</v>
          </cell>
        </row>
        <row r="1423">
          <cell r="A1423" t="str">
            <v>Кандаков Хайдарали Махмадрузиевич</v>
          </cell>
          <cell r="B1423">
            <v>79855155844</v>
          </cell>
        </row>
        <row r="1424">
          <cell r="A1424" t="str">
            <v>Канев Александр Владимирович</v>
          </cell>
          <cell r="B1424">
            <v>79048611373</v>
          </cell>
        </row>
        <row r="1425">
          <cell r="A1425" t="str">
            <v>Канев Станислав Олегович</v>
          </cell>
          <cell r="B1425">
            <v>79876679567</v>
          </cell>
        </row>
        <row r="1426">
          <cell r="A1426" t="str">
            <v>Капанадзе Илья Абелиевич</v>
          </cell>
          <cell r="B1426">
            <v>79104377375</v>
          </cell>
        </row>
        <row r="1427">
          <cell r="A1427" t="str">
            <v>Каплин Аркадий Юрьевич</v>
          </cell>
          <cell r="B1427">
            <v>79096429782</v>
          </cell>
        </row>
        <row r="1428">
          <cell r="A1428" t="str">
            <v>Капля Виктор Александрович</v>
          </cell>
          <cell r="B1428">
            <v>79032196773</v>
          </cell>
        </row>
        <row r="1429">
          <cell r="A1429" t="str">
            <v>Капранова Светлана Викторовна</v>
          </cell>
          <cell r="B1429">
            <v>79265887018</v>
          </cell>
        </row>
        <row r="1430">
          <cell r="A1430" t="str">
            <v>Капустин Виталий Сергеевич</v>
          </cell>
          <cell r="B1430">
            <v>79183708999</v>
          </cell>
        </row>
        <row r="1431">
          <cell r="A1431" t="str">
            <v>Карабанов Евгений Михайлович</v>
          </cell>
          <cell r="B1431">
            <v>79533293942</v>
          </cell>
        </row>
        <row r="1432">
          <cell r="A1432" t="str">
            <v>Караваев Александр Викторович</v>
          </cell>
          <cell r="B1432">
            <v>79515067413</v>
          </cell>
        </row>
        <row r="1433">
          <cell r="A1433" t="str">
            <v>КАРАВАН ООО</v>
          </cell>
          <cell r="B1433">
            <v>79118192010</v>
          </cell>
        </row>
        <row r="1434">
          <cell r="A1434" t="str">
            <v>Карагезян Шушаник Вачагановна</v>
          </cell>
          <cell r="B1434">
            <v>79892612951</v>
          </cell>
        </row>
        <row r="1435">
          <cell r="A1435" t="str">
            <v>Карапетян Азат Ашотович</v>
          </cell>
          <cell r="B1435" t="str">
            <v/>
          </cell>
        </row>
        <row r="1436">
          <cell r="A1436" t="str">
            <v>Карапетян Аргам Феодорович</v>
          </cell>
          <cell r="B1436">
            <v>79680790000</v>
          </cell>
        </row>
        <row r="1437">
          <cell r="A1437" t="str">
            <v>Карапетян Гайк Гарникович</v>
          </cell>
          <cell r="B1437">
            <v>79261694060</v>
          </cell>
        </row>
        <row r="1438">
          <cell r="A1438" t="str">
            <v>Карапетян Эдвард Вачаганович</v>
          </cell>
          <cell r="B1438">
            <v>79999959195</v>
          </cell>
        </row>
        <row r="1439">
          <cell r="A1439" t="str">
            <v>Карасев Григорий Анатольевич</v>
          </cell>
          <cell r="B1439">
            <v>79067635140</v>
          </cell>
        </row>
        <row r="1440">
          <cell r="A1440" t="str">
            <v>Карасева Дарья Сергеевна</v>
          </cell>
          <cell r="B1440">
            <v>79032435466</v>
          </cell>
        </row>
        <row r="1441">
          <cell r="A1441" t="str">
            <v>Караханян Армен Ашотович</v>
          </cell>
          <cell r="B1441">
            <v>79031550559</v>
          </cell>
        </row>
        <row r="1442">
          <cell r="A1442" t="str">
            <v>Карбанёв Алексей Николаевич</v>
          </cell>
          <cell r="B1442">
            <v>79111176262</v>
          </cell>
        </row>
        <row r="1443">
          <cell r="A1443" t="str">
            <v>Каржавин Александр Юрьевич</v>
          </cell>
          <cell r="B1443">
            <v>79111370699</v>
          </cell>
        </row>
        <row r="1444">
          <cell r="A1444" t="str">
            <v>Кармазин Николай Витальевич</v>
          </cell>
          <cell r="B1444">
            <v>79663516012</v>
          </cell>
        </row>
        <row r="1445">
          <cell r="A1445" t="str">
            <v>Карманов Александр Иванович</v>
          </cell>
          <cell r="B1445">
            <v>79035579777</v>
          </cell>
        </row>
        <row r="1446">
          <cell r="A1446" t="str">
            <v>Карманов Виталий Петрович</v>
          </cell>
          <cell r="B1446">
            <v>79002969088</v>
          </cell>
        </row>
        <row r="1447">
          <cell r="A1447" t="str">
            <v>Карпекина Виктория Игоревна</v>
          </cell>
          <cell r="B1447">
            <v>79258942214</v>
          </cell>
        </row>
        <row r="1448">
          <cell r="A1448" t="str">
            <v>Карпов Владислав Григорьевич</v>
          </cell>
          <cell r="B1448">
            <v>79096411616</v>
          </cell>
        </row>
        <row r="1449">
          <cell r="A1449" t="str">
            <v>Карпов Павел Евгеньевич</v>
          </cell>
          <cell r="B1449">
            <v>79152522618</v>
          </cell>
        </row>
        <row r="1450">
          <cell r="A1450" t="str">
            <v>Карпова Маргарита Николаевна</v>
          </cell>
          <cell r="B1450">
            <v>79295453366</v>
          </cell>
        </row>
        <row r="1451">
          <cell r="A1451" t="str">
            <v>Карпова Наталья Александровна</v>
          </cell>
          <cell r="B1451">
            <v>79104823319</v>
          </cell>
        </row>
        <row r="1452">
          <cell r="A1452" t="str">
            <v>Карпушин Артемий Михайлович</v>
          </cell>
          <cell r="B1452">
            <v>79094431947</v>
          </cell>
        </row>
        <row r="1453">
          <cell r="A1453" t="str">
            <v>Карпушина Роза Алексеевна</v>
          </cell>
          <cell r="B1453">
            <v>79101562449</v>
          </cell>
        </row>
        <row r="1454">
          <cell r="A1454" t="str">
            <v>Карстен Вадим Владимирович</v>
          </cell>
          <cell r="B1454">
            <v>79850329944</v>
          </cell>
        </row>
        <row r="1455">
          <cell r="A1455" t="str">
            <v>Карташев Николай Иванович</v>
          </cell>
          <cell r="B1455">
            <v>79885263868</v>
          </cell>
        </row>
        <row r="1456">
          <cell r="A1456" t="str">
            <v>Карташова Евгения Анатольевна</v>
          </cell>
          <cell r="B1456">
            <v>79787532105</v>
          </cell>
        </row>
        <row r="1457">
          <cell r="A1457" t="str">
            <v>Картушин Александр Николаевич</v>
          </cell>
          <cell r="B1457">
            <v>79093822207</v>
          </cell>
        </row>
        <row r="1458">
          <cell r="A1458" t="str">
            <v>Карчун Вероника Витальевна</v>
          </cell>
          <cell r="B1458">
            <v>79776755972</v>
          </cell>
        </row>
        <row r="1459">
          <cell r="A1459" t="str">
            <v>Карян Армен Леваевич</v>
          </cell>
          <cell r="B1459">
            <v>79260223080</v>
          </cell>
        </row>
        <row r="1460">
          <cell r="A1460" t="str">
            <v>Касаткин Евгений Олегович</v>
          </cell>
          <cell r="B1460">
            <v>79067386886</v>
          </cell>
        </row>
        <row r="1461">
          <cell r="A1461" t="str">
            <v>Касумов Алман Абуевич</v>
          </cell>
          <cell r="B1461">
            <v>79258005160</v>
          </cell>
        </row>
        <row r="1462">
          <cell r="A1462" t="str">
            <v>Касумов Гисмэт Гуламович</v>
          </cell>
          <cell r="B1462">
            <v>79037909101</v>
          </cell>
        </row>
        <row r="1463">
          <cell r="A1463" t="str">
            <v>Касумова Аида Магомедовна</v>
          </cell>
          <cell r="B1463">
            <v>79680188888</v>
          </cell>
        </row>
        <row r="1464">
          <cell r="A1464" t="str">
            <v>Касутин Евгений Дмитриевич</v>
          </cell>
          <cell r="B1464">
            <v>79261450744</v>
          </cell>
        </row>
        <row r="1465">
          <cell r="A1465" t="str">
            <v>Касутина Виктория Алексеевна</v>
          </cell>
          <cell r="B1465">
            <v>79150140495</v>
          </cell>
        </row>
        <row r="1466">
          <cell r="A1466" t="str">
            <v>Касьянов Александр Олегович</v>
          </cell>
          <cell r="B1466">
            <v>79601130580</v>
          </cell>
        </row>
        <row r="1467">
          <cell r="A1467" t="str">
            <v>Катальников Дмитрий Владимирович</v>
          </cell>
          <cell r="B1467">
            <v>79266224738</v>
          </cell>
        </row>
        <row r="1468">
          <cell r="A1468" t="str">
            <v>Катанчиев Эмин Робертович</v>
          </cell>
          <cell r="B1468" t="str">
            <v/>
          </cell>
        </row>
        <row r="1469">
          <cell r="A1469" t="str">
            <v>Катлемятова Наталья Вениаминовна</v>
          </cell>
          <cell r="B1469">
            <v>79260079912</v>
          </cell>
        </row>
        <row r="1470">
          <cell r="A1470" t="str">
            <v>Кафаров Асим Асаф Оглы</v>
          </cell>
          <cell r="B1470">
            <v>79253278669</v>
          </cell>
        </row>
        <row r="1471">
          <cell r="A1471" t="str">
            <v>Качев Дмитрий Вячеславович</v>
          </cell>
          <cell r="B1471">
            <v>79851800691</v>
          </cell>
        </row>
        <row r="1472">
          <cell r="A1472" t="str">
            <v>Кашеварова Ольга Сергеевна</v>
          </cell>
          <cell r="B1472">
            <v>79772651589</v>
          </cell>
        </row>
        <row r="1473">
          <cell r="A1473" t="str">
            <v>Каширин Алексей Михайлович</v>
          </cell>
          <cell r="B1473">
            <v>79265746262</v>
          </cell>
        </row>
        <row r="1474">
          <cell r="A1474" t="str">
            <v>Каширин Иван Алексеевич</v>
          </cell>
          <cell r="B1474">
            <v>79629202607</v>
          </cell>
        </row>
        <row r="1475">
          <cell r="A1475" t="str">
            <v>Каштанов Дмитрий Викторович</v>
          </cell>
          <cell r="B1475">
            <v>79531582710</v>
          </cell>
        </row>
        <row r="1476">
          <cell r="A1476" t="str">
            <v>Кашуба Артем Сергеевич</v>
          </cell>
          <cell r="B1476">
            <v>79652274249</v>
          </cell>
        </row>
        <row r="1477">
          <cell r="A1477" t="str">
            <v>Каюмова Зифа Абдулнаимовна</v>
          </cell>
          <cell r="B1477">
            <v>79852370522</v>
          </cell>
        </row>
        <row r="1478">
          <cell r="A1478" t="str">
            <v>Кебурия Илья Нугзариевич</v>
          </cell>
          <cell r="B1478">
            <v>79670001900</v>
          </cell>
        </row>
        <row r="1479">
          <cell r="A1479" t="str">
            <v>КЕЙСТОУН ООО</v>
          </cell>
          <cell r="B1479">
            <v>79030116831</v>
          </cell>
        </row>
        <row r="1480">
          <cell r="A1480" t="str">
            <v>Келехсаев Эдуард Павлович</v>
          </cell>
          <cell r="B1480">
            <v>79852608668</v>
          </cell>
        </row>
        <row r="1481">
          <cell r="A1481" t="str">
            <v>Келешян Мария Георгиевна</v>
          </cell>
          <cell r="B1481">
            <v>79189086446</v>
          </cell>
        </row>
        <row r="1482">
          <cell r="A1482" t="str">
            <v>Келлерман Дмитрий Гарьевич</v>
          </cell>
          <cell r="B1482">
            <v>79252591132</v>
          </cell>
        </row>
        <row r="1483">
          <cell r="A1483" t="str">
            <v>Кенджаев Худжамурод Авалмуродович</v>
          </cell>
          <cell r="B1483">
            <v>79811944587</v>
          </cell>
        </row>
        <row r="1484">
          <cell r="A1484" t="str">
            <v>Керопян Ани Оганесовна</v>
          </cell>
          <cell r="B1484">
            <v>79264546557</v>
          </cell>
        </row>
        <row r="1485">
          <cell r="A1485" t="str">
            <v>Керопян Сандрик Рубенович</v>
          </cell>
          <cell r="B1485">
            <v>79264036404</v>
          </cell>
        </row>
        <row r="1486">
          <cell r="A1486" t="str">
            <v>Кетцян Владимир Александрович</v>
          </cell>
          <cell r="B1486">
            <v>79266155105</v>
          </cell>
        </row>
        <row r="1487">
          <cell r="A1487" t="str">
            <v>Кечян Энрико Геворкович</v>
          </cell>
          <cell r="B1487">
            <v>79268421845</v>
          </cell>
        </row>
        <row r="1488">
          <cell r="A1488" t="str">
            <v>Кибис Юрий Михайлович</v>
          </cell>
          <cell r="B1488">
            <v>79626865506</v>
          </cell>
        </row>
        <row r="1489">
          <cell r="A1489" t="str">
            <v>Килин Дмитрий Сергеевич</v>
          </cell>
          <cell r="B1489">
            <v>79500420898</v>
          </cell>
        </row>
        <row r="1490">
          <cell r="A1490" t="str">
            <v>Кильдюшкин Андрей Николаевич</v>
          </cell>
          <cell r="B1490">
            <v>79513421351</v>
          </cell>
        </row>
        <row r="1491">
          <cell r="A1491" t="str">
            <v>Ким Александр Эдуардович</v>
          </cell>
          <cell r="B1491">
            <v>79640411161</v>
          </cell>
        </row>
        <row r="1492">
          <cell r="A1492" t="str">
            <v>Ким Андрей Герасимович</v>
          </cell>
          <cell r="B1492">
            <v>79151417135</v>
          </cell>
        </row>
        <row r="1493">
          <cell r="A1493" t="str">
            <v>Ким Константин Леонидович</v>
          </cell>
          <cell r="B1493">
            <v>79214130029</v>
          </cell>
        </row>
        <row r="1494">
          <cell r="A1494" t="str">
            <v>Кира Марчел Викторович</v>
          </cell>
          <cell r="B1494">
            <v>79163739588</v>
          </cell>
        </row>
        <row r="1495">
          <cell r="A1495" t="str">
            <v>Киракосян Мисак Арамаисович</v>
          </cell>
          <cell r="B1495" t="str">
            <v/>
          </cell>
        </row>
        <row r="1496">
          <cell r="A1496" t="str">
            <v>Кирейчиков Виктор Николаевич</v>
          </cell>
          <cell r="B1496">
            <v>79125918296</v>
          </cell>
        </row>
        <row r="1497">
          <cell r="A1497" t="str">
            <v>Кириенко Сергей Петрович</v>
          </cell>
          <cell r="B1497">
            <v>79202770063</v>
          </cell>
        </row>
        <row r="1498">
          <cell r="A1498" t="str">
            <v>Кириков Александр Александрович</v>
          </cell>
          <cell r="B1498">
            <v>79153366633</v>
          </cell>
        </row>
        <row r="1499">
          <cell r="A1499" t="str">
            <v>Кириллов Александр Николаевич</v>
          </cell>
          <cell r="B1499">
            <v>79183917072</v>
          </cell>
        </row>
        <row r="1500">
          <cell r="A1500" t="str">
            <v>Кириллов Николай Валерьевич</v>
          </cell>
          <cell r="B1500">
            <v>79273218536</v>
          </cell>
        </row>
        <row r="1501">
          <cell r="A1501" t="str">
            <v>Кириллова Екатерина Александровна</v>
          </cell>
          <cell r="B1501">
            <v>79811854810</v>
          </cell>
        </row>
        <row r="1502">
          <cell r="A1502" t="str">
            <v>Кирилушкина Татьяна Геннадьевна</v>
          </cell>
          <cell r="B1502">
            <v>79031420944</v>
          </cell>
        </row>
        <row r="1503">
          <cell r="A1503" t="str">
            <v>Кирилюк Павел Владимирович</v>
          </cell>
          <cell r="B1503">
            <v>79153243673</v>
          </cell>
        </row>
        <row r="1504">
          <cell r="A1504" t="str">
            <v>Кирпищикова Александра Александровна</v>
          </cell>
          <cell r="B1504">
            <v>79124090352</v>
          </cell>
        </row>
        <row r="1505">
          <cell r="A1505" t="str">
            <v>Кирсанова Анастасия Андреевна</v>
          </cell>
          <cell r="B1505">
            <v>79647183441</v>
          </cell>
        </row>
        <row r="1506">
          <cell r="A1506" t="str">
            <v>Кирякин Андрей Сергеевич</v>
          </cell>
          <cell r="B1506">
            <v>79165020055</v>
          </cell>
        </row>
        <row r="1507">
          <cell r="A1507" t="str">
            <v>Киселев Александр Максимович</v>
          </cell>
          <cell r="B1507">
            <v>79963497388</v>
          </cell>
        </row>
        <row r="1508">
          <cell r="A1508" t="str">
            <v>Киселев Андрей Владимирович</v>
          </cell>
          <cell r="B1508">
            <v>79209797895</v>
          </cell>
        </row>
        <row r="1509">
          <cell r="A1509" t="str">
            <v>Киселев Владимир Эдуардович</v>
          </cell>
          <cell r="B1509">
            <v>79104556768</v>
          </cell>
        </row>
        <row r="1510">
          <cell r="A1510" t="str">
            <v>Кисель Наталья Александровна</v>
          </cell>
          <cell r="B1510">
            <v>79645269797</v>
          </cell>
        </row>
        <row r="1511">
          <cell r="A1511" t="str">
            <v>Кисенко Евгений Николаевич</v>
          </cell>
          <cell r="B1511">
            <v>79259144229</v>
          </cell>
        </row>
        <row r="1512">
          <cell r="A1512" t="str">
            <v>Кит Евгений Николаевич</v>
          </cell>
          <cell r="B1512">
            <v>79523771173</v>
          </cell>
        </row>
        <row r="1513">
          <cell r="A1513" t="str">
            <v>Клейн Валерий Евгеньевич</v>
          </cell>
          <cell r="B1513">
            <v>79163774090</v>
          </cell>
        </row>
        <row r="1514">
          <cell r="A1514" t="str">
            <v>Клементьев Александр Александрович</v>
          </cell>
          <cell r="B1514">
            <v>79966062441</v>
          </cell>
        </row>
        <row r="1515">
          <cell r="A1515" t="str">
            <v>Климахина Татьяна Сергеевна</v>
          </cell>
          <cell r="B1515">
            <v>79215516110</v>
          </cell>
        </row>
        <row r="1516">
          <cell r="A1516" t="str">
            <v>Климов Владимир Александрович</v>
          </cell>
          <cell r="B1516">
            <v>79165457431</v>
          </cell>
        </row>
        <row r="1517">
          <cell r="A1517" t="str">
            <v>Климов Павел Александрович</v>
          </cell>
          <cell r="B1517">
            <v>79154087667</v>
          </cell>
        </row>
        <row r="1518">
          <cell r="A1518" t="str">
            <v>Климов Сергей Александрович</v>
          </cell>
          <cell r="B1518">
            <v>79853303124</v>
          </cell>
        </row>
        <row r="1519">
          <cell r="A1519" t="str">
            <v>Климова Наталья Анатольевна</v>
          </cell>
          <cell r="B1519">
            <v>79263495498</v>
          </cell>
        </row>
        <row r="1520">
          <cell r="A1520" t="str">
            <v>Климчук Ярослав Михайлович</v>
          </cell>
          <cell r="B1520">
            <v>79260772154</v>
          </cell>
        </row>
        <row r="1521">
          <cell r="A1521" t="str">
            <v>Клинов Сергей Евгеньевич</v>
          </cell>
          <cell r="B1521">
            <v>79035083364</v>
          </cell>
        </row>
        <row r="1522">
          <cell r="A1522" t="str">
            <v>Клочихина Ирина Валерьевна</v>
          </cell>
          <cell r="B1522">
            <v>79501929924</v>
          </cell>
        </row>
        <row r="1523">
          <cell r="A1523" t="str">
            <v>Клыков Алексей Александрович</v>
          </cell>
          <cell r="B1523" t="str">
            <v/>
          </cell>
        </row>
        <row r="1524">
          <cell r="A1524" t="str">
            <v>Клыков Виктор Александрович</v>
          </cell>
          <cell r="B1524">
            <v>79173693388</v>
          </cell>
        </row>
        <row r="1525">
          <cell r="A1525" t="str">
            <v>Клюев Павел Валерьевич</v>
          </cell>
          <cell r="B1525">
            <v>79997352009</v>
          </cell>
        </row>
        <row r="1526">
          <cell r="A1526" t="str">
            <v>Клюшниченко Станислав Сергеевич</v>
          </cell>
          <cell r="B1526" t="str">
            <v/>
          </cell>
        </row>
        <row r="1527">
          <cell r="A1527" t="str">
            <v>Князев Алексей Иванович</v>
          </cell>
          <cell r="B1527">
            <v>79258916468</v>
          </cell>
        </row>
        <row r="1528">
          <cell r="A1528" t="str">
            <v>Князева Регина Ренатовна</v>
          </cell>
          <cell r="B1528">
            <v>79773920432</v>
          </cell>
        </row>
        <row r="1529">
          <cell r="A1529" t="str">
            <v>Князьков Сергей Юрьевич</v>
          </cell>
          <cell r="B1529">
            <v>79850714396</v>
          </cell>
        </row>
        <row r="1530">
          <cell r="A1530" t="str">
            <v>Кобальт ООО</v>
          </cell>
          <cell r="B1530">
            <v>79154755973</v>
          </cell>
        </row>
        <row r="1531">
          <cell r="A1531" t="str">
            <v>Кобахидзе Тэмури Юрьевич</v>
          </cell>
          <cell r="B1531">
            <v>79057778814</v>
          </cell>
        </row>
        <row r="1532">
          <cell r="A1532" t="str">
            <v>Кобзев Олег Викторович</v>
          </cell>
          <cell r="B1532">
            <v>79202380239</v>
          </cell>
        </row>
        <row r="1533">
          <cell r="A1533" t="str">
            <v>Ковалев Валерий Сергеевич</v>
          </cell>
          <cell r="B1533">
            <v>79168003355</v>
          </cell>
        </row>
        <row r="1534">
          <cell r="A1534" t="str">
            <v>Ковалёв Фёдор Леонидович</v>
          </cell>
          <cell r="B1534">
            <v>79164042552</v>
          </cell>
        </row>
        <row r="1535">
          <cell r="A1535" t="str">
            <v>Ковалева Анна Анатольевна</v>
          </cell>
          <cell r="B1535">
            <v>79859592423</v>
          </cell>
        </row>
        <row r="1536">
          <cell r="A1536" t="str">
            <v>Ковалева Валентина Александровна</v>
          </cell>
          <cell r="B1536">
            <v>79031688787</v>
          </cell>
        </row>
        <row r="1537">
          <cell r="A1537" t="str">
            <v>Ковалева Светлана Николаевна</v>
          </cell>
          <cell r="B1537">
            <v>79683210521</v>
          </cell>
        </row>
        <row r="1538">
          <cell r="A1538" t="str">
            <v>Ковальчук Олег Сергеевич</v>
          </cell>
          <cell r="B1538">
            <v>79857836011</v>
          </cell>
        </row>
        <row r="1539">
          <cell r="A1539" t="str">
            <v>Ковбасенко Александр Анатольевич</v>
          </cell>
          <cell r="B1539">
            <v>79057366422</v>
          </cell>
        </row>
        <row r="1540">
          <cell r="A1540" t="str">
            <v>Ковригина Ирина Евгеньевна</v>
          </cell>
          <cell r="B1540">
            <v>79167486030</v>
          </cell>
        </row>
        <row r="1541">
          <cell r="A1541" t="str">
            <v>Коврик Леонид Николаевич</v>
          </cell>
          <cell r="B1541">
            <v>79262227441</v>
          </cell>
        </row>
        <row r="1542">
          <cell r="A1542" t="str">
            <v>Ковтун Денис Александрович</v>
          </cell>
          <cell r="B1542" t="str">
            <v/>
          </cell>
        </row>
        <row r="1543">
          <cell r="A1543" t="str">
            <v>Ковылин Герман Олегович</v>
          </cell>
          <cell r="B1543">
            <v>79160847326</v>
          </cell>
        </row>
        <row r="1544">
          <cell r="A1544" t="str">
            <v>Кодесников Владимир Игоревич</v>
          </cell>
          <cell r="B1544">
            <v>79175147095</v>
          </cell>
        </row>
        <row r="1545">
          <cell r="A1545" t="str">
            <v>Кодрян Евгения Валентиновна</v>
          </cell>
          <cell r="B1545">
            <v>79690897256</v>
          </cell>
        </row>
        <row r="1546">
          <cell r="A1546" t="str">
            <v>Кожанов Александр Михайлович</v>
          </cell>
          <cell r="B1546">
            <v>79885454000</v>
          </cell>
        </row>
        <row r="1547">
          <cell r="A1547" t="str">
            <v>Кожевников Сергей Юрьевич</v>
          </cell>
          <cell r="B1547">
            <v>79152126255</v>
          </cell>
        </row>
        <row r="1548">
          <cell r="A1548" t="str">
            <v>Кожинов Дмитрий Сергеевич</v>
          </cell>
          <cell r="B1548">
            <v>79218827998</v>
          </cell>
        </row>
        <row r="1549">
          <cell r="A1549" t="str">
            <v>Кожухова Наталья Евгеньевна</v>
          </cell>
          <cell r="B1549">
            <v>79109169642</v>
          </cell>
        </row>
        <row r="1550">
          <cell r="A1550" t="str">
            <v>Козеев Максим Владимирович</v>
          </cell>
          <cell r="B1550">
            <v>79588311673</v>
          </cell>
        </row>
        <row r="1551">
          <cell r="A1551" t="str">
            <v>Козеев Максим Владимирович</v>
          </cell>
          <cell r="B1551">
            <v>79262532025</v>
          </cell>
        </row>
        <row r="1552">
          <cell r="A1552" t="str">
            <v>Козин Яков Геннадьевич</v>
          </cell>
          <cell r="B1552">
            <v>79778347388</v>
          </cell>
        </row>
        <row r="1553">
          <cell r="A1553" t="str">
            <v>Козлов Александр Борисович</v>
          </cell>
          <cell r="B1553">
            <v>79112729349</v>
          </cell>
        </row>
        <row r="1554">
          <cell r="A1554" t="str">
            <v>Козлов Александр Сергеевич</v>
          </cell>
          <cell r="B1554">
            <v>79851411400</v>
          </cell>
        </row>
        <row r="1555">
          <cell r="A1555" t="str">
            <v>Козлов Андрей Леонидович</v>
          </cell>
          <cell r="B1555">
            <v>79163041711</v>
          </cell>
        </row>
        <row r="1556">
          <cell r="A1556" t="str">
            <v>Козлов Борис Александрович</v>
          </cell>
          <cell r="B1556">
            <v>79035620739</v>
          </cell>
        </row>
        <row r="1557">
          <cell r="A1557" t="str">
            <v>Козлов Иван Александрович</v>
          </cell>
          <cell r="B1557">
            <v>79201377016</v>
          </cell>
        </row>
        <row r="1558">
          <cell r="A1558" t="str">
            <v>Козлов Павел Анатольевич</v>
          </cell>
          <cell r="B1558">
            <v>79166058485</v>
          </cell>
        </row>
        <row r="1559">
          <cell r="A1559" t="str">
            <v>Козубекова Наргиза Жапарбаевна</v>
          </cell>
          <cell r="B1559">
            <v>79257349013</v>
          </cell>
        </row>
        <row r="1560">
          <cell r="A1560" t="str">
            <v>Козырев Павел Борисович</v>
          </cell>
          <cell r="B1560">
            <v>79257054048</v>
          </cell>
        </row>
        <row r="1561">
          <cell r="A1561" t="str">
            <v>Козырев Павел Борисович</v>
          </cell>
          <cell r="B1561">
            <v>79777200780</v>
          </cell>
        </row>
        <row r="1562">
          <cell r="A1562" t="str">
            <v>Койдо Владислав Альфредович</v>
          </cell>
          <cell r="B1562">
            <v>79218881469</v>
          </cell>
        </row>
        <row r="1563">
          <cell r="A1563" t="str">
            <v>Кокина Татьяна Викторовна</v>
          </cell>
          <cell r="B1563">
            <v>79275752020</v>
          </cell>
        </row>
        <row r="1564">
          <cell r="A1564" t="str">
            <v>Кокоев Мирлан Жыргалбекович</v>
          </cell>
          <cell r="B1564">
            <v>79690102585</v>
          </cell>
        </row>
        <row r="1565">
          <cell r="A1565" t="str">
            <v>Коконев Николай Александрович</v>
          </cell>
          <cell r="B1565">
            <v>79263768117</v>
          </cell>
        </row>
        <row r="1566">
          <cell r="A1566" t="str">
            <v>Кокорев Василий Вячеславович</v>
          </cell>
          <cell r="B1566">
            <v>79166116116</v>
          </cell>
        </row>
        <row r="1567">
          <cell r="A1567" t="str">
            <v>Кокорев Игорь Иванович</v>
          </cell>
          <cell r="B1567">
            <v>79506643958</v>
          </cell>
        </row>
        <row r="1568">
          <cell r="A1568" t="str">
            <v>Кокорин Денис Владимирович</v>
          </cell>
          <cell r="B1568">
            <v>79058318546</v>
          </cell>
        </row>
        <row r="1569">
          <cell r="A1569" t="str">
            <v>Колебанова Екатерина Александровна</v>
          </cell>
          <cell r="B1569">
            <v>79871116379</v>
          </cell>
        </row>
        <row r="1570">
          <cell r="A1570" t="str">
            <v>Колесник Вячеслав Николаевич</v>
          </cell>
          <cell r="B1570">
            <v>79067239703</v>
          </cell>
        </row>
        <row r="1571">
          <cell r="A1571" t="str">
            <v>Колесник Денис Владимирович</v>
          </cell>
          <cell r="B1571">
            <v>79266627879</v>
          </cell>
        </row>
        <row r="1572">
          <cell r="A1572" t="str">
            <v>Колесников Евгений Михайлович</v>
          </cell>
          <cell r="B1572">
            <v>79501040612</v>
          </cell>
        </row>
        <row r="1573">
          <cell r="A1573" t="str">
            <v>Колесников Максим Александрович</v>
          </cell>
          <cell r="B1573">
            <v>79857674999</v>
          </cell>
        </row>
        <row r="1574">
          <cell r="A1574" t="str">
            <v>Колесников Михаил Вячеславович</v>
          </cell>
          <cell r="B1574">
            <v>79064793696</v>
          </cell>
        </row>
        <row r="1575">
          <cell r="A1575" t="str">
            <v>Колесников Сергей Валерьевич</v>
          </cell>
          <cell r="B1575">
            <v>79297714320</v>
          </cell>
        </row>
        <row r="1576">
          <cell r="A1576" t="str">
            <v>Колесников Сергей Владимирович</v>
          </cell>
          <cell r="B1576">
            <v>79859560018</v>
          </cell>
        </row>
        <row r="1577">
          <cell r="A1577" t="str">
            <v>Колесова Марина Сергеевна</v>
          </cell>
          <cell r="B1577">
            <v>79165465246</v>
          </cell>
        </row>
        <row r="1578">
          <cell r="A1578" t="str">
            <v>Колобашкин Андрей Владимирович</v>
          </cell>
          <cell r="B1578">
            <v>79852505225</v>
          </cell>
        </row>
        <row r="1579">
          <cell r="A1579" t="str">
            <v>Колодницкая Елена Александровна</v>
          </cell>
          <cell r="B1579">
            <v>79852476010</v>
          </cell>
        </row>
        <row r="1580">
          <cell r="A1580" t="str">
            <v>Колодницкий Андрей Дмитриевич</v>
          </cell>
          <cell r="B1580">
            <v>79100055008</v>
          </cell>
        </row>
        <row r="1581">
          <cell r="A1581" t="str">
            <v>Колодницкий Дмитрий Иосифович</v>
          </cell>
          <cell r="B1581">
            <v>79255966055</v>
          </cell>
        </row>
        <row r="1582">
          <cell r="A1582" t="str">
            <v>Колосков Александр Михайлович</v>
          </cell>
          <cell r="B1582">
            <v>79213465279</v>
          </cell>
        </row>
        <row r="1583">
          <cell r="A1583" t="str">
            <v>Колотыркин Владимир Владимирович</v>
          </cell>
          <cell r="B1583">
            <v>79251200315</v>
          </cell>
        </row>
        <row r="1584">
          <cell r="A1584" t="str">
            <v>Колпаков Антон Валерьевич</v>
          </cell>
          <cell r="B1584">
            <v>79672796448</v>
          </cell>
        </row>
        <row r="1585">
          <cell r="A1585" t="str">
            <v>Колпаков Евгений Анатольевич</v>
          </cell>
          <cell r="B1585">
            <v>79263068434</v>
          </cell>
        </row>
        <row r="1586">
          <cell r="A1586" t="str">
            <v>Колпакова Валерия Викторовна</v>
          </cell>
          <cell r="B1586">
            <v>79502922324</v>
          </cell>
        </row>
        <row r="1587">
          <cell r="A1587" t="str">
            <v>Колтырин Константин Викторович</v>
          </cell>
          <cell r="B1587">
            <v>79268476033</v>
          </cell>
        </row>
        <row r="1588">
          <cell r="A1588" t="str">
            <v>Колычева Мария Сергеевна</v>
          </cell>
          <cell r="B1588">
            <v>79646468508</v>
          </cell>
        </row>
        <row r="1589">
          <cell r="A1589" t="str">
            <v>Колычева Ольга Петровна</v>
          </cell>
          <cell r="B1589">
            <v>79255173000</v>
          </cell>
        </row>
        <row r="1590">
          <cell r="A1590" t="str">
            <v>Колышев Александр Михайлович</v>
          </cell>
          <cell r="B1590">
            <v>79057437511</v>
          </cell>
        </row>
        <row r="1591">
          <cell r="A1591" t="str">
            <v>Колышкин Сергей Николаевич</v>
          </cell>
          <cell r="B1591">
            <v>79161164627</v>
          </cell>
        </row>
        <row r="1592">
          <cell r="A1592" t="str">
            <v>Кольцов Андрей Александрович</v>
          </cell>
          <cell r="B1592">
            <v>79110022933</v>
          </cell>
        </row>
        <row r="1593">
          <cell r="A1593" t="str">
            <v>Кольцов Сергей Николаевич</v>
          </cell>
          <cell r="B1593">
            <v>79654434788</v>
          </cell>
        </row>
        <row r="1594">
          <cell r="A1594" t="str">
            <v>Кольцова Ольга Анатольевна</v>
          </cell>
          <cell r="B1594">
            <v>79251648578</v>
          </cell>
        </row>
        <row r="1595">
          <cell r="A1595" t="str">
            <v>Кольчицкий Захар Викторович</v>
          </cell>
          <cell r="B1595">
            <v>79062603305</v>
          </cell>
        </row>
        <row r="1596">
          <cell r="A1596" t="str">
            <v>Комаревцев Виктор Егорович</v>
          </cell>
          <cell r="B1596">
            <v>79192695219</v>
          </cell>
        </row>
        <row r="1597">
          <cell r="A1597" t="str">
            <v>Комаров Андрей Сергеевич</v>
          </cell>
          <cell r="B1597">
            <v>79185435217</v>
          </cell>
        </row>
        <row r="1598">
          <cell r="A1598" t="str">
            <v>Комаров Евгений Николаевич</v>
          </cell>
          <cell r="B1598">
            <v>79232220181</v>
          </cell>
        </row>
        <row r="1599">
          <cell r="A1599" t="str">
            <v>Комаров Роман Иванович</v>
          </cell>
          <cell r="B1599">
            <v>79165326132</v>
          </cell>
        </row>
        <row r="1600">
          <cell r="A1600" t="str">
            <v>Комарова Марина Владимировна</v>
          </cell>
          <cell r="B1600">
            <v>79534275511</v>
          </cell>
        </row>
        <row r="1601">
          <cell r="A1601" t="str">
            <v>Комраков Александр Анатольевич</v>
          </cell>
          <cell r="B1601">
            <v>79186861095</v>
          </cell>
        </row>
        <row r="1602">
          <cell r="A1602" t="str">
            <v>Комяков Геннадий Николаевич</v>
          </cell>
          <cell r="B1602">
            <v>79857645069</v>
          </cell>
        </row>
        <row r="1603">
          <cell r="A1603" t="str">
            <v>Кондратьев Андрей Александрович</v>
          </cell>
          <cell r="B1603">
            <v>79919296255</v>
          </cell>
        </row>
        <row r="1604">
          <cell r="A1604" t="str">
            <v>Кондратюк Алексей Николаевич</v>
          </cell>
          <cell r="B1604">
            <v>79303799999</v>
          </cell>
        </row>
        <row r="1605">
          <cell r="A1605" t="str">
            <v>Кондрашев Алексей Николаевич</v>
          </cell>
          <cell r="B1605">
            <v>79150040956</v>
          </cell>
        </row>
        <row r="1606">
          <cell r="A1606" t="str">
            <v>Кондрашин Геннадий Юрьевич</v>
          </cell>
          <cell r="B1606">
            <v>79508515996</v>
          </cell>
        </row>
        <row r="1607">
          <cell r="A1607" t="str">
            <v>Кондрашов Василий Игоревич</v>
          </cell>
          <cell r="B1607">
            <v>79636642614</v>
          </cell>
        </row>
        <row r="1608">
          <cell r="A1608" t="str">
            <v>Конев Сергей Арсентьевич</v>
          </cell>
          <cell r="B1608">
            <v>79296042566</v>
          </cell>
        </row>
        <row r="1609">
          <cell r="A1609" t="str">
            <v>Конобевцев Алексей Владимирович</v>
          </cell>
          <cell r="B1609">
            <v>79110071785</v>
          </cell>
        </row>
        <row r="1610">
          <cell r="A1610" t="str">
            <v>Коновалов Дмитрий Андреевич</v>
          </cell>
          <cell r="B1610">
            <v>79687111491</v>
          </cell>
        </row>
        <row r="1611">
          <cell r="A1611" t="str">
            <v>Конокотин Леонид Викторович</v>
          </cell>
          <cell r="B1611">
            <v>79858567531</v>
          </cell>
        </row>
        <row r="1612">
          <cell r="A1612" t="str">
            <v>Константинов Александр Анатольевич</v>
          </cell>
          <cell r="B1612">
            <v>79154851890</v>
          </cell>
        </row>
        <row r="1613">
          <cell r="A1613" t="str">
            <v>Конторер Станислав Михайлович</v>
          </cell>
          <cell r="B1613">
            <v>79162050709</v>
          </cell>
        </row>
        <row r="1614">
          <cell r="A1614" t="str">
            <v>Конуркин Сергей Сергеевич</v>
          </cell>
          <cell r="B1614">
            <v>79166918483</v>
          </cell>
        </row>
        <row r="1615">
          <cell r="A1615" t="str">
            <v>Концевая Екатерина Евгеньевна</v>
          </cell>
          <cell r="B1615">
            <v>79296120099</v>
          </cell>
        </row>
        <row r="1616">
          <cell r="A1616" t="str">
            <v>Кончаков Дмитрий Валерьевич</v>
          </cell>
          <cell r="B1616">
            <v>79384389738</v>
          </cell>
        </row>
        <row r="1617">
          <cell r="A1617" t="str">
            <v>Копосов Роман Валерьевич</v>
          </cell>
          <cell r="B1617">
            <v>79055333040</v>
          </cell>
        </row>
        <row r="1618">
          <cell r="A1618" t="str">
            <v>Копотев Кирилл Сергеевич</v>
          </cell>
          <cell r="B1618">
            <v>79154880834</v>
          </cell>
        </row>
        <row r="1619">
          <cell r="A1619" t="str">
            <v>Копылов Андрей Викторович</v>
          </cell>
          <cell r="B1619">
            <v>79856612060</v>
          </cell>
        </row>
        <row r="1620">
          <cell r="A1620" t="str">
            <v>Копытман Александр Семенович</v>
          </cell>
          <cell r="B1620">
            <v>79647243012</v>
          </cell>
        </row>
        <row r="1621">
          <cell r="A1621" t="str">
            <v>Корабельников Алексей Николаевич</v>
          </cell>
          <cell r="B1621">
            <v>79035487855</v>
          </cell>
        </row>
        <row r="1622">
          <cell r="A1622" t="str">
            <v>Корелов Виктор Алексеевич</v>
          </cell>
          <cell r="B1622">
            <v>79031435026</v>
          </cell>
        </row>
        <row r="1623">
          <cell r="A1623" t="str">
            <v>Коренев Александр Николаевич</v>
          </cell>
          <cell r="B1623">
            <v>79060652157</v>
          </cell>
        </row>
        <row r="1624">
          <cell r="A1624" t="str">
            <v>Коржев Александр Сергеевич</v>
          </cell>
          <cell r="B1624">
            <v>79500277426</v>
          </cell>
        </row>
        <row r="1625">
          <cell r="A1625" t="str">
            <v>Коржуев Алексей Сергеевич</v>
          </cell>
          <cell r="B1625">
            <v>79250815143</v>
          </cell>
        </row>
        <row r="1626">
          <cell r="A1626" t="str">
            <v>Корзиков Сергей Игоревич</v>
          </cell>
          <cell r="B1626">
            <v>79661551288</v>
          </cell>
        </row>
        <row r="1627">
          <cell r="A1627" t="str">
            <v>Коркина Елена Александровна</v>
          </cell>
          <cell r="B1627">
            <v>79537495179</v>
          </cell>
        </row>
        <row r="1628">
          <cell r="A1628" t="str">
            <v>Кормилицын Максим Геннадиевич</v>
          </cell>
          <cell r="B1628">
            <v>79533203044</v>
          </cell>
        </row>
        <row r="1629">
          <cell r="A1629" t="str">
            <v>Корнач Антон Владимирович</v>
          </cell>
          <cell r="B1629">
            <v>79052188999</v>
          </cell>
        </row>
        <row r="1630">
          <cell r="A1630" t="str">
            <v>Корниенко Андрей Юрьевич</v>
          </cell>
          <cell r="B1630">
            <v>79856828788</v>
          </cell>
        </row>
        <row r="1631">
          <cell r="A1631" t="str">
            <v>Корнилов Александр Дмитриевич</v>
          </cell>
          <cell r="B1631">
            <v>79210981891</v>
          </cell>
        </row>
        <row r="1632">
          <cell r="A1632" t="str">
            <v>Корнилова Алена Константиновна</v>
          </cell>
          <cell r="B1632">
            <v>79142988812</v>
          </cell>
        </row>
        <row r="1633">
          <cell r="A1633" t="str">
            <v>Корнилова Наталия Владимировна</v>
          </cell>
          <cell r="B1633">
            <v>79051999634</v>
          </cell>
        </row>
        <row r="1634">
          <cell r="A1634" t="str">
            <v>Корносенков Евгений Алексеевич</v>
          </cell>
          <cell r="B1634">
            <v>79227254469</v>
          </cell>
        </row>
        <row r="1635">
          <cell r="A1635" t="str">
            <v>Коробка Владислав Александрович</v>
          </cell>
          <cell r="B1635">
            <v>79255091280</v>
          </cell>
        </row>
        <row r="1636">
          <cell r="A1636" t="str">
            <v>Коробов Максим Владимирович</v>
          </cell>
          <cell r="B1636">
            <v>79634577215</v>
          </cell>
        </row>
        <row r="1637">
          <cell r="A1637" t="str">
            <v>Коробова Ольга Александровна</v>
          </cell>
          <cell r="B1637">
            <v>79031839180</v>
          </cell>
        </row>
        <row r="1638">
          <cell r="A1638" t="str">
            <v>Королев Владимир Николаевич</v>
          </cell>
          <cell r="B1638">
            <v>79161041596</v>
          </cell>
        </row>
        <row r="1639">
          <cell r="A1639" t="str">
            <v>Королев Максим Владимирович</v>
          </cell>
          <cell r="B1639">
            <v>79852156157</v>
          </cell>
        </row>
        <row r="1640">
          <cell r="A1640" t="str">
            <v>Королёв Сергей Николаевич</v>
          </cell>
          <cell r="B1640">
            <v>79119272677</v>
          </cell>
        </row>
        <row r="1641">
          <cell r="A1641" t="str">
            <v>Король Маргарита Игоревна</v>
          </cell>
          <cell r="B1641">
            <v>79189780081</v>
          </cell>
        </row>
        <row r="1642">
          <cell r="A1642" t="str">
            <v>Коростелкина Татьяна Владимировна</v>
          </cell>
          <cell r="B1642">
            <v>79773424080</v>
          </cell>
        </row>
        <row r="1643">
          <cell r="A1643" t="str">
            <v>Коротин Алексей Леонидович</v>
          </cell>
          <cell r="B1643">
            <v>79998249574</v>
          </cell>
        </row>
        <row r="1644">
          <cell r="A1644" t="str">
            <v>Короткова Татьяна Васильевна</v>
          </cell>
          <cell r="B1644">
            <v>79143512583</v>
          </cell>
        </row>
        <row r="1645">
          <cell r="A1645" t="str">
            <v>Корчагина Татьяна Юрьевна</v>
          </cell>
          <cell r="B1645">
            <v>79244480555</v>
          </cell>
        </row>
        <row r="1646">
          <cell r="A1646" t="str">
            <v>Корчинский Василий Васильевич</v>
          </cell>
          <cell r="B1646">
            <v>79013568784</v>
          </cell>
        </row>
        <row r="1647">
          <cell r="A1647" t="str">
            <v>Коршунов Антон Алексеевич</v>
          </cell>
          <cell r="B1647">
            <v>79153585441</v>
          </cell>
        </row>
        <row r="1648">
          <cell r="A1648" t="str">
            <v>Косарева Надежда Николаевна</v>
          </cell>
          <cell r="B1648">
            <v>79152806029</v>
          </cell>
        </row>
        <row r="1649">
          <cell r="A1649" t="str">
            <v>Косинова Мария Евгеньевна</v>
          </cell>
          <cell r="B1649">
            <v>79857604715</v>
          </cell>
        </row>
        <row r="1650">
          <cell r="A1650" t="str">
            <v>Косинова Мария Евгеньевна</v>
          </cell>
          <cell r="B1650">
            <v>79161419930</v>
          </cell>
        </row>
        <row r="1651">
          <cell r="A1651" t="str">
            <v>Косникова Татьяна Михайловна</v>
          </cell>
          <cell r="B1651">
            <v>7918262505</v>
          </cell>
        </row>
        <row r="1652">
          <cell r="A1652" t="str">
            <v>Косова Ольга Ивановна</v>
          </cell>
          <cell r="B1652">
            <v>79647039962</v>
          </cell>
        </row>
        <row r="1653">
          <cell r="A1653" t="str">
            <v>Косолапов Николай Алексеевич</v>
          </cell>
          <cell r="B1653">
            <v>79111260029</v>
          </cell>
        </row>
        <row r="1654">
          <cell r="A1654" t="str">
            <v>Костанян Нерсик Арамович</v>
          </cell>
          <cell r="B1654">
            <v>79263943440</v>
          </cell>
        </row>
        <row r="1655">
          <cell r="A1655" t="str">
            <v>Костин Сергей Юрьевич</v>
          </cell>
          <cell r="B1655">
            <v>79527719913</v>
          </cell>
        </row>
        <row r="1656">
          <cell r="A1656" t="str">
            <v>Костренко Роман Александрович</v>
          </cell>
          <cell r="B1656">
            <v>79269999110</v>
          </cell>
        </row>
        <row r="1657">
          <cell r="A1657" t="str">
            <v>Кострин Алексей Андреевич</v>
          </cell>
          <cell r="B1657">
            <v>79053175258</v>
          </cell>
        </row>
        <row r="1658">
          <cell r="A1658" t="str">
            <v>Кострыгина Юлия Викторовна</v>
          </cell>
          <cell r="B1658">
            <v>79267296527</v>
          </cell>
        </row>
        <row r="1659">
          <cell r="A1659" t="str">
            <v>Кострюков Сергей Вячеславович</v>
          </cell>
          <cell r="B1659">
            <v>79999709808</v>
          </cell>
        </row>
        <row r="1660">
          <cell r="A1660" t="str">
            <v>Косырев Алексей Викторович</v>
          </cell>
          <cell r="B1660">
            <v>79671204193</v>
          </cell>
        </row>
        <row r="1661">
          <cell r="A1661" t="str">
            <v>Котелло Марина Юрьевна</v>
          </cell>
          <cell r="B1661">
            <v>79787238135</v>
          </cell>
        </row>
        <row r="1662">
          <cell r="A1662" t="str">
            <v>Котляров Алексей Дмитриевич</v>
          </cell>
          <cell r="B1662">
            <v>79296414245</v>
          </cell>
        </row>
        <row r="1663">
          <cell r="A1663" t="str">
            <v>Котов Руслан Геннадьевич</v>
          </cell>
          <cell r="B1663">
            <v>79033285823</v>
          </cell>
        </row>
        <row r="1664">
          <cell r="A1664" t="str">
            <v>Котов Сергей Витальевич</v>
          </cell>
          <cell r="B1664">
            <v>79529639432</v>
          </cell>
        </row>
        <row r="1665">
          <cell r="A1665" t="str">
            <v>Котц Вячеслав Игоревич</v>
          </cell>
          <cell r="B1665">
            <v>79883518780</v>
          </cell>
        </row>
        <row r="1666">
          <cell r="A1666" t="str">
            <v>Коханов Андрей Валентинович</v>
          </cell>
          <cell r="B1666">
            <v>79645897667</v>
          </cell>
        </row>
        <row r="1667">
          <cell r="A1667" t="str">
            <v>Коцарев Виктор Андреевич</v>
          </cell>
          <cell r="B1667">
            <v>79892350794</v>
          </cell>
        </row>
        <row r="1668">
          <cell r="A1668" t="str">
            <v>Коцуба Андрей Сергеевич</v>
          </cell>
          <cell r="B1668">
            <v>79886733377</v>
          </cell>
        </row>
        <row r="1669">
          <cell r="A1669" t="str">
            <v>Кочарян Саргис Сетракович</v>
          </cell>
          <cell r="B1669">
            <v>79030302121</v>
          </cell>
        </row>
        <row r="1670">
          <cell r="A1670" t="str">
            <v>Кочетков Эдуард Викторович</v>
          </cell>
          <cell r="B1670">
            <v>79010033333</v>
          </cell>
        </row>
        <row r="1671">
          <cell r="A1671" t="str">
            <v>Кочнева Наталья Николаевна</v>
          </cell>
          <cell r="B1671">
            <v>79923341175</v>
          </cell>
        </row>
        <row r="1672">
          <cell r="A1672" t="str">
            <v>Кочнева Наталья Николаевна</v>
          </cell>
          <cell r="B1672">
            <v>79995636451</v>
          </cell>
        </row>
        <row r="1673">
          <cell r="A1673" t="str">
            <v>Кочуркин Денис Васильевич</v>
          </cell>
          <cell r="B1673">
            <v>79262392188</v>
          </cell>
        </row>
        <row r="1674">
          <cell r="A1674" t="str">
            <v>Кошевой Андрей Анатольевич</v>
          </cell>
          <cell r="B1674">
            <v>79269094951</v>
          </cell>
        </row>
        <row r="1675">
          <cell r="A1675" t="str">
            <v>Кошелева Наталья Андреевна</v>
          </cell>
          <cell r="B1675">
            <v>79117832583</v>
          </cell>
        </row>
        <row r="1676">
          <cell r="A1676" t="str">
            <v>Кошелева Светлана Сергеевна</v>
          </cell>
          <cell r="B1676">
            <v>79671011113</v>
          </cell>
        </row>
        <row r="1677">
          <cell r="A1677" t="str">
            <v>Кошко Руслан Шамилевич</v>
          </cell>
          <cell r="B1677">
            <v>79880830305</v>
          </cell>
        </row>
        <row r="1678">
          <cell r="A1678" t="str">
            <v>Кравченко Вера Юрьевна</v>
          </cell>
          <cell r="B1678">
            <v>79254080346</v>
          </cell>
        </row>
        <row r="1679">
          <cell r="A1679" t="str">
            <v>Кравченко Владимир Николаевич</v>
          </cell>
          <cell r="B1679">
            <v>79091500039</v>
          </cell>
        </row>
        <row r="1680">
          <cell r="A1680" t="str">
            <v>Кравчук Андрей Николаевич</v>
          </cell>
          <cell r="B1680">
            <v>79081930608</v>
          </cell>
        </row>
        <row r="1681">
          <cell r="A1681" t="str">
            <v>Крайнева Марина Александровна</v>
          </cell>
          <cell r="B1681">
            <v>79370214535</v>
          </cell>
        </row>
        <row r="1682">
          <cell r="A1682" t="str">
            <v>КРАЙСАВТО ООО</v>
          </cell>
          <cell r="B1682">
            <v>79037431653</v>
          </cell>
        </row>
        <row r="1683">
          <cell r="A1683" t="str">
            <v>Крапивенцева Ольга Сергеевна</v>
          </cell>
          <cell r="B1683">
            <v>79262260746</v>
          </cell>
        </row>
        <row r="1684">
          <cell r="A1684" t="str">
            <v>Красников Константин Михайлович</v>
          </cell>
          <cell r="B1684">
            <v>79031850064</v>
          </cell>
        </row>
        <row r="1685">
          <cell r="A1685" t="str">
            <v>Краснов Александр Вячеславович</v>
          </cell>
          <cell r="B1685">
            <v>79055432750</v>
          </cell>
        </row>
        <row r="1686">
          <cell r="A1686" t="str">
            <v>Краснов Николай Викторович</v>
          </cell>
          <cell r="B1686">
            <v>79649962555</v>
          </cell>
        </row>
        <row r="1687">
          <cell r="A1687" t="str">
            <v>Краснова Анна Витальевна</v>
          </cell>
          <cell r="B1687">
            <v>79267331319</v>
          </cell>
        </row>
        <row r="1688">
          <cell r="A1688" t="str">
            <v>Краснокутская Ирина Анатольевна</v>
          </cell>
          <cell r="B1688">
            <v>79819361966</v>
          </cell>
        </row>
        <row r="1689">
          <cell r="A1689" t="str">
            <v>Краснокутский Анатолий Владимирович</v>
          </cell>
          <cell r="B1689">
            <v>79119244780</v>
          </cell>
        </row>
        <row r="1690">
          <cell r="A1690" t="str">
            <v>Кривенко Сергей Владимирович</v>
          </cell>
          <cell r="B1690">
            <v>79183517483</v>
          </cell>
        </row>
        <row r="1691">
          <cell r="A1691" t="str">
            <v>Кривогузов Александр Сергеевич</v>
          </cell>
          <cell r="B1691">
            <v>79162924381</v>
          </cell>
        </row>
        <row r="1692">
          <cell r="A1692" t="str">
            <v>Кривоносова Александра Сергеевна</v>
          </cell>
          <cell r="B1692">
            <v>79160858890</v>
          </cell>
        </row>
        <row r="1693">
          <cell r="A1693" t="str">
            <v>Кривоспицкая Наталья Николаевна</v>
          </cell>
          <cell r="B1693">
            <v>79186714602</v>
          </cell>
        </row>
        <row r="1694">
          <cell r="A1694" t="str">
            <v>Кривотулов Дмитрий Александрович</v>
          </cell>
          <cell r="B1694">
            <v>79154731682</v>
          </cell>
        </row>
        <row r="1695">
          <cell r="A1695" t="str">
            <v>Кривощеков Лев Вадимович</v>
          </cell>
          <cell r="B1695">
            <v>79028050810</v>
          </cell>
        </row>
        <row r="1696">
          <cell r="A1696" t="str">
            <v>Кривцов Федор Алексеевич</v>
          </cell>
          <cell r="B1696">
            <v>79052645116</v>
          </cell>
        </row>
        <row r="1697">
          <cell r="A1697" t="str">
            <v>Криган Аркадий Васильевич</v>
          </cell>
          <cell r="B1697">
            <v>79031816053</v>
          </cell>
        </row>
        <row r="1698">
          <cell r="A1698" t="str">
            <v>Криган Аркадий Васильевич</v>
          </cell>
          <cell r="B1698">
            <v>79099998288</v>
          </cell>
        </row>
        <row r="1699">
          <cell r="A1699" t="str">
            <v>Крикунов Тимофей Николаевич</v>
          </cell>
          <cell r="B1699">
            <v>79608727270</v>
          </cell>
        </row>
        <row r="1700">
          <cell r="A1700" t="str">
            <v>Кристенсен Кристина Феликсовна</v>
          </cell>
          <cell r="B1700">
            <v>79032715487</v>
          </cell>
        </row>
        <row r="1701">
          <cell r="A1701" t="str">
            <v>Кровяков Максим Вячеславович</v>
          </cell>
          <cell r="B1701">
            <v>79771422014</v>
          </cell>
        </row>
        <row r="1702">
          <cell r="A1702" t="str">
            <v>Кропивенцева Екатерина Александровна</v>
          </cell>
          <cell r="B1702">
            <v>79267612976</v>
          </cell>
        </row>
        <row r="1703">
          <cell r="A1703" t="str">
            <v>Круглов Иван Семёнович</v>
          </cell>
          <cell r="B1703">
            <v>79672205225</v>
          </cell>
        </row>
        <row r="1704">
          <cell r="A1704" t="str">
            <v>Круглов Илья Сергеевич</v>
          </cell>
          <cell r="B1704">
            <v>79116668997</v>
          </cell>
        </row>
        <row r="1705">
          <cell r="A1705" t="str">
            <v>Кружальский Сергей Геннадьевич</v>
          </cell>
          <cell r="B1705">
            <v>79100776767</v>
          </cell>
        </row>
        <row r="1706">
          <cell r="A1706" t="str">
            <v>Кружальский Сергей Геннадьевич</v>
          </cell>
          <cell r="B1706">
            <v>79521886522</v>
          </cell>
        </row>
        <row r="1707">
          <cell r="A1707" t="str">
            <v>Крупенин Сергей Борисович</v>
          </cell>
          <cell r="B1707">
            <v>79168622272</v>
          </cell>
        </row>
        <row r="1708">
          <cell r="A1708" t="str">
            <v>Крупский Никита Андреевич</v>
          </cell>
          <cell r="B1708">
            <v>79647886452</v>
          </cell>
        </row>
        <row r="1709">
          <cell r="A1709" t="str">
            <v>Крутова Наталья Владимировна</v>
          </cell>
          <cell r="B1709">
            <v>79817472301</v>
          </cell>
        </row>
        <row r="1710">
          <cell r="A1710" t="str">
            <v>Крханбарова Софья Рубеновна</v>
          </cell>
          <cell r="B1710">
            <v>79099033452</v>
          </cell>
        </row>
        <row r="1711">
          <cell r="A1711" t="str">
            <v>Крыгин Илья Владимирович</v>
          </cell>
          <cell r="B1711">
            <v>79175621918</v>
          </cell>
        </row>
        <row r="1712">
          <cell r="A1712" t="str">
            <v>Крылов Иван Александрович</v>
          </cell>
          <cell r="B1712">
            <v>79964841932</v>
          </cell>
        </row>
        <row r="1713">
          <cell r="A1713" t="str">
            <v>Крылова Елена Александровна</v>
          </cell>
          <cell r="B1713">
            <v>79164941884</v>
          </cell>
        </row>
        <row r="1714">
          <cell r="A1714" t="str">
            <v>Крюков Сергей Викторович</v>
          </cell>
          <cell r="B1714">
            <v>79037968869</v>
          </cell>
        </row>
        <row r="1715">
          <cell r="A1715" t="str">
            <v>Крючковский Сергей Владиславович</v>
          </cell>
          <cell r="B1715">
            <v>79677405071</v>
          </cell>
        </row>
        <row r="1716">
          <cell r="A1716" t="str">
            <v>Кряжев Дмитрий Александрович</v>
          </cell>
          <cell r="B1716">
            <v>79110242400</v>
          </cell>
        </row>
        <row r="1717">
          <cell r="A1717" t="str">
            <v>Кряталов Евгений Александрович</v>
          </cell>
          <cell r="B1717">
            <v>79284240920</v>
          </cell>
        </row>
        <row r="1718">
          <cell r="A1718" t="str">
            <v>Кубаев Эдуард Рамазанович</v>
          </cell>
          <cell r="B1718">
            <v>79892758514</v>
          </cell>
        </row>
        <row r="1719">
          <cell r="A1719" t="str">
            <v>Куванников Андрей Васильевич</v>
          </cell>
          <cell r="B1719">
            <v>79269227719</v>
          </cell>
        </row>
        <row r="1720">
          <cell r="A1720" t="str">
            <v>Кувшинчиков Александр Сергеевич</v>
          </cell>
          <cell r="B1720">
            <v>79099019977</v>
          </cell>
        </row>
        <row r="1721">
          <cell r="A1721" t="str">
            <v>Кудаев Марат Арсенович</v>
          </cell>
          <cell r="B1721">
            <v>79999815353</v>
          </cell>
        </row>
        <row r="1722">
          <cell r="A1722" t="str">
            <v>Кудзиева Марина Герсановна</v>
          </cell>
          <cell r="B1722">
            <v>79299990904</v>
          </cell>
        </row>
        <row r="1723">
          <cell r="A1723" t="str">
            <v>Кудик Виктория Сергеевна</v>
          </cell>
          <cell r="B1723">
            <v>79530834757</v>
          </cell>
        </row>
        <row r="1724">
          <cell r="A1724" t="str">
            <v>Кудланов Эдуард Андреевич</v>
          </cell>
          <cell r="B1724">
            <v>79606995321</v>
          </cell>
        </row>
        <row r="1725">
          <cell r="A1725" t="str">
            <v>Кудрин Роман Анатольевич</v>
          </cell>
          <cell r="B1725">
            <v>79106121114</v>
          </cell>
        </row>
        <row r="1726">
          <cell r="A1726" t="str">
            <v>Кудрявцев Геннадий Владимирович</v>
          </cell>
          <cell r="B1726">
            <v>79264645049</v>
          </cell>
        </row>
        <row r="1727">
          <cell r="A1727" t="str">
            <v>Кудрявцев Роман Сергеевич</v>
          </cell>
          <cell r="B1727">
            <v>79858880278</v>
          </cell>
        </row>
        <row r="1728">
          <cell r="A1728" t="str">
            <v>Кудряшов Савва Романович</v>
          </cell>
          <cell r="B1728">
            <v>79261805555</v>
          </cell>
        </row>
        <row r="1729">
          <cell r="A1729" t="str">
            <v>Кузнецов Алексей Александрович</v>
          </cell>
          <cell r="B1729">
            <v>79822497344</v>
          </cell>
        </row>
        <row r="1730">
          <cell r="A1730" t="str">
            <v>Кузнецов Алексей Анатольевич</v>
          </cell>
          <cell r="B1730">
            <v>79038153824</v>
          </cell>
        </row>
        <row r="1731">
          <cell r="A1731" t="str">
            <v>Кузнецов Владимир Александрович</v>
          </cell>
          <cell r="B1731">
            <v>79645779461</v>
          </cell>
        </row>
        <row r="1732">
          <cell r="A1732" t="str">
            <v>Кузнецов Денис Михайлович</v>
          </cell>
          <cell r="B1732" t="str">
            <v/>
          </cell>
        </row>
        <row r="1733">
          <cell r="A1733" t="str">
            <v>Кузнецов Дмитрий Львович</v>
          </cell>
          <cell r="B1733">
            <v>79789883795</v>
          </cell>
        </row>
        <row r="1734">
          <cell r="A1734" t="str">
            <v>Кузнецов Дмитрий Степанович</v>
          </cell>
          <cell r="B1734">
            <v>79266259969</v>
          </cell>
        </row>
        <row r="1735">
          <cell r="A1735" t="str">
            <v>Кузнецов Егор Евгеньевич</v>
          </cell>
          <cell r="B1735">
            <v>79090193969</v>
          </cell>
        </row>
        <row r="1736">
          <cell r="A1736" t="str">
            <v>Кузнецов Иван Михайлович</v>
          </cell>
          <cell r="B1736">
            <v>79959979969</v>
          </cell>
        </row>
        <row r="1737">
          <cell r="A1737" t="str">
            <v>Кузнецов Кирилл Сергеевич</v>
          </cell>
          <cell r="B1737">
            <v>79199708821</v>
          </cell>
        </row>
        <row r="1738">
          <cell r="A1738" t="str">
            <v>Кузнецова Александра Николаевна</v>
          </cell>
          <cell r="B1738">
            <v>79268847323</v>
          </cell>
        </row>
        <row r="1739">
          <cell r="A1739" t="str">
            <v>Кузнецова Екатерина Владиславовна</v>
          </cell>
          <cell r="B1739">
            <v>79104398750</v>
          </cell>
        </row>
        <row r="1740">
          <cell r="A1740" t="str">
            <v>Кузнецова Ирина Геннадьевна</v>
          </cell>
          <cell r="B1740">
            <v>79052076286</v>
          </cell>
        </row>
        <row r="1741">
          <cell r="A1741" t="str">
            <v>Кузнецова Юлия Сергеевна</v>
          </cell>
          <cell r="B1741">
            <v>79959960900</v>
          </cell>
        </row>
        <row r="1742">
          <cell r="A1742" t="str">
            <v>Кузьменко Антон Алексеевич</v>
          </cell>
          <cell r="B1742">
            <v>79265959723</v>
          </cell>
        </row>
        <row r="1743">
          <cell r="A1743" t="str">
            <v>Кузьмин Михаил Юрьевич</v>
          </cell>
          <cell r="B1743">
            <v>79213341802</v>
          </cell>
        </row>
        <row r="1744">
          <cell r="A1744" t="str">
            <v>Кузьмичев Иван Сергеевич</v>
          </cell>
          <cell r="B1744">
            <v>79996794623</v>
          </cell>
        </row>
        <row r="1745">
          <cell r="A1745" t="str">
            <v>Кузьмищева Юлия Борисовна</v>
          </cell>
          <cell r="B1745">
            <v>79777468930</v>
          </cell>
        </row>
        <row r="1746">
          <cell r="A1746" t="str">
            <v>Куканов Максим Владимирович</v>
          </cell>
          <cell r="B1746">
            <v>79162212910</v>
          </cell>
        </row>
        <row r="1747">
          <cell r="A1747" t="str">
            <v>Куксова Елена Юрьевна</v>
          </cell>
          <cell r="B1747">
            <v>79102220721</v>
          </cell>
        </row>
        <row r="1748">
          <cell r="A1748" t="str">
            <v>Кукушкин Сергей Петрович</v>
          </cell>
          <cell r="B1748">
            <v>79035288379</v>
          </cell>
        </row>
        <row r="1749">
          <cell r="A1749" t="str">
            <v>Кулаев Максим Сергеевич</v>
          </cell>
          <cell r="B1749">
            <v>79339933679</v>
          </cell>
        </row>
        <row r="1750">
          <cell r="A1750" t="str">
            <v>Кулешов Денис Константинович</v>
          </cell>
          <cell r="B1750">
            <v>79779147132</v>
          </cell>
        </row>
        <row r="1751">
          <cell r="A1751" t="str">
            <v>Кулешов Сергей Валентинович</v>
          </cell>
          <cell r="B1751">
            <v>79032790008</v>
          </cell>
        </row>
        <row r="1752">
          <cell r="A1752" t="str">
            <v>Куликов Алексей Владимирович</v>
          </cell>
          <cell r="B1752">
            <v>79881714155</v>
          </cell>
        </row>
        <row r="1753">
          <cell r="A1753" t="str">
            <v>Куликов Дмитрий Робертович</v>
          </cell>
          <cell r="B1753">
            <v>79167098322</v>
          </cell>
        </row>
        <row r="1754">
          <cell r="A1754" t="str">
            <v>Куликова Екатерина Юрьевна</v>
          </cell>
          <cell r="B1754">
            <v>79819581710</v>
          </cell>
        </row>
        <row r="1755">
          <cell r="A1755" t="str">
            <v>Кумалагов Юрий Викторович</v>
          </cell>
          <cell r="B1755">
            <v>79299882629</v>
          </cell>
        </row>
        <row r="1756">
          <cell r="A1756" t="str">
            <v>Кумпан Сергей Павлович</v>
          </cell>
          <cell r="B1756">
            <v>79101662515</v>
          </cell>
        </row>
        <row r="1757">
          <cell r="A1757" t="str">
            <v>Кумпан Сергей Павлович</v>
          </cell>
          <cell r="B1757">
            <v>79109453504</v>
          </cell>
        </row>
        <row r="1758">
          <cell r="A1758" t="str">
            <v>Куприянов Александр Сергеевич</v>
          </cell>
          <cell r="B1758">
            <v>79197679600</v>
          </cell>
        </row>
        <row r="1759">
          <cell r="A1759" t="str">
            <v>Купряков Алексей Игоревич</v>
          </cell>
          <cell r="B1759">
            <v>79037971637</v>
          </cell>
        </row>
        <row r="1760">
          <cell r="A1760" t="str">
            <v>Купцов Михаил Андреевич</v>
          </cell>
          <cell r="B1760">
            <v>79265242271</v>
          </cell>
        </row>
        <row r="1761">
          <cell r="A1761" t="str">
            <v>Купцова Татьяна Леонидовна</v>
          </cell>
          <cell r="B1761">
            <v>79261044282</v>
          </cell>
        </row>
        <row r="1762">
          <cell r="A1762" t="str">
            <v>Куразян Гарий Рафаэлович</v>
          </cell>
          <cell r="B1762">
            <v>79897033074</v>
          </cell>
        </row>
        <row r="1763">
          <cell r="A1763" t="str">
            <v>Курбанов Арсен Омарович</v>
          </cell>
          <cell r="B1763">
            <v>79185564683</v>
          </cell>
        </row>
        <row r="1764">
          <cell r="A1764" t="str">
            <v>Курбанов Дмитрий Владимирович</v>
          </cell>
          <cell r="B1764">
            <v>79181111593</v>
          </cell>
        </row>
        <row r="1765">
          <cell r="A1765" t="str">
            <v>Курбанов Махкам Табарович</v>
          </cell>
          <cell r="B1765">
            <v>79264968438</v>
          </cell>
        </row>
        <row r="1766">
          <cell r="A1766" t="str">
            <v>Куренкова Марина Анатольевна</v>
          </cell>
          <cell r="B1766">
            <v>79690483616</v>
          </cell>
        </row>
        <row r="1767">
          <cell r="A1767" t="str">
            <v>Курехян Жорж Эдуардович</v>
          </cell>
          <cell r="B1767">
            <v>79610700909</v>
          </cell>
        </row>
        <row r="1768">
          <cell r="A1768" t="str">
            <v>Курилов Александр Викторович</v>
          </cell>
          <cell r="B1768" t="str">
            <v/>
          </cell>
        </row>
        <row r="1769">
          <cell r="A1769" t="str">
            <v>Курмаев Виталий Юрьевич</v>
          </cell>
          <cell r="B1769">
            <v>79534227208</v>
          </cell>
        </row>
        <row r="1770">
          <cell r="A1770" t="str">
            <v>Курнакова Надежда Александровна</v>
          </cell>
          <cell r="B1770">
            <v>79517587421</v>
          </cell>
        </row>
        <row r="1771">
          <cell r="A1771" t="str">
            <v>Куров Владимир Грацианович</v>
          </cell>
          <cell r="B1771">
            <v>79166700238</v>
          </cell>
        </row>
        <row r="1772">
          <cell r="A1772" t="str">
            <v>Курочка Сергей Сергеевич</v>
          </cell>
          <cell r="B1772">
            <v>79184441070</v>
          </cell>
        </row>
        <row r="1773">
          <cell r="A1773" t="str">
            <v>Курятов Олег Владимирович</v>
          </cell>
          <cell r="B1773">
            <v>79219610837</v>
          </cell>
        </row>
        <row r="1774">
          <cell r="A1774" t="str">
            <v>Кустов Эдуард Николаевич</v>
          </cell>
          <cell r="B1774">
            <v>79195172795</v>
          </cell>
        </row>
        <row r="1775">
          <cell r="A1775" t="str">
            <v>Кутай Александр Игоревич</v>
          </cell>
          <cell r="B1775">
            <v>79771029400</v>
          </cell>
        </row>
        <row r="1776">
          <cell r="A1776" t="str">
            <v>Кутанов Егор Сергеевич</v>
          </cell>
          <cell r="B1776">
            <v>79150327094</v>
          </cell>
        </row>
        <row r="1777">
          <cell r="A1777" t="str">
            <v>Кутанов Егор Сергеевич</v>
          </cell>
          <cell r="B1777">
            <v>79637178904</v>
          </cell>
        </row>
        <row r="1778">
          <cell r="A1778" t="str">
            <v>Кутепов Виктор Николаевич</v>
          </cell>
          <cell r="B1778">
            <v>79911121011</v>
          </cell>
        </row>
        <row r="1779">
          <cell r="A1779" t="str">
            <v>Кутлуахметов Руслан Зауилович</v>
          </cell>
          <cell r="B1779">
            <v>79182143986</v>
          </cell>
        </row>
        <row r="1780">
          <cell r="A1780" t="str">
            <v>Кутлуахметов Руслан Зауилович</v>
          </cell>
          <cell r="B1780">
            <v>79786084762</v>
          </cell>
        </row>
        <row r="1781">
          <cell r="A1781" t="str">
            <v>Кухарев Михаил Владимирович</v>
          </cell>
          <cell r="B1781">
            <v>79032319310</v>
          </cell>
        </row>
        <row r="1782">
          <cell r="A1782" t="str">
            <v>Кухтенков Олег Владимирович</v>
          </cell>
          <cell r="B1782">
            <v>79067702327</v>
          </cell>
        </row>
        <row r="1783">
          <cell r="A1783" t="str">
            <v>Куц Владимир Викторович</v>
          </cell>
          <cell r="B1783">
            <v>79627264463</v>
          </cell>
        </row>
        <row r="1784">
          <cell r="A1784" t="str">
            <v>Куценко Елена Викторовна</v>
          </cell>
          <cell r="B1784">
            <v>79035891440</v>
          </cell>
        </row>
        <row r="1785">
          <cell r="A1785" t="str">
            <v>Кучевский Сергей Геннадьевич</v>
          </cell>
          <cell r="B1785">
            <v>79854448580</v>
          </cell>
        </row>
        <row r="1786">
          <cell r="A1786" t="str">
            <v>Кушмухаметов Максим Вадимович</v>
          </cell>
          <cell r="B1786">
            <v>79225559154</v>
          </cell>
        </row>
        <row r="1787">
          <cell r="A1787" t="str">
            <v>Кушнер Сергей Сергеевич</v>
          </cell>
          <cell r="B1787">
            <v>79119696989</v>
          </cell>
        </row>
        <row r="1788">
          <cell r="A1788" t="str">
            <v>Кыдыкова Айдай Замирбековна</v>
          </cell>
          <cell r="B1788">
            <v>79255703014</v>
          </cell>
        </row>
        <row r="1789">
          <cell r="A1789" t="str">
            <v>ЛАБОРАТОРИЯ ГЛАДКОЙ КОЖИ ООО</v>
          </cell>
          <cell r="B1789" t="str">
            <v/>
          </cell>
        </row>
        <row r="1790">
          <cell r="A1790" t="str">
            <v>Лаврухин Сергей Валентинович</v>
          </cell>
          <cell r="B1790">
            <v>79262031199</v>
          </cell>
        </row>
        <row r="1791">
          <cell r="A1791" t="str">
            <v>Лазарев Александр Игоревич</v>
          </cell>
          <cell r="B1791">
            <v>79999898123</v>
          </cell>
        </row>
        <row r="1792">
          <cell r="A1792" t="str">
            <v>Лазарев Алексей Викторович</v>
          </cell>
          <cell r="B1792">
            <v>79857739979</v>
          </cell>
        </row>
        <row r="1793">
          <cell r="A1793" t="str">
            <v>Лазарев Дмитрий Вячеславович</v>
          </cell>
          <cell r="B1793">
            <v>79161226767</v>
          </cell>
        </row>
        <row r="1794">
          <cell r="A1794" t="str">
            <v>Лазарев Евгений Михайлович</v>
          </cell>
          <cell r="B1794">
            <v>79522169051</v>
          </cell>
        </row>
        <row r="1795">
          <cell r="A1795" t="str">
            <v>Лазарев Павел Александрович</v>
          </cell>
          <cell r="B1795">
            <v>79261415172</v>
          </cell>
        </row>
        <row r="1796">
          <cell r="A1796" t="str">
            <v>Лазарев Сергей Юрьевич</v>
          </cell>
          <cell r="B1796">
            <v>79165056951</v>
          </cell>
        </row>
        <row r="1797">
          <cell r="A1797" t="str">
            <v>Лазарева Ирина Михайловна</v>
          </cell>
          <cell r="B1797">
            <v>79218749181</v>
          </cell>
        </row>
        <row r="1798">
          <cell r="A1798" t="str">
            <v>Лазарева Ирина Михайловна</v>
          </cell>
          <cell r="B1798">
            <v>79112730146</v>
          </cell>
        </row>
        <row r="1799">
          <cell r="A1799" t="str">
            <v>Лазарян Давид Игоревич</v>
          </cell>
          <cell r="B1799">
            <v>79683330999</v>
          </cell>
        </row>
        <row r="1800">
          <cell r="A1800" t="str">
            <v>Лазутин Игорь Владимирович</v>
          </cell>
          <cell r="B1800">
            <v>79604998063</v>
          </cell>
        </row>
        <row r="1801">
          <cell r="A1801" t="str">
            <v>Ланин Евгений Александрович</v>
          </cell>
          <cell r="B1801">
            <v>79165770260</v>
          </cell>
        </row>
        <row r="1802">
          <cell r="A1802" t="str">
            <v>Лапенков Дмитрий Владимирович</v>
          </cell>
          <cell r="B1802">
            <v>79055471148</v>
          </cell>
        </row>
        <row r="1803">
          <cell r="A1803" t="str">
            <v>Лапин Дмитрий Геннадьевич</v>
          </cell>
          <cell r="B1803">
            <v>79212243720</v>
          </cell>
        </row>
        <row r="1804">
          <cell r="A1804" t="str">
            <v>Лапкин Руслан Евгеньевич</v>
          </cell>
          <cell r="B1804">
            <v>79037209373</v>
          </cell>
        </row>
        <row r="1805">
          <cell r="A1805" t="str">
            <v>Лаптева Александра Юрьевна</v>
          </cell>
          <cell r="B1805">
            <v>79162629118</v>
          </cell>
        </row>
        <row r="1806">
          <cell r="A1806" t="str">
            <v>Лапшин Александр Сергеевич</v>
          </cell>
          <cell r="B1806" t="str">
            <v/>
          </cell>
        </row>
        <row r="1807">
          <cell r="A1807" t="str">
            <v>Лапшин Владимир Николаевич</v>
          </cell>
          <cell r="B1807">
            <v>79109502279</v>
          </cell>
        </row>
        <row r="1808">
          <cell r="A1808" t="str">
            <v>Ларина Анна Ильинична</v>
          </cell>
          <cell r="B1808">
            <v>79685265733</v>
          </cell>
        </row>
        <row r="1809">
          <cell r="A1809" t="str">
            <v>Ларионов Никита Сергеевич</v>
          </cell>
          <cell r="B1809">
            <v>79272369462</v>
          </cell>
        </row>
        <row r="1810">
          <cell r="A1810" t="str">
            <v>Ларионов Павел Сергеевич</v>
          </cell>
          <cell r="B1810" t="str">
            <v/>
          </cell>
        </row>
        <row r="1811">
          <cell r="A1811" t="str">
            <v>Ларичева Ольга Ивановна</v>
          </cell>
          <cell r="B1811">
            <v>79635227014</v>
          </cell>
        </row>
        <row r="1812">
          <cell r="A1812" t="str">
            <v>Ларчик Денис Владимирович</v>
          </cell>
          <cell r="B1812">
            <v>79627262124</v>
          </cell>
        </row>
        <row r="1813">
          <cell r="A1813" t="str">
            <v>Ласковец Андрей Викторович</v>
          </cell>
          <cell r="B1813">
            <v>79119155201</v>
          </cell>
        </row>
        <row r="1814">
          <cell r="A1814" t="str">
            <v>Латфуллина Альбина Зиннатовна</v>
          </cell>
          <cell r="B1814">
            <v>79850348550</v>
          </cell>
        </row>
        <row r="1815">
          <cell r="A1815" t="str">
            <v>Лебедев Андрей Николаевич</v>
          </cell>
          <cell r="B1815">
            <v>79159390070</v>
          </cell>
        </row>
        <row r="1816">
          <cell r="A1816" t="str">
            <v>Лебедев Дмитрий Сергеевич</v>
          </cell>
          <cell r="B1816">
            <v>79605046774</v>
          </cell>
        </row>
        <row r="1817">
          <cell r="A1817" t="str">
            <v>Лебедев Мирон Робертович</v>
          </cell>
          <cell r="B1817">
            <v>79096257979</v>
          </cell>
        </row>
        <row r="1818">
          <cell r="A1818" t="str">
            <v>Лебедева Евгения Александровна</v>
          </cell>
          <cell r="B1818">
            <v>79852570390</v>
          </cell>
        </row>
        <row r="1819">
          <cell r="A1819" t="str">
            <v>Лебедева Ирина Федоровна</v>
          </cell>
          <cell r="B1819">
            <v>79297929978</v>
          </cell>
        </row>
        <row r="1820">
          <cell r="A1820" t="str">
            <v>Лебедева Любовь Анатольевна</v>
          </cell>
          <cell r="B1820">
            <v>79267045679</v>
          </cell>
        </row>
        <row r="1821">
          <cell r="A1821" t="str">
            <v>Лебедовский Максим Юрьевич</v>
          </cell>
          <cell r="B1821">
            <v>79964765365</v>
          </cell>
        </row>
        <row r="1822">
          <cell r="A1822" t="str">
            <v>Лебедь Алексей Викторович</v>
          </cell>
          <cell r="B1822">
            <v>79260443944</v>
          </cell>
        </row>
        <row r="1823">
          <cell r="A1823" t="str">
            <v>Левашин Константин Станиславович</v>
          </cell>
          <cell r="B1823">
            <v>79272681413</v>
          </cell>
        </row>
        <row r="1824">
          <cell r="A1824" t="str">
            <v>Левин Сергей Владимирович</v>
          </cell>
          <cell r="B1824">
            <v>79892112978</v>
          </cell>
        </row>
        <row r="1825">
          <cell r="A1825" t="str">
            <v>Левин Сергей Сергеевич</v>
          </cell>
          <cell r="B1825">
            <v>79019998830</v>
          </cell>
        </row>
        <row r="1826">
          <cell r="A1826" t="str">
            <v>Левченков Георгий Михайлович</v>
          </cell>
          <cell r="B1826">
            <v>79185881804</v>
          </cell>
        </row>
        <row r="1827">
          <cell r="A1827" t="str">
            <v>Леднев Алексей Иванович</v>
          </cell>
          <cell r="B1827">
            <v>79205548825</v>
          </cell>
        </row>
        <row r="1828">
          <cell r="A1828" t="str">
            <v>Леднева Елена Владимировна</v>
          </cell>
          <cell r="B1828">
            <v>79217555371</v>
          </cell>
        </row>
        <row r="1829">
          <cell r="A1829" t="str">
            <v>Лекторова Екатерина Николаевна</v>
          </cell>
          <cell r="B1829">
            <v>79160973836</v>
          </cell>
        </row>
        <row r="1830">
          <cell r="A1830" t="str">
            <v>Лемкин Николай Иванович</v>
          </cell>
          <cell r="B1830">
            <v>79172851122</v>
          </cell>
        </row>
        <row r="1831">
          <cell r="A1831" t="str">
            <v>Леонов Сергей Геннадиевич</v>
          </cell>
          <cell r="B1831">
            <v>79153479508</v>
          </cell>
        </row>
        <row r="1832">
          <cell r="A1832" t="str">
            <v>Леонов Юрий Геннадиевич</v>
          </cell>
          <cell r="B1832">
            <v>79167962054</v>
          </cell>
        </row>
        <row r="1833">
          <cell r="A1833" t="str">
            <v>Леонова Юлия Вячеславовна</v>
          </cell>
          <cell r="B1833">
            <v>79775819625</v>
          </cell>
        </row>
        <row r="1834">
          <cell r="A1834" t="str">
            <v>Леонтьева Ирина Алексеевна</v>
          </cell>
          <cell r="B1834">
            <v>79854399109</v>
          </cell>
        </row>
        <row r="1835">
          <cell r="A1835" t="str">
            <v>Лесник Григорий Николаевич</v>
          </cell>
          <cell r="B1835">
            <v>79104016238</v>
          </cell>
        </row>
        <row r="1836">
          <cell r="A1836" t="str">
            <v>Лещев Андрей Николаевич</v>
          </cell>
          <cell r="B1836">
            <v>79165202008</v>
          </cell>
        </row>
        <row r="1837">
          <cell r="A1837" t="str">
            <v>Лещинский Михаил Дмитриевич</v>
          </cell>
          <cell r="B1837">
            <v>79213080743</v>
          </cell>
        </row>
        <row r="1838">
          <cell r="A1838" t="str">
            <v>Ли Анатолий Сергеевич</v>
          </cell>
          <cell r="B1838">
            <v>79778562816</v>
          </cell>
        </row>
        <row r="1839">
          <cell r="A1839" t="str">
            <v>Ли Олеся Евгеньевна</v>
          </cell>
          <cell r="B1839">
            <v>79152051692</v>
          </cell>
        </row>
        <row r="1840">
          <cell r="A1840" t="str">
            <v>Ли Юлия Олеговна</v>
          </cell>
          <cell r="B1840">
            <v>79030848740</v>
          </cell>
        </row>
        <row r="1841">
          <cell r="A1841" t="str">
            <v>Ли Юлия Олеговна</v>
          </cell>
          <cell r="B1841">
            <v>79090285655</v>
          </cell>
        </row>
        <row r="1842">
          <cell r="A1842" t="str">
            <v>Ливадина Марина Анатольевна</v>
          </cell>
          <cell r="B1842">
            <v>79855461616</v>
          </cell>
        </row>
        <row r="1843">
          <cell r="A1843" t="str">
            <v>Ливанов Игорь Викторович</v>
          </cell>
          <cell r="B1843">
            <v>79219956156</v>
          </cell>
        </row>
        <row r="1844">
          <cell r="A1844" t="str">
            <v>ЛИДЕР ГРУПП ООО</v>
          </cell>
          <cell r="B1844">
            <v>79661320330</v>
          </cell>
        </row>
        <row r="1845">
          <cell r="A1845" t="str">
            <v>ЛИДЕР ООО</v>
          </cell>
          <cell r="B1845">
            <v>79152543222</v>
          </cell>
        </row>
        <row r="1846">
          <cell r="A1846" t="str">
            <v>Линник Борис Владимирович</v>
          </cell>
          <cell r="B1846">
            <v>79265002272</v>
          </cell>
        </row>
        <row r="1847">
          <cell r="A1847" t="str">
            <v>Линючев Дмитрий Владимирович</v>
          </cell>
          <cell r="B1847">
            <v>79200231034</v>
          </cell>
        </row>
        <row r="1848">
          <cell r="A1848" t="str">
            <v>Липатова Марина Александровна</v>
          </cell>
          <cell r="B1848">
            <v>79002597888</v>
          </cell>
        </row>
        <row r="1849">
          <cell r="A1849" t="str">
            <v>Липницкая Калерия Алексеевна</v>
          </cell>
          <cell r="B1849">
            <v>79515824076</v>
          </cell>
        </row>
        <row r="1850">
          <cell r="A1850" t="str">
            <v>Липшев Анатолий Иванович</v>
          </cell>
          <cell r="B1850">
            <v>79218599757</v>
          </cell>
        </row>
        <row r="1851">
          <cell r="A1851" t="str">
            <v>Лисичкина Елена Александровна</v>
          </cell>
          <cell r="B1851">
            <v>79175562011</v>
          </cell>
        </row>
        <row r="1852">
          <cell r="A1852" t="str">
            <v>Литвинов Дмитрий Геннадьевич</v>
          </cell>
          <cell r="B1852">
            <v>79104090933</v>
          </cell>
        </row>
        <row r="1853">
          <cell r="A1853" t="str">
            <v>Литвинова Екатерина Викторовна</v>
          </cell>
          <cell r="B1853">
            <v>79186107599</v>
          </cell>
        </row>
        <row r="1854">
          <cell r="A1854" t="str">
            <v>Литовченко Дмитрий Иванович</v>
          </cell>
          <cell r="B1854">
            <v>79154864398</v>
          </cell>
        </row>
        <row r="1855">
          <cell r="A1855" t="str">
            <v>Лихачева Мария Николаевна</v>
          </cell>
          <cell r="B1855">
            <v>79144493888</v>
          </cell>
        </row>
        <row r="1856">
          <cell r="A1856" t="str">
            <v>Лобашков Александр Германович</v>
          </cell>
          <cell r="B1856">
            <v>79166776792</v>
          </cell>
        </row>
        <row r="1857">
          <cell r="A1857" t="str">
            <v>Лобунец Дмитрий Юрьевич</v>
          </cell>
          <cell r="B1857">
            <v>79228187663</v>
          </cell>
        </row>
        <row r="1858">
          <cell r="A1858" t="str">
            <v>Ловкис Александр Николаевич</v>
          </cell>
          <cell r="B1858">
            <v>79065165801</v>
          </cell>
        </row>
        <row r="1859">
          <cell r="A1859" t="str">
            <v>Логвинчук Василий Святославович</v>
          </cell>
          <cell r="B1859">
            <v>79776115100</v>
          </cell>
        </row>
        <row r="1860">
          <cell r="A1860" t="str">
            <v>Логвинчук Василий Святославович</v>
          </cell>
          <cell r="B1860">
            <v>79778938956</v>
          </cell>
        </row>
        <row r="1861">
          <cell r="A1861" t="str">
            <v>Логинов Георгий Теймуразович</v>
          </cell>
          <cell r="B1861">
            <v>79661068106</v>
          </cell>
        </row>
        <row r="1862">
          <cell r="A1862" t="str">
            <v>Логинов Максим Александрович</v>
          </cell>
          <cell r="B1862">
            <v>79625109585</v>
          </cell>
        </row>
        <row r="1863">
          <cell r="A1863" t="str">
            <v>Логинова Диана Павловна</v>
          </cell>
          <cell r="B1863">
            <v>79513513546</v>
          </cell>
        </row>
        <row r="1864">
          <cell r="A1864" t="str">
            <v>Логинова Татьяна Анатольевна</v>
          </cell>
          <cell r="B1864">
            <v>79539115898</v>
          </cell>
        </row>
        <row r="1865">
          <cell r="A1865" t="str">
            <v>Лого-Трейд ООО</v>
          </cell>
          <cell r="B1865">
            <v>79262106333</v>
          </cell>
        </row>
        <row r="1866">
          <cell r="A1866" t="str">
            <v>Лого-Трейд Смоленск ООО</v>
          </cell>
          <cell r="B1866">
            <v>79262106333</v>
          </cell>
        </row>
        <row r="1867">
          <cell r="A1867" t="str">
            <v>Ложкин Денис Юрьевич</v>
          </cell>
          <cell r="B1867">
            <v>79773803362</v>
          </cell>
        </row>
        <row r="1868">
          <cell r="A1868" t="str">
            <v>Локшина Ольга Владимировна</v>
          </cell>
          <cell r="B1868">
            <v>79197061435</v>
          </cell>
        </row>
        <row r="1869">
          <cell r="A1869" t="str">
            <v>Ломакин Александр Валерьевич</v>
          </cell>
          <cell r="B1869">
            <v>79162142226</v>
          </cell>
        </row>
        <row r="1870">
          <cell r="A1870" t="str">
            <v>Ломакин Алексей Алексеевич</v>
          </cell>
          <cell r="B1870">
            <v>79601579694</v>
          </cell>
        </row>
        <row r="1871">
          <cell r="A1871" t="str">
            <v>Ломакин Андрей Александрович</v>
          </cell>
          <cell r="B1871">
            <v>79266723974</v>
          </cell>
        </row>
        <row r="1872">
          <cell r="A1872" t="str">
            <v>Ломакина Людмила Викторовна</v>
          </cell>
          <cell r="B1872">
            <v>79162142227</v>
          </cell>
        </row>
        <row r="1873">
          <cell r="A1873" t="str">
            <v>Лоозе Зинаида Петровна</v>
          </cell>
          <cell r="B1873">
            <v>79218631806</v>
          </cell>
        </row>
        <row r="1874">
          <cell r="A1874" t="str">
            <v>Лопина Мария Львовна</v>
          </cell>
          <cell r="B1874">
            <v>79160765293</v>
          </cell>
        </row>
        <row r="1875">
          <cell r="A1875" t="str">
            <v>Лосева Анна Николаевна</v>
          </cell>
          <cell r="B1875">
            <v>79031113837</v>
          </cell>
        </row>
        <row r="1876">
          <cell r="A1876" t="str">
            <v>Лотонин Александр Олегович</v>
          </cell>
          <cell r="B1876">
            <v>79045527952</v>
          </cell>
        </row>
        <row r="1877">
          <cell r="A1877" t="str">
            <v>Луковкин Владимир Федорович</v>
          </cell>
          <cell r="B1877">
            <v>79773531063</v>
          </cell>
        </row>
        <row r="1878">
          <cell r="A1878" t="str">
            <v>Лукошков Виктор Геннадьевич</v>
          </cell>
          <cell r="B1878">
            <v>79653800404</v>
          </cell>
        </row>
        <row r="1879">
          <cell r="A1879" t="str">
            <v>Лукошников Данило Анатольевич</v>
          </cell>
          <cell r="B1879">
            <v>79118143628</v>
          </cell>
        </row>
        <row r="1880">
          <cell r="A1880" t="str">
            <v>Лукьяненко Руслан Сергеевич</v>
          </cell>
          <cell r="B1880">
            <v>79773815084</v>
          </cell>
        </row>
        <row r="1881">
          <cell r="A1881" t="str">
            <v>Лукьянов Станислав Николаевич</v>
          </cell>
          <cell r="B1881">
            <v>79680741802</v>
          </cell>
        </row>
        <row r="1882">
          <cell r="A1882" t="str">
            <v>Лукьянова Юлия Сергеевна</v>
          </cell>
          <cell r="B1882">
            <v>79219414984</v>
          </cell>
        </row>
        <row r="1883">
          <cell r="A1883" t="str">
            <v>Лукьянова Юлия Сергеевна</v>
          </cell>
          <cell r="B1883">
            <v>79818380900</v>
          </cell>
        </row>
        <row r="1884">
          <cell r="A1884" t="str">
            <v>Лутфуллин Ильяс Ильгизярович</v>
          </cell>
          <cell r="B1884">
            <v>79256323516</v>
          </cell>
        </row>
        <row r="1885">
          <cell r="A1885" t="str">
            <v>Луцик Борис Евгеньевич</v>
          </cell>
          <cell r="B1885">
            <v>79181918201</v>
          </cell>
        </row>
        <row r="1886">
          <cell r="A1886" t="str">
            <v>Луцкий Андрей Петрович</v>
          </cell>
          <cell r="B1886">
            <v>79773312606</v>
          </cell>
        </row>
        <row r="1887">
          <cell r="A1887" t="str">
            <v>Лыбов Кирилл Олегович</v>
          </cell>
          <cell r="B1887">
            <v>79251598049</v>
          </cell>
        </row>
        <row r="1888">
          <cell r="A1888" t="str">
            <v>Лыжин Андрей Анатольевич</v>
          </cell>
          <cell r="B1888">
            <v>79282138735</v>
          </cell>
        </row>
        <row r="1889">
          <cell r="A1889" t="str">
            <v>Лымарев Александр Александрович</v>
          </cell>
          <cell r="B1889">
            <v>79185111971</v>
          </cell>
        </row>
        <row r="1890">
          <cell r="A1890" t="str">
            <v>Лысак Екатерина Дмитриевна</v>
          </cell>
          <cell r="B1890">
            <v>79873510687</v>
          </cell>
        </row>
        <row r="1891">
          <cell r="A1891" t="str">
            <v>Лысенко Александр Викторович</v>
          </cell>
          <cell r="B1891">
            <v>79150259568</v>
          </cell>
        </row>
        <row r="1892">
          <cell r="A1892" t="str">
            <v>Лысенкова Инна Ивановна</v>
          </cell>
          <cell r="B1892">
            <v>79308049905</v>
          </cell>
        </row>
        <row r="1893">
          <cell r="A1893" t="str">
            <v>Лысяк Яна Вадимовна</v>
          </cell>
          <cell r="B1893">
            <v>79653185028</v>
          </cell>
        </row>
        <row r="1894">
          <cell r="A1894" t="str">
            <v>Любушкин Сергей Васильевич</v>
          </cell>
          <cell r="B1894">
            <v>79031255661</v>
          </cell>
        </row>
        <row r="1895">
          <cell r="A1895" t="str">
            <v>Лютов Игорь Александрович</v>
          </cell>
          <cell r="B1895">
            <v>79296467211</v>
          </cell>
        </row>
        <row r="1896">
          <cell r="A1896" t="str">
            <v>Лютов Станислав Анатольевич</v>
          </cell>
          <cell r="B1896">
            <v>79650654438</v>
          </cell>
        </row>
        <row r="1897">
          <cell r="A1897" t="str">
            <v>Люшняк Владислав Анатольевич</v>
          </cell>
          <cell r="B1897">
            <v>79508600535</v>
          </cell>
        </row>
        <row r="1898">
          <cell r="A1898" t="str">
            <v>Люшняк Владислав Анатольевич</v>
          </cell>
          <cell r="B1898">
            <v>79289013232</v>
          </cell>
        </row>
        <row r="1899">
          <cell r="A1899" t="str">
            <v>Лякишев Павел Александрович</v>
          </cell>
          <cell r="B1899">
            <v>79167906097</v>
          </cell>
        </row>
        <row r="1900">
          <cell r="A1900" t="str">
            <v>Лялин Анатолий Геннадьевич</v>
          </cell>
          <cell r="B1900">
            <v>79960475545</v>
          </cell>
        </row>
        <row r="1901">
          <cell r="A1901" t="str">
            <v>Лямин Сергей Александрович</v>
          </cell>
          <cell r="B1901">
            <v>79811985778</v>
          </cell>
        </row>
        <row r="1902">
          <cell r="A1902" t="str">
            <v>Ляхович Александр Александрович</v>
          </cell>
          <cell r="B1902">
            <v>79272017750</v>
          </cell>
        </row>
        <row r="1903">
          <cell r="A1903" t="str">
            <v>Маасияев Роман Маасияевич</v>
          </cell>
          <cell r="B1903">
            <v>79855317777</v>
          </cell>
        </row>
        <row r="1904">
          <cell r="A1904" t="str">
            <v>Магаммедов Денислам Нариманович</v>
          </cell>
          <cell r="B1904">
            <v>79689922999</v>
          </cell>
        </row>
        <row r="1905">
          <cell r="A1905" t="str">
            <v>Магеррамов Давуд Исмаиль Оглы</v>
          </cell>
          <cell r="B1905">
            <v>79626175956</v>
          </cell>
        </row>
        <row r="1906">
          <cell r="A1906" t="str">
            <v>Магеррамов Давуд Исмаиль Оглы</v>
          </cell>
          <cell r="B1906">
            <v>79272782100</v>
          </cell>
        </row>
        <row r="1907">
          <cell r="A1907" t="str">
            <v>Магомедзагидов Адам Халидович</v>
          </cell>
          <cell r="B1907" t="str">
            <v/>
          </cell>
        </row>
        <row r="1908">
          <cell r="A1908" t="str">
            <v>Магомедов Ахмед Багаутдинович</v>
          </cell>
          <cell r="B1908">
            <v>79850889987</v>
          </cell>
        </row>
        <row r="1909">
          <cell r="A1909" t="str">
            <v>Магомедов Залимхан Зайпуллаевич</v>
          </cell>
          <cell r="B1909">
            <v>79032227373</v>
          </cell>
        </row>
        <row r="1910">
          <cell r="A1910" t="str">
            <v>Магомедов Саид Магомедрасулович</v>
          </cell>
          <cell r="B1910">
            <v>79234700010</v>
          </cell>
        </row>
        <row r="1911">
          <cell r="A1911" t="str">
            <v>Магомедов Шамиль Халилович</v>
          </cell>
          <cell r="B1911">
            <v>79265559834</v>
          </cell>
        </row>
        <row r="1912">
          <cell r="A1912" t="str">
            <v>Магомедтагиров Ибрахим Мухамадович</v>
          </cell>
          <cell r="B1912">
            <v>79165806666</v>
          </cell>
        </row>
        <row r="1913">
          <cell r="A1913" t="str">
            <v>Маевский Алексей Георгиевич</v>
          </cell>
          <cell r="B1913">
            <v>79184316064</v>
          </cell>
        </row>
        <row r="1914">
          <cell r="A1914" t="str">
            <v>Мазаев Вадим Викторович</v>
          </cell>
          <cell r="B1914">
            <v>79166000550</v>
          </cell>
        </row>
        <row r="1915">
          <cell r="A1915" t="str">
            <v>Мазеин Кирилл Викторович</v>
          </cell>
          <cell r="B1915">
            <v>79096712373</v>
          </cell>
        </row>
        <row r="1916">
          <cell r="A1916" t="str">
            <v>Мазеин Станислав Викторович</v>
          </cell>
          <cell r="B1916">
            <v>79269400072</v>
          </cell>
        </row>
        <row r="1917">
          <cell r="A1917" t="str">
            <v>Мазепов Сергей Анатольевич</v>
          </cell>
          <cell r="B1917">
            <v>79039609141</v>
          </cell>
        </row>
        <row r="1918">
          <cell r="A1918" t="str">
            <v>Мазнев Алексей Николаевич</v>
          </cell>
          <cell r="B1918">
            <v>79057414221</v>
          </cell>
        </row>
        <row r="1919">
          <cell r="A1919" t="str">
            <v>Мазориев Рахматуло Саидович</v>
          </cell>
          <cell r="B1919">
            <v>79259119530</v>
          </cell>
        </row>
        <row r="1920">
          <cell r="A1920" t="str">
            <v>Мазунин Максим Евгеньевич</v>
          </cell>
          <cell r="B1920">
            <v>79991251094</v>
          </cell>
        </row>
        <row r="1921">
          <cell r="A1921" t="str">
            <v>Мазуренко Наталья Владимировна</v>
          </cell>
          <cell r="B1921">
            <v>79067385873</v>
          </cell>
        </row>
        <row r="1922">
          <cell r="A1922" t="str">
            <v>Мазурин Николай Анатольевич</v>
          </cell>
          <cell r="B1922">
            <v>79161282203</v>
          </cell>
        </row>
        <row r="1923">
          <cell r="A1923" t="str">
            <v>Майоров Александр Эдуардович</v>
          </cell>
          <cell r="B1923">
            <v>79150991565</v>
          </cell>
        </row>
        <row r="1924">
          <cell r="A1924" t="str">
            <v>Майоров Олег Владимирович</v>
          </cell>
          <cell r="B1924">
            <v>79089505301</v>
          </cell>
        </row>
        <row r="1925">
          <cell r="A1925" t="str">
            <v>Майорова Наталья Вениаминовна</v>
          </cell>
          <cell r="B1925">
            <v>79627707262</v>
          </cell>
        </row>
        <row r="1926">
          <cell r="A1926" t="str">
            <v>Макаренко Екатерина Васильевна</v>
          </cell>
          <cell r="B1926">
            <v>79605632818</v>
          </cell>
        </row>
        <row r="1927">
          <cell r="A1927" t="str">
            <v>Макаренко Инна Сергеевна</v>
          </cell>
          <cell r="B1927">
            <v>79233395323</v>
          </cell>
        </row>
        <row r="1928">
          <cell r="A1928" t="str">
            <v>Макаренков Алексей Геннадьевич</v>
          </cell>
          <cell r="B1928">
            <v>79166211809</v>
          </cell>
        </row>
        <row r="1929">
          <cell r="A1929" t="str">
            <v>Макаров Алексей Александрович</v>
          </cell>
          <cell r="B1929">
            <v>79162703135</v>
          </cell>
        </row>
        <row r="1930">
          <cell r="A1930" t="str">
            <v>Макаров Алексей Александрович1</v>
          </cell>
          <cell r="B1930">
            <v>79099928726</v>
          </cell>
        </row>
        <row r="1931">
          <cell r="A1931" t="str">
            <v>Макаров Алексей Сергеевич</v>
          </cell>
          <cell r="B1931">
            <v>79855682548</v>
          </cell>
        </row>
        <row r="1932">
          <cell r="A1932" t="str">
            <v>Макаров Андрей Анатольевич</v>
          </cell>
          <cell r="B1932">
            <v>79299798289</v>
          </cell>
        </row>
        <row r="1933">
          <cell r="A1933" t="str">
            <v>Макаров Кирилл Игоревич</v>
          </cell>
          <cell r="B1933">
            <v>79035006191</v>
          </cell>
        </row>
        <row r="1934">
          <cell r="A1934" t="str">
            <v>Макаров Максим Николаевич</v>
          </cell>
          <cell r="B1934">
            <v>79221877140</v>
          </cell>
        </row>
        <row r="1935">
          <cell r="A1935" t="str">
            <v>Макаров Павел Александрович</v>
          </cell>
          <cell r="B1935">
            <v>79294640005</v>
          </cell>
        </row>
        <row r="1936">
          <cell r="A1936" t="str">
            <v>Макаров Станислав Васильевич</v>
          </cell>
          <cell r="B1936">
            <v>79643323292</v>
          </cell>
        </row>
        <row r="1937">
          <cell r="A1937" t="str">
            <v>Макарова Ирина Сергеевна</v>
          </cell>
          <cell r="B1937">
            <v>79216364069</v>
          </cell>
        </row>
        <row r="1938">
          <cell r="A1938" t="str">
            <v>Макарова Ольга Викторовна</v>
          </cell>
          <cell r="B1938">
            <v>79039684381</v>
          </cell>
        </row>
        <row r="1939">
          <cell r="A1939" t="str">
            <v>Макарян Григорий Оганесович</v>
          </cell>
          <cell r="B1939">
            <v>79639994241</v>
          </cell>
        </row>
        <row r="1940">
          <cell r="A1940" t="str">
            <v>Маккаева Рузанна Абдулаевна</v>
          </cell>
          <cell r="B1940">
            <v>79639947091</v>
          </cell>
        </row>
        <row r="1941">
          <cell r="A1941" t="str">
            <v>Маклаков Александр Александрович</v>
          </cell>
          <cell r="B1941">
            <v>79672953704</v>
          </cell>
        </row>
        <row r="1942">
          <cell r="A1942" t="str">
            <v>Маковеев Николай Владимирович</v>
          </cell>
          <cell r="B1942">
            <v>79312250209</v>
          </cell>
        </row>
        <row r="1943">
          <cell r="A1943" t="str">
            <v>Макс Технолоджис ООО</v>
          </cell>
          <cell r="B1943">
            <v>79992227373</v>
          </cell>
        </row>
        <row r="1944">
          <cell r="A1944" t="str">
            <v>Максаев Александр Михайлович</v>
          </cell>
          <cell r="B1944">
            <v>79852268346</v>
          </cell>
        </row>
        <row r="1945">
          <cell r="A1945" t="str">
            <v>Максидов Хазрет Арсенович</v>
          </cell>
          <cell r="B1945">
            <v>79067487157</v>
          </cell>
        </row>
        <row r="1946">
          <cell r="A1946" t="str">
            <v>Максиков Алексей Сергеевич</v>
          </cell>
          <cell r="B1946">
            <v>79673000025</v>
          </cell>
        </row>
        <row r="1947">
          <cell r="A1947" t="str">
            <v>Максимов Вячеслав Дмитриевич</v>
          </cell>
          <cell r="B1947">
            <v>79063921353</v>
          </cell>
        </row>
        <row r="1948">
          <cell r="A1948" t="str">
            <v>Макси-Строй ООО</v>
          </cell>
          <cell r="B1948">
            <v>79774938664</v>
          </cell>
        </row>
        <row r="1949">
          <cell r="A1949" t="str">
            <v>Максюта Алексей Владимирович</v>
          </cell>
          <cell r="B1949">
            <v>79166395932</v>
          </cell>
        </row>
        <row r="1950">
          <cell r="A1950" t="str">
            <v>Малакей Виталий Юрьевич</v>
          </cell>
          <cell r="B1950">
            <v>79636566547</v>
          </cell>
        </row>
        <row r="1951">
          <cell r="A1951" t="str">
            <v>Малашкин Алексей Игоревич</v>
          </cell>
          <cell r="B1951">
            <v>79263247300</v>
          </cell>
        </row>
        <row r="1952">
          <cell r="A1952" t="str">
            <v>Малевич Вадим Владимирович</v>
          </cell>
          <cell r="B1952">
            <v>79775643495</v>
          </cell>
        </row>
        <row r="1953">
          <cell r="A1953" t="str">
            <v>Маликов Константин Евгеньевич</v>
          </cell>
          <cell r="B1953">
            <v>79166746253</v>
          </cell>
        </row>
        <row r="1954">
          <cell r="A1954" t="str">
            <v>Малинин Евгений Александрович</v>
          </cell>
          <cell r="B1954">
            <v>79032265948</v>
          </cell>
        </row>
        <row r="1955">
          <cell r="A1955" t="str">
            <v>Малинина Оксана Александровна</v>
          </cell>
          <cell r="B1955">
            <v>79268813850</v>
          </cell>
        </row>
        <row r="1956">
          <cell r="A1956" t="str">
            <v>Малиновская Екатерина Алексеевна</v>
          </cell>
          <cell r="B1956">
            <v>79265574305</v>
          </cell>
        </row>
        <row r="1957">
          <cell r="A1957" t="str">
            <v>Маличенко Екатерина Викторовна</v>
          </cell>
          <cell r="B1957">
            <v>79851336344</v>
          </cell>
        </row>
        <row r="1958">
          <cell r="A1958" t="str">
            <v>Малмыгин Андрей Александрович</v>
          </cell>
          <cell r="B1958">
            <v>79604854433</v>
          </cell>
        </row>
        <row r="1959">
          <cell r="A1959" t="str">
            <v>Малхасян Арарат Балабекович</v>
          </cell>
          <cell r="B1959">
            <v>79111600980</v>
          </cell>
        </row>
        <row r="1960">
          <cell r="A1960" t="str">
            <v>Малыгин Максим Юрьевич</v>
          </cell>
          <cell r="B1960">
            <v>79111278353</v>
          </cell>
        </row>
        <row r="1961">
          <cell r="A1961" t="str">
            <v>Малышев Михаил Константинович</v>
          </cell>
          <cell r="B1961">
            <v>79150864198</v>
          </cell>
        </row>
        <row r="1962">
          <cell r="A1962" t="str">
            <v>Малышев Роман Николаевич</v>
          </cell>
          <cell r="B1962">
            <v>79251587519</v>
          </cell>
        </row>
        <row r="1963">
          <cell r="A1963" t="str">
            <v>Малышева Вера Владимировна</v>
          </cell>
          <cell r="B1963">
            <v>79636403458</v>
          </cell>
        </row>
        <row r="1964">
          <cell r="A1964" t="str">
            <v>Мамалюк Алексей Михайлович</v>
          </cell>
          <cell r="B1964">
            <v>79197761777</v>
          </cell>
        </row>
        <row r="1965">
          <cell r="A1965" t="str">
            <v>Мамбетов Менглибий Курманбиевич</v>
          </cell>
          <cell r="B1965">
            <v>79312169844</v>
          </cell>
        </row>
        <row r="1966">
          <cell r="A1966" t="str">
            <v>Мамедов Джаббар Гарягды Оглы</v>
          </cell>
          <cell r="B1966">
            <v>79680310111</v>
          </cell>
        </row>
        <row r="1967">
          <cell r="A1967" t="str">
            <v>Мамедов Динар Рашид Оглы</v>
          </cell>
          <cell r="B1967">
            <v>79261760120</v>
          </cell>
        </row>
        <row r="1968">
          <cell r="A1968" t="str">
            <v>Мамедов Рамиз Рафик Оглы</v>
          </cell>
          <cell r="B1968">
            <v>79680131414</v>
          </cell>
        </row>
        <row r="1969">
          <cell r="A1969" t="str">
            <v>Мамедов Рамин Алим Оглы</v>
          </cell>
          <cell r="B1969">
            <v>79623235380</v>
          </cell>
        </row>
        <row r="1970">
          <cell r="A1970" t="str">
            <v>Мамедов Сеймур Фазил Оглы</v>
          </cell>
          <cell r="B1970">
            <v>79265788626</v>
          </cell>
        </row>
        <row r="1971">
          <cell r="A1971" t="str">
            <v>Мамедов Сехран Нураддин Оглы</v>
          </cell>
          <cell r="B1971">
            <v>79169177748</v>
          </cell>
        </row>
        <row r="1972">
          <cell r="A1972" t="str">
            <v>Мамедова Илона Вановна</v>
          </cell>
          <cell r="B1972">
            <v>79060630839</v>
          </cell>
        </row>
        <row r="1973">
          <cell r="A1973" t="str">
            <v>Мамедова Рагиба Алескер Кызы</v>
          </cell>
          <cell r="B1973">
            <v>79100899299</v>
          </cell>
        </row>
        <row r="1974">
          <cell r="A1974" t="str">
            <v>Мамлина Наталия Андреевна</v>
          </cell>
          <cell r="B1974">
            <v>79036514804</v>
          </cell>
        </row>
        <row r="1975">
          <cell r="A1975" t="str">
            <v>Мамонтов Геннадий Юрьевич</v>
          </cell>
          <cell r="B1975">
            <v>79885259042</v>
          </cell>
        </row>
        <row r="1976">
          <cell r="A1976" t="str">
            <v>Мамотько Светлана Владимировна</v>
          </cell>
          <cell r="B1976">
            <v>79646475857</v>
          </cell>
        </row>
        <row r="1977">
          <cell r="A1977" t="str">
            <v>Мамриков Андрей Николаевич</v>
          </cell>
          <cell r="B1977">
            <v>79111031438</v>
          </cell>
        </row>
        <row r="1978">
          <cell r="A1978" t="str">
            <v>Манаенко Ольга Владимировна</v>
          </cell>
          <cell r="B1978">
            <v>79096780569</v>
          </cell>
        </row>
        <row r="1979">
          <cell r="A1979" t="str">
            <v>Манасян Ашот Сергеевич</v>
          </cell>
          <cell r="B1979">
            <v>79164624485</v>
          </cell>
        </row>
        <row r="1980">
          <cell r="A1980" t="str">
            <v>Манасян Ашот Сергеевич</v>
          </cell>
          <cell r="B1980">
            <v>79258805062</v>
          </cell>
        </row>
        <row r="1981">
          <cell r="A1981" t="str">
            <v>Манашев Валерий Юрьевич</v>
          </cell>
          <cell r="B1981">
            <v>79851741563</v>
          </cell>
        </row>
        <row r="1982">
          <cell r="A1982" t="str">
            <v>Мандров Вячеслав Александрович</v>
          </cell>
          <cell r="B1982">
            <v>79992164924</v>
          </cell>
        </row>
        <row r="1983">
          <cell r="A1983" t="str">
            <v>Манин Сергей Викторович</v>
          </cell>
          <cell r="B1983">
            <v>79099559554</v>
          </cell>
        </row>
        <row r="1984">
          <cell r="A1984" t="str">
            <v>Маннапов Эльдар Рамилевич</v>
          </cell>
          <cell r="B1984">
            <v>79625336033</v>
          </cell>
        </row>
        <row r="1985">
          <cell r="A1985" t="str">
            <v>Манукян Айк Араратович</v>
          </cell>
          <cell r="B1985">
            <v>79098006820</v>
          </cell>
        </row>
        <row r="1986">
          <cell r="A1986" t="str">
            <v>Манукян Артур Агасиевич</v>
          </cell>
          <cell r="B1986">
            <v>79652960111</v>
          </cell>
        </row>
        <row r="1987">
          <cell r="A1987" t="str">
            <v>Манукян Вардан Эмильевич</v>
          </cell>
          <cell r="B1987">
            <v>79182011137</v>
          </cell>
        </row>
        <row r="1988">
          <cell r="A1988" t="str">
            <v>Маргарян Вардан Саргисович</v>
          </cell>
          <cell r="B1988">
            <v>79189058074</v>
          </cell>
        </row>
        <row r="1989">
          <cell r="A1989" t="str">
            <v>Маргарян Эрик Арменович</v>
          </cell>
          <cell r="B1989">
            <v>79680686880</v>
          </cell>
        </row>
        <row r="1990">
          <cell r="A1990" t="str">
            <v>Мареев Дмитрий Борисович</v>
          </cell>
          <cell r="B1990">
            <v>79055060024</v>
          </cell>
        </row>
        <row r="1991">
          <cell r="A1991" t="str">
            <v>Марейчев Игорь Валентинович</v>
          </cell>
          <cell r="B1991">
            <v>79067504454</v>
          </cell>
        </row>
        <row r="1992">
          <cell r="A1992" t="str">
            <v>Маренич Иван Евгеньевич</v>
          </cell>
          <cell r="B1992">
            <v>79296539667</v>
          </cell>
        </row>
        <row r="1993">
          <cell r="A1993" t="str">
            <v>Марецкая Елена Романовна</v>
          </cell>
          <cell r="B1993">
            <v>79112128572</v>
          </cell>
        </row>
        <row r="1994">
          <cell r="A1994" t="str">
            <v>Марецкий Андрей Юрьевич</v>
          </cell>
          <cell r="B1994">
            <v>79119671372</v>
          </cell>
        </row>
        <row r="1995">
          <cell r="A1995" t="str">
            <v>Марикян Артур Самвелович</v>
          </cell>
          <cell r="B1995">
            <v>79881831617</v>
          </cell>
        </row>
        <row r="1996">
          <cell r="A1996" t="str">
            <v>Маркарян Гаяне Арутюновна</v>
          </cell>
          <cell r="B1996">
            <v>79264792564</v>
          </cell>
        </row>
        <row r="1997">
          <cell r="A1997" t="str">
            <v>Маркарян Гоар Славиковна</v>
          </cell>
          <cell r="B1997">
            <v>79295337195</v>
          </cell>
        </row>
        <row r="1998">
          <cell r="A1998" t="str">
            <v>Маркин Роман Викторович</v>
          </cell>
          <cell r="B1998">
            <v>79774639319</v>
          </cell>
        </row>
        <row r="1999">
          <cell r="A1999" t="str">
            <v>Марков Владислав Владимирович</v>
          </cell>
          <cell r="B1999">
            <v>79805323834</v>
          </cell>
        </row>
        <row r="2000">
          <cell r="A2000" t="str">
            <v>Марков Михаил Андреевич</v>
          </cell>
          <cell r="B2000">
            <v>79242715759</v>
          </cell>
        </row>
        <row r="2001">
          <cell r="A2001" t="str">
            <v>Маркова Виктория Александровна</v>
          </cell>
          <cell r="B2001">
            <v>79967832403</v>
          </cell>
        </row>
        <row r="2002">
          <cell r="A2002" t="str">
            <v>Маркова Екатерина Викторовна</v>
          </cell>
          <cell r="B2002">
            <v>79060744144</v>
          </cell>
        </row>
        <row r="2003">
          <cell r="A2003" t="str">
            <v>Марковская Кристина Гансовна</v>
          </cell>
          <cell r="B2003">
            <v>79037262617</v>
          </cell>
        </row>
        <row r="2004">
          <cell r="A2004" t="str">
            <v>Маркосян Арам Эдвардович</v>
          </cell>
          <cell r="B2004">
            <v>79035561056</v>
          </cell>
        </row>
        <row r="2005">
          <cell r="A2005" t="str">
            <v>Марочканич Василий Иванович</v>
          </cell>
          <cell r="B2005">
            <v>79166701820</v>
          </cell>
        </row>
        <row r="2006">
          <cell r="A2006" t="str">
            <v>Мартазов Вадим Алексеевич</v>
          </cell>
          <cell r="B2006">
            <v>79057123553</v>
          </cell>
        </row>
        <row r="2007">
          <cell r="A2007" t="str">
            <v>Мартиросян Вардан Лазоевич</v>
          </cell>
          <cell r="B2007">
            <v>79119259881</v>
          </cell>
        </row>
        <row r="2008">
          <cell r="A2008" t="str">
            <v>Мартиросян Микаел Эдикович</v>
          </cell>
          <cell r="B2008">
            <v>79067561110</v>
          </cell>
        </row>
        <row r="2009">
          <cell r="A2009" t="str">
            <v>Мартынко Александра Андреевна</v>
          </cell>
          <cell r="B2009">
            <v>79883677666</v>
          </cell>
        </row>
        <row r="2010">
          <cell r="A2010" t="str">
            <v>Мартынов Максим Анатольевич</v>
          </cell>
          <cell r="B2010">
            <v>79779376497</v>
          </cell>
        </row>
        <row r="2011">
          <cell r="A2011" t="str">
            <v>Марфутина Дарья Игоревна</v>
          </cell>
          <cell r="B2011">
            <v>79264999276</v>
          </cell>
        </row>
        <row r="2012">
          <cell r="A2012" t="str">
            <v>Мархаев Анатолий Сергеевич</v>
          </cell>
          <cell r="B2012">
            <v>79140585907</v>
          </cell>
        </row>
        <row r="2013">
          <cell r="A2013" t="str">
            <v>Марченко Семён Григорьевич</v>
          </cell>
          <cell r="B2013">
            <v>79184957304</v>
          </cell>
        </row>
        <row r="2014">
          <cell r="A2014" t="str">
            <v>Марченкова Валентина Васильевна</v>
          </cell>
          <cell r="B2014">
            <v>79169882020</v>
          </cell>
        </row>
        <row r="2015">
          <cell r="A2015" t="str">
            <v>Марчук Иван Алексеевич</v>
          </cell>
          <cell r="B2015" t="str">
            <v/>
          </cell>
        </row>
        <row r="2016">
          <cell r="A2016" t="str">
            <v>Масальский Александр Михайлович</v>
          </cell>
          <cell r="B2016">
            <v>79164732470</v>
          </cell>
        </row>
        <row r="2017">
          <cell r="A2017" t="str">
            <v>Масальский Руслан Иванович</v>
          </cell>
          <cell r="B2017">
            <v>79516642080</v>
          </cell>
        </row>
        <row r="2018">
          <cell r="A2018" t="str">
            <v>Масин Илья Константинович</v>
          </cell>
          <cell r="B2018">
            <v>79258615090</v>
          </cell>
        </row>
        <row r="2019">
          <cell r="A2019" t="str">
            <v>Масленникова Екатерина Игоревна</v>
          </cell>
          <cell r="B2019" t="str">
            <v/>
          </cell>
        </row>
        <row r="2020">
          <cell r="A2020" t="str">
            <v>Маслов Андрей Алексеевич</v>
          </cell>
          <cell r="B2020">
            <v>79962330882</v>
          </cell>
        </row>
        <row r="2021">
          <cell r="A2021" t="str">
            <v>Маслов Андрей Алексеевич</v>
          </cell>
          <cell r="B2021">
            <v>79377406043</v>
          </cell>
        </row>
        <row r="2022">
          <cell r="A2022" t="str">
            <v>Матарыко Александр Валерьевич</v>
          </cell>
          <cell r="B2022">
            <v>79885265904</v>
          </cell>
        </row>
        <row r="2023">
          <cell r="A2023" t="str">
            <v>Матвеев Алексей Геннадьевич</v>
          </cell>
          <cell r="B2023">
            <v>79004949749</v>
          </cell>
        </row>
        <row r="2024">
          <cell r="A2024" t="str">
            <v>Матвеев Андрей Александрович</v>
          </cell>
          <cell r="B2024">
            <v>79883618694</v>
          </cell>
        </row>
        <row r="2025">
          <cell r="A2025" t="str">
            <v>Матвеев Валерий Владимирович</v>
          </cell>
          <cell r="B2025">
            <v>79269000520</v>
          </cell>
        </row>
        <row r="2026">
          <cell r="A2026" t="str">
            <v>Матвеев Дмитрий Олегович</v>
          </cell>
          <cell r="B2026">
            <v>79688958767</v>
          </cell>
        </row>
        <row r="2027">
          <cell r="A2027" t="str">
            <v>Матвеев Игорь Александрович</v>
          </cell>
          <cell r="B2027">
            <v>79057346262</v>
          </cell>
        </row>
        <row r="2028">
          <cell r="A2028" t="str">
            <v>Матвеев Павел Александрович</v>
          </cell>
          <cell r="B2028">
            <v>79219311235</v>
          </cell>
        </row>
        <row r="2029">
          <cell r="A2029" t="str">
            <v>Матвеев Юрий Евгеньевич</v>
          </cell>
          <cell r="B2029">
            <v>79819118915</v>
          </cell>
        </row>
        <row r="2030">
          <cell r="A2030" t="str">
            <v>Матвеева Дарья Вячеславовна</v>
          </cell>
          <cell r="B2030">
            <v>79652489708</v>
          </cell>
        </row>
        <row r="2031">
          <cell r="A2031" t="str">
            <v>Матвеева Надежда Сергеевна</v>
          </cell>
          <cell r="B2031">
            <v>79269005568</v>
          </cell>
        </row>
        <row r="2032">
          <cell r="A2032" t="str">
            <v>Матвеева Ольга Борисовна</v>
          </cell>
          <cell r="B2032">
            <v>79215967842</v>
          </cell>
        </row>
        <row r="2033">
          <cell r="A2033" t="str">
            <v>Матвеечев Алексей Олегович</v>
          </cell>
          <cell r="B2033" t="str">
            <v/>
          </cell>
        </row>
        <row r="2034">
          <cell r="A2034" t="str">
            <v>Матевосян Генрик Мурадович</v>
          </cell>
          <cell r="B2034">
            <v>79148549402</v>
          </cell>
        </row>
        <row r="2035">
          <cell r="A2035" t="str">
            <v>МАТИК-ЭЛЕКТРО ООО</v>
          </cell>
          <cell r="B2035">
            <v>79166700238</v>
          </cell>
        </row>
        <row r="2036">
          <cell r="A2036" t="str">
            <v>Маткаримов Сардорбек Бахтиёрович</v>
          </cell>
          <cell r="B2036">
            <v>79998181236</v>
          </cell>
        </row>
        <row r="2037">
          <cell r="A2037" t="str">
            <v>Матренин Сергей Викторович</v>
          </cell>
          <cell r="B2037">
            <v>79774447323</v>
          </cell>
        </row>
        <row r="2038">
          <cell r="A2038" t="str">
            <v>Матренина Ольга Владимировна</v>
          </cell>
          <cell r="B2038">
            <v>79104473068</v>
          </cell>
        </row>
        <row r="2039">
          <cell r="A2039" t="str">
            <v>Матросов Дмитрий Сергеевич</v>
          </cell>
          <cell r="B2039">
            <v>79119240316</v>
          </cell>
        </row>
        <row r="2040">
          <cell r="A2040" t="str">
            <v>Матузов Алексей Викторович</v>
          </cell>
          <cell r="B2040">
            <v>79154833760</v>
          </cell>
        </row>
        <row r="2041">
          <cell r="A2041" t="str">
            <v>Матченко Олеся Александровна</v>
          </cell>
          <cell r="B2041">
            <v>79778088915</v>
          </cell>
        </row>
        <row r="2042">
          <cell r="A2042" t="str">
            <v>Матюнин Алексей Владимирович</v>
          </cell>
          <cell r="B2042">
            <v>79263597234</v>
          </cell>
        </row>
        <row r="2043">
          <cell r="A2043" t="str">
            <v>Матюхин Алексей Юрьевич</v>
          </cell>
          <cell r="B2043">
            <v>79275105770</v>
          </cell>
        </row>
        <row r="2044">
          <cell r="A2044" t="str">
            <v>Матюхин Алексей Юрьевич</v>
          </cell>
          <cell r="B2044">
            <v>79275105770</v>
          </cell>
        </row>
        <row r="2045">
          <cell r="A2045" t="str">
            <v>Махадибиров Шамиль Магомедханович</v>
          </cell>
          <cell r="B2045">
            <v>79678209099</v>
          </cell>
        </row>
        <row r="2046">
          <cell r="A2046" t="str">
            <v>Махмудов Денис Мамедшарифович</v>
          </cell>
          <cell r="B2046">
            <v>79000099959</v>
          </cell>
        </row>
        <row r="2047">
          <cell r="A2047" t="str">
            <v>Махорин Олег Николаевич</v>
          </cell>
          <cell r="B2047">
            <v>79190116064</v>
          </cell>
        </row>
        <row r="2048">
          <cell r="A2048" t="str">
            <v>Махров Владимир Игоревич</v>
          </cell>
          <cell r="B2048">
            <v>79160363149</v>
          </cell>
        </row>
        <row r="2049">
          <cell r="A2049" t="str">
            <v>Мацегора Алексей Валерьевич</v>
          </cell>
          <cell r="B2049">
            <v>79250005538</v>
          </cell>
        </row>
        <row r="2050">
          <cell r="A2050" t="str">
            <v>Мациашвили Валерий Алексеевич</v>
          </cell>
          <cell r="B2050">
            <v>79261387372</v>
          </cell>
        </row>
        <row r="2051">
          <cell r="A2051" t="str">
            <v>Мацола Артём Иванович</v>
          </cell>
          <cell r="B2051">
            <v>79524349798</v>
          </cell>
        </row>
        <row r="2052">
          <cell r="A2052" t="str">
            <v>Мацола Михаил Михайлович</v>
          </cell>
          <cell r="B2052">
            <v>79055750303</v>
          </cell>
        </row>
        <row r="2053">
          <cell r="A2053" t="str">
            <v>Мачалина Оксана Михайловна</v>
          </cell>
          <cell r="B2053">
            <v>79167150232</v>
          </cell>
        </row>
        <row r="2054">
          <cell r="A2054" t="str">
            <v>Мачалина Оксана Михайловна</v>
          </cell>
          <cell r="B2054">
            <v>79261334118</v>
          </cell>
        </row>
        <row r="2055">
          <cell r="A2055" t="str">
            <v>Мачкалян Оганнес Саргисович</v>
          </cell>
          <cell r="B2055">
            <v>79680000208</v>
          </cell>
        </row>
        <row r="2056">
          <cell r="A2056" t="str">
            <v>Мачнева Галина Петровна</v>
          </cell>
          <cell r="B2056">
            <v>79998936010</v>
          </cell>
        </row>
        <row r="2057">
          <cell r="A2057" t="str">
            <v>Машковцев Алексей Валерьевич</v>
          </cell>
          <cell r="B2057">
            <v>79265656981</v>
          </cell>
        </row>
        <row r="2058">
          <cell r="A2058" t="str">
            <v>МЕГАПОЛИС ООО</v>
          </cell>
          <cell r="B2058" t="str">
            <v/>
          </cell>
        </row>
        <row r="2059">
          <cell r="A2059" t="str">
            <v>Меграбян Арам Самвелович</v>
          </cell>
          <cell r="B2059">
            <v>79242126906</v>
          </cell>
        </row>
        <row r="2060">
          <cell r="A2060" t="str">
            <v>Меграбян Арман Минасович</v>
          </cell>
          <cell r="B2060">
            <v>79153562244</v>
          </cell>
        </row>
        <row r="2061">
          <cell r="A2061" t="str">
            <v>Медведев Павел Иванович</v>
          </cell>
          <cell r="B2061">
            <v>79617889066</v>
          </cell>
        </row>
        <row r="2062">
          <cell r="A2062" t="str">
            <v>Медведева Виктория Анатольевна</v>
          </cell>
          <cell r="B2062" t="str">
            <v/>
          </cell>
        </row>
        <row r="2063">
          <cell r="A2063" t="str">
            <v>Медведева Юлия Леонидовна</v>
          </cell>
          <cell r="B2063">
            <v>79688544254</v>
          </cell>
        </row>
        <row r="2064">
          <cell r="A2064" t="str">
            <v>Медведь Александр Васильевич</v>
          </cell>
          <cell r="B2064">
            <v>79091518086</v>
          </cell>
        </row>
        <row r="2065">
          <cell r="A2065" t="str">
            <v>МЕДТЕХРЕЙС ООО</v>
          </cell>
          <cell r="B2065" t="str">
            <v/>
          </cell>
        </row>
        <row r="2066">
          <cell r="A2066" t="str">
            <v>Межевов Александр Васильевич</v>
          </cell>
          <cell r="B2066">
            <v>79636274076</v>
          </cell>
        </row>
        <row r="2067">
          <cell r="A2067" t="str">
            <v>Межевова Жанна Николаевна</v>
          </cell>
          <cell r="B2067">
            <v>79057476375</v>
          </cell>
        </row>
        <row r="2068">
          <cell r="A2068" t="str">
            <v>Межера Мария Сергеевна</v>
          </cell>
          <cell r="B2068">
            <v>79180246548</v>
          </cell>
        </row>
        <row r="2069">
          <cell r="A2069" t="str">
            <v>Межера Мария Сергеевна</v>
          </cell>
          <cell r="B2069">
            <v>79628611531</v>
          </cell>
        </row>
        <row r="2070">
          <cell r="A2070" t="str">
            <v>Мезенцев Владимир Юрьевич</v>
          </cell>
          <cell r="B2070">
            <v>79168333516</v>
          </cell>
        </row>
        <row r="2071">
          <cell r="A2071" t="str">
            <v>Мезенцева Елена Александровна</v>
          </cell>
          <cell r="B2071">
            <v>79154333132</v>
          </cell>
        </row>
        <row r="2072">
          <cell r="A2072" t="str">
            <v>Мезенцева Ольга Владимировна</v>
          </cell>
          <cell r="B2072">
            <v>79126357878</v>
          </cell>
        </row>
        <row r="2073">
          <cell r="A2073" t="str">
            <v>Мезинцева Евгения Валериевна</v>
          </cell>
          <cell r="B2073">
            <v>79615900195</v>
          </cell>
        </row>
        <row r="2074">
          <cell r="A2074" t="str">
            <v>Мелентьев Михаил Анатольевич</v>
          </cell>
          <cell r="B2074">
            <v>79117040440</v>
          </cell>
        </row>
        <row r="2075">
          <cell r="A2075" t="str">
            <v>Мелехина Анна Васильевна</v>
          </cell>
          <cell r="B2075">
            <v>79006080201</v>
          </cell>
        </row>
        <row r="2076">
          <cell r="A2076" t="str">
            <v>Меликян Нона Арменовна</v>
          </cell>
          <cell r="B2076">
            <v>79286075151</v>
          </cell>
        </row>
        <row r="2077">
          <cell r="A2077" t="str">
            <v>Мелкин Юрий Алексеевич</v>
          </cell>
          <cell r="B2077">
            <v>79266167681</v>
          </cell>
        </row>
        <row r="2078">
          <cell r="A2078" t="str">
            <v>Мелкумян Борис Борисович</v>
          </cell>
          <cell r="B2078">
            <v>79035930099</v>
          </cell>
        </row>
        <row r="2079">
          <cell r="A2079" t="str">
            <v>Мелкумян Георгий Баширович</v>
          </cell>
          <cell r="B2079">
            <v>79261628840</v>
          </cell>
        </row>
        <row r="2080">
          <cell r="A2080" t="str">
            <v>Мелкумян Масис Владимирович</v>
          </cell>
          <cell r="B2080">
            <v>79031617299</v>
          </cell>
        </row>
        <row r="2081">
          <cell r="A2081" t="str">
            <v>Мелоян Вардан Айкович</v>
          </cell>
          <cell r="B2081">
            <v>79251004250</v>
          </cell>
        </row>
        <row r="2082">
          <cell r="A2082" t="str">
            <v>Мельник Дмитрий Петрович</v>
          </cell>
          <cell r="B2082">
            <v>79787675480</v>
          </cell>
        </row>
        <row r="2083">
          <cell r="A2083" t="str">
            <v>Мельник Сергей Александрович</v>
          </cell>
          <cell r="B2083">
            <v>79163677474</v>
          </cell>
        </row>
        <row r="2084">
          <cell r="A2084" t="str">
            <v>Мельников Денис Александрович</v>
          </cell>
          <cell r="B2084">
            <v>79287785494</v>
          </cell>
        </row>
        <row r="2085">
          <cell r="A2085" t="str">
            <v>Мельничук Андрей Борисович</v>
          </cell>
          <cell r="B2085">
            <v>79670256999</v>
          </cell>
        </row>
        <row r="2086">
          <cell r="A2086" t="str">
            <v>Мемешев Шабан Юсуфович</v>
          </cell>
          <cell r="B2086">
            <v>79781440760</v>
          </cell>
        </row>
        <row r="2087">
          <cell r="A2087" t="str">
            <v>Меремьянина Мария Николаевна</v>
          </cell>
          <cell r="B2087">
            <v>79046851020</v>
          </cell>
        </row>
        <row r="2088">
          <cell r="A2088" t="str">
            <v>Меркулов Валерий Викторович</v>
          </cell>
          <cell r="B2088">
            <v>79150589632</v>
          </cell>
        </row>
        <row r="2089">
          <cell r="A2089" t="str">
            <v>Мерцалов Константин Вадимович</v>
          </cell>
          <cell r="B2089">
            <v>79297750693</v>
          </cell>
        </row>
        <row r="2090">
          <cell r="A2090" t="str">
            <v>Месропян Аревик Орбеловна</v>
          </cell>
          <cell r="B2090">
            <v>79017013028</v>
          </cell>
        </row>
        <row r="2091">
          <cell r="A2091" t="str">
            <v>Метлин Семён Петрович</v>
          </cell>
          <cell r="B2091">
            <v>79169482628</v>
          </cell>
        </row>
        <row r="2092">
          <cell r="A2092" t="str">
            <v>МЕХАНИКАПРОФ ООО</v>
          </cell>
          <cell r="B2092" t="str">
            <v/>
          </cell>
        </row>
        <row r="2093">
          <cell r="A2093" t="str">
            <v>Мехтиев Ясер Зейдулла Оглы</v>
          </cell>
          <cell r="B2093">
            <v>79255950111</v>
          </cell>
        </row>
        <row r="2094">
          <cell r="A2094" t="str">
            <v>Мешалкин Игорь Вячеславович</v>
          </cell>
          <cell r="B2094">
            <v>79817129497</v>
          </cell>
        </row>
        <row r="2095">
          <cell r="A2095" t="str">
            <v>Мешелов Роман Алексеевич</v>
          </cell>
          <cell r="B2095">
            <v>79521981826</v>
          </cell>
        </row>
        <row r="2096">
          <cell r="A2096" t="str">
            <v>Мешканцов Александр Викторович</v>
          </cell>
          <cell r="B2096">
            <v>79805113003</v>
          </cell>
        </row>
        <row r="2097">
          <cell r="A2097" t="str">
            <v>Мещерский Василий Александрович</v>
          </cell>
          <cell r="B2097">
            <v>79264260826</v>
          </cell>
        </row>
        <row r="2098">
          <cell r="A2098" t="str">
            <v>Мещеряков Евгений Геннадьевич</v>
          </cell>
          <cell r="B2098">
            <v>79613535407</v>
          </cell>
        </row>
        <row r="2099">
          <cell r="A2099" t="str">
            <v>Мещеряков Сергей Сергеевич</v>
          </cell>
          <cell r="B2099">
            <v>79034392439</v>
          </cell>
        </row>
        <row r="2100">
          <cell r="A2100" t="str">
            <v>Мжавия Гела Ленгизович</v>
          </cell>
          <cell r="B2100">
            <v>79250690887</v>
          </cell>
        </row>
        <row r="2101">
          <cell r="A2101" t="str">
            <v>Микаелян Ваге Беникович</v>
          </cell>
          <cell r="B2101">
            <v>79253755716</v>
          </cell>
        </row>
        <row r="2102">
          <cell r="A2102" t="str">
            <v>Микаилов Никита Дмитриевич</v>
          </cell>
          <cell r="B2102">
            <v>79268408582</v>
          </cell>
        </row>
        <row r="2103">
          <cell r="A2103" t="str">
            <v>Микаэльян Анна Владимировна</v>
          </cell>
          <cell r="B2103">
            <v>79262456401</v>
          </cell>
        </row>
        <row r="2104">
          <cell r="A2104" t="str">
            <v>Микрюков Илья Леонидович</v>
          </cell>
          <cell r="B2104">
            <v>79365552222</v>
          </cell>
        </row>
        <row r="2105">
          <cell r="A2105" t="str">
            <v>Милушева Евгения Владимировна</v>
          </cell>
          <cell r="B2105">
            <v>79533768946</v>
          </cell>
        </row>
        <row r="2106">
          <cell r="A2106" t="str">
            <v>Мильто Игорь Святославович</v>
          </cell>
          <cell r="B2106">
            <v>79774937973</v>
          </cell>
        </row>
        <row r="2107">
          <cell r="A2107" t="str">
            <v>Милюкова Нина Николаевна</v>
          </cell>
          <cell r="B2107">
            <v>79857685545</v>
          </cell>
        </row>
        <row r="2108">
          <cell r="A2108" t="str">
            <v>Минаев Александр Генрихович</v>
          </cell>
          <cell r="B2108">
            <v>79680969038</v>
          </cell>
        </row>
        <row r="2109">
          <cell r="A2109" t="str">
            <v>Минаев Николай Тамазович</v>
          </cell>
          <cell r="B2109">
            <v>79661762288</v>
          </cell>
        </row>
        <row r="2110">
          <cell r="A2110" t="str">
            <v>Минаева Алла Витальевна</v>
          </cell>
          <cell r="B2110">
            <v>79263823306</v>
          </cell>
        </row>
        <row r="2111">
          <cell r="A2111" t="str">
            <v>Минаева Елена Викторовна</v>
          </cell>
          <cell r="B2111">
            <v>79857667306</v>
          </cell>
        </row>
        <row r="2112">
          <cell r="A2112" t="str">
            <v>Минаева Наталия Анатольевна</v>
          </cell>
          <cell r="B2112">
            <v>79689084760</v>
          </cell>
        </row>
        <row r="2113">
          <cell r="A2113" t="str">
            <v>Минаков Алексей Васильевич</v>
          </cell>
          <cell r="B2113">
            <v>79263849771</v>
          </cell>
        </row>
        <row r="2114">
          <cell r="A2114" t="str">
            <v>Минашвили Юрий Мишаевич</v>
          </cell>
          <cell r="B2114">
            <v>79287712977</v>
          </cell>
        </row>
        <row r="2115">
          <cell r="A2115" t="str">
            <v>Мингалимова Роза Ринатовна</v>
          </cell>
          <cell r="B2115">
            <v>79663160524</v>
          </cell>
        </row>
        <row r="2116">
          <cell r="A2116" t="str">
            <v>Минин Сергей Александрович</v>
          </cell>
          <cell r="B2116">
            <v>79190259596</v>
          </cell>
        </row>
        <row r="2117">
          <cell r="A2117" t="str">
            <v>Минька Александр Николаевич</v>
          </cell>
          <cell r="B2117">
            <v>79041597772</v>
          </cell>
        </row>
        <row r="2118">
          <cell r="A2118" t="str">
            <v>Миракян Арам Артурович</v>
          </cell>
          <cell r="B2118">
            <v>79618581111</v>
          </cell>
        </row>
        <row r="2119">
          <cell r="A2119" t="str">
            <v>Мирауцэ Александр Георгиевич</v>
          </cell>
          <cell r="B2119">
            <v>79992408639</v>
          </cell>
        </row>
        <row r="2120">
          <cell r="A2120" t="str">
            <v>Мирзаханов Арсений Мубаризович</v>
          </cell>
          <cell r="B2120">
            <v>79671904978</v>
          </cell>
        </row>
        <row r="2121">
          <cell r="A2121" t="str">
            <v>Мирзоева Мехин Джаваншир кызы</v>
          </cell>
          <cell r="B2121">
            <v>79251984806</v>
          </cell>
        </row>
        <row r="2122">
          <cell r="A2122" t="str">
            <v>Мирилашвили Александр Яковлевич</v>
          </cell>
          <cell r="B2122">
            <v>79859980919</v>
          </cell>
        </row>
        <row r="2123">
          <cell r="A2123" t="str">
            <v>Мироненко Вадим Викторович</v>
          </cell>
          <cell r="B2123">
            <v>79778849297</v>
          </cell>
        </row>
        <row r="2124">
          <cell r="A2124" t="str">
            <v>Мироненко Вадим Викторович</v>
          </cell>
          <cell r="B2124">
            <v>79778849297</v>
          </cell>
        </row>
        <row r="2125">
          <cell r="A2125" t="str">
            <v>Мироненко Марина Андреевна</v>
          </cell>
          <cell r="B2125">
            <v>79817585331</v>
          </cell>
        </row>
        <row r="2126">
          <cell r="A2126" t="str">
            <v>Миронов Александр Александрович</v>
          </cell>
          <cell r="B2126">
            <v>79263554908</v>
          </cell>
        </row>
        <row r="2127">
          <cell r="A2127" t="str">
            <v>Мирончук Мария Валерьевна</v>
          </cell>
          <cell r="B2127">
            <v>79209358084</v>
          </cell>
        </row>
        <row r="2128">
          <cell r="A2128" t="str">
            <v>Мирошников Артём Сергеевич</v>
          </cell>
          <cell r="B2128">
            <v>79628544888</v>
          </cell>
        </row>
        <row r="2129">
          <cell r="A2129" t="str">
            <v>Мирошниченко Денис Игоревич</v>
          </cell>
          <cell r="B2129">
            <v>79250259497</v>
          </cell>
        </row>
        <row r="2130">
          <cell r="A2130" t="str">
            <v>Мирошниченко Евгений Константинович</v>
          </cell>
          <cell r="B2130">
            <v>79785055075</v>
          </cell>
        </row>
        <row r="2131">
          <cell r="A2131" t="str">
            <v>Мисюк Георгий Анатольевич</v>
          </cell>
          <cell r="B2131">
            <v>79051187073</v>
          </cell>
        </row>
        <row r="2132">
          <cell r="A2132" t="str">
            <v>Митин Антон Александрович</v>
          </cell>
          <cell r="B2132">
            <v>79299141102</v>
          </cell>
        </row>
        <row r="2133">
          <cell r="A2133" t="str">
            <v>Митин Владислав Дмитриевич</v>
          </cell>
          <cell r="B2133">
            <v>79262354000</v>
          </cell>
        </row>
        <row r="2134">
          <cell r="A2134" t="str">
            <v>Митясов Вячеслав Владимирович</v>
          </cell>
          <cell r="B2134">
            <v>79299604520</v>
          </cell>
        </row>
        <row r="2135">
          <cell r="A2135" t="str">
            <v>Мифтахутдинов Айрат Ринатович</v>
          </cell>
          <cell r="B2135">
            <v>79771347087</v>
          </cell>
        </row>
        <row r="2136">
          <cell r="A2136" t="str">
            <v>Михайлик Василий Александрович</v>
          </cell>
          <cell r="B2136">
            <v>79246288617</v>
          </cell>
        </row>
        <row r="2137">
          <cell r="A2137" t="str">
            <v>Михайлов Дмитрий Андреевич</v>
          </cell>
          <cell r="B2137">
            <v>79615879007</v>
          </cell>
        </row>
        <row r="2138">
          <cell r="A2138" t="str">
            <v>Михайлов Максим Вадимович</v>
          </cell>
          <cell r="B2138">
            <v>79219467999</v>
          </cell>
        </row>
        <row r="2139">
          <cell r="A2139" t="str">
            <v>Михайлов Сергей Юрьевич</v>
          </cell>
          <cell r="B2139">
            <v>79037710798</v>
          </cell>
        </row>
        <row r="2140">
          <cell r="A2140" t="str">
            <v>Михалев Анатолий Алексеевич</v>
          </cell>
          <cell r="B2140">
            <v>79219075530</v>
          </cell>
        </row>
        <row r="2141">
          <cell r="A2141" t="str">
            <v>Михалев Дмитрий Андреевич</v>
          </cell>
          <cell r="B2141">
            <v>79175131872</v>
          </cell>
        </row>
        <row r="2142">
          <cell r="A2142" t="str">
            <v>Михалева Лариса Юрьевна</v>
          </cell>
          <cell r="B2142">
            <v>79689027346</v>
          </cell>
        </row>
        <row r="2143">
          <cell r="A2143" t="str">
            <v>Михалко Иван Анатольевич</v>
          </cell>
          <cell r="B2143">
            <v>79834015927</v>
          </cell>
        </row>
        <row r="2144">
          <cell r="A2144" t="str">
            <v>Михальчук Анна Евгеньевна</v>
          </cell>
          <cell r="B2144">
            <v>79012783847</v>
          </cell>
        </row>
        <row r="2145">
          <cell r="A2145" t="str">
            <v>Михеев Александр Павлович</v>
          </cell>
          <cell r="B2145">
            <v>79776518458</v>
          </cell>
        </row>
        <row r="2146">
          <cell r="A2146" t="str">
            <v>Михеева Ольга Николаевна</v>
          </cell>
          <cell r="B2146">
            <v>79629761445</v>
          </cell>
        </row>
        <row r="2147">
          <cell r="A2147" t="str">
            <v>Михель Евгений Павлович</v>
          </cell>
          <cell r="B2147">
            <v>79269036106</v>
          </cell>
        </row>
        <row r="2148">
          <cell r="A2148" t="str">
            <v>Мицкий Иван Геннадьевич</v>
          </cell>
          <cell r="B2148">
            <v>79150726109</v>
          </cell>
        </row>
        <row r="2149">
          <cell r="A2149" t="str">
            <v>Мичурин Евгений Алексеевич</v>
          </cell>
          <cell r="B2149">
            <v>79321138882</v>
          </cell>
        </row>
        <row r="2150">
          <cell r="A2150" t="str">
            <v>Мишарин Дмитрий Станиславович</v>
          </cell>
          <cell r="B2150" t="str">
            <v/>
          </cell>
        </row>
        <row r="2151">
          <cell r="A2151" t="str">
            <v>Мишин Александр Александрович</v>
          </cell>
          <cell r="B2151">
            <v>79254693138</v>
          </cell>
        </row>
        <row r="2152">
          <cell r="A2152" t="str">
            <v>МК ЭНЕРГОТЕК ООО</v>
          </cell>
          <cell r="B2152">
            <v>79852102070</v>
          </cell>
        </row>
        <row r="2153">
          <cell r="A2153" t="str">
            <v>Мкртичян Ваган Артурович</v>
          </cell>
          <cell r="B2153">
            <v>79189999851</v>
          </cell>
        </row>
        <row r="2154">
          <cell r="A2154" t="str">
            <v>Мкртчян Григор Рубикович</v>
          </cell>
          <cell r="B2154">
            <v>79688871144</v>
          </cell>
        </row>
        <row r="2155">
          <cell r="A2155" t="str">
            <v>Мкртчян Рубик Арайикович</v>
          </cell>
          <cell r="B2155">
            <v>79250792900</v>
          </cell>
        </row>
        <row r="2156">
          <cell r="A2156" t="str">
            <v>Мкртычян Акоп Левонович</v>
          </cell>
          <cell r="B2156">
            <v>79671572400</v>
          </cell>
        </row>
        <row r="2157">
          <cell r="A2157" t="str">
            <v>Мкртычян Акоп Левонович</v>
          </cell>
          <cell r="B2157">
            <v>79951131777</v>
          </cell>
        </row>
        <row r="2158">
          <cell r="A2158" t="str">
            <v>Млинарич Анастасия Андреевна</v>
          </cell>
          <cell r="B2158">
            <v>79163601280</v>
          </cell>
        </row>
        <row r="2159">
          <cell r="A2159" t="str">
            <v>Мнакян Артур Хачикович</v>
          </cell>
          <cell r="B2159">
            <v>79626000216</v>
          </cell>
        </row>
        <row r="2160">
          <cell r="A2160" t="str">
            <v>Мнацаканян Грант Александрович</v>
          </cell>
          <cell r="B2160" t="str">
            <v/>
          </cell>
        </row>
        <row r="2161">
          <cell r="A2161" t="str">
            <v>Мнацаканян Карен Аракелович</v>
          </cell>
          <cell r="B2161">
            <v>79150088880</v>
          </cell>
        </row>
        <row r="2162">
          <cell r="A2162" t="str">
            <v>Мова Алексей Леонтьевич</v>
          </cell>
          <cell r="B2162">
            <v>79859228849</v>
          </cell>
        </row>
        <row r="2163">
          <cell r="A2163" t="str">
            <v>Мовланов Бахтияр Эрешевич</v>
          </cell>
          <cell r="B2163">
            <v>79015268686</v>
          </cell>
        </row>
        <row r="2164">
          <cell r="A2164" t="str">
            <v>Мовсесян Гарик Вагифович</v>
          </cell>
          <cell r="B2164">
            <v>79093328822</v>
          </cell>
        </row>
        <row r="2165">
          <cell r="A2165" t="str">
            <v>Мовсисян Вартан Карленович</v>
          </cell>
          <cell r="B2165">
            <v>79256179149</v>
          </cell>
        </row>
        <row r="2166">
          <cell r="A2166" t="str">
            <v>Мовсисян Светлана Петровна</v>
          </cell>
          <cell r="B2166">
            <v>79685989707</v>
          </cell>
        </row>
        <row r="2167">
          <cell r="A2167" t="str">
            <v>Могунов Виталий Сергеевич</v>
          </cell>
          <cell r="B2167">
            <v>79219743705</v>
          </cell>
        </row>
        <row r="2168">
          <cell r="A2168" t="str">
            <v>Модина Анастасия Игоревна</v>
          </cell>
          <cell r="B2168">
            <v>79629982425</v>
          </cell>
        </row>
        <row r="2169">
          <cell r="A2169" t="str">
            <v>Моисеев Михаил Исаевич</v>
          </cell>
          <cell r="B2169">
            <v>79219419812</v>
          </cell>
        </row>
        <row r="2170">
          <cell r="A2170" t="str">
            <v>Моисеев Павел Викторович</v>
          </cell>
          <cell r="B2170">
            <v>79117752939</v>
          </cell>
        </row>
        <row r="2171">
          <cell r="A2171" t="str">
            <v>Моисеев Павел Павлович</v>
          </cell>
          <cell r="B2171">
            <v>79811352001</v>
          </cell>
        </row>
        <row r="2172">
          <cell r="A2172" t="str">
            <v>Моисеев Сергей Алексеевич</v>
          </cell>
          <cell r="B2172">
            <v>79258338745</v>
          </cell>
        </row>
        <row r="2173">
          <cell r="A2173" t="str">
            <v>Моисеенков Дмитрий Владимирович</v>
          </cell>
          <cell r="B2173">
            <v>79263046300</v>
          </cell>
        </row>
        <row r="2174">
          <cell r="A2174" t="str">
            <v>Мокрицкий Константин Александрович</v>
          </cell>
          <cell r="B2174">
            <v>79165312594</v>
          </cell>
        </row>
        <row r="2175">
          <cell r="A2175" t="str">
            <v>Молодцова Ульяна Алексеевна</v>
          </cell>
          <cell r="B2175">
            <v>79044098977</v>
          </cell>
        </row>
        <row r="2176">
          <cell r="A2176" t="str">
            <v>Молчанов Дмитрий Викторович</v>
          </cell>
          <cell r="B2176">
            <v>79152571893</v>
          </cell>
        </row>
        <row r="2177">
          <cell r="A2177" t="str">
            <v>Молчанова Марина Вячеславовна</v>
          </cell>
          <cell r="B2177">
            <v>79819716062</v>
          </cell>
        </row>
        <row r="2178">
          <cell r="A2178" t="str">
            <v>Монашкова Галина Юрьевна</v>
          </cell>
          <cell r="B2178">
            <v>79522426191</v>
          </cell>
        </row>
        <row r="2179">
          <cell r="A2179" t="str">
            <v>Моргалюк Михаил Владимирович</v>
          </cell>
          <cell r="B2179">
            <v>79175943764</v>
          </cell>
        </row>
        <row r="2180">
          <cell r="A2180" t="str">
            <v>Моргунова Виктория Юрьевна</v>
          </cell>
          <cell r="B2180">
            <v>79776434565</v>
          </cell>
        </row>
        <row r="2181">
          <cell r="A2181" t="str">
            <v>Мордвинцева Елена Александровна</v>
          </cell>
          <cell r="B2181">
            <v>79877848924</v>
          </cell>
        </row>
        <row r="2182">
          <cell r="A2182" t="str">
            <v>Мордовин Дмитрий Николаевич</v>
          </cell>
          <cell r="B2182">
            <v>79260771567</v>
          </cell>
        </row>
        <row r="2183">
          <cell r="A2183" t="str">
            <v>Морин Владимир Александрович</v>
          </cell>
          <cell r="B2183">
            <v>79657591464</v>
          </cell>
        </row>
        <row r="2184">
          <cell r="A2184" t="str">
            <v>Морозкина Наталья Сергеевна</v>
          </cell>
          <cell r="B2184">
            <v>79998833823</v>
          </cell>
        </row>
        <row r="2185">
          <cell r="A2185" t="str">
            <v>Морозов Александр Александрович</v>
          </cell>
          <cell r="B2185">
            <v>79161729165</v>
          </cell>
        </row>
        <row r="2186">
          <cell r="A2186" t="str">
            <v>Морозов Алексей Павлович</v>
          </cell>
          <cell r="B2186">
            <v>79653210737</v>
          </cell>
        </row>
        <row r="2187">
          <cell r="A2187" t="str">
            <v>Морозов Андрей Валерьевич</v>
          </cell>
          <cell r="B2187">
            <v>79689888288</v>
          </cell>
        </row>
        <row r="2188">
          <cell r="A2188" t="str">
            <v>Морозов Антон Владиславович</v>
          </cell>
          <cell r="B2188">
            <v>79066173893</v>
          </cell>
        </row>
        <row r="2189">
          <cell r="A2189" t="str">
            <v>Морозов Владимир Павлович</v>
          </cell>
          <cell r="B2189">
            <v>79169376628</v>
          </cell>
        </row>
        <row r="2190">
          <cell r="A2190" t="str">
            <v>Морозов Евгений Станиславович</v>
          </cell>
          <cell r="B2190">
            <v>79165890435</v>
          </cell>
        </row>
        <row r="2191">
          <cell r="A2191" t="str">
            <v>Морозов Иван Сергеевич 2</v>
          </cell>
          <cell r="B2191">
            <v>79827475472</v>
          </cell>
        </row>
        <row r="2192">
          <cell r="A2192" t="str">
            <v>Морозов Олег Валерьевич</v>
          </cell>
          <cell r="B2192">
            <v>79009994082</v>
          </cell>
        </row>
        <row r="2193">
          <cell r="A2193" t="str">
            <v>Морозов Олег Викторович</v>
          </cell>
          <cell r="B2193">
            <v>79258336252</v>
          </cell>
        </row>
        <row r="2194">
          <cell r="A2194" t="str">
            <v>Морозова Наталия Валерьевна</v>
          </cell>
          <cell r="B2194">
            <v>79661547954</v>
          </cell>
        </row>
        <row r="2195">
          <cell r="A2195" t="str">
            <v>Морсаков Артем Владимирович</v>
          </cell>
          <cell r="B2195">
            <v>79660996560</v>
          </cell>
        </row>
        <row r="2196">
          <cell r="A2196" t="str">
            <v>Мосин Михаил Юрьевич</v>
          </cell>
          <cell r="B2196">
            <v>79257770025</v>
          </cell>
        </row>
        <row r="2197">
          <cell r="A2197" t="str">
            <v>Москалев Михаил Анатольевич</v>
          </cell>
          <cell r="B2197">
            <v>79996131497</v>
          </cell>
        </row>
        <row r="2198">
          <cell r="A2198" t="str">
            <v>Москалев Ярослав Вячеславович</v>
          </cell>
          <cell r="B2198">
            <v>79218649897</v>
          </cell>
        </row>
        <row r="2199">
          <cell r="A2199" t="str">
            <v>Мотовилов Александр Иванович</v>
          </cell>
          <cell r="B2199">
            <v>79111999024</v>
          </cell>
        </row>
        <row r="2200">
          <cell r="A2200" t="str">
            <v>Моторин Павел Георгиевич 2</v>
          </cell>
          <cell r="B2200" t="str">
            <v/>
          </cell>
        </row>
        <row r="2201">
          <cell r="A2201" t="str">
            <v>Мотыка Андрей Павлович</v>
          </cell>
          <cell r="B2201">
            <v>79853598839</v>
          </cell>
        </row>
        <row r="2202">
          <cell r="A2202" t="str">
            <v>Мочалов Сергей Дмитриевич</v>
          </cell>
          <cell r="B2202">
            <v>79268777279</v>
          </cell>
        </row>
        <row r="2203">
          <cell r="A2203" t="str">
            <v>Мошкин Андрей Викторович</v>
          </cell>
          <cell r="B2203">
            <v>79164441499</v>
          </cell>
        </row>
        <row r="2204">
          <cell r="A2204" t="str">
            <v>Мощинская Елена Николаевна</v>
          </cell>
          <cell r="B2204">
            <v>79260461793</v>
          </cell>
        </row>
        <row r="2205">
          <cell r="A2205" t="str">
            <v>МСКСТРОЙ ООО</v>
          </cell>
          <cell r="B2205">
            <v>79661685959</v>
          </cell>
        </row>
        <row r="2206">
          <cell r="A2206" t="str">
            <v>Музыка Евгений Александрович</v>
          </cell>
          <cell r="B2206">
            <v>79787665046</v>
          </cell>
        </row>
        <row r="2207">
          <cell r="A2207" t="str">
            <v>Музыка Марина Александровна</v>
          </cell>
          <cell r="B2207">
            <v>79260298384</v>
          </cell>
        </row>
        <row r="2208">
          <cell r="A2208" t="str">
            <v>Муллоев Хошимчон Пулотович</v>
          </cell>
          <cell r="B2208">
            <v>79251441260</v>
          </cell>
        </row>
        <row r="2209">
          <cell r="A2209" t="str">
            <v>Муминов Фирдавс Юсуфович</v>
          </cell>
          <cell r="B2209">
            <v>79652300400</v>
          </cell>
        </row>
        <row r="2210">
          <cell r="A2210" t="str">
            <v>Муравьев Сергей Михайлович</v>
          </cell>
          <cell r="B2210">
            <v>79850894113</v>
          </cell>
        </row>
        <row r="2211">
          <cell r="A2211" t="str">
            <v>Муравьев Сергей Сергеевич</v>
          </cell>
          <cell r="B2211">
            <v>79961652949</v>
          </cell>
        </row>
        <row r="2212">
          <cell r="A2212" t="str">
            <v>Муравьева Татьяна Андреевна</v>
          </cell>
          <cell r="B2212">
            <v>79262099206</v>
          </cell>
        </row>
        <row r="2213">
          <cell r="A2213" t="str">
            <v>Мурадов Турал Октай Оглы</v>
          </cell>
          <cell r="B2213">
            <v>79645224018</v>
          </cell>
        </row>
        <row r="2214">
          <cell r="A2214" t="str">
            <v>Мурадов Турал Октай Оглы</v>
          </cell>
          <cell r="B2214">
            <v>79190713142</v>
          </cell>
        </row>
        <row r="2215">
          <cell r="A2215" t="str">
            <v>Мурадян Грачья Юрикович</v>
          </cell>
          <cell r="B2215">
            <v>79660007770</v>
          </cell>
        </row>
        <row r="2216">
          <cell r="A2216" t="str">
            <v>Мурадян Микаел Гагикович</v>
          </cell>
          <cell r="B2216">
            <v>79299795585</v>
          </cell>
        </row>
        <row r="2217">
          <cell r="A2217" t="str">
            <v>Мурадян Севак Норикович</v>
          </cell>
          <cell r="B2217">
            <v>79060486688</v>
          </cell>
        </row>
        <row r="2218">
          <cell r="A2218" t="str">
            <v>Мурадян Эдгар Рафаелович</v>
          </cell>
          <cell r="B2218">
            <v>79161011366</v>
          </cell>
        </row>
        <row r="2219">
          <cell r="A2219" t="str">
            <v>Муратов Альмурат Муратович</v>
          </cell>
          <cell r="B2219">
            <v>79170925912</v>
          </cell>
        </row>
        <row r="2220">
          <cell r="A2220" t="str">
            <v>Муратов Владимир Александрович</v>
          </cell>
          <cell r="B2220">
            <v>79118240611</v>
          </cell>
        </row>
        <row r="2221">
          <cell r="A2221" t="str">
            <v>Мурашова Наталья Николаевна</v>
          </cell>
          <cell r="B2221">
            <v>79032339637</v>
          </cell>
        </row>
        <row r="2222">
          <cell r="A2222" t="str">
            <v>Мурашова Тамара Васильевна</v>
          </cell>
          <cell r="B2222">
            <v>79215940443</v>
          </cell>
        </row>
        <row r="2223">
          <cell r="A2223" t="str">
            <v>Мургустов Хаваж Якубович</v>
          </cell>
          <cell r="B2223">
            <v>79146781198</v>
          </cell>
        </row>
        <row r="2224">
          <cell r="A2224" t="str">
            <v>Мурина Оксана Викторовна</v>
          </cell>
          <cell r="B2224">
            <v>79163043591</v>
          </cell>
        </row>
        <row r="2225">
          <cell r="A2225" t="str">
            <v>Муродов Шерзод Пулотхонович</v>
          </cell>
          <cell r="B2225">
            <v>79652316060</v>
          </cell>
        </row>
        <row r="2226">
          <cell r="A2226" t="str">
            <v>Муромцева Наталья Евгеньевна</v>
          </cell>
          <cell r="B2226">
            <v>79151104959</v>
          </cell>
        </row>
        <row r="2227">
          <cell r="A2227" t="str">
            <v>Муртазин Айдар Хайдарович</v>
          </cell>
          <cell r="B2227">
            <v>79874894007</v>
          </cell>
        </row>
        <row r="2228">
          <cell r="A2228" t="str">
            <v>Муршудзаде Ягуб Эльхан Оглы</v>
          </cell>
          <cell r="B2228">
            <v>79252005859</v>
          </cell>
        </row>
        <row r="2229">
          <cell r="A2229" t="str">
            <v>Мусаев Заурбек Хадживелиевич</v>
          </cell>
          <cell r="B2229">
            <v>79055340899</v>
          </cell>
        </row>
        <row r="2230">
          <cell r="A2230" t="str">
            <v>Мусаев Натиг Байрам Оглы</v>
          </cell>
          <cell r="B2230">
            <v>79219073237</v>
          </cell>
        </row>
        <row r="2231">
          <cell r="A2231" t="str">
            <v>Мусаев Саид Рамазанович</v>
          </cell>
          <cell r="B2231">
            <v>79993446050</v>
          </cell>
        </row>
        <row r="2232">
          <cell r="A2232" t="str">
            <v>Мусаева Диана Руслановна</v>
          </cell>
          <cell r="B2232">
            <v>79661536653</v>
          </cell>
        </row>
        <row r="2233">
          <cell r="A2233" t="str">
            <v>Мусаелян Вилен Карленович</v>
          </cell>
          <cell r="B2233">
            <v>79081980881</v>
          </cell>
        </row>
        <row r="2234">
          <cell r="A2234" t="str">
            <v>Мусатов Рустам Маратович</v>
          </cell>
          <cell r="B2234">
            <v>79150830008</v>
          </cell>
        </row>
        <row r="2235">
          <cell r="A2235" t="str">
            <v>Мусатов Рустам Маратович</v>
          </cell>
          <cell r="B2235">
            <v>79265137303</v>
          </cell>
        </row>
        <row r="2236">
          <cell r="A2236" t="str">
            <v>Мустафин Ринад Исмаилович</v>
          </cell>
          <cell r="B2236">
            <v>79036898056</v>
          </cell>
        </row>
        <row r="2237">
          <cell r="A2237" t="str">
            <v>Мустафьева Айтан Таджединовна</v>
          </cell>
          <cell r="B2237">
            <v>79964272738</v>
          </cell>
        </row>
        <row r="2238">
          <cell r="A2238" t="str">
            <v>Мустяцэ Игорь Кириллович</v>
          </cell>
          <cell r="B2238">
            <v>79627026748</v>
          </cell>
        </row>
        <row r="2239">
          <cell r="A2239" t="str">
            <v>Мухаев Андрей Игоревич</v>
          </cell>
          <cell r="B2239">
            <v>79094062253</v>
          </cell>
        </row>
        <row r="2240">
          <cell r="A2240" t="str">
            <v>Мухамед Шахидур Рахман Кхан</v>
          </cell>
          <cell r="B2240">
            <v>79100005455</v>
          </cell>
        </row>
        <row r="2241">
          <cell r="A2241" t="str">
            <v>Мухамедсалин Алибек Булатович</v>
          </cell>
          <cell r="B2241">
            <v>79257777788</v>
          </cell>
        </row>
        <row r="2242">
          <cell r="A2242" t="str">
            <v>Муханов Игорь Евгеньевич</v>
          </cell>
          <cell r="B2242">
            <v>79686586865</v>
          </cell>
        </row>
        <row r="2243">
          <cell r="A2243" t="str">
            <v>Мухин Дмитрий Валентинович</v>
          </cell>
          <cell r="B2243">
            <v>79778872127</v>
          </cell>
        </row>
        <row r="2244">
          <cell r="A2244" t="str">
            <v>Мухлынин Олег Андреевич</v>
          </cell>
          <cell r="B2244">
            <v>79122336061</v>
          </cell>
        </row>
        <row r="2245">
          <cell r="A2245" t="str">
            <v>Мухтасибов Зиннур Рафаэльевич</v>
          </cell>
          <cell r="B2245">
            <v>79523634898</v>
          </cell>
        </row>
        <row r="2246">
          <cell r="A2246" t="str">
            <v>Мхеян Армен Грантович</v>
          </cell>
          <cell r="B2246">
            <v>79683775405</v>
          </cell>
        </row>
        <row r="2247">
          <cell r="A2247" t="str">
            <v>Мхитарян Варужан Сасуникович</v>
          </cell>
          <cell r="B2247">
            <v>79654300009</v>
          </cell>
        </row>
        <row r="2248">
          <cell r="A2248" t="str">
            <v>Мылов Сергей Геннадьевич</v>
          </cell>
          <cell r="B2248">
            <v>79266588248</v>
          </cell>
        </row>
        <row r="2249">
          <cell r="A2249" t="str">
            <v>Мырзалиев Абдырасул Израилович</v>
          </cell>
          <cell r="B2249">
            <v>79679070701</v>
          </cell>
        </row>
        <row r="2250">
          <cell r="A2250" t="str">
            <v>Мягков Сергей Николаевич</v>
          </cell>
          <cell r="B2250">
            <v>79296163626</v>
          </cell>
        </row>
        <row r="2251">
          <cell r="A2251" t="str">
            <v>Мякишев Евгений Викторович</v>
          </cell>
          <cell r="B2251">
            <v>79030087073</v>
          </cell>
        </row>
        <row r="2252">
          <cell r="A2252" t="str">
            <v>Мясов Владимир Александрович</v>
          </cell>
          <cell r="B2252">
            <v>79144702559</v>
          </cell>
        </row>
        <row r="2253">
          <cell r="A2253" t="str">
            <v>Мятежников Вячеслав Владимирович</v>
          </cell>
          <cell r="B2253">
            <v>79636179375</v>
          </cell>
        </row>
        <row r="2254">
          <cell r="A2254" t="str">
            <v>Набойченко Юлия Александровна</v>
          </cell>
          <cell r="B2254">
            <v>79787200413</v>
          </cell>
        </row>
        <row r="2255">
          <cell r="A2255" t="str">
            <v>Навасардян Алёна Евгеньевна</v>
          </cell>
          <cell r="B2255">
            <v>79081355049</v>
          </cell>
        </row>
        <row r="2256">
          <cell r="A2256" t="str">
            <v>Навасардян Армен Арамович</v>
          </cell>
          <cell r="B2256">
            <v>79086146047</v>
          </cell>
        </row>
        <row r="2257">
          <cell r="A2257" t="str">
            <v>Навасардян Армен Арамович</v>
          </cell>
          <cell r="B2257">
            <v>79171755577</v>
          </cell>
        </row>
        <row r="2258">
          <cell r="A2258" t="str">
            <v>Навоян Георг Анатолевич</v>
          </cell>
          <cell r="B2258">
            <v>79950000030</v>
          </cell>
        </row>
        <row r="2259">
          <cell r="A2259" t="str">
            <v>Навоян Екатерина Юрьевна</v>
          </cell>
          <cell r="B2259">
            <v>79950000030</v>
          </cell>
        </row>
        <row r="2260">
          <cell r="A2260" t="str">
            <v>Нагаева Елена Александровна</v>
          </cell>
          <cell r="B2260">
            <v>79149951882</v>
          </cell>
        </row>
        <row r="2261">
          <cell r="A2261" t="str">
            <v>Нагель Лия Александровна</v>
          </cell>
          <cell r="B2261">
            <v>79217243836</v>
          </cell>
        </row>
        <row r="2262">
          <cell r="A2262" t="str">
            <v>Надеев Алексей Александрович</v>
          </cell>
          <cell r="B2262">
            <v>79160417078</v>
          </cell>
        </row>
        <row r="2263">
          <cell r="A2263" t="str">
            <v>Надежкин Владимир Викторович</v>
          </cell>
          <cell r="B2263">
            <v>79670266663</v>
          </cell>
        </row>
        <row r="2264">
          <cell r="A2264" t="str">
            <v>Назаренко Дмитрий Анатольевич</v>
          </cell>
          <cell r="B2264">
            <v>79261214606</v>
          </cell>
        </row>
        <row r="2265">
          <cell r="A2265" t="str">
            <v>Назаренко Дмитрий Анатольевич</v>
          </cell>
          <cell r="B2265">
            <v>79258887600</v>
          </cell>
        </row>
        <row r="2266">
          <cell r="A2266" t="str">
            <v>Назаров Всеволод Владимирович</v>
          </cell>
          <cell r="B2266">
            <v>79036798811</v>
          </cell>
        </row>
        <row r="2267">
          <cell r="A2267" t="str">
            <v>Назаров Сергей Геннадьевич</v>
          </cell>
          <cell r="B2267">
            <v>79108045654</v>
          </cell>
        </row>
        <row r="2268">
          <cell r="A2268" t="str">
            <v>Назарова Татьяна Михайловна</v>
          </cell>
          <cell r="B2268">
            <v>79339920921</v>
          </cell>
        </row>
        <row r="2269">
          <cell r="A2269" t="str">
            <v>Назарьев Денис Сергеевич</v>
          </cell>
          <cell r="B2269">
            <v>79618543507</v>
          </cell>
        </row>
        <row r="2270">
          <cell r="A2270" t="str">
            <v>Назарян Ольга Аликовна</v>
          </cell>
          <cell r="B2270">
            <v>79262036966</v>
          </cell>
        </row>
        <row r="2271">
          <cell r="A2271" t="str">
            <v>Назарян Ольга Аликовна</v>
          </cell>
          <cell r="B2271">
            <v>79031651041</v>
          </cell>
        </row>
        <row r="2272">
          <cell r="A2272" t="str">
            <v>Названов Михаил Алексеевич</v>
          </cell>
          <cell r="B2272">
            <v>79646494032</v>
          </cell>
        </row>
        <row r="2273">
          <cell r="A2273" t="str">
            <v>Назипов Булат Гусманович</v>
          </cell>
          <cell r="B2273">
            <v>79046644462</v>
          </cell>
        </row>
        <row r="2274">
          <cell r="A2274" t="str">
            <v>Налбандян Максим Степанович</v>
          </cell>
          <cell r="B2274">
            <v>79397183574</v>
          </cell>
        </row>
        <row r="2275">
          <cell r="A2275" t="str">
            <v>Наралиев Канатбек Усенович</v>
          </cell>
          <cell r="B2275">
            <v>79013436358</v>
          </cell>
        </row>
        <row r="2276">
          <cell r="A2276" t="str">
            <v>Наркевич Вячеслав Андреевич</v>
          </cell>
          <cell r="B2276">
            <v>79210535500</v>
          </cell>
        </row>
        <row r="2277">
          <cell r="A2277" t="str">
            <v>Нарожний Эльдар Евгеньевич</v>
          </cell>
          <cell r="B2277">
            <v>79614186099</v>
          </cell>
        </row>
        <row r="2278">
          <cell r="A2278" t="str">
            <v>Насибов Баходур Юсуфджонович</v>
          </cell>
          <cell r="B2278">
            <v>79778614145</v>
          </cell>
        </row>
        <row r="2279">
          <cell r="A2279" t="str">
            <v>Насибуллин Илья Назипович</v>
          </cell>
          <cell r="B2279">
            <v>79371714141</v>
          </cell>
        </row>
        <row r="2280">
          <cell r="A2280" t="str">
            <v>Насимов Аслиддин Васлиддинович</v>
          </cell>
          <cell r="B2280">
            <v>79263808079</v>
          </cell>
        </row>
        <row r="2281">
          <cell r="A2281" t="str">
            <v>Насиров Эмилбек Макенович</v>
          </cell>
          <cell r="B2281">
            <v>79261952337</v>
          </cell>
        </row>
        <row r="2282">
          <cell r="A2282" t="str">
            <v>Насонов Александр Александрович</v>
          </cell>
          <cell r="B2282">
            <v>79511603201</v>
          </cell>
        </row>
        <row r="2283">
          <cell r="A2283" t="str">
            <v>Насыров Дмитрий Амирович</v>
          </cell>
          <cell r="B2283">
            <v>79811635967</v>
          </cell>
        </row>
        <row r="2284">
          <cell r="A2284" t="str">
            <v>Насырова Шахлохон Раимжановна</v>
          </cell>
          <cell r="B2284">
            <v>79855645225</v>
          </cell>
        </row>
        <row r="2285">
          <cell r="A2285" t="str">
            <v>Натаров Владимир Валерьевич</v>
          </cell>
          <cell r="B2285">
            <v>79512752606</v>
          </cell>
        </row>
        <row r="2286">
          <cell r="A2286" t="str">
            <v>Науменко Андрей Михайлович</v>
          </cell>
          <cell r="B2286">
            <v>79236716000</v>
          </cell>
        </row>
        <row r="2287">
          <cell r="A2287" t="str">
            <v>Науменко Андрей Николаевич</v>
          </cell>
          <cell r="B2287">
            <v>79237504761</v>
          </cell>
        </row>
        <row r="2288">
          <cell r="A2288" t="str">
            <v>Науменко Вячеслав Николаевич</v>
          </cell>
          <cell r="B2288">
            <v>79036879845</v>
          </cell>
        </row>
        <row r="2289">
          <cell r="A2289" t="str">
            <v>Наумик Екатерина Андреевна</v>
          </cell>
          <cell r="B2289">
            <v>79002077402</v>
          </cell>
        </row>
        <row r="2290">
          <cell r="A2290" t="str">
            <v>Наумов Олег Владимирович</v>
          </cell>
          <cell r="B2290">
            <v>79152920318</v>
          </cell>
        </row>
        <row r="2291">
          <cell r="A2291" t="str">
            <v>Нахапетов Артур Валерьевич</v>
          </cell>
          <cell r="B2291">
            <v>74997632035</v>
          </cell>
        </row>
        <row r="2292">
          <cell r="A2292" t="str">
            <v>Нахапетов Артур Валерьевич</v>
          </cell>
          <cell r="B2292">
            <v>79859229900</v>
          </cell>
        </row>
        <row r="2293">
          <cell r="A2293" t="str">
            <v>Небалуев Игорь Германович</v>
          </cell>
          <cell r="B2293">
            <v>79057133559</v>
          </cell>
        </row>
        <row r="2294">
          <cell r="A2294" t="str">
            <v>Невенчанная Лариса Александровна</v>
          </cell>
          <cell r="B2294">
            <v>79028772791</v>
          </cell>
        </row>
        <row r="2295">
          <cell r="A2295" t="str">
            <v>Невешкин Роман Викторович</v>
          </cell>
          <cell r="B2295">
            <v>79852223626</v>
          </cell>
        </row>
        <row r="2296">
          <cell r="A2296" t="str">
            <v>Невкипелый Дмитрий Валерьевич</v>
          </cell>
          <cell r="B2296">
            <v>79186930426</v>
          </cell>
        </row>
        <row r="2297">
          <cell r="A2297" t="str">
            <v>Невский Олег Александрович</v>
          </cell>
          <cell r="B2297">
            <v>79581757180</v>
          </cell>
        </row>
        <row r="2298">
          <cell r="A2298" t="str">
            <v>Недопекин Алексей Александрович</v>
          </cell>
          <cell r="B2298">
            <v>79663872262</v>
          </cell>
        </row>
        <row r="2299">
          <cell r="A2299" t="str">
            <v>Недялков Алексей Иванович</v>
          </cell>
          <cell r="B2299">
            <v>79264923565</v>
          </cell>
        </row>
        <row r="2300">
          <cell r="A2300" t="str">
            <v>Некрасов Алексей Сергеевич</v>
          </cell>
          <cell r="B2300">
            <v>79645007000</v>
          </cell>
        </row>
        <row r="2301">
          <cell r="A2301" t="str">
            <v>Немечкин Михаил Владимирович</v>
          </cell>
          <cell r="B2301">
            <v>79141032383</v>
          </cell>
        </row>
        <row r="2302">
          <cell r="A2302" t="str">
            <v>Немод Лазарь Витальевич</v>
          </cell>
          <cell r="B2302">
            <v>79166609580</v>
          </cell>
        </row>
        <row r="2303">
          <cell r="A2303" t="str">
            <v>Ненашева Ксения Валерьевна</v>
          </cell>
          <cell r="B2303">
            <v>79652629663</v>
          </cell>
        </row>
        <row r="2304">
          <cell r="A2304" t="str">
            <v>Нестеренко Татьяна Арефьевна</v>
          </cell>
          <cell r="B2304">
            <v>79672671898</v>
          </cell>
        </row>
        <row r="2305">
          <cell r="A2305" t="str">
            <v>Нестерков Александр Владимирович</v>
          </cell>
          <cell r="B2305">
            <v>79858401882</v>
          </cell>
        </row>
        <row r="2306">
          <cell r="A2306" t="str">
            <v>Нестеров Валерий Александрович</v>
          </cell>
          <cell r="B2306">
            <v>79603066609</v>
          </cell>
        </row>
        <row r="2307">
          <cell r="A2307" t="str">
            <v>Неськин Сергей Васильевич</v>
          </cell>
          <cell r="B2307">
            <v>79776896061</v>
          </cell>
        </row>
        <row r="2308">
          <cell r="A2308" t="str">
            <v>Неськин Сергей Васильевич</v>
          </cell>
          <cell r="B2308">
            <v>79254711123</v>
          </cell>
        </row>
        <row r="2309">
          <cell r="A2309" t="str">
            <v>Нефедова Елена Викторовна</v>
          </cell>
          <cell r="B2309">
            <v>79055695968</v>
          </cell>
        </row>
        <row r="2310">
          <cell r="A2310" t="str">
            <v>Нефедова Людмила Александровна</v>
          </cell>
          <cell r="B2310">
            <v>79691230599</v>
          </cell>
        </row>
        <row r="2311">
          <cell r="A2311" t="str">
            <v>Нечаев Роман Васильевич</v>
          </cell>
          <cell r="B2311">
            <v>79855726966</v>
          </cell>
        </row>
        <row r="2312">
          <cell r="A2312" t="str">
            <v>Нечипор Алексей Викторович</v>
          </cell>
          <cell r="B2312">
            <v>79313039304</v>
          </cell>
        </row>
        <row r="2313">
          <cell r="A2313" t="str">
            <v>Ниазян Оксана Васильевна</v>
          </cell>
          <cell r="B2313">
            <v>79881461455</v>
          </cell>
        </row>
        <row r="2314">
          <cell r="A2314" t="str">
            <v>Нигметов Ренат Ерсаинович</v>
          </cell>
          <cell r="B2314">
            <v>79371220706</v>
          </cell>
        </row>
        <row r="2315">
          <cell r="A2315" t="str">
            <v>Нижник Сергей Николаевич</v>
          </cell>
          <cell r="B2315">
            <v>79602833609</v>
          </cell>
        </row>
        <row r="2316">
          <cell r="A2316" t="str">
            <v>Никитенко Роман Владимирович</v>
          </cell>
          <cell r="B2316">
            <v>79032660077</v>
          </cell>
        </row>
        <row r="2317">
          <cell r="A2317" t="str">
            <v>Никитенков Владислав Анатольевич</v>
          </cell>
          <cell r="B2317">
            <v>79522134949</v>
          </cell>
        </row>
        <row r="2318">
          <cell r="A2318" t="str">
            <v>Никитин Анатолий Владимирович</v>
          </cell>
          <cell r="B2318">
            <v>79162033208</v>
          </cell>
        </row>
        <row r="2319">
          <cell r="A2319" t="str">
            <v>Никитина Анастасия Витальевна</v>
          </cell>
          <cell r="B2319">
            <v>79777226790</v>
          </cell>
        </row>
        <row r="2320">
          <cell r="A2320" t="str">
            <v>Никитина Елена Сергеевна</v>
          </cell>
          <cell r="B2320">
            <v>79605088075</v>
          </cell>
        </row>
        <row r="2321">
          <cell r="A2321" t="str">
            <v>Никифоров Александр Андреевич</v>
          </cell>
          <cell r="B2321">
            <v>79252233923</v>
          </cell>
        </row>
        <row r="2322">
          <cell r="A2322" t="str">
            <v>Никифоров Дмитрий Викторович</v>
          </cell>
          <cell r="B2322">
            <v>79151428080</v>
          </cell>
        </row>
        <row r="2323">
          <cell r="A2323" t="str">
            <v>Николаев Андрей Николаевич</v>
          </cell>
          <cell r="B2323">
            <v>79519866244</v>
          </cell>
        </row>
        <row r="2324">
          <cell r="A2324" t="str">
            <v>Николаев Владимир Анатольевич</v>
          </cell>
          <cell r="B2324">
            <v>79992011345</v>
          </cell>
        </row>
        <row r="2325">
          <cell r="A2325" t="str">
            <v>Николаев Владислав Владимирович</v>
          </cell>
          <cell r="B2325">
            <v>79957972575</v>
          </cell>
        </row>
        <row r="2326">
          <cell r="A2326" t="str">
            <v>Николаев Дмитрий Васильевич</v>
          </cell>
          <cell r="B2326">
            <v>79267201007</v>
          </cell>
        </row>
        <row r="2327">
          <cell r="A2327" t="str">
            <v>Николаев Евгений Владимирович</v>
          </cell>
          <cell r="B2327">
            <v>79262733165</v>
          </cell>
        </row>
        <row r="2328">
          <cell r="A2328" t="str">
            <v>Николаев Игорь Владимирович</v>
          </cell>
          <cell r="B2328">
            <v>79523742400</v>
          </cell>
        </row>
        <row r="2329">
          <cell r="A2329" t="str">
            <v>Николаев Максим Викторович</v>
          </cell>
          <cell r="B2329">
            <v>79119946042</v>
          </cell>
        </row>
        <row r="2330">
          <cell r="A2330" t="str">
            <v>Николаева Юлия Викторовна</v>
          </cell>
          <cell r="B2330">
            <v>79166199324</v>
          </cell>
        </row>
        <row r="2331">
          <cell r="A2331" t="str">
            <v>Николайшен Евгений Анатольевич</v>
          </cell>
          <cell r="B2331">
            <v>79772703818</v>
          </cell>
        </row>
        <row r="2332">
          <cell r="A2332" t="str">
            <v>Никонов Андрей Георгиевич</v>
          </cell>
          <cell r="B2332">
            <v>79295770310</v>
          </cell>
        </row>
        <row r="2333">
          <cell r="A2333" t="str">
            <v>Никонов Сергей Михайлович</v>
          </cell>
          <cell r="B2333">
            <v>79252812646</v>
          </cell>
        </row>
        <row r="2334">
          <cell r="A2334" t="str">
            <v>Никоноров Александр Владимирович</v>
          </cell>
          <cell r="B2334">
            <v>79220935999</v>
          </cell>
        </row>
        <row r="2335">
          <cell r="A2335" t="str">
            <v>Никоноров Анатолий Валентинович</v>
          </cell>
          <cell r="B2335">
            <v>79057785154</v>
          </cell>
        </row>
        <row r="2336">
          <cell r="A2336" t="str">
            <v>Никулин Юрий Владимирович</v>
          </cell>
          <cell r="B2336">
            <v>79184393153</v>
          </cell>
        </row>
        <row r="2337">
          <cell r="A2337" t="str">
            <v>Никулкин Андрей Викторович</v>
          </cell>
          <cell r="B2337">
            <v>79069003891</v>
          </cell>
        </row>
        <row r="2338">
          <cell r="A2338" t="str">
            <v>Никульченков Сергей Анатольевич</v>
          </cell>
          <cell r="B2338">
            <v>79780184127</v>
          </cell>
        </row>
        <row r="2339">
          <cell r="A2339" t="str">
            <v>Никульшин Дмитрий Анатольевич</v>
          </cell>
          <cell r="B2339">
            <v>79166742831</v>
          </cell>
        </row>
        <row r="2340">
          <cell r="A2340" t="str">
            <v>Никульшин Дмитрий Анатольевич</v>
          </cell>
          <cell r="B2340">
            <v>79166742838</v>
          </cell>
        </row>
        <row r="2341">
          <cell r="A2341" t="str">
            <v>НИНТЕГРА ООО</v>
          </cell>
          <cell r="B2341" t="str">
            <v/>
          </cell>
        </row>
        <row r="2342">
          <cell r="A2342" t="str">
            <v>Новиков Алексей Леонидович</v>
          </cell>
          <cell r="B2342">
            <v>79684308254</v>
          </cell>
        </row>
        <row r="2343">
          <cell r="A2343" t="str">
            <v>Новиков Алексей Юрьевич</v>
          </cell>
          <cell r="B2343">
            <v>79263761939</v>
          </cell>
        </row>
        <row r="2344">
          <cell r="A2344" t="str">
            <v>Новиков Андрей Павлович</v>
          </cell>
          <cell r="B2344">
            <v>79219976976</v>
          </cell>
        </row>
        <row r="2345">
          <cell r="A2345" t="str">
            <v>Новиков Артем Дмитриевич</v>
          </cell>
          <cell r="B2345">
            <v>79150153386</v>
          </cell>
        </row>
        <row r="2346">
          <cell r="A2346" t="str">
            <v>Новиков Егор Викторович</v>
          </cell>
          <cell r="B2346">
            <v>79055088363</v>
          </cell>
        </row>
        <row r="2347">
          <cell r="A2347" t="str">
            <v>Новиков Руслан Геннадьевич</v>
          </cell>
          <cell r="B2347">
            <v>79067191312</v>
          </cell>
        </row>
        <row r="2348">
          <cell r="A2348" t="str">
            <v>Новицкая Яна Владиславовна</v>
          </cell>
          <cell r="B2348">
            <v>79067912255</v>
          </cell>
        </row>
        <row r="2349">
          <cell r="A2349" t="str">
            <v>Новицкий Антон Павлович</v>
          </cell>
          <cell r="B2349">
            <v>79110006425</v>
          </cell>
        </row>
        <row r="2350">
          <cell r="A2350" t="str">
            <v>Новицкий Олег Валерьевич</v>
          </cell>
          <cell r="B2350">
            <v>79173371363</v>
          </cell>
        </row>
        <row r="2351">
          <cell r="A2351" t="str">
            <v>Новожилова Наталья Ивановна</v>
          </cell>
          <cell r="B2351">
            <v>79263819906</v>
          </cell>
        </row>
        <row r="2352">
          <cell r="A2352" t="str">
            <v>Новоселов Сергей Владимирович</v>
          </cell>
          <cell r="B2352">
            <v>79504835179</v>
          </cell>
        </row>
        <row r="2353">
          <cell r="A2353" t="str">
            <v>Новрузов Марат Абильфас Оглы</v>
          </cell>
          <cell r="B2353">
            <v>79640218461</v>
          </cell>
        </row>
        <row r="2354">
          <cell r="A2354" t="str">
            <v>Нойманн Любовь Александровна</v>
          </cell>
          <cell r="B2354">
            <v>79217712911</v>
          </cell>
        </row>
        <row r="2355">
          <cell r="A2355" t="str">
            <v>Носевич Валентин Владимирович</v>
          </cell>
          <cell r="B2355">
            <v>79647240800</v>
          </cell>
        </row>
        <row r="2356">
          <cell r="A2356" t="str">
            <v>НПО НИКСА ООО</v>
          </cell>
          <cell r="B2356">
            <v>79104838765</v>
          </cell>
        </row>
        <row r="2357">
          <cell r="A2357" t="str">
            <v>НПО ПРОЕКТСТРОЙ ООО</v>
          </cell>
          <cell r="B2357">
            <v>79168248944</v>
          </cell>
        </row>
        <row r="2358">
          <cell r="A2358" t="str">
            <v>Нуждин Александр Сергеевич</v>
          </cell>
          <cell r="B2358">
            <v>79261243080</v>
          </cell>
        </row>
        <row r="2359">
          <cell r="A2359" t="str">
            <v>Нуждина Юлия Вадимовна</v>
          </cell>
          <cell r="B2359">
            <v>79042830556</v>
          </cell>
        </row>
        <row r="2360">
          <cell r="A2360" t="str">
            <v>Нургушиев Нуридин Эдильбийевич</v>
          </cell>
          <cell r="B2360">
            <v>79856469898</v>
          </cell>
        </row>
        <row r="2361">
          <cell r="A2361" t="str">
            <v>Нурджанян Карен Юрикович</v>
          </cell>
          <cell r="B2361">
            <v>79683846000</v>
          </cell>
        </row>
        <row r="2362">
          <cell r="A2362" t="str">
            <v>Нурмагомедов Тимурлан Алиевич</v>
          </cell>
          <cell r="B2362">
            <v>79317112122</v>
          </cell>
        </row>
        <row r="2363">
          <cell r="A2363" t="str">
            <v>Нюхов Руслан Нюхович</v>
          </cell>
          <cell r="B2363">
            <v>79268760005</v>
          </cell>
        </row>
        <row r="2364">
          <cell r="A2364" t="str">
            <v>Обозина Любовь Сергеевна</v>
          </cell>
          <cell r="B2364">
            <v>79663397443</v>
          </cell>
        </row>
        <row r="2365">
          <cell r="A2365" t="str">
            <v>Обрывченко Вероника Рифовна</v>
          </cell>
          <cell r="B2365">
            <v>79627206803</v>
          </cell>
        </row>
        <row r="2366">
          <cell r="A2366" t="str">
            <v>Овакимян Андраник Григорьович</v>
          </cell>
          <cell r="B2366">
            <v>79261411986</v>
          </cell>
        </row>
        <row r="2367">
          <cell r="A2367" t="str">
            <v>Овакимян Григорий Гивиевич</v>
          </cell>
          <cell r="B2367">
            <v>79675304777</v>
          </cell>
        </row>
        <row r="2368">
          <cell r="A2368" t="str">
            <v>Оверченко Виктория Владимировна</v>
          </cell>
          <cell r="B2368">
            <v>79255957929</v>
          </cell>
        </row>
        <row r="2369">
          <cell r="A2369" t="str">
            <v>Оверчук Юлия Викторовна</v>
          </cell>
          <cell r="B2369">
            <v>79250108506</v>
          </cell>
        </row>
        <row r="2370">
          <cell r="A2370" t="str">
            <v>Овсепян Жирайр Араевич</v>
          </cell>
          <cell r="B2370">
            <v>79102437545</v>
          </cell>
        </row>
        <row r="2371">
          <cell r="A2371" t="str">
            <v>Овсепян Эрик Самвелович</v>
          </cell>
          <cell r="B2371">
            <v>79680000455</v>
          </cell>
        </row>
        <row r="2372">
          <cell r="A2372" t="str">
            <v>Овсянников Сергей Александрович</v>
          </cell>
          <cell r="B2372">
            <v>79057970345</v>
          </cell>
        </row>
        <row r="2373">
          <cell r="A2373" t="str">
            <v>Овчаренко Ирина Александровна</v>
          </cell>
          <cell r="B2373">
            <v>79219597894</v>
          </cell>
        </row>
        <row r="2374">
          <cell r="A2374" t="str">
            <v>Овчинников Виталий Сергеевич</v>
          </cell>
          <cell r="B2374">
            <v>79615988134</v>
          </cell>
        </row>
        <row r="2375">
          <cell r="A2375" t="str">
            <v>Овчинникова Марина Сергеевна</v>
          </cell>
          <cell r="B2375">
            <v>79774500045</v>
          </cell>
        </row>
        <row r="2376">
          <cell r="A2376" t="str">
            <v>Оганесян Асмик Самвеловна</v>
          </cell>
          <cell r="B2376">
            <v>79688518888</v>
          </cell>
        </row>
        <row r="2377">
          <cell r="A2377" t="str">
            <v>Оганесян Ваге Наириович</v>
          </cell>
          <cell r="B2377">
            <v>79661685959</v>
          </cell>
        </row>
        <row r="2378">
          <cell r="A2378" t="str">
            <v>Оганесян Наири Миранович</v>
          </cell>
          <cell r="B2378">
            <v>79067090059</v>
          </cell>
        </row>
        <row r="2379">
          <cell r="A2379" t="str">
            <v>Оганисян Григор Гамлетович</v>
          </cell>
          <cell r="B2379">
            <v>79012759575</v>
          </cell>
        </row>
        <row r="2380">
          <cell r="A2380" t="str">
            <v>Оганнисян Армен Эдикович</v>
          </cell>
          <cell r="B2380">
            <v>79267251516</v>
          </cell>
        </row>
        <row r="2381">
          <cell r="A2381" t="str">
            <v>Оганян Алия Аубикеровна</v>
          </cell>
          <cell r="B2381">
            <v>79165926874</v>
          </cell>
        </row>
        <row r="2382">
          <cell r="A2382" t="str">
            <v>Огурцова Людмила Михайловна</v>
          </cell>
          <cell r="B2382">
            <v>79104112382</v>
          </cell>
        </row>
        <row r="2383">
          <cell r="A2383" t="str">
            <v>Огурцова Людмила Михайловна</v>
          </cell>
          <cell r="B2383">
            <v>79997721003</v>
          </cell>
        </row>
        <row r="2384">
          <cell r="A2384" t="str">
            <v>Одинаев Ходжимурод Каландарович</v>
          </cell>
          <cell r="B2384">
            <v>79680840485</v>
          </cell>
        </row>
        <row r="2385">
          <cell r="A2385" t="str">
            <v>Одинцова Ирина Вячеславовна</v>
          </cell>
          <cell r="B2385">
            <v>79854310155</v>
          </cell>
        </row>
        <row r="2386">
          <cell r="A2386" t="str">
            <v>Одновол Роман Евгеньевич</v>
          </cell>
          <cell r="B2386">
            <v>79104647687</v>
          </cell>
        </row>
        <row r="2387">
          <cell r="A2387" t="str">
            <v>Однорал Алексей Иванович</v>
          </cell>
          <cell r="B2387">
            <v>79037249595</v>
          </cell>
        </row>
        <row r="2388">
          <cell r="A2388" t="str">
            <v>Ожован Андриан Васильевич</v>
          </cell>
          <cell r="B2388">
            <v>79260353798</v>
          </cell>
        </row>
        <row r="2389">
          <cell r="A2389" t="str">
            <v>Озарян Сергей Васильевич</v>
          </cell>
          <cell r="B2389">
            <v>79183802057</v>
          </cell>
        </row>
        <row r="2390">
          <cell r="A2390" t="str">
            <v>Озёрская Дарья Семеновна</v>
          </cell>
          <cell r="B2390">
            <v>79509157587</v>
          </cell>
        </row>
        <row r="2391">
          <cell r="A2391" t="str">
            <v>Озерских Илья Андреевич</v>
          </cell>
          <cell r="B2391">
            <v>79215960977</v>
          </cell>
        </row>
        <row r="2392">
          <cell r="A2392" t="str">
            <v>Ок Мехмет Салим</v>
          </cell>
          <cell r="B2392">
            <v>79185540969</v>
          </cell>
        </row>
        <row r="2393">
          <cell r="A2393" t="str">
            <v>Окишев Алексей Евгеньевич</v>
          </cell>
          <cell r="B2393">
            <v>79819530376</v>
          </cell>
        </row>
        <row r="2394">
          <cell r="A2394" t="str">
            <v>Окунев Артём Михайлович</v>
          </cell>
          <cell r="B2394" t="str">
            <v/>
          </cell>
        </row>
        <row r="2395">
          <cell r="A2395" t="str">
            <v>Оленин Максим Дмитриевич</v>
          </cell>
          <cell r="B2395">
            <v>79660733124</v>
          </cell>
        </row>
        <row r="2396">
          <cell r="A2396" t="str">
            <v>Олимов Зиёбег Тавакалович</v>
          </cell>
          <cell r="B2396">
            <v>79647238628</v>
          </cell>
        </row>
        <row r="2397">
          <cell r="A2397" t="str">
            <v>Омаров Адам Ильясович</v>
          </cell>
          <cell r="B2397">
            <v>79606666165</v>
          </cell>
        </row>
        <row r="2398">
          <cell r="A2398" t="str">
            <v>Омаров Расул Казибекович</v>
          </cell>
          <cell r="B2398">
            <v>79289741541</v>
          </cell>
        </row>
        <row r="2399">
          <cell r="A2399" t="str">
            <v>Омарова Луиза Багамаевна</v>
          </cell>
          <cell r="B2399">
            <v>79663261608</v>
          </cell>
        </row>
        <row r="2400">
          <cell r="A2400" t="str">
            <v>Омаршаев Али Хизриевич</v>
          </cell>
          <cell r="B2400">
            <v>79634192123</v>
          </cell>
        </row>
        <row r="2401">
          <cell r="A2401" t="str">
            <v>Омельчук Вадим Леонидович</v>
          </cell>
          <cell r="B2401">
            <v>79788486173</v>
          </cell>
        </row>
        <row r="2402">
          <cell r="A2402" t="str">
            <v>ООО СК ЭВЕРЕСТ</v>
          </cell>
          <cell r="B2402">
            <v>79685117733</v>
          </cell>
        </row>
        <row r="2403">
          <cell r="A2403" t="str">
            <v>Опарина Екатерина Николаевна</v>
          </cell>
          <cell r="B2403">
            <v>79539430947</v>
          </cell>
        </row>
        <row r="2404">
          <cell r="A2404" t="str">
            <v>ОРБИТА ООО</v>
          </cell>
          <cell r="B2404">
            <v>79776904698</v>
          </cell>
        </row>
        <row r="2405">
          <cell r="A2405" t="str">
            <v>Орехов Александр Викторович</v>
          </cell>
          <cell r="B2405">
            <v>79688360986</v>
          </cell>
        </row>
        <row r="2406">
          <cell r="A2406" t="str">
            <v>Орехов Александр Викторович</v>
          </cell>
          <cell r="B2406">
            <v>79688360986</v>
          </cell>
        </row>
        <row r="2407">
          <cell r="A2407" t="str">
            <v>Орехов Денис Николаевич</v>
          </cell>
          <cell r="B2407">
            <v>79773230401</v>
          </cell>
        </row>
        <row r="2408">
          <cell r="A2408" t="str">
            <v>Орехова Екатерина Юрьевна</v>
          </cell>
          <cell r="B2408">
            <v>79169917475</v>
          </cell>
        </row>
        <row r="2409">
          <cell r="A2409" t="str">
            <v>Ореховский Евгений Валериевич</v>
          </cell>
          <cell r="B2409">
            <v>79675373839</v>
          </cell>
        </row>
        <row r="2410">
          <cell r="A2410" t="str">
            <v>Орешин Святослав Александрович</v>
          </cell>
          <cell r="B2410">
            <v>79154745886</v>
          </cell>
        </row>
        <row r="2411">
          <cell r="A2411" t="str">
            <v>Орлов Алексей Алексеевич</v>
          </cell>
          <cell r="B2411">
            <v>79162513133</v>
          </cell>
        </row>
        <row r="2412">
          <cell r="A2412" t="str">
            <v>Орлов Алексей Геннадьевич</v>
          </cell>
          <cell r="B2412">
            <v>79819669787</v>
          </cell>
        </row>
        <row r="2413">
          <cell r="A2413" t="str">
            <v>Орлов Виктор Николаевич</v>
          </cell>
          <cell r="B2413" t="str">
            <v/>
          </cell>
        </row>
        <row r="2414">
          <cell r="A2414" t="str">
            <v>Орловский Ян Новомирович</v>
          </cell>
          <cell r="B2414">
            <v>79527079999</v>
          </cell>
        </row>
        <row r="2415">
          <cell r="A2415" t="str">
            <v>Оруджов Намаддин Новрузович</v>
          </cell>
          <cell r="B2415">
            <v>79052591870</v>
          </cell>
        </row>
        <row r="2416">
          <cell r="A2416" t="str">
            <v>Осадчий Сергей Александрович</v>
          </cell>
          <cell r="B2416">
            <v>79616822745</v>
          </cell>
        </row>
        <row r="2417">
          <cell r="A2417" t="str">
            <v>Осетров Олег Андреевич</v>
          </cell>
          <cell r="B2417">
            <v>79636947892</v>
          </cell>
        </row>
        <row r="2418">
          <cell r="A2418" t="str">
            <v>Оскомова Инна Анатольевна</v>
          </cell>
          <cell r="B2418">
            <v>79525173455</v>
          </cell>
        </row>
        <row r="2419">
          <cell r="A2419" t="str">
            <v>Осмаев Абдул-Латиф Исламович</v>
          </cell>
          <cell r="B2419">
            <v>79887274117</v>
          </cell>
        </row>
        <row r="2420">
          <cell r="A2420" t="str">
            <v>Осмаев Джабраил Исламович</v>
          </cell>
          <cell r="B2420">
            <v>79164682005</v>
          </cell>
        </row>
        <row r="2421">
          <cell r="A2421" t="str">
            <v>Осмаев Ибрагим Исламович</v>
          </cell>
          <cell r="B2421">
            <v>79969160095</v>
          </cell>
        </row>
        <row r="2422">
          <cell r="A2422" t="str">
            <v>Осмаева Зулихан Авхадовна</v>
          </cell>
          <cell r="B2422">
            <v>79261236273</v>
          </cell>
        </row>
        <row r="2423">
          <cell r="A2423" t="str">
            <v>Османов Расул Магомедович</v>
          </cell>
          <cell r="B2423">
            <v>79292444055</v>
          </cell>
        </row>
        <row r="2424">
          <cell r="A2424" t="str">
            <v>Особое мнение ООО</v>
          </cell>
          <cell r="B2424">
            <v>79150259568</v>
          </cell>
        </row>
        <row r="2425">
          <cell r="A2425" t="str">
            <v>Остапенко Максим Дмитриевич</v>
          </cell>
          <cell r="B2425">
            <v>79615130323</v>
          </cell>
        </row>
        <row r="2426">
          <cell r="A2426" t="str">
            <v>Остапенко Никита Игоревич</v>
          </cell>
          <cell r="B2426">
            <v>79043411893</v>
          </cell>
        </row>
        <row r="2427">
          <cell r="A2427" t="str">
            <v>Островский Кирилл Эдуардович</v>
          </cell>
          <cell r="B2427">
            <v>79853525372</v>
          </cell>
        </row>
        <row r="2428">
          <cell r="A2428" t="str">
            <v>Островский Кирилл Эдуардович</v>
          </cell>
          <cell r="B2428">
            <v>79104122412</v>
          </cell>
        </row>
        <row r="2429">
          <cell r="A2429" t="str">
            <v>Остроухих Ольга Сергеевна</v>
          </cell>
          <cell r="B2429">
            <v>79851482710</v>
          </cell>
        </row>
        <row r="2430">
          <cell r="A2430" t="str">
            <v>ОФИС КРАФТ ООО</v>
          </cell>
          <cell r="B2430">
            <v>79037089988</v>
          </cell>
        </row>
        <row r="2431">
          <cell r="A2431" t="str">
            <v>Охоцкий Владимир Андреевич</v>
          </cell>
          <cell r="B2431">
            <v>79162918433</v>
          </cell>
        </row>
        <row r="2432">
          <cell r="A2432" t="str">
            <v>Очерхаджиев Иса Магомедович</v>
          </cell>
          <cell r="B2432">
            <v>79263787217</v>
          </cell>
        </row>
        <row r="2433">
          <cell r="A2433" t="str">
            <v>Очерхаджиев Иса Магомедович</v>
          </cell>
          <cell r="B2433">
            <v>79263787217</v>
          </cell>
        </row>
        <row r="2434">
          <cell r="A2434" t="str">
            <v>Павленко Александр Викторович</v>
          </cell>
          <cell r="B2434">
            <v>79800009800</v>
          </cell>
        </row>
        <row r="2435">
          <cell r="A2435" t="str">
            <v>Павленок Андрей Евгеньевич</v>
          </cell>
          <cell r="B2435">
            <v>79153571176</v>
          </cell>
        </row>
        <row r="2436">
          <cell r="A2436" t="str">
            <v>Павликивский Владимир Васильевич</v>
          </cell>
          <cell r="B2436">
            <v>79615928763</v>
          </cell>
        </row>
        <row r="2437">
          <cell r="A2437" t="str">
            <v>Павличенко Юлия Владимировна</v>
          </cell>
          <cell r="B2437">
            <v>79189916602</v>
          </cell>
        </row>
        <row r="2438">
          <cell r="A2438" t="str">
            <v>Павлов Алексей Георгиевич</v>
          </cell>
          <cell r="B2438">
            <v>79806869347</v>
          </cell>
        </row>
        <row r="2439">
          <cell r="A2439" t="str">
            <v>Павлов Владимир Геннадьевич</v>
          </cell>
          <cell r="B2439">
            <v>79523718333</v>
          </cell>
        </row>
        <row r="2440">
          <cell r="A2440" t="str">
            <v>Павлов Вячеслав Игоревич</v>
          </cell>
          <cell r="B2440">
            <v>79636718919</v>
          </cell>
        </row>
        <row r="2441">
          <cell r="A2441" t="str">
            <v>Павлов Денис Витальевич</v>
          </cell>
          <cell r="B2441">
            <v>79011854509</v>
          </cell>
        </row>
        <row r="2442">
          <cell r="A2442" t="str">
            <v>Павлов Константин Вильямович</v>
          </cell>
          <cell r="B2442">
            <v>79219450174</v>
          </cell>
        </row>
        <row r="2443">
          <cell r="A2443" t="str">
            <v>Павлов Максим Андреевич</v>
          </cell>
          <cell r="B2443">
            <v>79108611294</v>
          </cell>
        </row>
        <row r="2444">
          <cell r="A2444" t="str">
            <v>Павлова Ангелина Юрьевна</v>
          </cell>
          <cell r="B2444">
            <v>79686087357</v>
          </cell>
        </row>
        <row r="2445">
          <cell r="A2445" t="str">
            <v>Павлюк Павел Михайлович</v>
          </cell>
          <cell r="B2445">
            <v>79249434999</v>
          </cell>
        </row>
        <row r="2446">
          <cell r="A2446" t="str">
            <v>Павлюк Татьяна Николаевна</v>
          </cell>
          <cell r="B2446">
            <v>79629134902</v>
          </cell>
        </row>
        <row r="2447">
          <cell r="A2447" t="str">
            <v>Павлюченко Михаил Михайлович</v>
          </cell>
          <cell r="B2447">
            <v>79186518314</v>
          </cell>
        </row>
        <row r="2448">
          <cell r="A2448" t="str">
            <v>Падерин Александр Ильясович</v>
          </cell>
          <cell r="B2448">
            <v>79122371966</v>
          </cell>
        </row>
        <row r="2449">
          <cell r="A2449" t="str">
            <v>Пак Сергей Олегович</v>
          </cell>
          <cell r="B2449" t="str">
            <v/>
          </cell>
        </row>
        <row r="2450">
          <cell r="A2450" t="str">
            <v>Палакян Ваге Гарникович</v>
          </cell>
          <cell r="B2450">
            <v>79161443504</v>
          </cell>
        </row>
        <row r="2451">
          <cell r="A2451" t="str">
            <v>Палев Сергей Михайлович</v>
          </cell>
          <cell r="B2451">
            <v>79522899857</v>
          </cell>
        </row>
        <row r="2452">
          <cell r="A2452" t="str">
            <v>Палоян Самвел Максимович</v>
          </cell>
          <cell r="B2452">
            <v>79033874777</v>
          </cell>
        </row>
        <row r="2453">
          <cell r="A2453" t="str">
            <v>Панамарев Денис Олегович</v>
          </cell>
          <cell r="B2453">
            <v>79229912811</v>
          </cell>
        </row>
        <row r="2454">
          <cell r="A2454" t="str">
            <v>Панина Ирина Валентиновна</v>
          </cell>
          <cell r="B2454">
            <v>79202543991</v>
          </cell>
        </row>
        <row r="2455">
          <cell r="A2455" t="str">
            <v>Панков Петр Владимирович</v>
          </cell>
          <cell r="B2455">
            <v>79954096330</v>
          </cell>
        </row>
        <row r="2456">
          <cell r="A2456" t="str">
            <v>Панов Дмитрий Евгеньевич</v>
          </cell>
          <cell r="B2456">
            <v>79266232397</v>
          </cell>
        </row>
        <row r="2457">
          <cell r="A2457" t="str">
            <v>Панова Наталья Анатольевна</v>
          </cell>
          <cell r="B2457">
            <v>79165780773</v>
          </cell>
        </row>
        <row r="2458">
          <cell r="A2458" t="str">
            <v>Паносян Эдуард Айрапетович</v>
          </cell>
          <cell r="B2458">
            <v>79646447151</v>
          </cell>
        </row>
        <row r="2459">
          <cell r="A2459" t="str">
            <v>Пантелеев Антон Дмитриевич</v>
          </cell>
          <cell r="B2459">
            <v>79169343410</v>
          </cell>
        </row>
        <row r="2460">
          <cell r="A2460" t="str">
            <v>Пантелеев Антон Дмитриевич</v>
          </cell>
          <cell r="B2460">
            <v>79771000089</v>
          </cell>
        </row>
        <row r="2461">
          <cell r="A2461" t="str">
            <v>Пантелеев Даниил Александрович</v>
          </cell>
          <cell r="B2461">
            <v>79996211495</v>
          </cell>
        </row>
        <row r="2462">
          <cell r="A2462" t="str">
            <v>Пантелеева Светлана Вячеславовна</v>
          </cell>
          <cell r="B2462">
            <v>79817817091</v>
          </cell>
        </row>
        <row r="2463">
          <cell r="A2463" t="str">
            <v>Папаэфтимииу Сюзанна Азатовна</v>
          </cell>
          <cell r="B2463">
            <v>79264538124</v>
          </cell>
        </row>
        <row r="2464">
          <cell r="A2464" t="str">
            <v>Папикян Андраник Климентович</v>
          </cell>
          <cell r="B2464">
            <v>79171740555</v>
          </cell>
        </row>
        <row r="2465">
          <cell r="A2465" t="str">
            <v>Парасочко Виктория Вячеславовна</v>
          </cell>
          <cell r="B2465">
            <v>79876546355</v>
          </cell>
        </row>
        <row r="2466">
          <cell r="A2466" t="str">
            <v>Паров Руслан Магомедович</v>
          </cell>
          <cell r="B2466" t="str">
            <v/>
          </cell>
        </row>
        <row r="2467">
          <cell r="A2467" t="str">
            <v>Паронян Егор Каренович</v>
          </cell>
          <cell r="B2467">
            <v>79257145406</v>
          </cell>
        </row>
        <row r="2468">
          <cell r="A2468" t="str">
            <v>Парпибаева Яна Романовна</v>
          </cell>
          <cell r="B2468">
            <v>79054700010</v>
          </cell>
        </row>
        <row r="2469">
          <cell r="A2469" t="str">
            <v>Парфенов Дмитрий Юрьевич</v>
          </cell>
          <cell r="B2469">
            <v>79219440419</v>
          </cell>
        </row>
        <row r="2470">
          <cell r="A2470" t="str">
            <v>Парфёнова Наталья Николаевна</v>
          </cell>
          <cell r="B2470">
            <v>79508739431</v>
          </cell>
        </row>
        <row r="2471">
          <cell r="A2471" t="str">
            <v>Пархоменко Вячеслав Юрьевич</v>
          </cell>
          <cell r="B2471">
            <v>79624223090</v>
          </cell>
        </row>
        <row r="2472">
          <cell r="A2472" t="str">
            <v>Паршиков Андрей Юрьевич</v>
          </cell>
          <cell r="B2472">
            <v>79256844580</v>
          </cell>
        </row>
        <row r="2473">
          <cell r="A2473" t="str">
            <v>Пасюков Эдуард Александрович</v>
          </cell>
          <cell r="B2473">
            <v>79067913654</v>
          </cell>
        </row>
        <row r="2474">
          <cell r="A2474" t="str">
            <v>Патраман Василий Дмитриевич</v>
          </cell>
          <cell r="B2474">
            <v>79261372228</v>
          </cell>
        </row>
        <row r="2475">
          <cell r="A2475" t="str">
            <v>Патяко Павел Юрьевич</v>
          </cell>
          <cell r="B2475">
            <v>79037552352</v>
          </cell>
        </row>
        <row r="2476">
          <cell r="A2476" t="str">
            <v>Пахомов Михаил Юрьевич</v>
          </cell>
          <cell r="B2476">
            <v>79151530509</v>
          </cell>
        </row>
        <row r="2477">
          <cell r="A2477" t="str">
            <v>Пашков Андрей Александрович</v>
          </cell>
          <cell r="B2477">
            <v>79161085064</v>
          </cell>
        </row>
        <row r="2478">
          <cell r="A2478" t="str">
            <v>Пашнин Дмитрий Александрович</v>
          </cell>
          <cell r="B2478">
            <v>79525188327</v>
          </cell>
        </row>
        <row r="2479">
          <cell r="A2479" t="str">
            <v>Пашура Мария Павловна</v>
          </cell>
          <cell r="B2479">
            <v>79999166168</v>
          </cell>
        </row>
        <row r="2480">
          <cell r="A2480" t="str">
            <v>Певзнер Сергей Ефимович</v>
          </cell>
          <cell r="B2480">
            <v>79787554089</v>
          </cell>
        </row>
        <row r="2481">
          <cell r="A2481" t="str">
            <v>Пелёвин Дмитрий Сергеевич</v>
          </cell>
          <cell r="B2481">
            <v>79165814220</v>
          </cell>
        </row>
        <row r="2482">
          <cell r="A2482" t="str">
            <v>Пелипенко Алексей Николаевич</v>
          </cell>
          <cell r="B2482">
            <v>79620311278</v>
          </cell>
        </row>
        <row r="2483">
          <cell r="A2483" t="str">
            <v>Пензин Иван Сергеевич</v>
          </cell>
          <cell r="B2483">
            <v>79150005189</v>
          </cell>
        </row>
        <row r="2484">
          <cell r="A2484" t="str">
            <v>Пеньков Алексей Александрович</v>
          </cell>
          <cell r="B2484">
            <v>79995856356</v>
          </cell>
        </row>
        <row r="2485">
          <cell r="A2485" t="str">
            <v>Первая Сувенирная Компания ООО</v>
          </cell>
          <cell r="B2485" t="str">
            <v/>
          </cell>
        </row>
        <row r="2486">
          <cell r="A2486" t="str">
            <v>Первушина Елена Александровна</v>
          </cell>
          <cell r="B2486">
            <v>79058188800</v>
          </cell>
        </row>
        <row r="2487">
          <cell r="A2487" t="str">
            <v>Первушина Юлия Владимировна</v>
          </cell>
          <cell r="B2487">
            <v>79091318881</v>
          </cell>
        </row>
        <row r="2488">
          <cell r="A2488" t="str">
            <v>Перевалов Артём Владимирович</v>
          </cell>
          <cell r="B2488">
            <v>79871573353</v>
          </cell>
        </row>
        <row r="2489">
          <cell r="A2489" t="str">
            <v>Перевозников Андрей Анатольевич</v>
          </cell>
          <cell r="B2489">
            <v>79271054440</v>
          </cell>
        </row>
        <row r="2490">
          <cell r="A2490" t="str">
            <v>Перегудов Александр Сергеевич</v>
          </cell>
          <cell r="B2490">
            <v>79640680721</v>
          </cell>
        </row>
        <row r="2491">
          <cell r="A2491" t="str">
            <v>Передерий Григорий Анатольевич</v>
          </cell>
          <cell r="B2491">
            <v>79262452353</v>
          </cell>
        </row>
        <row r="2492">
          <cell r="A2492" t="str">
            <v>Передерий Григорий Анатольевич</v>
          </cell>
          <cell r="B2492">
            <v>79191034487</v>
          </cell>
        </row>
        <row r="2493">
          <cell r="A2493" t="str">
            <v>Перепелица Владимир Александрович</v>
          </cell>
          <cell r="B2493">
            <v>79261945541</v>
          </cell>
        </row>
        <row r="2494">
          <cell r="A2494" t="str">
            <v>Перова Ольга Викторовна</v>
          </cell>
          <cell r="B2494">
            <v>79063937230</v>
          </cell>
        </row>
        <row r="2495">
          <cell r="A2495" t="str">
            <v>Першина Елена Павловна</v>
          </cell>
          <cell r="B2495">
            <v>79628773573</v>
          </cell>
        </row>
        <row r="2496">
          <cell r="A2496" t="str">
            <v>Песняк Владимир Владимирович</v>
          </cell>
          <cell r="B2496">
            <v>79882446867</v>
          </cell>
        </row>
        <row r="2497">
          <cell r="A2497" t="str">
            <v>Песняк Владимир Владимирович</v>
          </cell>
          <cell r="B2497">
            <v>79180170062</v>
          </cell>
        </row>
        <row r="2498">
          <cell r="A2498" t="str">
            <v>Пестерев Андрей Николаевич</v>
          </cell>
          <cell r="B2498">
            <v>79222040824</v>
          </cell>
        </row>
        <row r="2499">
          <cell r="A2499" t="str">
            <v>Петелин Андрей Юрьевич</v>
          </cell>
          <cell r="B2499">
            <v>79857641708</v>
          </cell>
        </row>
        <row r="2500">
          <cell r="A2500" t="str">
            <v>Петку Сергей Владимирович</v>
          </cell>
          <cell r="B2500">
            <v>79687088080</v>
          </cell>
        </row>
        <row r="2501">
          <cell r="A2501" t="str">
            <v>Петренко Михаил Михайлович</v>
          </cell>
          <cell r="B2501">
            <v>79787390450</v>
          </cell>
        </row>
        <row r="2502">
          <cell r="A2502" t="str">
            <v>Петренко Ольга Николаевна</v>
          </cell>
          <cell r="B2502">
            <v>79687345420</v>
          </cell>
        </row>
        <row r="2503">
          <cell r="A2503" t="str">
            <v>Петров Александр Викторович</v>
          </cell>
          <cell r="B2503">
            <v>79992852273</v>
          </cell>
        </row>
        <row r="2504">
          <cell r="A2504" t="str">
            <v>Петров Артём Валериевич</v>
          </cell>
          <cell r="B2504">
            <v>79787809099</v>
          </cell>
        </row>
        <row r="2505">
          <cell r="A2505" t="str">
            <v>Петров Вячеслав Леонидович</v>
          </cell>
          <cell r="B2505">
            <v>79094447576</v>
          </cell>
        </row>
        <row r="2506">
          <cell r="A2506" t="str">
            <v>Петров Денис Александрович</v>
          </cell>
          <cell r="B2506">
            <v>79251604075</v>
          </cell>
        </row>
        <row r="2507">
          <cell r="A2507" t="str">
            <v>Петров Николай Анатольевич</v>
          </cell>
          <cell r="B2507">
            <v>79114359104</v>
          </cell>
        </row>
        <row r="2508">
          <cell r="A2508" t="str">
            <v>Петров Сергей Анатольевич</v>
          </cell>
          <cell r="B2508">
            <v>79775948292</v>
          </cell>
        </row>
        <row r="2509">
          <cell r="A2509" t="str">
            <v>Петров Сергей Владимирович</v>
          </cell>
          <cell r="B2509">
            <v>79033565564</v>
          </cell>
        </row>
        <row r="2510">
          <cell r="A2510" t="str">
            <v>Петров Юрий Викторович</v>
          </cell>
          <cell r="B2510">
            <v>79111440300</v>
          </cell>
        </row>
        <row r="2511">
          <cell r="A2511" t="str">
            <v>Петрова Елена Владимировна</v>
          </cell>
          <cell r="B2511">
            <v>79167743039</v>
          </cell>
        </row>
        <row r="2512">
          <cell r="A2512" t="str">
            <v>Петрова Ирина Валентиновна</v>
          </cell>
          <cell r="B2512">
            <v>79525327400</v>
          </cell>
        </row>
        <row r="2513">
          <cell r="A2513" t="str">
            <v>Петровский Олег Алексеевич</v>
          </cell>
          <cell r="B2513">
            <v>79288833742</v>
          </cell>
        </row>
        <row r="2514">
          <cell r="A2514" t="str">
            <v>Петросян Айрапет Алексанович</v>
          </cell>
          <cell r="B2514">
            <v>79192099999</v>
          </cell>
        </row>
        <row r="2515">
          <cell r="A2515" t="str">
            <v>Петросян Анаит Ервандовна</v>
          </cell>
          <cell r="B2515">
            <v>79032631790</v>
          </cell>
        </row>
        <row r="2516">
          <cell r="A2516" t="str">
            <v>Петросян Карен Грайрович</v>
          </cell>
          <cell r="B2516" t="str">
            <v/>
          </cell>
        </row>
        <row r="2517">
          <cell r="A2517" t="str">
            <v>Петрухин Анатолий Васильевич</v>
          </cell>
          <cell r="B2517">
            <v>79183629001</v>
          </cell>
        </row>
        <row r="2518">
          <cell r="A2518" t="str">
            <v>Петухов Евгений Владимирович</v>
          </cell>
          <cell r="B2518">
            <v>79213566544</v>
          </cell>
        </row>
        <row r="2519">
          <cell r="A2519" t="str">
            <v>Петушкова Наталья Александровна</v>
          </cell>
          <cell r="B2519">
            <v>79683838565</v>
          </cell>
        </row>
        <row r="2520">
          <cell r="A2520" t="str">
            <v>Печеников Александр Иванович</v>
          </cell>
          <cell r="B2520">
            <v>79687697000</v>
          </cell>
        </row>
        <row r="2521">
          <cell r="A2521" t="str">
            <v>Печеникова Оксана Александровна</v>
          </cell>
          <cell r="B2521">
            <v>79258380111</v>
          </cell>
        </row>
        <row r="2522">
          <cell r="A2522" t="str">
            <v>Печников Алексей Олегович</v>
          </cell>
          <cell r="B2522">
            <v>79263771273</v>
          </cell>
        </row>
        <row r="2523">
          <cell r="A2523" t="str">
            <v>Печул Николай Петрович</v>
          </cell>
          <cell r="B2523">
            <v>79257021773</v>
          </cell>
        </row>
        <row r="2524">
          <cell r="A2524" t="str">
            <v>Пешков Владимир Сергеевич</v>
          </cell>
          <cell r="B2524">
            <v>79615965688</v>
          </cell>
        </row>
        <row r="2525">
          <cell r="A2525" t="str">
            <v>Пешкова Любовь Васильевна</v>
          </cell>
          <cell r="B2525">
            <v>79263783620</v>
          </cell>
        </row>
        <row r="2526">
          <cell r="A2526" t="str">
            <v>Пивень Сергей Федорович</v>
          </cell>
          <cell r="B2526">
            <v>79859220907</v>
          </cell>
        </row>
        <row r="2527">
          <cell r="A2527" t="str">
            <v>Пивченков Сергей Алекович</v>
          </cell>
          <cell r="B2527">
            <v>79262969384</v>
          </cell>
        </row>
        <row r="2528">
          <cell r="A2528" t="str">
            <v>Пивченкова Наталья Александровна</v>
          </cell>
          <cell r="B2528">
            <v>79263206950</v>
          </cell>
        </row>
        <row r="2529">
          <cell r="A2529" t="str">
            <v>Пигущев Сергей Владимирович</v>
          </cell>
          <cell r="B2529">
            <v>79832153811</v>
          </cell>
        </row>
        <row r="2530">
          <cell r="A2530" t="str">
            <v>Пикалов Евгений Витальевич</v>
          </cell>
          <cell r="B2530">
            <v>79110353252</v>
          </cell>
        </row>
        <row r="2531">
          <cell r="A2531" t="str">
            <v>Пиксайкин Денис Владимирович</v>
          </cell>
          <cell r="B2531">
            <v>79299898532</v>
          </cell>
        </row>
        <row r="2532">
          <cell r="A2532" t="str">
            <v>Пилия Владимир Варламович</v>
          </cell>
          <cell r="B2532">
            <v>79184008280</v>
          </cell>
        </row>
        <row r="2533">
          <cell r="A2533" t="str">
            <v>Пилосов Павел Петрович</v>
          </cell>
          <cell r="B2533">
            <v>79859983172</v>
          </cell>
        </row>
        <row r="2534">
          <cell r="A2534" t="str">
            <v>Пилюгин Николай Михайлович</v>
          </cell>
          <cell r="B2534">
            <v>79259089199</v>
          </cell>
        </row>
        <row r="2535">
          <cell r="A2535" t="str">
            <v>Пилюгин Николай Михайлович</v>
          </cell>
          <cell r="B2535">
            <v>79997878121</v>
          </cell>
        </row>
        <row r="2536">
          <cell r="A2536" t="str">
            <v>Пилюгин Олег Васильевич</v>
          </cell>
          <cell r="B2536">
            <v>79802518283</v>
          </cell>
        </row>
        <row r="2537">
          <cell r="A2537" t="str">
            <v>Пименов Юрий Сергеевич</v>
          </cell>
          <cell r="B2537">
            <v>79663606677</v>
          </cell>
        </row>
        <row r="2538">
          <cell r="A2538" t="str">
            <v>Пиминов Александр Петрович</v>
          </cell>
          <cell r="B2538">
            <v>79149631181</v>
          </cell>
        </row>
        <row r="2539">
          <cell r="A2539" t="str">
            <v>Пинясов Александр Степанович</v>
          </cell>
          <cell r="B2539">
            <v>79774497100</v>
          </cell>
        </row>
        <row r="2540">
          <cell r="A2540" t="str">
            <v>Пиртахия Кето Джемаловна</v>
          </cell>
          <cell r="B2540">
            <v>79055155008</v>
          </cell>
        </row>
        <row r="2541">
          <cell r="A2541" t="str">
            <v>Писаренко Сергей Алексеевич</v>
          </cell>
          <cell r="B2541">
            <v>79772611734</v>
          </cell>
        </row>
        <row r="2542">
          <cell r="A2542" t="str">
            <v>Пискарев Алексей Викторович</v>
          </cell>
          <cell r="B2542">
            <v>79271585968</v>
          </cell>
        </row>
        <row r="2543">
          <cell r="A2543" t="str">
            <v>Питателев Вадим Сергеевич</v>
          </cell>
          <cell r="B2543">
            <v>79520990943</v>
          </cell>
        </row>
        <row r="2544">
          <cell r="A2544" t="str">
            <v>ПКБ НТТ ООО</v>
          </cell>
          <cell r="B2544">
            <v>79033458814</v>
          </cell>
        </row>
        <row r="2545">
          <cell r="A2545" t="str">
            <v>Плаксина Алина Ильинична</v>
          </cell>
          <cell r="B2545">
            <v>79264711620</v>
          </cell>
        </row>
        <row r="2546">
          <cell r="A2546" t="str">
            <v>Плаксина Ольга Михайловна</v>
          </cell>
          <cell r="B2546">
            <v>79032264798</v>
          </cell>
        </row>
        <row r="2547">
          <cell r="A2547" t="str">
            <v>Платова Наталья Михайловна</v>
          </cell>
          <cell r="B2547">
            <v>79153843888</v>
          </cell>
        </row>
        <row r="2548">
          <cell r="A2548" t="str">
            <v>Платонов Николай Владимирович</v>
          </cell>
          <cell r="B2548">
            <v>79821136983</v>
          </cell>
        </row>
        <row r="2549">
          <cell r="A2549" t="str">
            <v>Плетнев Борис Валерьевич</v>
          </cell>
          <cell r="B2549">
            <v>79151909797</v>
          </cell>
        </row>
        <row r="2550">
          <cell r="A2550" t="str">
            <v>Плетнева Светлана Дмитриевна</v>
          </cell>
          <cell r="B2550">
            <v>79265737906</v>
          </cell>
        </row>
        <row r="2551">
          <cell r="A2551" t="str">
            <v>Плищенко Андрей Владимирович</v>
          </cell>
          <cell r="B2551">
            <v>79189591189</v>
          </cell>
        </row>
        <row r="2552">
          <cell r="A2552" t="str">
            <v>Плотников Николай Алексеевич</v>
          </cell>
          <cell r="B2552">
            <v>79169194220</v>
          </cell>
        </row>
        <row r="2553">
          <cell r="A2553" t="str">
            <v>Плохих Дмитрий Владимирович</v>
          </cell>
          <cell r="B2553">
            <v>79067357776</v>
          </cell>
        </row>
        <row r="2554">
          <cell r="A2554" t="str">
            <v>Плющ Татьяна Владимировна</v>
          </cell>
          <cell r="B2554">
            <v>79883424571</v>
          </cell>
        </row>
        <row r="2555">
          <cell r="A2555" t="str">
            <v>Плющев Максим Александрович</v>
          </cell>
          <cell r="B2555">
            <v>79031366134</v>
          </cell>
        </row>
        <row r="2556">
          <cell r="A2556" t="str">
            <v>Погорелов Александр Владимирович</v>
          </cell>
          <cell r="B2556">
            <v>79265669250</v>
          </cell>
        </row>
        <row r="2557">
          <cell r="A2557" t="str">
            <v>Погосян Анан Кайраманович</v>
          </cell>
          <cell r="B2557">
            <v>79055818444</v>
          </cell>
        </row>
        <row r="2558">
          <cell r="A2558" t="str">
            <v>Погосян Араик Акобович</v>
          </cell>
          <cell r="B2558">
            <v>79850863266</v>
          </cell>
        </row>
        <row r="2559">
          <cell r="A2559" t="str">
            <v>Погосян Давид Грачьяевич</v>
          </cell>
          <cell r="B2559">
            <v>79250295009</v>
          </cell>
        </row>
        <row r="2560">
          <cell r="A2560" t="str">
            <v>Погосян Мелания Гарниковна</v>
          </cell>
          <cell r="B2560">
            <v>79263943440</v>
          </cell>
        </row>
        <row r="2561">
          <cell r="A2561" t="str">
            <v>Погосян Самвел Михайлович</v>
          </cell>
          <cell r="B2561">
            <v>79683423333</v>
          </cell>
        </row>
        <row r="2562">
          <cell r="A2562" t="str">
            <v>Погребняк Константин Николаевич</v>
          </cell>
          <cell r="B2562">
            <v>79216590909</v>
          </cell>
        </row>
        <row r="2563">
          <cell r="A2563" t="str">
            <v>Погребняк Федор Олегович</v>
          </cell>
          <cell r="B2563">
            <v>79169895491</v>
          </cell>
        </row>
        <row r="2564">
          <cell r="A2564" t="str">
            <v>Погудин Вячеслав Сергеевич</v>
          </cell>
          <cell r="B2564">
            <v>79517690106</v>
          </cell>
        </row>
        <row r="2565">
          <cell r="A2565" t="str">
            <v>Подвербный Сергей Михайлович</v>
          </cell>
          <cell r="B2565">
            <v>79651101413</v>
          </cell>
        </row>
        <row r="2566">
          <cell r="A2566" t="str">
            <v>Поддубный Николай Станиславович</v>
          </cell>
          <cell r="B2566">
            <v>79175996075</v>
          </cell>
        </row>
        <row r="2567">
          <cell r="A2567" t="str">
            <v>Подкырмежный Алексей Иванович</v>
          </cell>
          <cell r="B2567">
            <v>79037959727</v>
          </cell>
        </row>
        <row r="2568">
          <cell r="A2568" t="str">
            <v>Подлинный Александр Владимирович</v>
          </cell>
          <cell r="B2568">
            <v>79096337705</v>
          </cell>
        </row>
        <row r="2569">
          <cell r="A2569" t="str">
            <v>Подозеров Андрей Сергеевич</v>
          </cell>
          <cell r="B2569">
            <v>79312302300</v>
          </cell>
        </row>
        <row r="2570">
          <cell r="A2570" t="str">
            <v>Подстрешный Сергей Валентинович</v>
          </cell>
          <cell r="B2570">
            <v>79269190926</v>
          </cell>
        </row>
        <row r="2571">
          <cell r="A2571" t="str">
            <v>Подтуркин Алексей Сергеевич</v>
          </cell>
          <cell r="B2571">
            <v>79191349401</v>
          </cell>
        </row>
        <row r="2572">
          <cell r="A2572" t="str">
            <v>Подчуфарова Лариса Николаевна</v>
          </cell>
          <cell r="B2572">
            <v>79164869058</v>
          </cell>
        </row>
        <row r="2573">
          <cell r="A2573" t="str">
            <v>Поздеева Мария Александровна</v>
          </cell>
          <cell r="B2573">
            <v>79873246028</v>
          </cell>
        </row>
        <row r="2574">
          <cell r="A2574" t="str">
            <v>Позднякова Надежда Владимировна</v>
          </cell>
          <cell r="B2574">
            <v>79881748036</v>
          </cell>
        </row>
        <row r="2575">
          <cell r="A2575" t="str">
            <v>Покатаев Андрей Борисович</v>
          </cell>
          <cell r="B2575">
            <v>79162176242</v>
          </cell>
        </row>
        <row r="2576">
          <cell r="A2576" t="str">
            <v>Политова Лариса Егоровна</v>
          </cell>
          <cell r="B2576">
            <v>79082579926</v>
          </cell>
        </row>
        <row r="2577">
          <cell r="A2577" t="str">
            <v>Полищук Александр Константинович</v>
          </cell>
          <cell r="B2577">
            <v>79150808724</v>
          </cell>
        </row>
        <row r="2578">
          <cell r="A2578" t="str">
            <v>Полищук Кирилл Владимирович</v>
          </cell>
          <cell r="B2578">
            <v>79265816862</v>
          </cell>
        </row>
        <row r="2579">
          <cell r="A2579" t="str">
            <v>Полоз Александр Иванович</v>
          </cell>
          <cell r="B2579">
            <v>79265793498</v>
          </cell>
        </row>
        <row r="2580">
          <cell r="A2580" t="str">
            <v>Полонская Кристина Эдуардовна</v>
          </cell>
          <cell r="B2580">
            <v>79258818132</v>
          </cell>
        </row>
        <row r="2581">
          <cell r="A2581" t="str">
            <v>Полханов Владимир Николаевич</v>
          </cell>
          <cell r="B2581">
            <v>79267512775</v>
          </cell>
        </row>
        <row r="2582">
          <cell r="A2582" t="str">
            <v>Поляков Евгений Сергеевич</v>
          </cell>
          <cell r="B2582">
            <v>79065448815</v>
          </cell>
        </row>
        <row r="2583">
          <cell r="A2583" t="str">
            <v>Полякова Вера Владимировна</v>
          </cell>
          <cell r="B2583">
            <v>79859736502</v>
          </cell>
        </row>
        <row r="2584">
          <cell r="A2584" t="str">
            <v>Полякова Вера Владимировна</v>
          </cell>
          <cell r="B2584">
            <v>79260079962</v>
          </cell>
        </row>
        <row r="2585">
          <cell r="A2585" t="str">
            <v>Полякова Дарья Евгеньевна</v>
          </cell>
          <cell r="B2585">
            <v>79326199360</v>
          </cell>
        </row>
        <row r="2586">
          <cell r="A2586" t="str">
            <v>Полякова Ирина Владимировна</v>
          </cell>
          <cell r="B2586">
            <v>79502431120</v>
          </cell>
        </row>
        <row r="2587">
          <cell r="A2587" t="str">
            <v>Полякова Светлана Евгеньевна</v>
          </cell>
          <cell r="B2587">
            <v>79037156208</v>
          </cell>
        </row>
        <row r="2588">
          <cell r="A2588" t="str">
            <v>Полякова Татьяна Константиновна</v>
          </cell>
          <cell r="B2588">
            <v>79269099633</v>
          </cell>
        </row>
        <row r="2589">
          <cell r="A2589" t="str">
            <v>Поляруш Ирина Валерьевна</v>
          </cell>
          <cell r="B2589">
            <v>79050979789</v>
          </cell>
        </row>
        <row r="2590">
          <cell r="A2590" t="str">
            <v>Понкратьев Александр Алексеевич</v>
          </cell>
          <cell r="B2590">
            <v>79260820822</v>
          </cell>
        </row>
        <row r="2591">
          <cell r="A2591" t="str">
            <v>Понкратьев Александр Алексеевич</v>
          </cell>
          <cell r="B2591">
            <v>79602221022</v>
          </cell>
        </row>
        <row r="2592">
          <cell r="A2592" t="str">
            <v>Пономаренко Алексей Алексеевич</v>
          </cell>
          <cell r="B2592">
            <v>79219454233</v>
          </cell>
        </row>
        <row r="2593">
          <cell r="A2593" t="str">
            <v>Пономаренко Михаил Юрьевич</v>
          </cell>
          <cell r="B2593">
            <v>79217749704</v>
          </cell>
        </row>
        <row r="2594">
          <cell r="A2594" t="str">
            <v>Пономаренко Оксана Владимировна</v>
          </cell>
          <cell r="B2594">
            <v>79263459578</v>
          </cell>
        </row>
        <row r="2595">
          <cell r="A2595" t="str">
            <v>Пономаренко Ярослав Владимирович</v>
          </cell>
          <cell r="B2595">
            <v>79165607555</v>
          </cell>
        </row>
        <row r="2596">
          <cell r="A2596" t="str">
            <v>Пономарчук Андрей Борисович</v>
          </cell>
          <cell r="B2596">
            <v>79037970956</v>
          </cell>
        </row>
        <row r="2597">
          <cell r="A2597" t="str">
            <v>Попков Вадим Борисович</v>
          </cell>
          <cell r="B2597">
            <v>79166220182</v>
          </cell>
        </row>
        <row r="2598">
          <cell r="A2598" t="str">
            <v>Попков Вадим Борисович</v>
          </cell>
          <cell r="B2598">
            <v>79166703637</v>
          </cell>
        </row>
        <row r="2599">
          <cell r="A2599" t="str">
            <v>Поплавков Александр Петрович</v>
          </cell>
          <cell r="B2599">
            <v>79254232555</v>
          </cell>
        </row>
        <row r="2600">
          <cell r="A2600" t="str">
            <v>Попов Борис Сергеевич</v>
          </cell>
          <cell r="B2600">
            <v>79633159560</v>
          </cell>
        </row>
        <row r="2601">
          <cell r="A2601" t="str">
            <v>Попов Виктор Вячеславович</v>
          </cell>
          <cell r="B2601">
            <v>79032553195</v>
          </cell>
        </row>
        <row r="2602">
          <cell r="A2602" t="str">
            <v>Попов Григорий Сергеевич</v>
          </cell>
          <cell r="B2602">
            <v>79691066600</v>
          </cell>
        </row>
        <row r="2603">
          <cell r="A2603" t="str">
            <v>Попов Дмитрий Александрович</v>
          </cell>
          <cell r="B2603">
            <v>7999887077</v>
          </cell>
        </row>
        <row r="2604">
          <cell r="A2604" t="str">
            <v>Попов Михаил Александрович</v>
          </cell>
          <cell r="B2604">
            <v>79821033358</v>
          </cell>
        </row>
        <row r="2605">
          <cell r="A2605" t="str">
            <v>Попов Роман Николаевич</v>
          </cell>
          <cell r="B2605">
            <v>79851150459</v>
          </cell>
        </row>
        <row r="2606">
          <cell r="A2606" t="str">
            <v>Попов Роман Николаевич</v>
          </cell>
          <cell r="B2606">
            <v>79851150459</v>
          </cell>
        </row>
        <row r="2607">
          <cell r="A2607" t="str">
            <v>Попов Станислав Сергеевич</v>
          </cell>
          <cell r="B2607">
            <v>79111171561</v>
          </cell>
        </row>
        <row r="2608">
          <cell r="A2608" t="str">
            <v>Попова Марина Львовна</v>
          </cell>
          <cell r="B2608">
            <v>79296703023</v>
          </cell>
        </row>
        <row r="2609">
          <cell r="A2609" t="str">
            <v>Попова Марина Львовна</v>
          </cell>
          <cell r="B2609">
            <v>79999677017</v>
          </cell>
        </row>
        <row r="2610">
          <cell r="A2610" t="str">
            <v>Попова Мария Спиридоновна</v>
          </cell>
          <cell r="B2610">
            <v>79383128283</v>
          </cell>
        </row>
        <row r="2611">
          <cell r="A2611" t="str">
            <v>Посвенчук Владислав Андреевич</v>
          </cell>
          <cell r="B2611">
            <v>79779373261</v>
          </cell>
        </row>
        <row r="2612">
          <cell r="A2612" t="str">
            <v>Постников Петр Александрович</v>
          </cell>
          <cell r="B2612">
            <v>79263520833</v>
          </cell>
        </row>
        <row r="2613">
          <cell r="A2613" t="str">
            <v>Постникова Наталья Александровна</v>
          </cell>
          <cell r="B2613">
            <v>79859680643</v>
          </cell>
        </row>
        <row r="2614">
          <cell r="A2614" t="str">
            <v>Потанина Юлия Павловна</v>
          </cell>
          <cell r="B2614">
            <v>79118115016</v>
          </cell>
        </row>
        <row r="2615">
          <cell r="A2615" t="str">
            <v>Потапов Виталий Борисович</v>
          </cell>
          <cell r="B2615">
            <v>79885596245</v>
          </cell>
        </row>
        <row r="2616">
          <cell r="A2616" t="str">
            <v>Потапов Эдуард Викторович</v>
          </cell>
          <cell r="B2616">
            <v>79035922793</v>
          </cell>
        </row>
        <row r="2617">
          <cell r="A2617" t="str">
            <v>Потапская Светлана Владимировна</v>
          </cell>
          <cell r="B2617">
            <v>79852650505</v>
          </cell>
        </row>
        <row r="2618">
          <cell r="A2618" t="str">
            <v>Потёмкин Алексей Николаевич</v>
          </cell>
          <cell r="B2618">
            <v>79153264781</v>
          </cell>
        </row>
        <row r="2619">
          <cell r="A2619" t="str">
            <v>Потёмкина Юлия Сергеевна</v>
          </cell>
          <cell r="B2619">
            <v>79107086382</v>
          </cell>
        </row>
        <row r="2620">
          <cell r="A2620" t="str">
            <v>Почапский Антон Вячеславович</v>
          </cell>
          <cell r="B2620">
            <v>79372025353</v>
          </cell>
        </row>
        <row r="2621">
          <cell r="A2621" t="str">
            <v>Почестнева Мария Андреевна</v>
          </cell>
          <cell r="B2621">
            <v>79096337131</v>
          </cell>
        </row>
        <row r="2622">
          <cell r="A2622" t="str">
            <v>Правдивцева Наталья Владимировна</v>
          </cell>
          <cell r="B2622">
            <v>79017232908</v>
          </cell>
        </row>
        <row r="2623">
          <cell r="A2623" t="str">
            <v>Прасолов Владимир Анатольевич</v>
          </cell>
          <cell r="B2623">
            <v>79151525613</v>
          </cell>
        </row>
        <row r="2624">
          <cell r="A2624" t="str">
            <v>Прач Денис Сергеевич</v>
          </cell>
          <cell r="B2624">
            <v>79779482852</v>
          </cell>
        </row>
        <row r="2625">
          <cell r="A2625" t="str">
            <v>Преснецов Андрей Владимирович</v>
          </cell>
          <cell r="B2625">
            <v>79821779947</v>
          </cell>
        </row>
        <row r="2626">
          <cell r="A2626" t="str">
            <v>Примаков Владимир Сергеевич</v>
          </cell>
          <cell r="B2626">
            <v>79198420532</v>
          </cell>
        </row>
        <row r="2627">
          <cell r="A2627" t="str">
            <v>Примаков Владимир Сергеевич</v>
          </cell>
          <cell r="B2627">
            <v>79538345934</v>
          </cell>
        </row>
        <row r="2628">
          <cell r="A2628" t="str">
            <v>Присадов Алексей Владимирович</v>
          </cell>
          <cell r="B2628">
            <v>79855697095</v>
          </cell>
        </row>
        <row r="2629">
          <cell r="A2629" t="str">
            <v>Приходько Евгений Анатольевич</v>
          </cell>
          <cell r="B2629">
            <v>79673430000</v>
          </cell>
        </row>
        <row r="2630">
          <cell r="A2630" t="str">
            <v>Пришко Елена Витальевна</v>
          </cell>
          <cell r="B2630">
            <v>79999991999</v>
          </cell>
        </row>
        <row r="2631">
          <cell r="A2631" t="str">
            <v>Пришко Елена Витальевна</v>
          </cell>
          <cell r="B2631">
            <v>79515252965</v>
          </cell>
        </row>
        <row r="2632">
          <cell r="A2632" t="str">
            <v>Проклов Игорь Петрович</v>
          </cell>
          <cell r="B2632">
            <v>79605961359</v>
          </cell>
        </row>
        <row r="2633">
          <cell r="A2633" t="str">
            <v>Прокопенко Александр Иванович</v>
          </cell>
          <cell r="B2633">
            <v>79654395894</v>
          </cell>
        </row>
        <row r="2634">
          <cell r="A2634" t="str">
            <v>Прокопенко Дмитрий Петрович</v>
          </cell>
          <cell r="B2634">
            <v>79660300070</v>
          </cell>
        </row>
        <row r="2635">
          <cell r="A2635" t="str">
            <v>Прокофьев Андрей Павлович</v>
          </cell>
          <cell r="B2635">
            <v>79282343323</v>
          </cell>
        </row>
        <row r="2636">
          <cell r="A2636" t="str">
            <v>Прокофьев Виталий Вячеславович</v>
          </cell>
          <cell r="B2636">
            <v>79060978613</v>
          </cell>
        </row>
        <row r="2637">
          <cell r="A2637" t="str">
            <v>Прокофьев Никита Вячеславович</v>
          </cell>
          <cell r="B2637">
            <v>79219542458</v>
          </cell>
        </row>
        <row r="2638">
          <cell r="A2638" t="str">
            <v>ПРОМХИМ-ВЭД ООО</v>
          </cell>
          <cell r="B2638">
            <v>79057124488</v>
          </cell>
        </row>
        <row r="2639">
          <cell r="A2639" t="str">
            <v>Пронина Кристина Валерьевна</v>
          </cell>
          <cell r="B2639">
            <v>79183056561</v>
          </cell>
        </row>
        <row r="2640">
          <cell r="A2640" t="str">
            <v>Пронина Кристина Яковлевна</v>
          </cell>
          <cell r="B2640">
            <v>79645781616</v>
          </cell>
        </row>
        <row r="2641">
          <cell r="A2641" t="str">
            <v>Пронина Оксана Анатольевна</v>
          </cell>
          <cell r="B2641">
            <v>79209165150</v>
          </cell>
        </row>
        <row r="2642">
          <cell r="A2642" t="str">
            <v>Пронькин Дмитрий Викторович</v>
          </cell>
          <cell r="B2642">
            <v>79875038713</v>
          </cell>
        </row>
        <row r="2643">
          <cell r="A2643" t="str">
            <v>Проняев Сергей Викторович</v>
          </cell>
          <cell r="B2643">
            <v>79153097335</v>
          </cell>
        </row>
        <row r="2644">
          <cell r="A2644" t="str">
            <v>Протасов Александр Николаевич</v>
          </cell>
          <cell r="B2644">
            <v>79672651789</v>
          </cell>
        </row>
        <row r="2645">
          <cell r="A2645" t="str">
            <v>Протасов Денис Николаевич</v>
          </cell>
          <cell r="B2645" t="str">
            <v/>
          </cell>
        </row>
        <row r="2646">
          <cell r="A2646" t="str">
            <v>Прохоров Александр Владимирович</v>
          </cell>
          <cell r="B2646">
            <v>79307268930</v>
          </cell>
        </row>
        <row r="2647">
          <cell r="A2647" t="str">
            <v>Прохоров Денис Викторович</v>
          </cell>
          <cell r="B2647">
            <v>79261163906</v>
          </cell>
        </row>
        <row r="2648">
          <cell r="A2648" t="str">
            <v>Прохорова Лариса Александровна</v>
          </cell>
          <cell r="B2648">
            <v>79536402725</v>
          </cell>
        </row>
        <row r="2649">
          <cell r="A2649" t="str">
            <v>Прохорова Наталья Васильевна</v>
          </cell>
          <cell r="B2649">
            <v>79268786680</v>
          </cell>
        </row>
        <row r="2650">
          <cell r="A2650" t="str">
            <v>Прохорова Наталья Васильевна</v>
          </cell>
          <cell r="B2650">
            <v>79262446405</v>
          </cell>
        </row>
        <row r="2651">
          <cell r="A2651" t="str">
            <v>Прусаков Максим Владимирович</v>
          </cell>
          <cell r="B2651">
            <v>79006904761</v>
          </cell>
        </row>
        <row r="2652">
          <cell r="A2652" t="str">
            <v>Пугин Дмитрий Михайлович</v>
          </cell>
          <cell r="B2652">
            <v>79260621118</v>
          </cell>
        </row>
        <row r="2653">
          <cell r="A2653" t="str">
            <v>Пудлич Ульяна Петровна</v>
          </cell>
          <cell r="B2653">
            <v>79397830641</v>
          </cell>
        </row>
        <row r="2654">
          <cell r="A2654" t="str">
            <v>Пуляев Михаил Николаевич</v>
          </cell>
          <cell r="B2654">
            <v>79218877433</v>
          </cell>
        </row>
        <row r="2655">
          <cell r="A2655" t="str">
            <v>Пустовойтов Сергей Николаевич</v>
          </cell>
          <cell r="B2655">
            <v>79629392967</v>
          </cell>
        </row>
        <row r="2656">
          <cell r="A2656" t="str">
            <v>Путря Сергей Федорович</v>
          </cell>
          <cell r="B2656">
            <v>79181970105</v>
          </cell>
        </row>
        <row r="2657">
          <cell r="A2657" t="str">
            <v>Пушкарев Александр Борисович</v>
          </cell>
          <cell r="B2657">
            <v>79112345885</v>
          </cell>
        </row>
        <row r="2658">
          <cell r="A2658" t="str">
            <v>Пушкарев Александр Юрьевич</v>
          </cell>
          <cell r="B2658">
            <v>79181360267</v>
          </cell>
        </row>
        <row r="2659">
          <cell r="A2659" t="str">
            <v>Пушкарева Виолетта Алексеевна</v>
          </cell>
          <cell r="B2659">
            <v>79146692870</v>
          </cell>
        </row>
        <row r="2660">
          <cell r="A2660" t="str">
            <v>Пушков Алексей Владимирович</v>
          </cell>
          <cell r="B2660">
            <v>79212515566</v>
          </cell>
        </row>
        <row r="2661">
          <cell r="A2661" t="str">
            <v>Пшеничников Дмитрий Станиславович</v>
          </cell>
          <cell r="B2661">
            <v>79222155131</v>
          </cell>
        </row>
        <row r="2662">
          <cell r="A2662" t="str">
            <v>Пыдык Сергей Васильевич</v>
          </cell>
          <cell r="B2662">
            <v>79895113623</v>
          </cell>
        </row>
        <row r="2663">
          <cell r="A2663" t="str">
            <v>Пыхтин Александр Владимирович</v>
          </cell>
          <cell r="B2663">
            <v>79151919240</v>
          </cell>
        </row>
        <row r="2664">
          <cell r="A2664" t="str">
            <v>Пятунин Вадим Геннадьевич</v>
          </cell>
          <cell r="B2664">
            <v>79047825032</v>
          </cell>
        </row>
        <row r="2665">
          <cell r="A2665" t="str">
            <v>Рагимов Рафик Балайевич</v>
          </cell>
          <cell r="B2665">
            <v>79374216566</v>
          </cell>
        </row>
        <row r="2666">
          <cell r="A2666" t="str">
            <v>Радев Николай Васильевич</v>
          </cell>
          <cell r="B2666">
            <v>79035063758</v>
          </cell>
        </row>
        <row r="2667">
          <cell r="A2667" t="str">
            <v>Раджабалиева Саният Рамазановна</v>
          </cell>
          <cell r="B2667">
            <v>79284186057</v>
          </cell>
        </row>
        <row r="2668">
          <cell r="A2668" t="str">
            <v>Раджабов Рахматулло Хакимович</v>
          </cell>
          <cell r="B2668">
            <v>79167836999</v>
          </cell>
        </row>
        <row r="2669">
          <cell r="A2669" t="str">
            <v>Радукан Вадим Александрович</v>
          </cell>
          <cell r="B2669">
            <v>79951212023</v>
          </cell>
        </row>
        <row r="2670">
          <cell r="A2670" t="str">
            <v>Радченко Виктор Виталиюсович</v>
          </cell>
          <cell r="B2670">
            <v>79851338814</v>
          </cell>
        </row>
        <row r="2671">
          <cell r="A2671" t="str">
            <v>Радыш Сергей Романович</v>
          </cell>
          <cell r="B2671">
            <v>79622770058</v>
          </cell>
        </row>
        <row r="2672">
          <cell r="A2672" t="str">
            <v>Радь Игорь Михайлович</v>
          </cell>
          <cell r="B2672">
            <v>79258915636</v>
          </cell>
        </row>
        <row r="2673">
          <cell r="A2673" t="str">
            <v>Радько Владимир Петрович</v>
          </cell>
          <cell r="B2673">
            <v>79163813242</v>
          </cell>
        </row>
        <row r="2674">
          <cell r="A2674" t="str">
            <v>Раздольев Михаил Анатольевич</v>
          </cell>
          <cell r="B2674">
            <v>79167410359</v>
          </cell>
        </row>
        <row r="2675">
          <cell r="A2675" t="str">
            <v>Разумова Ольга Владимировна</v>
          </cell>
          <cell r="B2675">
            <v>79267091254</v>
          </cell>
        </row>
        <row r="2676">
          <cell r="A2676" t="str">
            <v>Райков Дмитрий Васильевич</v>
          </cell>
          <cell r="B2676">
            <v>79629036084</v>
          </cell>
        </row>
        <row r="2677">
          <cell r="A2677" t="str">
            <v>Ракитенко Николай Сергеевич</v>
          </cell>
          <cell r="B2677">
            <v>79779026405</v>
          </cell>
        </row>
        <row r="2678">
          <cell r="A2678" t="str">
            <v>Ракитский Антон Николаевич</v>
          </cell>
          <cell r="B2678">
            <v>79060975258</v>
          </cell>
        </row>
        <row r="2679">
          <cell r="A2679" t="str">
            <v>Рамазанов Абакар Рамазанович</v>
          </cell>
          <cell r="B2679">
            <v>79674060120</v>
          </cell>
        </row>
        <row r="2680">
          <cell r="A2680" t="str">
            <v>Рамазанов Виталий Зейнудинович</v>
          </cell>
          <cell r="B2680">
            <v>79288031326</v>
          </cell>
        </row>
        <row r="2681">
          <cell r="A2681" t="str">
            <v>Рамазанова Асия Куанышевна</v>
          </cell>
          <cell r="B2681">
            <v>79169598563</v>
          </cell>
        </row>
        <row r="2682">
          <cell r="A2682" t="str">
            <v>Рамишвили Марина Зурабовна</v>
          </cell>
          <cell r="B2682">
            <v>79035571505</v>
          </cell>
        </row>
        <row r="2683">
          <cell r="A2683" t="str">
            <v>Рассказов Максим Владимирович</v>
          </cell>
          <cell r="B2683">
            <v>79771704067</v>
          </cell>
        </row>
        <row r="2684">
          <cell r="A2684" t="str">
            <v>Рассказова Наталия Степановна</v>
          </cell>
          <cell r="B2684">
            <v>79136063605</v>
          </cell>
        </row>
        <row r="2685">
          <cell r="A2685" t="str">
            <v>Расулов Ахмедхан Саидбекович</v>
          </cell>
          <cell r="B2685">
            <v>79684450505</v>
          </cell>
        </row>
        <row r="2686">
          <cell r="A2686" t="str">
            <v>Ратникова Евгения Александровна</v>
          </cell>
          <cell r="B2686" t="str">
            <v/>
          </cell>
        </row>
        <row r="2687">
          <cell r="A2687" t="str">
            <v>Ратчина Эльвира Олеговна</v>
          </cell>
          <cell r="B2687">
            <v>79197233364</v>
          </cell>
        </row>
        <row r="2688">
          <cell r="A2688" t="str">
            <v>Рафаилов Ефим Годович</v>
          </cell>
          <cell r="B2688">
            <v>79254924727</v>
          </cell>
        </row>
        <row r="2689">
          <cell r="A2689" t="str">
            <v>Рахимов Фарход Каримович</v>
          </cell>
          <cell r="B2689">
            <v>79967770177</v>
          </cell>
        </row>
        <row r="2690">
          <cell r="A2690" t="str">
            <v>Рахманов Данил Алексеевич</v>
          </cell>
          <cell r="B2690">
            <v>79998195377</v>
          </cell>
        </row>
        <row r="2691">
          <cell r="A2691" t="str">
            <v>Реберт Катарина Александровна</v>
          </cell>
          <cell r="B2691">
            <v>79057228435</v>
          </cell>
        </row>
        <row r="2692">
          <cell r="A2692" t="str">
            <v>Ребик Ольга Валерьевна</v>
          </cell>
          <cell r="B2692">
            <v>79103340114</v>
          </cell>
        </row>
        <row r="2693">
          <cell r="A2693" t="str">
            <v>Ребик Ольга Валерьевна</v>
          </cell>
          <cell r="B2693">
            <v>79192952341</v>
          </cell>
        </row>
        <row r="2694">
          <cell r="A2694" t="str">
            <v>Ребус Юлия Дмитриевна</v>
          </cell>
          <cell r="B2694">
            <v>79035659080</v>
          </cell>
        </row>
        <row r="2695">
          <cell r="A2695" t="str">
            <v>Рева Анастасия Владимировна</v>
          </cell>
          <cell r="B2695">
            <v>79997966127</v>
          </cell>
        </row>
        <row r="2696">
          <cell r="A2696" t="str">
            <v>Резников Сергей Владимирович</v>
          </cell>
          <cell r="B2696">
            <v>79265343777</v>
          </cell>
        </row>
        <row r="2697">
          <cell r="A2697" t="str">
            <v>Резникова Надежда Юрьевна</v>
          </cell>
          <cell r="B2697">
            <v>79775896620</v>
          </cell>
        </row>
        <row r="2698">
          <cell r="A2698" t="str">
            <v>Релич Владимир Николаевич</v>
          </cell>
          <cell r="B2698">
            <v>79586436170</v>
          </cell>
        </row>
        <row r="2699">
          <cell r="A2699" t="str">
            <v>Рементов Валерий Николаевич</v>
          </cell>
          <cell r="B2699">
            <v>79777142464</v>
          </cell>
        </row>
        <row r="2700">
          <cell r="A2700" t="str">
            <v>Репницын Александр Александрович</v>
          </cell>
          <cell r="B2700">
            <v>79265962105</v>
          </cell>
        </row>
        <row r="2701">
          <cell r="A2701" t="str">
            <v>Репухов Вадим Вадимович</v>
          </cell>
          <cell r="B2701">
            <v>79853166290</v>
          </cell>
        </row>
        <row r="2702">
          <cell r="A2702" t="str">
            <v>Рехтина Екатерина Яковлевна</v>
          </cell>
          <cell r="B2702">
            <v>79264908199</v>
          </cell>
        </row>
        <row r="2703">
          <cell r="A2703" t="str">
            <v>Решетников Алексей Николаевич</v>
          </cell>
          <cell r="B2703">
            <v>79219078001</v>
          </cell>
        </row>
        <row r="2704">
          <cell r="A2704" t="str">
            <v>Решетникова Татьяна Алексеевна</v>
          </cell>
          <cell r="B2704">
            <v>79026353603</v>
          </cell>
        </row>
        <row r="2705">
          <cell r="A2705" t="str">
            <v>РИГЕЛЬ ООО</v>
          </cell>
          <cell r="B2705">
            <v>79067105181</v>
          </cell>
        </row>
        <row r="2706">
          <cell r="A2706" t="str">
            <v>Рикшпун Татьяна Александровна</v>
          </cell>
          <cell r="B2706">
            <v>79055552760</v>
          </cell>
        </row>
        <row r="2707">
          <cell r="A2707" t="str">
            <v>Римский Григорий Юрьевич</v>
          </cell>
          <cell r="B2707">
            <v>79117860555</v>
          </cell>
        </row>
        <row r="2708">
          <cell r="A2708" t="str">
            <v>Римский Григорий Юрьевич</v>
          </cell>
          <cell r="B2708">
            <v>79500192462</v>
          </cell>
        </row>
        <row r="2709">
          <cell r="A2709" t="str">
            <v>Ришко Василий Васильевич</v>
          </cell>
          <cell r="B2709">
            <v>79519261579</v>
          </cell>
        </row>
        <row r="2710">
          <cell r="A2710" t="str">
            <v>Рогава Ольга Евгеньевна</v>
          </cell>
          <cell r="B2710">
            <v>79856338888</v>
          </cell>
        </row>
        <row r="2711">
          <cell r="A2711" t="str">
            <v>Рогальская Нина Ивановна</v>
          </cell>
          <cell r="B2711">
            <v>79096331489</v>
          </cell>
        </row>
        <row r="2712">
          <cell r="A2712" t="str">
            <v>Рогальский Алексей Станиславович</v>
          </cell>
          <cell r="B2712">
            <v>79296544736</v>
          </cell>
        </row>
        <row r="2713">
          <cell r="A2713" t="str">
            <v>Рогов Андрей Николаевич</v>
          </cell>
          <cell r="B2713">
            <v>79057561894</v>
          </cell>
        </row>
        <row r="2714">
          <cell r="A2714" t="str">
            <v>Рогозина Диана Александровна</v>
          </cell>
          <cell r="B2714">
            <v>79811397967</v>
          </cell>
        </row>
        <row r="2715">
          <cell r="A2715" t="str">
            <v>Рогозина Инна Викторовна</v>
          </cell>
          <cell r="B2715">
            <v>79858126207</v>
          </cell>
        </row>
        <row r="2716">
          <cell r="A2716" t="str">
            <v>Родионов Павел Витальевич</v>
          </cell>
          <cell r="B2716">
            <v>79250673450</v>
          </cell>
        </row>
        <row r="2717">
          <cell r="A2717" t="str">
            <v>Рожин Андрей Павлович</v>
          </cell>
          <cell r="B2717">
            <v>79881523353</v>
          </cell>
        </row>
        <row r="2718">
          <cell r="A2718" t="str">
            <v>Рожкова Наталья Петровна</v>
          </cell>
          <cell r="B2718">
            <v>79260146032</v>
          </cell>
        </row>
        <row r="2719">
          <cell r="A2719" t="str">
            <v>Рожкова Светлана Юрьевна</v>
          </cell>
          <cell r="B2719">
            <v>79035488175</v>
          </cell>
        </row>
        <row r="2720">
          <cell r="A2720" t="str">
            <v>Розанов Сергей Александрович</v>
          </cell>
          <cell r="B2720">
            <v>79165419633</v>
          </cell>
        </row>
        <row r="2721">
          <cell r="A2721" t="str">
            <v>Ромазанов Николай Равильевич</v>
          </cell>
          <cell r="B2721">
            <v>79111104990</v>
          </cell>
        </row>
        <row r="2722">
          <cell r="A2722" t="str">
            <v>Ромайкина Анна Андреевна</v>
          </cell>
          <cell r="B2722">
            <v>79031286811</v>
          </cell>
        </row>
        <row r="2723">
          <cell r="A2723" t="str">
            <v>Романенко Антон Алексеевич</v>
          </cell>
          <cell r="B2723">
            <v>79154505588</v>
          </cell>
        </row>
        <row r="2724">
          <cell r="A2724" t="str">
            <v>Романов Алексей Викторович</v>
          </cell>
          <cell r="B2724">
            <v>79277774188</v>
          </cell>
        </row>
        <row r="2725">
          <cell r="A2725" t="str">
            <v>Романов Евгений Юрьевич</v>
          </cell>
          <cell r="B2725">
            <v>79161111516</v>
          </cell>
        </row>
        <row r="2726">
          <cell r="A2726" t="str">
            <v>Романова Анна Григорьевна</v>
          </cell>
          <cell r="B2726">
            <v>79153885548</v>
          </cell>
        </row>
        <row r="2727">
          <cell r="A2727" t="str">
            <v>Романова Юлия Юрьевна</v>
          </cell>
          <cell r="B2727">
            <v>79189187788</v>
          </cell>
        </row>
        <row r="2728">
          <cell r="A2728" t="str">
            <v>Романченко Григорий Максимович</v>
          </cell>
          <cell r="B2728">
            <v>79157509623</v>
          </cell>
        </row>
        <row r="2729">
          <cell r="A2729" t="str">
            <v>Романюк Александр Михайлович</v>
          </cell>
          <cell r="B2729">
            <v>79191771892</v>
          </cell>
        </row>
        <row r="2730">
          <cell r="A2730" t="str">
            <v>Роменский Иван Владимирович</v>
          </cell>
          <cell r="B2730">
            <v>79516457176</v>
          </cell>
        </row>
        <row r="2731">
          <cell r="A2731" t="str">
            <v>Роскошная Евгения Валерьевна</v>
          </cell>
          <cell r="B2731">
            <v>79522032333</v>
          </cell>
        </row>
        <row r="2732">
          <cell r="A2732" t="str">
            <v>Росляков Алексей Юрьевич</v>
          </cell>
          <cell r="B2732">
            <v>79119321972</v>
          </cell>
        </row>
        <row r="2733">
          <cell r="A2733" t="str">
            <v>Росляков Артем Владимирович</v>
          </cell>
          <cell r="B2733">
            <v>79660036024</v>
          </cell>
        </row>
        <row r="2734">
          <cell r="A2734" t="str">
            <v>Росляков Олег Николаевич</v>
          </cell>
          <cell r="B2734">
            <v>79617141702</v>
          </cell>
        </row>
        <row r="2735">
          <cell r="A2735" t="str">
            <v>Рубайло Андрей Евгеньевич</v>
          </cell>
          <cell r="B2735">
            <v>79067751593</v>
          </cell>
        </row>
        <row r="2736">
          <cell r="A2736" t="str">
            <v>Рубанов Алексей Андреевич</v>
          </cell>
          <cell r="B2736" t="str">
            <v/>
          </cell>
        </row>
        <row r="2737">
          <cell r="A2737" t="str">
            <v>Рубцов Михаил Викторович</v>
          </cell>
          <cell r="B2737">
            <v>79859687083</v>
          </cell>
        </row>
        <row r="2738">
          <cell r="A2738" t="str">
            <v>Рудаков Александр Александрович</v>
          </cell>
          <cell r="B2738" t="str">
            <v/>
          </cell>
        </row>
        <row r="2739">
          <cell r="A2739" t="str">
            <v>Руденко Сергей Александрович</v>
          </cell>
          <cell r="B2739">
            <v>79104604475</v>
          </cell>
        </row>
        <row r="2740">
          <cell r="A2740" t="str">
            <v>Руднев Николай Игоревич</v>
          </cell>
          <cell r="B2740">
            <v>79128693633</v>
          </cell>
        </row>
        <row r="2741">
          <cell r="A2741" t="str">
            <v>Рудяк Денис Викторович</v>
          </cell>
          <cell r="B2741">
            <v>79817987138</v>
          </cell>
        </row>
        <row r="2742">
          <cell r="A2742" t="str">
            <v>Ружьин Валерий Максимович</v>
          </cell>
          <cell r="B2742">
            <v>79104830999</v>
          </cell>
        </row>
        <row r="2743">
          <cell r="A2743" t="str">
            <v>Рузавина Наталья Викторовна</v>
          </cell>
          <cell r="B2743">
            <v>79134929319</v>
          </cell>
        </row>
        <row r="2744">
          <cell r="A2744" t="str">
            <v>Румянцев Александр Александрович</v>
          </cell>
          <cell r="B2744">
            <v>79030107432</v>
          </cell>
        </row>
        <row r="2745">
          <cell r="A2745" t="str">
            <v>Русак Игорь Иванович</v>
          </cell>
          <cell r="B2745">
            <v>79213226519</v>
          </cell>
        </row>
        <row r="2746">
          <cell r="A2746" t="str">
            <v>Русаков Александр Сергеевич</v>
          </cell>
          <cell r="B2746">
            <v>79617710959</v>
          </cell>
        </row>
        <row r="2747">
          <cell r="A2747" t="str">
            <v>Русанова Ксения Александровна</v>
          </cell>
          <cell r="B2747">
            <v>79850852211</v>
          </cell>
        </row>
        <row r="2748">
          <cell r="A2748" t="str">
            <v>Руссу Игорь</v>
          </cell>
          <cell r="B2748">
            <v>79266740830</v>
          </cell>
        </row>
        <row r="2749">
          <cell r="A2749" t="str">
            <v>Руштов Файзулло Руштович</v>
          </cell>
          <cell r="B2749">
            <v>79250227279</v>
          </cell>
        </row>
        <row r="2750">
          <cell r="A2750" t="str">
            <v>Рыбак Надежда Витальевна</v>
          </cell>
          <cell r="B2750">
            <v>79857713777</v>
          </cell>
        </row>
        <row r="2751">
          <cell r="A2751" t="str">
            <v>Рыбаков Алексей Андреевич</v>
          </cell>
          <cell r="B2751">
            <v>79165222813</v>
          </cell>
        </row>
        <row r="2752">
          <cell r="A2752" t="str">
            <v>Рыбаков Виктор Васильевич</v>
          </cell>
          <cell r="B2752">
            <v>79778192293</v>
          </cell>
        </row>
        <row r="2753">
          <cell r="A2753" t="str">
            <v>Рыбин Сергей Анатольевич</v>
          </cell>
          <cell r="B2753">
            <v>79161218962</v>
          </cell>
        </row>
        <row r="2754">
          <cell r="A2754" t="str">
            <v>Рыбникова Ольга Ивановна</v>
          </cell>
          <cell r="B2754">
            <v>79213231062</v>
          </cell>
        </row>
        <row r="2755">
          <cell r="A2755" t="str">
            <v>Рыжиков Сергей Алексеевич</v>
          </cell>
          <cell r="B2755">
            <v>79168623130</v>
          </cell>
        </row>
        <row r="2756">
          <cell r="A2756" t="str">
            <v>Рыжков Вячеслав Николаевич</v>
          </cell>
          <cell r="B2756">
            <v>79168567622</v>
          </cell>
        </row>
        <row r="2757">
          <cell r="A2757" t="str">
            <v>Рыжкова Ирина Владимировна</v>
          </cell>
          <cell r="B2757">
            <v>79657900486</v>
          </cell>
        </row>
        <row r="2758">
          <cell r="A2758" t="str">
            <v>Рыжов Станислав Станиславович</v>
          </cell>
          <cell r="B2758">
            <v>79163142529</v>
          </cell>
        </row>
        <row r="2759">
          <cell r="A2759" t="str">
            <v>Рыцарева Анжелика Витальевна</v>
          </cell>
          <cell r="B2759">
            <v>79787956719</v>
          </cell>
        </row>
        <row r="2760">
          <cell r="A2760" t="str">
            <v>Рыченков Александр Николаевич</v>
          </cell>
          <cell r="B2760">
            <v>79057788090</v>
          </cell>
        </row>
        <row r="2761">
          <cell r="A2761" t="str">
            <v>Рябов Игорь Владимирович</v>
          </cell>
          <cell r="B2761">
            <v>79104846827</v>
          </cell>
        </row>
        <row r="2762">
          <cell r="A2762" t="str">
            <v>Рябов Илья Андреевич</v>
          </cell>
          <cell r="B2762">
            <v>79167162880</v>
          </cell>
        </row>
        <row r="2763">
          <cell r="A2763" t="str">
            <v>Рябова Любовь Васильевна</v>
          </cell>
          <cell r="B2763">
            <v>79876211127</v>
          </cell>
        </row>
        <row r="2764">
          <cell r="A2764" t="str">
            <v>Рябоконов Алексей Викторович</v>
          </cell>
          <cell r="B2764">
            <v>79164254509</v>
          </cell>
        </row>
        <row r="2765">
          <cell r="A2765" t="str">
            <v>Рязанов Юрий Анатольевич</v>
          </cell>
          <cell r="B2765">
            <v>79857602702</v>
          </cell>
        </row>
        <row r="2766">
          <cell r="A2766" t="str">
            <v>Рязанцев Дмитрий Тимурович</v>
          </cell>
          <cell r="B2766">
            <v>79205222976</v>
          </cell>
        </row>
        <row r="2767">
          <cell r="A2767" t="str">
            <v>Рязанцев Михаил Викторович</v>
          </cell>
          <cell r="B2767">
            <v>79265983710</v>
          </cell>
        </row>
        <row r="2768">
          <cell r="A2768" t="str">
            <v>Саакян Людвик Геворгович</v>
          </cell>
          <cell r="B2768">
            <v>79160404440</v>
          </cell>
        </row>
        <row r="2769">
          <cell r="A2769" t="str">
            <v>Саакян Оганнес Мнацаканович</v>
          </cell>
          <cell r="B2769">
            <v>79621691503</v>
          </cell>
        </row>
        <row r="2770">
          <cell r="A2770" t="str">
            <v>Саакян Рафик Самвелович</v>
          </cell>
          <cell r="B2770">
            <v>79284176335</v>
          </cell>
        </row>
        <row r="2771">
          <cell r="A2771" t="str">
            <v>Сабардин Александр Семенович</v>
          </cell>
          <cell r="B2771">
            <v>79046056827</v>
          </cell>
        </row>
        <row r="2772">
          <cell r="A2772" t="str">
            <v>Саблинский Владимир Иванович</v>
          </cell>
          <cell r="B2772">
            <v>79263470289</v>
          </cell>
        </row>
        <row r="2773">
          <cell r="A2773" t="str">
            <v>Савельев Александр Владимирович</v>
          </cell>
          <cell r="B2773">
            <v>79773423510</v>
          </cell>
        </row>
        <row r="2774">
          <cell r="A2774" t="str">
            <v>Савельев Григорий Алексеевич</v>
          </cell>
          <cell r="B2774">
            <v>79998486606</v>
          </cell>
        </row>
        <row r="2775">
          <cell r="A2775" t="str">
            <v>Савельев Станислав Валентинович</v>
          </cell>
          <cell r="B2775">
            <v>79779410734</v>
          </cell>
        </row>
        <row r="2776">
          <cell r="A2776" t="str">
            <v>Савилова Юлия Александровна</v>
          </cell>
          <cell r="B2776">
            <v>79064317537</v>
          </cell>
        </row>
        <row r="2777">
          <cell r="A2777" t="str">
            <v>Савин Евгений Иванович</v>
          </cell>
          <cell r="B2777">
            <v>79146766666</v>
          </cell>
        </row>
        <row r="2778">
          <cell r="A2778" t="str">
            <v>Савиных Татьяна Николаевна</v>
          </cell>
          <cell r="B2778">
            <v>79127395040</v>
          </cell>
        </row>
        <row r="2779">
          <cell r="A2779" t="str">
            <v>Савостьянов Илья Сергеевич</v>
          </cell>
          <cell r="B2779">
            <v>79629608240</v>
          </cell>
        </row>
        <row r="2780">
          <cell r="A2780" t="str">
            <v>Савчук Елена Александровна</v>
          </cell>
          <cell r="B2780">
            <v>79652999878</v>
          </cell>
        </row>
        <row r="2781">
          <cell r="A2781" t="str">
            <v>Садигов Нарман Адждар Оглы</v>
          </cell>
          <cell r="B2781">
            <v>79851883999</v>
          </cell>
        </row>
        <row r="2782">
          <cell r="A2782" t="str">
            <v>Садкеев Игорь Евгеньевич</v>
          </cell>
          <cell r="B2782">
            <v>79851613318</v>
          </cell>
        </row>
        <row r="2783">
          <cell r="A2783" t="str">
            <v>Садовой Сергей Владимирович</v>
          </cell>
          <cell r="B2783">
            <v>79039614423</v>
          </cell>
        </row>
        <row r="2784">
          <cell r="A2784" t="str">
            <v>Садофьев Андрей Александрович</v>
          </cell>
          <cell r="B2784">
            <v>79859982100</v>
          </cell>
        </row>
        <row r="2785">
          <cell r="A2785" t="str">
            <v>Садырбекова Дамира Маматовна</v>
          </cell>
          <cell r="B2785">
            <v>79117238178</v>
          </cell>
        </row>
        <row r="2786">
          <cell r="A2786" t="str">
            <v>Сажин Андрей Витальевич</v>
          </cell>
          <cell r="B2786">
            <v>79252364636</v>
          </cell>
        </row>
        <row r="2787">
          <cell r="A2787" t="str">
            <v>Сазанова Екатерина Владимировна</v>
          </cell>
          <cell r="B2787">
            <v>79166743325</v>
          </cell>
        </row>
        <row r="2788">
          <cell r="A2788" t="str">
            <v>Саид Али</v>
          </cell>
          <cell r="B2788">
            <v>79037991086</v>
          </cell>
        </row>
        <row r="2789">
          <cell r="A2789" t="str">
            <v>Сайдалиева Наталия Владимировна</v>
          </cell>
          <cell r="B2789">
            <v>79156940784</v>
          </cell>
        </row>
        <row r="2790">
          <cell r="A2790" t="str">
            <v>Сайфуллин Айнур Чулпанович</v>
          </cell>
          <cell r="B2790">
            <v>79276355045</v>
          </cell>
        </row>
        <row r="2791">
          <cell r="A2791" t="str">
            <v>Сайфуллин Рауль Чулпанович</v>
          </cell>
          <cell r="B2791">
            <v>79377811572</v>
          </cell>
        </row>
        <row r="2792">
          <cell r="A2792" t="str">
            <v>Сайфутдинов Руслан Ильгизович</v>
          </cell>
          <cell r="B2792">
            <v>79253232222</v>
          </cell>
        </row>
        <row r="2793">
          <cell r="A2793" t="str">
            <v>Салаватов Гамид Салимханович</v>
          </cell>
          <cell r="B2793">
            <v>79658188612</v>
          </cell>
        </row>
        <row r="2794">
          <cell r="A2794" t="str">
            <v>Саламатин Максим Витальевич</v>
          </cell>
          <cell r="B2794">
            <v>79269416891</v>
          </cell>
        </row>
        <row r="2795">
          <cell r="A2795" t="str">
            <v>Салдин Владимир Михайлович</v>
          </cell>
          <cell r="B2795">
            <v>79377570326</v>
          </cell>
        </row>
        <row r="2796">
          <cell r="A2796" t="str">
            <v>Салиев Эрнис Айтибаевич</v>
          </cell>
          <cell r="B2796">
            <v>79099482403</v>
          </cell>
        </row>
        <row r="2797">
          <cell r="A2797" t="str">
            <v>Саликов Альберт Якубович</v>
          </cell>
          <cell r="B2797">
            <v>79882404886</v>
          </cell>
        </row>
        <row r="2798">
          <cell r="A2798" t="str">
            <v>Салимов Хисрав Бахруллоевич</v>
          </cell>
          <cell r="B2798">
            <v>79258308984</v>
          </cell>
        </row>
        <row r="2799">
          <cell r="A2799" t="str">
            <v>Салимов Шерзод Тохирович</v>
          </cell>
          <cell r="B2799">
            <v>79964265100</v>
          </cell>
        </row>
        <row r="2800">
          <cell r="A2800" t="str">
            <v>Салимьянов Марс Аликбаевич</v>
          </cell>
          <cell r="B2800">
            <v>79603869772</v>
          </cell>
        </row>
        <row r="2801">
          <cell r="A2801" t="str">
            <v>Салихов Нурмагамед Гусенович</v>
          </cell>
          <cell r="B2801">
            <v>79064466686</v>
          </cell>
        </row>
        <row r="2802">
          <cell r="A2802" t="str">
            <v>Салмин Алексей Михайлович</v>
          </cell>
          <cell r="B2802">
            <v>79819013111</v>
          </cell>
        </row>
        <row r="2803">
          <cell r="A2803" t="str">
            <v>Салтыкова Татьяна Александровна</v>
          </cell>
          <cell r="B2803">
            <v>79263174535</v>
          </cell>
        </row>
        <row r="2804">
          <cell r="A2804" t="str">
            <v>Сальников Вячеслав Витальевич</v>
          </cell>
          <cell r="B2804">
            <v>79778623009</v>
          </cell>
        </row>
        <row r="2805">
          <cell r="A2805" t="str">
            <v>Самарин Алексей Александрович</v>
          </cell>
          <cell r="B2805">
            <v>79629578629</v>
          </cell>
        </row>
        <row r="2806">
          <cell r="A2806" t="str">
            <v>Самарина Наталья Александровна</v>
          </cell>
          <cell r="B2806">
            <v>79265260275</v>
          </cell>
        </row>
        <row r="2807">
          <cell r="A2807" t="str">
            <v>Самедов Эльдар Абилевич</v>
          </cell>
          <cell r="B2807">
            <v>79268100105</v>
          </cell>
        </row>
        <row r="2808">
          <cell r="A2808" t="str">
            <v>Самойленко Андрей Александрович</v>
          </cell>
          <cell r="B2808">
            <v>79084402814</v>
          </cell>
        </row>
        <row r="2809">
          <cell r="A2809" t="str">
            <v>Самойленко Ирина Геннадьевна</v>
          </cell>
          <cell r="B2809">
            <v>79067271326</v>
          </cell>
        </row>
        <row r="2810">
          <cell r="A2810" t="str">
            <v>Самойленко Ирина Геннадьевна</v>
          </cell>
          <cell r="B2810">
            <v>79057421218</v>
          </cell>
        </row>
        <row r="2811">
          <cell r="A2811" t="str">
            <v>Самойленко Наталья Сергеевна</v>
          </cell>
          <cell r="B2811">
            <v>79604767635</v>
          </cell>
        </row>
        <row r="2812">
          <cell r="A2812" t="str">
            <v>Самойленко Роман Владимирович</v>
          </cell>
          <cell r="B2812">
            <v>79067271326</v>
          </cell>
        </row>
        <row r="2813">
          <cell r="A2813" t="str">
            <v>Самойлов Алексей Владимирович</v>
          </cell>
          <cell r="B2813">
            <v>79602303771</v>
          </cell>
        </row>
        <row r="2814">
          <cell r="A2814" t="str">
            <v>Самойлов Денис Михайлович</v>
          </cell>
          <cell r="B2814">
            <v>79254650344</v>
          </cell>
        </row>
        <row r="2815">
          <cell r="A2815" t="str">
            <v>Самойлов Дмитрий Анатольевич</v>
          </cell>
          <cell r="B2815">
            <v>79660168099</v>
          </cell>
        </row>
        <row r="2816">
          <cell r="A2816" t="str">
            <v>Самойлов Сергей Владимирович</v>
          </cell>
          <cell r="B2816">
            <v>79155661570</v>
          </cell>
        </row>
        <row r="2817">
          <cell r="A2817" t="str">
            <v>Самофалов Владимир Юрьевич</v>
          </cell>
          <cell r="B2817">
            <v>79162727336</v>
          </cell>
        </row>
        <row r="2818">
          <cell r="A2818" t="str">
            <v>Самохин Николай Александрович</v>
          </cell>
          <cell r="B2818">
            <v>79037409910</v>
          </cell>
        </row>
        <row r="2819">
          <cell r="A2819" t="str">
            <v>Самоходкина Светлана Анатольевна</v>
          </cell>
          <cell r="B2819">
            <v>79852650582</v>
          </cell>
        </row>
        <row r="2820">
          <cell r="A2820" t="str">
            <v>Самошин Дмитрий Сергеевич</v>
          </cell>
          <cell r="B2820">
            <v>79778016312</v>
          </cell>
        </row>
        <row r="2821">
          <cell r="A2821" t="str">
            <v>Самсонян Лусине Акоповна</v>
          </cell>
          <cell r="B2821">
            <v>79096666329</v>
          </cell>
        </row>
        <row r="2822">
          <cell r="A2822" t="str">
            <v>Самусевич Наталья Григорьевна</v>
          </cell>
          <cell r="B2822">
            <v>79265342626</v>
          </cell>
        </row>
        <row r="2823">
          <cell r="A2823" t="str">
            <v>Сапельников Юрий Александрович</v>
          </cell>
          <cell r="B2823">
            <v>79189346497</v>
          </cell>
        </row>
        <row r="2824">
          <cell r="A2824" t="str">
            <v>Сапиев Анзаур Вячеславович</v>
          </cell>
          <cell r="B2824">
            <v>79627660000</v>
          </cell>
        </row>
        <row r="2825">
          <cell r="A2825" t="str">
            <v>Сапиева Суанда Анчоковна</v>
          </cell>
          <cell r="B2825">
            <v>79628780000</v>
          </cell>
        </row>
        <row r="2826">
          <cell r="A2826" t="str">
            <v>Сапожников Станислав Михайлович</v>
          </cell>
          <cell r="B2826">
            <v>79378844883</v>
          </cell>
        </row>
        <row r="2827">
          <cell r="A2827" t="str">
            <v>Сапрыкин Сергей Владимирович</v>
          </cell>
          <cell r="B2827">
            <v>79218744541</v>
          </cell>
        </row>
        <row r="2828">
          <cell r="A2828" t="str">
            <v>Сапун Денис Витальевич</v>
          </cell>
          <cell r="B2828">
            <v>79067570557</v>
          </cell>
        </row>
        <row r="2829">
          <cell r="A2829" t="str">
            <v>Сапунов Дмитрий Владимирович</v>
          </cell>
          <cell r="B2829">
            <v>79912401545</v>
          </cell>
        </row>
        <row r="2830">
          <cell r="A2830" t="str">
            <v>Сараева Елена Юрьевна</v>
          </cell>
          <cell r="B2830">
            <v>79855141814</v>
          </cell>
        </row>
        <row r="2831">
          <cell r="A2831" t="str">
            <v>Саргсян Степан Егишеевич</v>
          </cell>
          <cell r="B2831">
            <v>79773870704</v>
          </cell>
        </row>
        <row r="2832">
          <cell r="A2832" t="str">
            <v>Сарибаева Эльнара Исмаиловна</v>
          </cell>
          <cell r="B2832">
            <v>79118292202</v>
          </cell>
        </row>
        <row r="2833">
          <cell r="A2833" t="str">
            <v>Сариди Михаил Арсенович</v>
          </cell>
          <cell r="B2833">
            <v>79258228888</v>
          </cell>
        </row>
        <row r="2834">
          <cell r="A2834" t="str">
            <v>Сарикян Ашот Ваникович</v>
          </cell>
          <cell r="B2834">
            <v>79262036966</v>
          </cell>
        </row>
        <row r="2835">
          <cell r="A2835" t="str">
            <v>Саркисов Никита Витальевич</v>
          </cell>
          <cell r="B2835">
            <v>79892648701</v>
          </cell>
        </row>
        <row r="2836">
          <cell r="A2836" t="str">
            <v>Саркисьян Геннадий Витальевич</v>
          </cell>
          <cell r="B2836">
            <v>79676614717</v>
          </cell>
        </row>
        <row r="2837">
          <cell r="A2837" t="str">
            <v>Саркисян Ваган Вартанович</v>
          </cell>
          <cell r="B2837">
            <v>79295331111</v>
          </cell>
        </row>
        <row r="2838">
          <cell r="A2838" t="str">
            <v>Саркисян Геворк Александрович</v>
          </cell>
          <cell r="B2838">
            <v>79121701017</v>
          </cell>
        </row>
        <row r="2839">
          <cell r="A2839" t="str">
            <v>Саркисян Геннадий Владимирович</v>
          </cell>
          <cell r="B2839">
            <v>79258679790</v>
          </cell>
        </row>
        <row r="2840">
          <cell r="A2840" t="str">
            <v>Саркисян Татевик Гургеновна</v>
          </cell>
          <cell r="B2840">
            <v>79150105050</v>
          </cell>
        </row>
        <row r="2841">
          <cell r="A2841" t="str">
            <v>Сатаров Андрей Викторович</v>
          </cell>
          <cell r="B2841">
            <v>79099323760</v>
          </cell>
        </row>
        <row r="2842">
          <cell r="A2842" t="str">
            <v>Сатыбалов Магомедрасул Алавдинович</v>
          </cell>
          <cell r="B2842">
            <v>79680582394</v>
          </cell>
        </row>
        <row r="2843">
          <cell r="A2843" t="str">
            <v>Сатюков Денис Владимирович</v>
          </cell>
          <cell r="B2843">
            <v>79060313363</v>
          </cell>
        </row>
        <row r="2844">
          <cell r="A2844" t="str">
            <v>Саутин Александр Юрьевич</v>
          </cell>
          <cell r="B2844">
            <v>79262862881</v>
          </cell>
        </row>
        <row r="2845">
          <cell r="A2845" t="str">
            <v>Сафаралиев Ровшан Гиняз Оглы</v>
          </cell>
          <cell r="B2845">
            <v>79917435696</v>
          </cell>
        </row>
        <row r="2846">
          <cell r="A2846" t="str">
            <v>Сафаров Аъзамджон Тайирович</v>
          </cell>
          <cell r="B2846">
            <v>79990031494</v>
          </cell>
        </row>
        <row r="2847">
          <cell r="A2847" t="str">
            <v>Сафарян Товмас Гургенович</v>
          </cell>
          <cell r="B2847">
            <v>79774447603</v>
          </cell>
        </row>
        <row r="2848">
          <cell r="A2848" t="str">
            <v>Сафронова Кристина Руслановна</v>
          </cell>
          <cell r="B2848">
            <v>79167930703</v>
          </cell>
        </row>
        <row r="2849">
          <cell r="A2849" t="str">
            <v>Сахимова Анна Владимировна</v>
          </cell>
          <cell r="B2849">
            <v>79621905500</v>
          </cell>
        </row>
        <row r="2850">
          <cell r="A2850" t="str">
            <v>Сбоев Виктор Юрьевич</v>
          </cell>
          <cell r="B2850">
            <v>79267878787</v>
          </cell>
        </row>
        <row r="2851">
          <cell r="A2851" t="str">
            <v>Сбоев Виктор Юрьевич</v>
          </cell>
          <cell r="B2851">
            <v>79167878787</v>
          </cell>
        </row>
        <row r="2852">
          <cell r="A2852" t="str">
            <v>Свентковский Анатолий Владимирович</v>
          </cell>
          <cell r="B2852">
            <v>79166080111</v>
          </cell>
        </row>
        <row r="2853">
          <cell r="A2853" t="str">
            <v>Светлов Виталий Анатольевич</v>
          </cell>
          <cell r="B2853">
            <v>79219537332</v>
          </cell>
        </row>
        <row r="2854">
          <cell r="A2854" t="str">
            <v>Свидетелев Левон Феликсович</v>
          </cell>
          <cell r="B2854">
            <v>79646297526</v>
          </cell>
        </row>
        <row r="2855">
          <cell r="A2855" t="str">
            <v>Свинцов Александр Владиславович</v>
          </cell>
          <cell r="B2855">
            <v>79223655638</v>
          </cell>
        </row>
        <row r="2856">
          <cell r="A2856" t="str">
            <v>Свиридов Александр Сергеевич</v>
          </cell>
          <cell r="B2856">
            <v>79961368569</v>
          </cell>
        </row>
        <row r="2857">
          <cell r="A2857" t="str">
            <v>Свищёва Елена Владимировна</v>
          </cell>
          <cell r="B2857">
            <v>79117190979</v>
          </cell>
        </row>
        <row r="2858">
          <cell r="A2858" t="str">
            <v>Севоян Баграт Вачаганович</v>
          </cell>
          <cell r="B2858" t="str">
            <v/>
          </cell>
        </row>
        <row r="2859">
          <cell r="A2859" t="str">
            <v>Севян Патвакан Григорьевич</v>
          </cell>
          <cell r="B2859">
            <v>79854906633</v>
          </cell>
        </row>
        <row r="2860">
          <cell r="A2860" t="str">
            <v>Седельник Сергей Федорович</v>
          </cell>
          <cell r="B2860">
            <v>79099121922</v>
          </cell>
        </row>
        <row r="2861">
          <cell r="A2861" t="str">
            <v>СЕЙЛМЕД ООО</v>
          </cell>
          <cell r="B2861">
            <v>79689313557</v>
          </cell>
        </row>
        <row r="2862">
          <cell r="A2862" t="str">
            <v>Секриеру Афанасий</v>
          </cell>
          <cell r="B2862">
            <v>79206799052</v>
          </cell>
        </row>
        <row r="2863">
          <cell r="A2863" t="str">
            <v>Секриеру Вячеслав Андреевич</v>
          </cell>
          <cell r="B2863">
            <v>79257845767</v>
          </cell>
        </row>
        <row r="2864">
          <cell r="A2864" t="str">
            <v>Селеверстов Михаил Васильевич</v>
          </cell>
          <cell r="B2864">
            <v>79058451345</v>
          </cell>
        </row>
        <row r="2865">
          <cell r="A2865" t="str">
            <v>Селезнев Дмитрий Сергеевич</v>
          </cell>
          <cell r="B2865">
            <v>79210222202</v>
          </cell>
        </row>
        <row r="2866">
          <cell r="A2866" t="str">
            <v>Селиванов Андрей Иванович</v>
          </cell>
          <cell r="B2866">
            <v>79219611414</v>
          </cell>
        </row>
        <row r="2867">
          <cell r="A2867" t="str">
            <v>Селиванов Павел Валентинович</v>
          </cell>
          <cell r="B2867">
            <v>79852337807</v>
          </cell>
        </row>
        <row r="2868">
          <cell r="A2868" t="str">
            <v>Селиванова Ольга Олеговна</v>
          </cell>
          <cell r="B2868">
            <v>79601081220</v>
          </cell>
        </row>
        <row r="2869">
          <cell r="A2869" t="str">
            <v>Селиверстова Евгения Владимировна</v>
          </cell>
          <cell r="B2869">
            <v>79253202640</v>
          </cell>
        </row>
        <row r="2870">
          <cell r="A2870" t="str">
            <v>Сельцова Наталья Юрьевна</v>
          </cell>
          <cell r="B2870">
            <v>79031244788</v>
          </cell>
        </row>
        <row r="2871">
          <cell r="A2871" t="str">
            <v>Селянина Мария Владимировна</v>
          </cell>
          <cell r="B2871">
            <v>79153996761</v>
          </cell>
        </row>
        <row r="2872">
          <cell r="A2872" t="str">
            <v>Семененко Полина Викторовна</v>
          </cell>
          <cell r="B2872">
            <v>79096660796</v>
          </cell>
        </row>
        <row r="2873">
          <cell r="A2873" t="str">
            <v>Семененко Трофим Игоревич</v>
          </cell>
          <cell r="B2873">
            <v>79152990588</v>
          </cell>
        </row>
        <row r="2874">
          <cell r="A2874" t="str">
            <v>Семенов Андрей Сергеевич</v>
          </cell>
          <cell r="B2874">
            <v>79264150405</v>
          </cell>
        </row>
        <row r="2875">
          <cell r="A2875" t="str">
            <v>Семенов Евгений Александрович</v>
          </cell>
          <cell r="B2875">
            <v>79858928860</v>
          </cell>
        </row>
        <row r="2876">
          <cell r="A2876" t="str">
            <v>Семенов Сергей Юрьевич</v>
          </cell>
          <cell r="B2876">
            <v>79313004444</v>
          </cell>
        </row>
        <row r="2877">
          <cell r="A2877" t="str">
            <v>Семёнова Екатерина Сергеевна</v>
          </cell>
          <cell r="B2877">
            <v>79269929114</v>
          </cell>
        </row>
        <row r="2878">
          <cell r="A2878" t="str">
            <v>Семёнова Ирина Александровна</v>
          </cell>
          <cell r="B2878">
            <v>79219474495</v>
          </cell>
        </row>
        <row r="2879">
          <cell r="A2879" t="str">
            <v>Семенова Марина Владимировна</v>
          </cell>
          <cell r="B2879">
            <v>79263521390</v>
          </cell>
        </row>
        <row r="2880">
          <cell r="A2880" t="str">
            <v>Семенченко Денис Алексеевич</v>
          </cell>
          <cell r="B2880">
            <v>79990870918</v>
          </cell>
        </row>
        <row r="2881">
          <cell r="A2881" t="str">
            <v>Семенчукова Яна Олеговна</v>
          </cell>
          <cell r="B2881">
            <v>79082926524</v>
          </cell>
        </row>
        <row r="2882">
          <cell r="A2882" t="str">
            <v>Семенюк Константин Андреевич</v>
          </cell>
          <cell r="B2882">
            <v>79043353305</v>
          </cell>
        </row>
        <row r="2883">
          <cell r="A2883" t="str">
            <v>Семерова Зоя Михайловна</v>
          </cell>
          <cell r="B2883">
            <v>79161705599</v>
          </cell>
        </row>
        <row r="2884">
          <cell r="A2884" t="str">
            <v>Семилетов Алексей Борисович</v>
          </cell>
          <cell r="B2884">
            <v>79037876580</v>
          </cell>
        </row>
        <row r="2885">
          <cell r="A2885" t="str">
            <v>Семочкин Владимир Владимирович</v>
          </cell>
          <cell r="B2885">
            <v>79251163575</v>
          </cell>
        </row>
        <row r="2886">
          <cell r="A2886" t="str">
            <v>Семченкова Татьяна Александровна</v>
          </cell>
          <cell r="B2886">
            <v>79637678579</v>
          </cell>
        </row>
        <row r="2887">
          <cell r="A2887" t="str">
            <v>Сенокосов Евгений Александрович</v>
          </cell>
          <cell r="B2887">
            <v>79773460130</v>
          </cell>
        </row>
        <row r="2888">
          <cell r="A2888" t="str">
            <v>Сенченко Анна Станиславовна</v>
          </cell>
          <cell r="B2888">
            <v>79687515050</v>
          </cell>
        </row>
        <row r="2889">
          <cell r="A2889" t="str">
            <v>Сенькина Мария Евгеньевна</v>
          </cell>
          <cell r="B2889">
            <v>79267298993</v>
          </cell>
        </row>
        <row r="2890">
          <cell r="A2890" t="str">
            <v>Сергеев Анатолий Викторович</v>
          </cell>
          <cell r="B2890">
            <v>79254559313</v>
          </cell>
        </row>
        <row r="2891">
          <cell r="A2891" t="str">
            <v>Сергеев Андрей Николаевич</v>
          </cell>
          <cell r="B2891">
            <v>79196337257</v>
          </cell>
        </row>
        <row r="2892">
          <cell r="A2892" t="str">
            <v>Сергеев Валерий Николаевич</v>
          </cell>
          <cell r="B2892">
            <v>79164094722</v>
          </cell>
        </row>
        <row r="2893">
          <cell r="A2893" t="str">
            <v>Сергеев Даниил Борисович</v>
          </cell>
          <cell r="B2893">
            <v>79819406227</v>
          </cell>
        </row>
        <row r="2894">
          <cell r="A2894" t="str">
            <v>Сергеев Дмитрий Вячеславович</v>
          </cell>
          <cell r="B2894" t="str">
            <v/>
          </cell>
        </row>
        <row r="2895">
          <cell r="A2895" t="str">
            <v>Сергеев Сергей Валерьевич</v>
          </cell>
          <cell r="B2895">
            <v>79198464081</v>
          </cell>
        </row>
        <row r="2896">
          <cell r="A2896" t="str">
            <v>Сергеев Сергей Васильевич</v>
          </cell>
          <cell r="B2896">
            <v>79657571467</v>
          </cell>
        </row>
        <row r="2897">
          <cell r="A2897" t="str">
            <v>Сергеев Сергей Сергеевич</v>
          </cell>
          <cell r="B2897">
            <v>79158361952</v>
          </cell>
        </row>
        <row r="2898">
          <cell r="A2898" t="str">
            <v>Сергеева Светлана Викторовна</v>
          </cell>
          <cell r="B2898">
            <v>79036148007</v>
          </cell>
        </row>
        <row r="2899">
          <cell r="A2899" t="str">
            <v>Сергушкин Александр Николаевич</v>
          </cell>
          <cell r="B2899">
            <v>79685389779</v>
          </cell>
        </row>
        <row r="2900">
          <cell r="A2900" t="str">
            <v>Сердюк Вероника Владимировна</v>
          </cell>
          <cell r="B2900">
            <v>79284232320</v>
          </cell>
        </row>
        <row r="2901">
          <cell r="A2901" t="str">
            <v>Серегин Николай Вадимович</v>
          </cell>
          <cell r="B2901">
            <v>79266801286</v>
          </cell>
        </row>
        <row r="2902">
          <cell r="A2902" t="str">
            <v>Серегола Дмитрий Михайлович</v>
          </cell>
          <cell r="B2902">
            <v>79522389764</v>
          </cell>
        </row>
        <row r="2903">
          <cell r="A2903" t="str">
            <v>Серков Сергей Викторович</v>
          </cell>
          <cell r="B2903">
            <v>79261759219</v>
          </cell>
        </row>
        <row r="2904">
          <cell r="A2904" t="str">
            <v>Сермягов Юрий Владимирович</v>
          </cell>
          <cell r="B2904">
            <v>79852200039</v>
          </cell>
        </row>
        <row r="2905">
          <cell r="A2905" t="str">
            <v>Серов Лев Николаевич</v>
          </cell>
          <cell r="B2905">
            <v>79637153829</v>
          </cell>
        </row>
        <row r="2906">
          <cell r="A2906" t="str">
            <v>Серопян Айк Мгерович</v>
          </cell>
          <cell r="B2906">
            <v>79167239743</v>
          </cell>
        </row>
        <row r="2907">
          <cell r="A2907" t="str">
            <v>Серых Татьяна Ивановна</v>
          </cell>
          <cell r="B2907">
            <v>79853199212</v>
          </cell>
        </row>
        <row r="2908">
          <cell r="A2908" t="str">
            <v>Сеферян Галина Андрониковна</v>
          </cell>
          <cell r="B2908">
            <v>79165232608</v>
          </cell>
        </row>
        <row r="2909">
          <cell r="A2909" t="str">
            <v>Сеченова Вера Валерьевна</v>
          </cell>
          <cell r="B2909">
            <v>79858095992</v>
          </cell>
        </row>
        <row r="2910">
          <cell r="A2910" t="str">
            <v>Сибирцев Дмитрий Владимирович</v>
          </cell>
          <cell r="B2910">
            <v>79312749397</v>
          </cell>
        </row>
        <row r="2911">
          <cell r="A2911" t="str">
            <v>Сивохин Сергей Дмитриевич</v>
          </cell>
          <cell r="B2911">
            <v>79068455554</v>
          </cell>
        </row>
        <row r="2912">
          <cell r="A2912" t="str">
            <v>Сиденко Ольга Викторовна</v>
          </cell>
          <cell r="B2912">
            <v>79996313641</v>
          </cell>
        </row>
        <row r="2913">
          <cell r="A2913" t="str">
            <v>Сиденко Роман Викторович</v>
          </cell>
          <cell r="B2913">
            <v>79996992736</v>
          </cell>
        </row>
        <row r="2914">
          <cell r="A2914" t="str">
            <v>Сидоренко Надежда Алексеевна</v>
          </cell>
          <cell r="B2914">
            <v>79184037119</v>
          </cell>
        </row>
        <row r="2915">
          <cell r="A2915" t="str">
            <v>Сидоров Александр Владимирович</v>
          </cell>
          <cell r="B2915">
            <v>79163572699</v>
          </cell>
        </row>
        <row r="2916">
          <cell r="A2916" t="str">
            <v>Сидоров Александр Евгеньевич</v>
          </cell>
          <cell r="B2916">
            <v>79817682749</v>
          </cell>
        </row>
        <row r="2917">
          <cell r="A2917" t="str">
            <v>Сидоров Вадим Евгеньевич</v>
          </cell>
          <cell r="B2917">
            <v>79852479848</v>
          </cell>
        </row>
        <row r="2918">
          <cell r="A2918" t="str">
            <v>Сидорова Оксана Павловна</v>
          </cell>
          <cell r="B2918">
            <v>79522850583</v>
          </cell>
        </row>
        <row r="2919">
          <cell r="A2919" t="str">
            <v>Сидорова Ольга Юрьевна</v>
          </cell>
          <cell r="B2919">
            <v>79385312062</v>
          </cell>
        </row>
        <row r="2920">
          <cell r="A2920" t="str">
            <v>Сидорович Дмитрий Владимирович</v>
          </cell>
          <cell r="B2920">
            <v>79856935772</v>
          </cell>
        </row>
        <row r="2921">
          <cell r="A2921" t="str">
            <v>Сизов Максим Николаевич</v>
          </cell>
          <cell r="B2921">
            <v>79276763031</v>
          </cell>
        </row>
        <row r="2922">
          <cell r="A2922" t="str">
            <v>Силантьев Юрий Владимирович</v>
          </cell>
          <cell r="B2922">
            <v>79858583795</v>
          </cell>
        </row>
        <row r="2923">
          <cell r="A2923" t="str">
            <v>Силкин Максим Алексеевич</v>
          </cell>
          <cell r="B2923">
            <v>79653030110</v>
          </cell>
        </row>
        <row r="2924">
          <cell r="A2924" t="str">
            <v>Силуков Александр Андреевич</v>
          </cell>
          <cell r="B2924">
            <v>79002057600</v>
          </cell>
        </row>
        <row r="2925">
          <cell r="A2925" t="str">
            <v>Сильцов Максим Евгеньевич</v>
          </cell>
          <cell r="B2925">
            <v>79261207118</v>
          </cell>
        </row>
        <row r="2926">
          <cell r="A2926" t="str">
            <v>Симакова Ольга Юрьевна</v>
          </cell>
          <cell r="B2926">
            <v>79164154007</v>
          </cell>
        </row>
        <row r="2927">
          <cell r="A2927" t="str">
            <v>Симакова Ольга Юрьевна</v>
          </cell>
          <cell r="B2927">
            <v>79164154007</v>
          </cell>
        </row>
        <row r="2928">
          <cell r="A2928" t="str">
            <v>Симачев Александр Сергеевич</v>
          </cell>
          <cell r="B2928">
            <v>79269906969</v>
          </cell>
        </row>
        <row r="2929">
          <cell r="A2929" t="str">
            <v>Симовонян Григор Эдуардович</v>
          </cell>
          <cell r="B2929">
            <v>79182036895</v>
          </cell>
        </row>
        <row r="2930">
          <cell r="A2930" t="str">
            <v>Симонов Станислав Валерьевич</v>
          </cell>
          <cell r="B2930">
            <v>79142198143</v>
          </cell>
        </row>
        <row r="2931">
          <cell r="A2931" t="str">
            <v>Симонова Дарья Павловна</v>
          </cell>
          <cell r="B2931">
            <v>79124972991</v>
          </cell>
        </row>
        <row r="2932">
          <cell r="A2932" t="str">
            <v>Симонян Армен Симикович</v>
          </cell>
          <cell r="B2932">
            <v>79184445574</v>
          </cell>
        </row>
        <row r="2933">
          <cell r="A2933" t="str">
            <v>Симонян Тигран Сукиаси</v>
          </cell>
          <cell r="B2933">
            <v>79672699989</v>
          </cell>
        </row>
        <row r="2934">
          <cell r="A2934" t="str">
            <v>Симонян Шаген Цолакович</v>
          </cell>
          <cell r="B2934">
            <v>79164660088</v>
          </cell>
        </row>
        <row r="2935">
          <cell r="A2935" t="str">
            <v>Симуськов Максим Сергеевич</v>
          </cell>
          <cell r="B2935">
            <v>79225364639</v>
          </cell>
        </row>
        <row r="2936">
          <cell r="A2936" t="str">
            <v>Синицына Надежда Евгеньевна</v>
          </cell>
          <cell r="B2936">
            <v>79162582136</v>
          </cell>
        </row>
        <row r="2937">
          <cell r="A2937" t="str">
            <v>Синюхаев Петр Миронович</v>
          </cell>
          <cell r="B2937">
            <v>79654232525</v>
          </cell>
        </row>
        <row r="2938">
          <cell r="A2938" t="str">
            <v>Сироткин Владимир Николаевич</v>
          </cell>
          <cell r="B2938">
            <v>79268803499</v>
          </cell>
        </row>
        <row r="2939">
          <cell r="A2939" t="str">
            <v>Сироткин Игорь Маркович</v>
          </cell>
          <cell r="B2939">
            <v>79266962925</v>
          </cell>
        </row>
        <row r="2940">
          <cell r="A2940" t="str">
            <v>Сироткин Олег Георгиевич</v>
          </cell>
          <cell r="B2940">
            <v>79211820088</v>
          </cell>
        </row>
        <row r="2941">
          <cell r="A2941" t="str">
            <v>Сирунянц Владимир Олегович</v>
          </cell>
          <cell r="B2941">
            <v>79259363276</v>
          </cell>
        </row>
        <row r="2942">
          <cell r="A2942" t="str">
            <v>Сирунянц Елена Владимировна</v>
          </cell>
          <cell r="B2942">
            <v>79853088945</v>
          </cell>
        </row>
        <row r="2943">
          <cell r="A2943" t="str">
            <v>Ситников Сергей Алексеевич</v>
          </cell>
          <cell r="B2943">
            <v>79038135483</v>
          </cell>
        </row>
        <row r="2944">
          <cell r="A2944" t="str">
            <v>СК ОЛИМП ООО</v>
          </cell>
          <cell r="B2944">
            <v>79115292713</v>
          </cell>
        </row>
        <row r="2945">
          <cell r="A2945" t="str">
            <v>Скалозубов Антон Сергеевич</v>
          </cell>
          <cell r="B2945">
            <v>79811970375</v>
          </cell>
        </row>
        <row r="2946">
          <cell r="A2946" t="str">
            <v>Скачков Евгений Михайлович</v>
          </cell>
          <cell r="B2946">
            <v>79184848108</v>
          </cell>
        </row>
        <row r="2947">
          <cell r="A2947" t="str">
            <v>Скворцов Дмитрий Валерьевич</v>
          </cell>
          <cell r="B2947">
            <v>79637570960</v>
          </cell>
        </row>
        <row r="2948">
          <cell r="A2948" t="str">
            <v>Скворцова Анна Владимировна</v>
          </cell>
          <cell r="B2948">
            <v>79180929480</v>
          </cell>
        </row>
        <row r="2949">
          <cell r="A2949" t="str">
            <v>Скворцова Ольга Сергеевна</v>
          </cell>
          <cell r="B2949">
            <v>79523760964</v>
          </cell>
        </row>
        <row r="2950">
          <cell r="A2950" t="str">
            <v>Скворцова Ольга Сергеевна</v>
          </cell>
          <cell r="B2950">
            <v>79013749784</v>
          </cell>
        </row>
        <row r="2951">
          <cell r="A2951" t="str">
            <v>Скиндарев Александр Владимирович</v>
          </cell>
          <cell r="B2951">
            <v>79628514576</v>
          </cell>
        </row>
        <row r="2952">
          <cell r="A2952" t="str">
            <v>Скляр Николай Николаевич</v>
          </cell>
          <cell r="B2952">
            <v>79211899999</v>
          </cell>
        </row>
        <row r="2953">
          <cell r="A2953" t="str">
            <v>Скобелев Дмитрий Васильевич</v>
          </cell>
          <cell r="B2953">
            <v>79166997777</v>
          </cell>
        </row>
        <row r="2954">
          <cell r="A2954" t="str">
            <v>Скоморохов Максим Дмитриевич</v>
          </cell>
          <cell r="B2954">
            <v>79969217279</v>
          </cell>
        </row>
        <row r="2955">
          <cell r="A2955" t="str">
            <v>Скопинов Иван Алексеевич</v>
          </cell>
          <cell r="B2955">
            <v>79267586613</v>
          </cell>
        </row>
        <row r="2956">
          <cell r="A2956" t="str">
            <v>Скоробогатов Анатолий Николаевич</v>
          </cell>
          <cell r="B2956">
            <v>79064381838</v>
          </cell>
        </row>
        <row r="2957">
          <cell r="A2957" t="str">
            <v>Скрипичников Егор Сергеевич</v>
          </cell>
          <cell r="B2957">
            <v>79047520322</v>
          </cell>
        </row>
        <row r="2958">
          <cell r="A2958" t="str">
            <v>Скрынников Рафаэль Наильевич</v>
          </cell>
          <cell r="B2958">
            <v>79951001368</v>
          </cell>
        </row>
        <row r="2959">
          <cell r="A2959" t="str">
            <v>Скрябин Сергей Харитонович</v>
          </cell>
          <cell r="B2959">
            <v>79244681418</v>
          </cell>
        </row>
        <row r="2960">
          <cell r="A2960" t="str">
            <v>Слепнев Иван Викторович</v>
          </cell>
          <cell r="B2960">
            <v>79264620143</v>
          </cell>
        </row>
        <row r="2961">
          <cell r="A2961" t="str">
            <v>Слепцова Маргарита Олеговна</v>
          </cell>
          <cell r="B2961">
            <v>79161613613</v>
          </cell>
        </row>
        <row r="2962">
          <cell r="A2962" t="str">
            <v>Смагин Владимир Валерьевич</v>
          </cell>
          <cell r="B2962">
            <v>79197784877</v>
          </cell>
        </row>
        <row r="2963">
          <cell r="A2963" t="str">
            <v>Смешливый Дмитрий Сергеевич</v>
          </cell>
          <cell r="B2963">
            <v>79015704910</v>
          </cell>
        </row>
        <row r="2964">
          <cell r="A2964" t="str">
            <v>Смирнов Александр Викторович</v>
          </cell>
          <cell r="B2964">
            <v>79992256132</v>
          </cell>
        </row>
        <row r="2965">
          <cell r="A2965" t="str">
            <v>Смирнов Андрей Евгеньевич</v>
          </cell>
          <cell r="B2965">
            <v>79206545207</v>
          </cell>
        </row>
        <row r="2966">
          <cell r="A2966" t="str">
            <v>Смирнов Игорь Александрович</v>
          </cell>
          <cell r="B2966">
            <v>79646299696</v>
          </cell>
        </row>
        <row r="2967">
          <cell r="A2967" t="str">
            <v>Смирнов Леонид Валерьевич</v>
          </cell>
          <cell r="B2967">
            <v>79159649631</v>
          </cell>
        </row>
        <row r="2968">
          <cell r="A2968" t="str">
            <v>Смирнов Максим Викторович</v>
          </cell>
          <cell r="B2968">
            <v>79104851457</v>
          </cell>
        </row>
        <row r="2969">
          <cell r="A2969" t="str">
            <v>Смирнов Михаил Львович</v>
          </cell>
          <cell r="B2969">
            <v>79036121416</v>
          </cell>
        </row>
        <row r="2970">
          <cell r="A2970" t="str">
            <v>Смирнов Николай Владимирович</v>
          </cell>
          <cell r="B2970">
            <v>79213408089</v>
          </cell>
        </row>
        <row r="2971">
          <cell r="A2971" t="str">
            <v>Смирнов Николай Иванович</v>
          </cell>
          <cell r="B2971">
            <v>79217886164</v>
          </cell>
        </row>
        <row r="2972">
          <cell r="A2972" t="str">
            <v>Смирнов Сергей Валерьевич</v>
          </cell>
          <cell r="B2972">
            <v>79165651313</v>
          </cell>
        </row>
        <row r="2973">
          <cell r="A2973" t="str">
            <v>Смирнов Сергей Николаевич</v>
          </cell>
          <cell r="B2973">
            <v>79218960720</v>
          </cell>
        </row>
        <row r="2974">
          <cell r="A2974" t="str">
            <v>Смирнова Екатерина Алексеевна</v>
          </cell>
          <cell r="B2974">
            <v>79263529378</v>
          </cell>
        </row>
        <row r="2975">
          <cell r="A2975" t="str">
            <v>Смирнова Наталия Васильевна</v>
          </cell>
          <cell r="B2975">
            <v>79264723692</v>
          </cell>
        </row>
        <row r="2976">
          <cell r="A2976" t="str">
            <v>Смирных Нина Михайловна</v>
          </cell>
          <cell r="B2976">
            <v>79873756388</v>
          </cell>
        </row>
        <row r="2977">
          <cell r="A2977" t="str">
            <v>Смолин Виктор Иванович</v>
          </cell>
          <cell r="B2977">
            <v>79034048781</v>
          </cell>
        </row>
        <row r="2978">
          <cell r="A2978" t="str">
            <v>Смыслов Денис Николаевич</v>
          </cell>
          <cell r="B2978" t="str">
            <v/>
          </cell>
        </row>
        <row r="2979">
          <cell r="A2979" t="str">
            <v>Смыслова Надежда Андреевна</v>
          </cell>
          <cell r="B2979">
            <v>79031265675</v>
          </cell>
        </row>
        <row r="2980">
          <cell r="A2980" t="str">
            <v>Снегирёв Сергей Викторович</v>
          </cell>
          <cell r="B2980">
            <v>79161527901</v>
          </cell>
        </row>
        <row r="2981">
          <cell r="A2981" t="str">
            <v>Собиров Раджабали Карахужаевич</v>
          </cell>
          <cell r="B2981">
            <v>79215568512</v>
          </cell>
        </row>
        <row r="2982">
          <cell r="A2982" t="str">
            <v>Собода Сергей Анатольевич</v>
          </cell>
          <cell r="B2982">
            <v>79031091328</v>
          </cell>
        </row>
        <row r="2983">
          <cell r="A2983" t="str">
            <v>Соболев Владимир Александрович</v>
          </cell>
          <cell r="B2983">
            <v>79779552327</v>
          </cell>
        </row>
        <row r="2984">
          <cell r="A2984" t="str">
            <v>Соболев Евгений Романович</v>
          </cell>
          <cell r="B2984">
            <v>79003261110</v>
          </cell>
        </row>
        <row r="2985">
          <cell r="A2985" t="str">
            <v>Соболева Марина Павловна</v>
          </cell>
          <cell r="B2985">
            <v>79261366293</v>
          </cell>
        </row>
        <row r="2986">
          <cell r="A2986" t="str">
            <v>Согомонян Армен Грачикович</v>
          </cell>
          <cell r="B2986">
            <v>79280415954</v>
          </cell>
        </row>
        <row r="2987">
          <cell r="A2987" t="str">
            <v>Содикова Ольга Николаевна</v>
          </cell>
          <cell r="B2987" t="str">
            <v/>
          </cell>
        </row>
        <row r="2988">
          <cell r="A2988" t="str">
            <v>Сойников Денис Валерьевич</v>
          </cell>
          <cell r="B2988">
            <v>79852269623</v>
          </cell>
        </row>
        <row r="2989">
          <cell r="A2989" t="str">
            <v>Соколов Александр Владимирович</v>
          </cell>
          <cell r="B2989">
            <v>79250106943</v>
          </cell>
        </row>
        <row r="2990">
          <cell r="A2990" t="str">
            <v>Соколов Александр Федорович</v>
          </cell>
          <cell r="B2990">
            <v>79032769504</v>
          </cell>
        </row>
        <row r="2991">
          <cell r="A2991" t="str">
            <v>Соколов Антон Геннадьевич</v>
          </cell>
          <cell r="B2991">
            <v>79039609688</v>
          </cell>
        </row>
        <row r="2992">
          <cell r="A2992" t="str">
            <v>Соколов Василий Сергеевич</v>
          </cell>
          <cell r="B2992">
            <v>79623259048</v>
          </cell>
        </row>
        <row r="2993">
          <cell r="A2993" t="str">
            <v>Соколов Игорь Васильевич</v>
          </cell>
          <cell r="B2993">
            <v>79611346867</v>
          </cell>
        </row>
        <row r="2994">
          <cell r="A2994" t="str">
            <v>Соколов Константин Валентинович</v>
          </cell>
          <cell r="B2994">
            <v>79122443945</v>
          </cell>
        </row>
        <row r="2995">
          <cell r="A2995" t="str">
            <v>Соколов Константин Иванович</v>
          </cell>
          <cell r="B2995">
            <v>79622259165</v>
          </cell>
        </row>
        <row r="2996">
          <cell r="A2996" t="str">
            <v>Соколов Сергей Юрьевич</v>
          </cell>
          <cell r="B2996">
            <v>79096579794</v>
          </cell>
        </row>
        <row r="2997">
          <cell r="A2997" t="str">
            <v>Соколова Екатерина Николаевна</v>
          </cell>
          <cell r="B2997">
            <v>79202421917</v>
          </cell>
        </row>
        <row r="2998">
          <cell r="A2998" t="str">
            <v>Соколова Елена Викторовна</v>
          </cell>
          <cell r="B2998">
            <v>79207351666</v>
          </cell>
        </row>
        <row r="2999">
          <cell r="A2999" t="str">
            <v>Соколова Елена Викторовна</v>
          </cell>
          <cell r="B2999">
            <v>79207306661</v>
          </cell>
        </row>
        <row r="3000">
          <cell r="A3000" t="str">
            <v>Солдатенко Николай Васильевич</v>
          </cell>
          <cell r="B3000">
            <v>79219468570</v>
          </cell>
        </row>
        <row r="3001">
          <cell r="A3001" t="str">
            <v>Солдатенков Алексей Геннадиевич</v>
          </cell>
          <cell r="B3001">
            <v>79998242758</v>
          </cell>
        </row>
        <row r="3002">
          <cell r="A3002" t="str">
            <v>Солдатенков Андрей Васильевич</v>
          </cell>
          <cell r="B3002">
            <v>79208548813</v>
          </cell>
        </row>
        <row r="3003">
          <cell r="A3003" t="str">
            <v>Солдатенков Дмитрий Михайлович</v>
          </cell>
          <cell r="B3003">
            <v>79315325232</v>
          </cell>
        </row>
        <row r="3004">
          <cell r="A3004" t="str">
            <v>Солиев Иброхимжон Мураджонович</v>
          </cell>
          <cell r="B3004">
            <v>79154425453</v>
          </cell>
        </row>
        <row r="3005">
          <cell r="A3005" t="str">
            <v>Соловьёв Владимир Павлович</v>
          </cell>
          <cell r="B3005">
            <v>79257376406</v>
          </cell>
        </row>
        <row r="3006">
          <cell r="A3006" t="str">
            <v>Соловьев Сергей Сергеевич</v>
          </cell>
          <cell r="B3006">
            <v>79254057353</v>
          </cell>
        </row>
        <row r="3007">
          <cell r="A3007" t="str">
            <v>Соловьева-Сидельникова Жанна Владимировна</v>
          </cell>
          <cell r="B3007">
            <v>79660721054</v>
          </cell>
        </row>
        <row r="3008">
          <cell r="A3008" t="str">
            <v>Солодов Михаил Александрович</v>
          </cell>
          <cell r="B3008">
            <v>79153197526</v>
          </cell>
        </row>
        <row r="3009">
          <cell r="A3009" t="str">
            <v>Соломатин Алексей Юрьевич</v>
          </cell>
          <cell r="B3009">
            <v>79856007744</v>
          </cell>
        </row>
        <row r="3010">
          <cell r="A3010" t="str">
            <v>Солохин Александр Игоревич</v>
          </cell>
          <cell r="B3010">
            <v>79152122617</v>
          </cell>
        </row>
        <row r="3011">
          <cell r="A3011" t="str">
            <v>Сомов Денис Валерьевич</v>
          </cell>
          <cell r="B3011">
            <v>79223428176</v>
          </cell>
        </row>
        <row r="3012">
          <cell r="A3012" t="str">
            <v>Сомсиков Антон Николаевич</v>
          </cell>
          <cell r="B3012">
            <v>79817100666</v>
          </cell>
        </row>
        <row r="3013">
          <cell r="A3013" t="str">
            <v>Сопов Дмитрий Александрович</v>
          </cell>
          <cell r="B3013">
            <v>79154737342</v>
          </cell>
        </row>
        <row r="3014">
          <cell r="A3014" t="str">
            <v>Сопрыко Вадим Андреевич</v>
          </cell>
          <cell r="B3014">
            <v>79997117284</v>
          </cell>
        </row>
        <row r="3015">
          <cell r="A3015" t="str">
            <v>Сорокин Александр Вадимович</v>
          </cell>
          <cell r="B3015">
            <v>79220003323</v>
          </cell>
        </row>
        <row r="3016">
          <cell r="A3016" t="str">
            <v>Сорокин Андрей Александрович</v>
          </cell>
          <cell r="B3016">
            <v>79166798351</v>
          </cell>
        </row>
        <row r="3017">
          <cell r="A3017" t="str">
            <v>Сорокин Константин Витальевич</v>
          </cell>
          <cell r="B3017">
            <v>79268686455</v>
          </cell>
        </row>
        <row r="3018">
          <cell r="A3018" t="str">
            <v>Сорокин Руслан Энриевич</v>
          </cell>
          <cell r="B3018">
            <v>79853377416</v>
          </cell>
        </row>
        <row r="3019">
          <cell r="A3019" t="str">
            <v>Сорокина Екатерина Васильевна</v>
          </cell>
          <cell r="B3019">
            <v>79650346204</v>
          </cell>
        </row>
        <row r="3020">
          <cell r="A3020" t="str">
            <v>Сорокина Наталья Владимировна</v>
          </cell>
          <cell r="B3020">
            <v>79267240919</v>
          </cell>
        </row>
        <row r="3021">
          <cell r="A3021" t="str">
            <v>Сорочкин Никита Игоревич</v>
          </cell>
          <cell r="B3021">
            <v>79160113900</v>
          </cell>
        </row>
        <row r="3022">
          <cell r="A3022" t="str">
            <v>Сорочкин Сергей Эдуардович</v>
          </cell>
          <cell r="B3022">
            <v>79263241855</v>
          </cell>
        </row>
        <row r="3023">
          <cell r="A3023" t="str">
            <v>Соседкина Мария Александровна</v>
          </cell>
          <cell r="B3023">
            <v>79629578888</v>
          </cell>
        </row>
        <row r="3024">
          <cell r="A3024" t="str">
            <v>Сосков Иван Сергеевич</v>
          </cell>
          <cell r="B3024">
            <v>79143591608</v>
          </cell>
        </row>
        <row r="3025">
          <cell r="A3025" t="str">
            <v>Сотничук Валентин Викторович</v>
          </cell>
          <cell r="B3025">
            <v>79180413952</v>
          </cell>
        </row>
        <row r="3026">
          <cell r="A3026" t="str">
            <v>Сошин Сергей Дмитриевич</v>
          </cell>
          <cell r="B3026">
            <v>79263670275</v>
          </cell>
        </row>
        <row r="3027">
          <cell r="A3027" t="str">
            <v>Спарапетов Игор Эдуардович</v>
          </cell>
          <cell r="B3027">
            <v>79629992833</v>
          </cell>
        </row>
        <row r="3028">
          <cell r="A3028" t="str">
            <v>Спасский Даниил Игоревич</v>
          </cell>
          <cell r="B3028" t="str">
            <v/>
          </cell>
        </row>
        <row r="3029">
          <cell r="A3029" t="str">
            <v>СПЕКТР ООО</v>
          </cell>
          <cell r="B3029">
            <v>79620245383</v>
          </cell>
        </row>
        <row r="3030">
          <cell r="A3030" t="str">
            <v>СПЕЦДОРСТРОЙ ООО</v>
          </cell>
          <cell r="B3030">
            <v>79186107599</v>
          </cell>
        </row>
        <row r="3031">
          <cell r="A3031" t="str">
            <v>Спиридонов Константин Александрович</v>
          </cell>
          <cell r="B3031">
            <v>79191949690</v>
          </cell>
        </row>
        <row r="3032">
          <cell r="A3032" t="str">
            <v>Спиридонов Сергей Владимирович</v>
          </cell>
          <cell r="B3032">
            <v>79167958397</v>
          </cell>
        </row>
        <row r="3033">
          <cell r="A3033" t="str">
            <v>Спирина Полина Витальевна</v>
          </cell>
          <cell r="B3033">
            <v>79267166785</v>
          </cell>
        </row>
        <row r="3034">
          <cell r="A3034" t="str">
            <v>Спицын Антон Вадимович</v>
          </cell>
          <cell r="B3034">
            <v>79064511521</v>
          </cell>
        </row>
        <row r="3035">
          <cell r="A3035" t="str">
            <v>Спичак Вадим Михайлович</v>
          </cell>
          <cell r="B3035">
            <v>79153518882</v>
          </cell>
        </row>
        <row r="3036">
          <cell r="A3036" t="str">
            <v>Ставский Олег Юрьевич</v>
          </cell>
          <cell r="B3036">
            <v>79650924929</v>
          </cell>
        </row>
        <row r="3037">
          <cell r="A3037" t="str">
            <v>Стаделова Елена Владимировна</v>
          </cell>
          <cell r="B3037">
            <v>79267350751</v>
          </cell>
        </row>
        <row r="3038">
          <cell r="A3038" t="str">
            <v>Станиславов Владимир Валерьевич</v>
          </cell>
          <cell r="B3038">
            <v>79167434202</v>
          </cell>
        </row>
        <row r="3039">
          <cell r="A3039" t="str">
            <v>Станкеев Сергей Николаевич</v>
          </cell>
          <cell r="B3039">
            <v>79651049468</v>
          </cell>
        </row>
        <row r="3040">
          <cell r="A3040" t="str">
            <v>Станслер Даниил Юрьевич</v>
          </cell>
          <cell r="B3040">
            <v>79602834312</v>
          </cell>
        </row>
        <row r="3041">
          <cell r="A3041" t="str">
            <v>Старкова Динара Шамиловна</v>
          </cell>
          <cell r="B3041">
            <v>79169654555</v>
          </cell>
        </row>
        <row r="3042">
          <cell r="A3042" t="str">
            <v>Старов Илья Александрович</v>
          </cell>
          <cell r="B3042">
            <v>79686263609</v>
          </cell>
        </row>
        <row r="3043">
          <cell r="A3043" t="str">
            <v>Староверов Антон Павлович</v>
          </cell>
          <cell r="B3043">
            <v>79038809448</v>
          </cell>
        </row>
        <row r="3044">
          <cell r="A3044" t="str">
            <v>Старовойтов Сергей Вячеславович</v>
          </cell>
          <cell r="B3044">
            <v>79262782834</v>
          </cell>
        </row>
        <row r="3045">
          <cell r="A3045" t="str">
            <v>Стародубов Виталий Юрьевич</v>
          </cell>
          <cell r="B3045">
            <v>79158532878</v>
          </cell>
        </row>
        <row r="3046">
          <cell r="A3046" t="str">
            <v>Стародубцева Екатерина Евгеньевна</v>
          </cell>
          <cell r="B3046">
            <v>79266978579</v>
          </cell>
        </row>
        <row r="3047">
          <cell r="A3047" t="str">
            <v>Стахровская Ольга Владимировна</v>
          </cell>
          <cell r="B3047">
            <v>79166524256</v>
          </cell>
        </row>
        <row r="3048">
          <cell r="A3048" t="str">
            <v>Стеблевская Юлия Александровна</v>
          </cell>
          <cell r="B3048">
            <v>79886033373</v>
          </cell>
        </row>
        <row r="3049">
          <cell r="A3049" t="str">
            <v>Стелюк Юрий Дмитриевич</v>
          </cell>
          <cell r="B3049">
            <v>79999739289</v>
          </cell>
        </row>
        <row r="3050">
          <cell r="A3050" t="str">
            <v>Стеняшин Александр Николаевич</v>
          </cell>
          <cell r="B3050">
            <v>79779831328</v>
          </cell>
        </row>
        <row r="3051">
          <cell r="A3051" t="str">
            <v>Степанов Алексей Владимирович</v>
          </cell>
          <cell r="B3051">
            <v>79219185170</v>
          </cell>
        </row>
        <row r="3052">
          <cell r="A3052" t="str">
            <v>Степанов Андрей Васильевич</v>
          </cell>
          <cell r="B3052">
            <v>79164885887</v>
          </cell>
        </row>
        <row r="3053">
          <cell r="A3053" t="str">
            <v>Степанов Денис Валерьевич</v>
          </cell>
          <cell r="B3053">
            <v>79181567210</v>
          </cell>
        </row>
        <row r="3054">
          <cell r="A3054" t="str">
            <v>Степанов Дмитрий Олегович</v>
          </cell>
          <cell r="B3054">
            <v>79818913551</v>
          </cell>
        </row>
        <row r="3055">
          <cell r="A3055" t="str">
            <v>Степанов Евгений Владимирович</v>
          </cell>
          <cell r="B3055">
            <v>79778332063</v>
          </cell>
        </row>
        <row r="3056">
          <cell r="A3056" t="str">
            <v>Степанов Игорь Александрович</v>
          </cell>
          <cell r="B3056">
            <v>79107795024</v>
          </cell>
        </row>
        <row r="3057">
          <cell r="A3057" t="str">
            <v>Степанова Анна Олеговна</v>
          </cell>
          <cell r="B3057">
            <v>79110297773</v>
          </cell>
        </row>
        <row r="3058">
          <cell r="A3058" t="str">
            <v>Степанян Степан Бахтиярович</v>
          </cell>
          <cell r="B3058">
            <v>79897501234</v>
          </cell>
        </row>
        <row r="3059">
          <cell r="A3059" t="str">
            <v>Степанян Тигран Геворгович</v>
          </cell>
          <cell r="B3059">
            <v>79035260173</v>
          </cell>
        </row>
        <row r="3060">
          <cell r="A3060" t="str">
            <v>Степенко Александр Сергеевич</v>
          </cell>
          <cell r="B3060">
            <v>79268140732</v>
          </cell>
        </row>
        <row r="3061">
          <cell r="A3061" t="str">
            <v>Стефанков Игорь Борисович</v>
          </cell>
          <cell r="B3061">
            <v>79057314390</v>
          </cell>
        </row>
        <row r="3062">
          <cell r="A3062" t="str">
            <v>Стойка Симион</v>
          </cell>
          <cell r="B3062">
            <v>79166281919</v>
          </cell>
        </row>
        <row r="3063">
          <cell r="A3063" t="str">
            <v>Столник Андрей Андреевич</v>
          </cell>
          <cell r="B3063">
            <v>79884181333</v>
          </cell>
        </row>
        <row r="3064">
          <cell r="A3064" t="str">
            <v>Столяренко Сергей Викторович</v>
          </cell>
          <cell r="B3064">
            <v>79288480202</v>
          </cell>
        </row>
        <row r="3065">
          <cell r="A3065" t="str">
            <v>Столярчук Александр Петрович</v>
          </cell>
          <cell r="B3065">
            <v>79850986530</v>
          </cell>
        </row>
        <row r="3066">
          <cell r="A3066" t="str">
            <v>Стрельникова Татьяна Владимировна</v>
          </cell>
          <cell r="B3066">
            <v>79268711354</v>
          </cell>
        </row>
        <row r="3067">
          <cell r="A3067" t="str">
            <v>Стрельцов Денис Николаевич</v>
          </cell>
          <cell r="B3067">
            <v>79035708460</v>
          </cell>
        </row>
        <row r="3068">
          <cell r="A3068" t="str">
            <v>Стрельцов Денис Николаевич</v>
          </cell>
          <cell r="B3068">
            <v>79150995788</v>
          </cell>
        </row>
        <row r="3069">
          <cell r="A3069" t="str">
            <v>Стрельцова Елена Владимировна</v>
          </cell>
          <cell r="B3069">
            <v>79150995688</v>
          </cell>
        </row>
        <row r="3070">
          <cell r="A3070" t="str">
            <v>Стрельченкова Мария Владимировна</v>
          </cell>
          <cell r="B3070">
            <v>79660875445</v>
          </cell>
        </row>
        <row r="3071">
          <cell r="A3071" t="str">
            <v>Строганова Таисия Александровна</v>
          </cell>
          <cell r="B3071">
            <v>79615278802</v>
          </cell>
        </row>
        <row r="3072">
          <cell r="A3072" t="str">
            <v>СТРОЙКОМ ООО</v>
          </cell>
          <cell r="B3072">
            <v>79162262702</v>
          </cell>
        </row>
        <row r="3073">
          <cell r="A3073" t="str">
            <v>Струнгарь Григорий Васильевич</v>
          </cell>
          <cell r="B3073">
            <v>79661018911</v>
          </cell>
        </row>
        <row r="3074">
          <cell r="A3074" t="str">
            <v>Ступников Павел Николаевич</v>
          </cell>
          <cell r="B3074">
            <v>79258426300</v>
          </cell>
        </row>
        <row r="3075">
          <cell r="A3075" t="str">
            <v>Суванов Элнур Равшан Оглы</v>
          </cell>
          <cell r="B3075">
            <v>79782587570</v>
          </cell>
        </row>
        <row r="3076">
          <cell r="A3076" t="str">
            <v>Сударикова Екатерина Сергеевна</v>
          </cell>
          <cell r="B3076">
            <v>79169052440</v>
          </cell>
        </row>
        <row r="3077">
          <cell r="A3077" t="str">
            <v>Суджаев Мугбил Джамал Оглы</v>
          </cell>
          <cell r="B3077">
            <v>79633269555</v>
          </cell>
        </row>
        <row r="3078">
          <cell r="A3078" t="str">
            <v>Сукасян Давид Рубенович</v>
          </cell>
          <cell r="B3078">
            <v>79629344444</v>
          </cell>
        </row>
        <row r="3079">
          <cell r="A3079" t="str">
            <v>Сукач Галина Александровна</v>
          </cell>
          <cell r="B3079">
            <v>79111303089</v>
          </cell>
        </row>
        <row r="3080">
          <cell r="A3080" t="str">
            <v>Сукач Олег Константинович</v>
          </cell>
          <cell r="B3080">
            <v>79110944638</v>
          </cell>
        </row>
        <row r="3081">
          <cell r="A3081" t="str">
            <v>Сукиасян Геворг Гагикович</v>
          </cell>
          <cell r="B3081">
            <v>79255129212</v>
          </cell>
        </row>
        <row r="3082">
          <cell r="A3082" t="str">
            <v>Сукиасян Гегам Гагикович</v>
          </cell>
          <cell r="B3082">
            <v>79998588002</v>
          </cell>
        </row>
        <row r="3083">
          <cell r="A3083" t="str">
            <v>Султаналиев Магомед Магомедкамилович</v>
          </cell>
          <cell r="B3083">
            <v>79096476070</v>
          </cell>
        </row>
        <row r="3084">
          <cell r="A3084" t="str">
            <v>Султанов Салим Исламович</v>
          </cell>
          <cell r="B3084">
            <v>79998708670</v>
          </cell>
        </row>
        <row r="3085">
          <cell r="A3085" t="str">
            <v>Султанов Феликс Салаватович</v>
          </cell>
          <cell r="B3085">
            <v>79673777744</v>
          </cell>
        </row>
        <row r="3086">
          <cell r="A3086" t="str">
            <v>Султанова Анастасия Григорьевна</v>
          </cell>
          <cell r="B3086">
            <v>79378402894</v>
          </cell>
        </row>
        <row r="3087">
          <cell r="A3087" t="str">
            <v>Султанова Анна Валерьевна</v>
          </cell>
          <cell r="B3087">
            <v>79263845053</v>
          </cell>
        </row>
        <row r="3088">
          <cell r="A3088" t="str">
            <v>Сунгатуллин Марсель Ренатович</v>
          </cell>
          <cell r="B3088">
            <v>79179360065</v>
          </cell>
        </row>
        <row r="3089">
          <cell r="A3089" t="str">
            <v>Сундуков Сергей Сергеевич</v>
          </cell>
          <cell r="B3089">
            <v>79807162030</v>
          </cell>
        </row>
        <row r="3090">
          <cell r="A3090" t="str">
            <v>Сурин Георгий Николаевич</v>
          </cell>
          <cell r="B3090">
            <v>79651729544</v>
          </cell>
        </row>
        <row r="3091">
          <cell r="A3091" t="str">
            <v>Суслов Олег Алексеевич</v>
          </cell>
          <cell r="B3091">
            <v>79519297307</v>
          </cell>
        </row>
        <row r="3092">
          <cell r="A3092" t="str">
            <v>Суслова Анна Николаевна</v>
          </cell>
          <cell r="B3092">
            <v>79180588105</v>
          </cell>
        </row>
        <row r="3093">
          <cell r="A3093" t="str">
            <v>Сутько Максим Николаевич</v>
          </cell>
          <cell r="B3093">
            <v>79217875907</v>
          </cell>
        </row>
        <row r="3094">
          <cell r="A3094" t="str">
            <v>Суханов Алексей Евгеньевич</v>
          </cell>
          <cell r="B3094">
            <v>79995990919</v>
          </cell>
        </row>
        <row r="3095">
          <cell r="A3095" t="str">
            <v>Сухов Алексей Александрович</v>
          </cell>
          <cell r="B3095">
            <v>79096760046</v>
          </cell>
        </row>
        <row r="3096">
          <cell r="A3096" t="str">
            <v>Сухов Михаил Игоревич</v>
          </cell>
          <cell r="B3096">
            <v>79031058321</v>
          </cell>
        </row>
        <row r="3097">
          <cell r="A3097" t="str">
            <v>Сухомлина Ирина Владимировна</v>
          </cell>
          <cell r="B3097">
            <v>79182424611</v>
          </cell>
        </row>
        <row r="3098">
          <cell r="A3098" t="str">
            <v>Сушкова Анна Александровна</v>
          </cell>
          <cell r="B3098">
            <v>79153814788</v>
          </cell>
        </row>
        <row r="3099">
          <cell r="A3099" t="str">
            <v>Сывороткин Сергей Валентинович</v>
          </cell>
          <cell r="B3099">
            <v>79616120056</v>
          </cell>
        </row>
        <row r="3100">
          <cell r="A3100" t="str">
            <v>Сыздыков Артур Сабырович</v>
          </cell>
          <cell r="B3100">
            <v>79267898079</v>
          </cell>
        </row>
        <row r="3101">
          <cell r="A3101" t="str">
            <v>Сыраев Руслан Тахирович</v>
          </cell>
          <cell r="B3101">
            <v>79269092202</v>
          </cell>
        </row>
        <row r="3102">
          <cell r="A3102" t="str">
            <v>Сырова Анастасия Алексеевна</v>
          </cell>
          <cell r="B3102">
            <v>79186034350</v>
          </cell>
        </row>
        <row r="3103">
          <cell r="A3103" t="str">
            <v>Сырышев Георгий Андреевич</v>
          </cell>
          <cell r="B3103">
            <v>79111957777</v>
          </cell>
        </row>
        <row r="3104">
          <cell r="A3104" t="str">
            <v>Сырышева Жанна Евгеньевна</v>
          </cell>
          <cell r="B3104">
            <v>79112266824</v>
          </cell>
        </row>
        <row r="3105">
          <cell r="A3105" t="str">
            <v>Сытник Александр Владимирович</v>
          </cell>
          <cell r="B3105">
            <v>79806759899</v>
          </cell>
        </row>
        <row r="3106">
          <cell r="A3106" t="str">
            <v>Сычев Станислав Геннадьевич</v>
          </cell>
          <cell r="B3106">
            <v>79052176333</v>
          </cell>
        </row>
        <row r="3107">
          <cell r="A3107" t="str">
            <v>Тавакин Сергей Александрович</v>
          </cell>
          <cell r="B3107">
            <v>79262110016</v>
          </cell>
        </row>
        <row r="3108">
          <cell r="A3108" t="str">
            <v>Таварацян Артак Григорьевич</v>
          </cell>
          <cell r="B3108">
            <v>79266269974</v>
          </cell>
        </row>
        <row r="3109">
          <cell r="A3109" t="str">
            <v>Тагаева Ольга Гиниядовна</v>
          </cell>
          <cell r="B3109">
            <v>79068500727</v>
          </cell>
        </row>
        <row r="3110">
          <cell r="A3110" t="str">
            <v>Тагиев Рафаел Иса Оглы</v>
          </cell>
          <cell r="B3110">
            <v>79167908897</v>
          </cell>
        </row>
        <row r="3111">
          <cell r="A3111" t="str">
            <v>Тайсина Дарья Анатольевна</v>
          </cell>
          <cell r="B3111">
            <v>79774488128</v>
          </cell>
        </row>
        <row r="3112">
          <cell r="A3112" t="str">
            <v>Такташев Илдар Ирекович</v>
          </cell>
          <cell r="B3112">
            <v>79779055690</v>
          </cell>
        </row>
        <row r="3113">
          <cell r="A3113" t="str">
            <v>Талаев Алексей Анатольевич</v>
          </cell>
          <cell r="B3113">
            <v>79241724674</v>
          </cell>
        </row>
        <row r="3114">
          <cell r="A3114" t="str">
            <v>Талдиев Адам Амерханович</v>
          </cell>
          <cell r="B3114">
            <v>79650070606</v>
          </cell>
        </row>
        <row r="3115">
          <cell r="A3115" t="str">
            <v>Талинг Дмитрий Борисович</v>
          </cell>
          <cell r="B3115">
            <v>79096990852</v>
          </cell>
        </row>
        <row r="3116">
          <cell r="A3116" t="str">
            <v>Тамарян Марат Мисакович</v>
          </cell>
          <cell r="B3116">
            <v>79299934550</v>
          </cell>
        </row>
        <row r="3117">
          <cell r="A3117" t="str">
            <v>Тамбовский Юрий Геннадьевич</v>
          </cell>
          <cell r="B3117">
            <v>79119206628</v>
          </cell>
        </row>
        <row r="3118">
          <cell r="A3118" t="str">
            <v>Тамбовцев Кирилл Евгеньевич</v>
          </cell>
          <cell r="B3118" t="str">
            <v/>
          </cell>
        </row>
        <row r="3119">
          <cell r="A3119" t="str">
            <v>Танишева Ольга Сергеевна</v>
          </cell>
          <cell r="B3119">
            <v>79086889615</v>
          </cell>
        </row>
        <row r="3120">
          <cell r="A3120" t="str">
            <v>Танишева Ольга Сергеевна</v>
          </cell>
          <cell r="B3120">
            <v>79184362296</v>
          </cell>
        </row>
        <row r="3121">
          <cell r="A3121" t="str">
            <v>Тараканов Евгений Валерьевич</v>
          </cell>
          <cell r="B3121">
            <v>79671996699</v>
          </cell>
        </row>
        <row r="3122">
          <cell r="A3122" t="str">
            <v>Таран Валентин Викторович</v>
          </cell>
          <cell r="B3122">
            <v>79218907494</v>
          </cell>
        </row>
        <row r="3123">
          <cell r="A3123" t="str">
            <v>Таран Валерий Григорьевич</v>
          </cell>
          <cell r="B3123">
            <v>79184491458</v>
          </cell>
        </row>
        <row r="3124">
          <cell r="A3124" t="str">
            <v>Тарасенко Наталья Александровна</v>
          </cell>
          <cell r="B3124">
            <v>79167954629</v>
          </cell>
        </row>
        <row r="3125">
          <cell r="A3125" t="str">
            <v>Тарасов Александр Владимирович</v>
          </cell>
          <cell r="B3125">
            <v>79536117014</v>
          </cell>
        </row>
        <row r="3126">
          <cell r="A3126" t="str">
            <v>Тарасов Вадим Иванович</v>
          </cell>
          <cell r="B3126">
            <v>79265218694</v>
          </cell>
        </row>
        <row r="3127">
          <cell r="A3127" t="str">
            <v>Тарасов Геннадий Анатольевич</v>
          </cell>
          <cell r="B3127">
            <v>79036170042</v>
          </cell>
        </row>
        <row r="3128">
          <cell r="A3128" t="str">
            <v>Тарасов Дмитрий Алексеевич</v>
          </cell>
          <cell r="B3128">
            <v>79165046605</v>
          </cell>
        </row>
        <row r="3129">
          <cell r="A3129" t="str">
            <v>Тарасов Евгений Анатольевич</v>
          </cell>
          <cell r="B3129">
            <v>79152182541</v>
          </cell>
        </row>
        <row r="3130">
          <cell r="A3130" t="str">
            <v>Тарасов Константин Валерьевич</v>
          </cell>
          <cell r="B3130">
            <v>79015468724</v>
          </cell>
        </row>
        <row r="3131">
          <cell r="A3131" t="str">
            <v>Тарасов Олег Васильевич</v>
          </cell>
          <cell r="B3131">
            <v>79829081999</v>
          </cell>
        </row>
        <row r="3132">
          <cell r="A3132" t="str">
            <v>Тарасов Сергей Валерьевич</v>
          </cell>
          <cell r="B3132">
            <v>79788315190</v>
          </cell>
        </row>
        <row r="3133">
          <cell r="A3133" t="str">
            <v>Тарукина Дарья Олеговна</v>
          </cell>
          <cell r="B3133">
            <v>79174981671</v>
          </cell>
        </row>
        <row r="3134">
          <cell r="A3134" t="str">
            <v>Тархов Виктор Сергеевич</v>
          </cell>
          <cell r="B3134">
            <v>79533502398</v>
          </cell>
        </row>
        <row r="3135">
          <cell r="A3135" t="str">
            <v>Татьянин Николай Георгиевич</v>
          </cell>
          <cell r="B3135">
            <v>79164628122</v>
          </cell>
        </row>
        <row r="3136">
          <cell r="A3136" t="str">
            <v>Тахмазов Солтан Агарашид Оглы</v>
          </cell>
          <cell r="B3136">
            <v>79633133388</v>
          </cell>
        </row>
        <row r="3137">
          <cell r="A3137" t="str">
            <v>Тахтаров Нурди Алиевич</v>
          </cell>
          <cell r="B3137">
            <v>79298404041</v>
          </cell>
        </row>
        <row r="3138">
          <cell r="A3138" t="str">
            <v>Тациенко Олег Анатольевич</v>
          </cell>
          <cell r="B3138">
            <v>79182704040</v>
          </cell>
        </row>
        <row r="3139">
          <cell r="A3139" t="str">
            <v>Ташланова Юлия Юрьевна</v>
          </cell>
          <cell r="B3139">
            <v>79630330171</v>
          </cell>
        </row>
        <row r="3140">
          <cell r="A3140" t="str">
            <v>Темникова Оксана Дмитриевна</v>
          </cell>
          <cell r="B3140">
            <v>79297003562</v>
          </cell>
        </row>
        <row r="3141">
          <cell r="A3141" t="str">
            <v>Тен Елена Аркадьевна</v>
          </cell>
          <cell r="B3141">
            <v>79629890303</v>
          </cell>
        </row>
        <row r="3142">
          <cell r="A3142" t="str">
            <v>Тен Сергей Иннокентьевич</v>
          </cell>
          <cell r="B3142">
            <v>79132102424</v>
          </cell>
        </row>
        <row r="3143">
          <cell r="A3143" t="str">
            <v>Теплякова Оксана Вячеславовна</v>
          </cell>
          <cell r="B3143">
            <v>79678258615</v>
          </cell>
        </row>
        <row r="3144">
          <cell r="A3144" t="str">
            <v>Терентьев Антон Николаевич</v>
          </cell>
          <cell r="B3144">
            <v>79169337638</v>
          </cell>
        </row>
        <row r="3145">
          <cell r="A3145" t="str">
            <v>Терехов Андрей Анатольевич</v>
          </cell>
          <cell r="B3145">
            <v>79104401148</v>
          </cell>
        </row>
        <row r="3146">
          <cell r="A3146" t="str">
            <v>Терешкин Виктор Анатольевич</v>
          </cell>
          <cell r="B3146">
            <v>79881437821</v>
          </cell>
        </row>
        <row r="3147">
          <cell r="A3147" t="str">
            <v>Терешкин Евгений Сергеевич</v>
          </cell>
          <cell r="B3147" t="str">
            <v/>
          </cell>
        </row>
        <row r="3148">
          <cell r="A3148" t="str">
            <v>Терещенко Алексей Юрьевич</v>
          </cell>
          <cell r="B3148">
            <v>79213085300</v>
          </cell>
        </row>
        <row r="3149">
          <cell r="A3149" t="str">
            <v>Терещенко Дмитрий Андреевич</v>
          </cell>
          <cell r="B3149">
            <v>79100000656</v>
          </cell>
        </row>
        <row r="3150">
          <cell r="A3150" t="str">
            <v>Терновая Наталия Вячеславовна</v>
          </cell>
          <cell r="B3150">
            <v>79261701103</v>
          </cell>
        </row>
        <row r="3151">
          <cell r="A3151" t="str">
            <v>Терновская Алина Павловна</v>
          </cell>
          <cell r="B3151" t="str">
            <v/>
          </cell>
        </row>
        <row r="3152">
          <cell r="A3152" t="str">
            <v>Терновский Андрей Викторович</v>
          </cell>
          <cell r="B3152" t="str">
            <v/>
          </cell>
        </row>
        <row r="3153">
          <cell r="A3153" t="str">
            <v>ТЕРРА АВТО ООО</v>
          </cell>
          <cell r="B3153" t="str">
            <v/>
          </cell>
        </row>
        <row r="3154">
          <cell r="A3154" t="str">
            <v>Тертерян Артур Арамович</v>
          </cell>
          <cell r="B3154">
            <v>79037277637</v>
          </cell>
        </row>
        <row r="3155">
          <cell r="A3155" t="str">
            <v>Тертишник Павел Валерьевич</v>
          </cell>
          <cell r="B3155">
            <v>79168487359</v>
          </cell>
        </row>
        <row r="3156">
          <cell r="A3156" t="str">
            <v>Терчуков Заурбек Казбекович</v>
          </cell>
          <cell r="B3156">
            <v>79182569612</v>
          </cell>
        </row>
        <row r="3157">
          <cell r="A3157" t="str">
            <v>Теслюк Игорь Анатольевич</v>
          </cell>
          <cell r="B3157">
            <v>79096888811</v>
          </cell>
        </row>
        <row r="3158">
          <cell r="A3158" t="str">
            <v>Тетерин Александр Викторович</v>
          </cell>
          <cell r="B3158">
            <v>79262297168</v>
          </cell>
        </row>
        <row r="3159">
          <cell r="A3159" t="str">
            <v>Тетерин Владимир Михайлович</v>
          </cell>
          <cell r="B3159">
            <v>79051449523</v>
          </cell>
        </row>
        <row r="3160">
          <cell r="A3160" t="str">
            <v>ТЕХНОСЕРВИС ПН ООО</v>
          </cell>
          <cell r="B3160">
            <v>79688737035</v>
          </cell>
        </row>
        <row r="3161">
          <cell r="A3161" t="str">
            <v>ТехТара ООО</v>
          </cell>
          <cell r="B3161">
            <v>79509233812</v>
          </cell>
        </row>
        <row r="3162">
          <cell r="A3162" t="str">
            <v>Тигранян Гор Робертович</v>
          </cell>
          <cell r="B3162">
            <v>79057949299</v>
          </cell>
        </row>
        <row r="3163">
          <cell r="A3163" t="str">
            <v>Тизик Лада Владимировна</v>
          </cell>
          <cell r="B3163">
            <v>79857670141</v>
          </cell>
        </row>
        <row r="3164">
          <cell r="A3164" t="str">
            <v>Тимаков Никита Викторович</v>
          </cell>
          <cell r="B3164">
            <v>79686728418</v>
          </cell>
        </row>
        <row r="3165">
          <cell r="A3165" t="str">
            <v>Тимаков Никита Николаевич</v>
          </cell>
          <cell r="B3165">
            <v>79166152713</v>
          </cell>
        </row>
        <row r="3166">
          <cell r="A3166" t="str">
            <v>Тимонин Виктор Викторович</v>
          </cell>
          <cell r="B3166">
            <v>79189414997</v>
          </cell>
        </row>
        <row r="3167">
          <cell r="A3167" t="str">
            <v>Тимонов Виталий Викторович</v>
          </cell>
          <cell r="B3167">
            <v>79650610163</v>
          </cell>
        </row>
        <row r="3168">
          <cell r="A3168" t="str">
            <v>Тимофеев Алексей Александрович</v>
          </cell>
          <cell r="B3168">
            <v>79169770073</v>
          </cell>
        </row>
        <row r="3169">
          <cell r="A3169" t="str">
            <v>Тимофеев Михаил Владимирович</v>
          </cell>
          <cell r="B3169">
            <v>79161493617</v>
          </cell>
        </row>
        <row r="3170">
          <cell r="A3170" t="str">
            <v>Тимофеев Юрий Юрьевич</v>
          </cell>
          <cell r="B3170">
            <v>79858245565</v>
          </cell>
        </row>
        <row r="3171">
          <cell r="A3171" t="str">
            <v>Тимофеева Оксана Викторовна</v>
          </cell>
          <cell r="B3171">
            <v>79675050082</v>
          </cell>
        </row>
        <row r="3172">
          <cell r="A3172" t="str">
            <v>Тимохин Иван Алексеевич</v>
          </cell>
          <cell r="B3172">
            <v>79154745516</v>
          </cell>
        </row>
        <row r="3173">
          <cell r="A3173" t="str">
            <v>Тимошин Александр Александрович</v>
          </cell>
          <cell r="B3173">
            <v>79999182202</v>
          </cell>
        </row>
        <row r="3174">
          <cell r="A3174" t="str">
            <v>Тимошинин Сергей Сергеевич</v>
          </cell>
          <cell r="B3174">
            <v>79250281798</v>
          </cell>
        </row>
        <row r="3175">
          <cell r="A3175" t="str">
            <v>Тимченко Вячеслав Иванович</v>
          </cell>
          <cell r="B3175">
            <v>79611862008</v>
          </cell>
        </row>
        <row r="3176">
          <cell r="A3176" t="str">
            <v>Титишин Андрей Геннадьевич</v>
          </cell>
          <cell r="B3176">
            <v>79268502310</v>
          </cell>
        </row>
        <row r="3177">
          <cell r="A3177" t="str">
            <v>Титов Дмитрий Александрович</v>
          </cell>
          <cell r="B3177">
            <v>79099111979</v>
          </cell>
        </row>
        <row r="3178">
          <cell r="A3178" t="str">
            <v>Титов Максим Сергеевич</v>
          </cell>
          <cell r="B3178">
            <v>79826356431</v>
          </cell>
        </row>
        <row r="3179">
          <cell r="A3179" t="str">
            <v>Титова Юлия Сергеевна</v>
          </cell>
          <cell r="B3179">
            <v>79873853078</v>
          </cell>
        </row>
        <row r="3180">
          <cell r="A3180" t="str">
            <v>Тихомиров Илья Александрович</v>
          </cell>
          <cell r="B3180">
            <v>79251870080</v>
          </cell>
        </row>
        <row r="3181">
          <cell r="A3181" t="str">
            <v>Тихонов Борис Александрович</v>
          </cell>
          <cell r="B3181">
            <v>79211704399</v>
          </cell>
        </row>
        <row r="3182">
          <cell r="A3182" t="str">
            <v>Тихонов Виталий Сергеевич</v>
          </cell>
          <cell r="B3182">
            <v>79992000708</v>
          </cell>
        </row>
        <row r="3183">
          <cell r="A3183" t="str">
            <v>Тихонов Дмитрий Сергеевич</v>
          </cell>
          <cell r="B3183">
            <v>79104618660</v>
          </cell>
        </row>
        <row r="3184">
          <cell r="A3184" t="str">
            <v>Тихонов Евгений Викторович</v>
          </cell>
          <cell r="B3184">
            <v>79037116711</v>
          </cell>
        </row>
        <row r="3185">
          <cell r="A3185" t="str">
            <v>Тихонов Максим Алексеевич</v>
          </cell>
          <cell r="B3185">
            <v>79771729998</v>
          </cell>
        </row>
        <row r="3186">
          <cell r="A3186" t="str">
            <v>Тихонов Роман Владимирович</v>
          </cell>
          <cell r="B3186">
            <v>79163614644</v>
          </cell>
        </row>
        <row r="3187">
          <cell r="A3187" t="str">
            <v>Тихонова Ирина Анатольевна</v>
          </cell>
          <cell r="B3187">
            <v>79153008651</v>
          </cell>
        </row>
        <row r="3188">
          <cell r="A3188" t="str">
            <v>Тищенко Василий Борисович</v>
          </cell>
          <cell r="B3188">
            <v>79516462649</v>
          </cell>
        </row>
        <row r="3189">
          <cell r="A3189" t="str">
            <v>ТК МЕЖРЕГИОНСЕРВИС-77 ООО</v>
          </cell>
          <cell r="B3189" t="str">
            <v/>
          </cell>
        </row>
        <row r="3190">
          <cell r="A3190" t="str">
            <v>Ткаченко Павел Сергеевич</v>
          </cell>
          <cell r="B3190">
            <v>79261972113</v>
          </cell>
        </row>
        <row r="3191">
          <cell r="A3191" t="str">
            <v>Ткебучава Тамара Иосифовна</v>
          </cell>
          <cell r="B3191">
            <v>79065357441</v>
          </cell>
        </row>
        <row r="3192">
          <cell r="A3192" t="str">
            <v>Токин Юрий Эдуардович</v>
          </cell>
          <cell r="B3192">
            <v>79778502087</v>
          </cell>
        </row>
        <row r="3193">
          <cell r="A3193" t="str">
            <v>Толкачева Елена Владимировна</v>
          </cell>
          <cell r="B3193">
            <v>79104938470</v>
          </cell>
        </row>
        <row r="3194">
          <cell r="A3194" t="str">
            <v>Толстиков Евгений Геннадьевич</v>
          </cell>
          <cell r="B3194">
            <v>79182505511</v>
          </cell>
        </row>
        <row r="3195">
          <cell r="A3195" t="str">
            <v>Толстолугова Ирина Игорьевна</v>
          </cell>
          <cell r="B3195" t="str">
            <v/>
          </cell>
        </row>
        <row r="3196">
          <cell r="A3196" t="str">
            <v>Томилин Темур Садулла Угли</v>
          </cell>
          <cell r="B3196">
            <v>79375551513</v>
          </cell>
        </row>
        <row r="3197">
          <cell r="A3197" t="str">
            <v>Тонконогов Артем Андреевич</v>
          </cell>
          <cell r="B3197">
            <v>79209336766</v>
          </cell>
        </row>
        <row r="3198">
          <cell r="A3198" t="str">
            <v>Тоноян Карен Вачикович</v>
          </cell>
          <cell r="B3198">
            <v>79039749939</v>
          </cell>
        </row>
        <row r="3199">
          <cell r="A3199" t="str">
            <v>Топольскова Екатерина Юрьевна</v>
          </cell>
          <cell r="B3199">
            <v>79778997775</v>
          </cell>
        </row>
        <row r="3200">
          <cell r="A3200" t="str">
            <v>Топтунов Дмитрий Игоревич</v>
          </cell>
          <cell r="B3200">
            <v>79688084428</v>
          </cell>
        </row>
        <row r="3201">
          <cell r="A3201" t="str">
            <v>Торгашина Ольга Александровна</v>
          </cell>
          <cell r="B3201">
            <v>79857865957</v>
          </cell>
        </row>
        <row r="3202">
          <cell r="A3202" t="str">
            <v>Тория Георгий Гивиевич</v>
          </cell>
          <cell r="B3202">
            <v>79990957997</v>
          </cell>
        </row>
        <row r="3203">
          <cell r="A3203" t="str">
            <v>Торкановский Евгений Петрович</v>
          </cell>
          <cell r="B3203">
            <v>79857806216</v>
          </cell>
        </row>
        <row r="3204">
          <cell r="A3204" t="str">
            <v>Торокулов Уланбек Талайбекович</v>
          </cell>
          <cell r="B3204">
            <v>79266343296</v>
          </cell>
        </row>
        <row r="3205">
          <cell r="A3205" t="str">
            <v>Торопов Константин Сергеевич</v>
          </cell>
          <cell r="B3205">
            <v>79224140449</v>
          </cell>
        </row>
        <row r="3206">
          <cell r="A3206" t="str">
            <v>Торосян Ара Вирапович</v>
          </cell>
          <cell r="B3206">
            <v>79999610139</v>
          </cell>
        </row>
        <row r="3207">
          <cell r="A3207" t="str">
            <v>Травков Михаил Александрович</v>
          </cell>
          <cell r="B3207">
            <v>79263634278</v>
          </cell>
        </row>
        <row r="3208">
          <cell r="A3208" t="str">
            <v>Травницкий Алексей Алексеевич</v>
          </cell>
          <cell r="B3208">
            <v>79037905390</v>
          </cell>
        </row>
        <row r="3209">
          <cell r="A3209" t="str">
            <v>Травничек Андрей Михайлович</v>
          </cell>
          <cell r="B3209">
            <v>79264249787</v>
          </cell>
        </row>
        <row r="3210">
          <cell r="A3210" t="str">
            <v>ТРАНСЛОГ ООО</v>
          </cell>
          <cell r="B3210">
            <v>79013735823</v>
          </cell>
        </row>
        <row r="3211">
          <cell r="A3211" t="str">
            <v>Трахов Заур Шамсудинович</v>
          </cell>
          <cell r="B3211">
            <v>79182202722</v>
          </cell>
        </row>
        <row r="3212">
          <cell r="A3212" t="str">
            <v>Трго Ясмин</v>
          </cell>
          <cell r="B3212">
            <v>79161199230</v>
          </cell>
        </row>
        <row r="3213">
          <cell r="A3213" t="str">
            <v>Трененков Александр Николаевич</v>
          </cell>
          <cell r="B3213">
            <v>79603792747</v>
          </cell>
        </row>
        <row r="3214">
          <cell r="A3214" t="str">
            <v>Трененков Александр Николаевич</v>
          </cell>
          <cell r="B3214">
            <v>79021231202</v>
          </cell>
        </row>
        <row r="3215">
          <cell r="A3215" t="str">
            <v>Тренин Никита Сергеевич</v>
          </cell>
          <cell r="B3215">
            <v>79995197477</v>
          </cell>
        </row>
        <row r="3216">
          <cell r="A3216" t="str">
            <v>Третьякова Лариса Руслановна</v>
          </cell>
          <cell r="B3216">
            <v>79775275112</v>
          </cell>
        </row>
        <row r="3217">
          <cell r="A3217" t="str">
            <v>Трипунов Алексей Владимирович</v>
          </cell>
          <cell r="B3217">
            <v>79267161540</v>
          </cell>
        </row>
        <row r="3218">
          <cell r="A3218" t="str">
            <v>ТРИТОНН ООО</v>
          </cell>
          <cell r="B3218">
            <v>79649151001</v>
          </cell>
        </row>
        <row r="3219">
          <cell r="A3219" t="str">
            <v>Трифонов Николай Валентинович</v>
          </cell>
          <cell r="B3219">
            <v>79117782442</v>
          </cell>
        </row>
        <row r="3220">
          <cell r="A3220" t="str">
            <v>Тришина Екатерина Викторовна</v>
          </cell>
          <cell r="B3220">
            <v>79641350337</v>
          </cell>
        </row>
        <row r="3221">
          <cell r="A3221" t="str">
            <v>Трофименко Артем Алексеевич</v>
          </cell>
          <cell r="B3221">
            <v>79036691666</v>
          </cell>
        </row>
        <row r="3222">
          <cell r="A3222" t="str">
            <v>Трофименко Игорь Геннадьевич</v>
          </cell>
          <cell r="B3222">
            <v>79692807939</v>
          </cell>
        </row>
        <row r="3223">
          <cell r="A3223" t="str">
            <v>Трофимов Олег Владимирович</v>
          </cell>
          <cell r="B3223">
            <v>79250073343</v>
          </cell>
        </row>
        <row r="3224">
          <cell r="A3224" t="str">
            <v>Трофимова Анастасия Вадимовна</v>
          </cell>
          <cell r="B3224">
            <v>79539613151</v>
          </cell>
        </row>
        <row r="3225">
          <cell r="A3225" t="str">
            <v>Трофимова Галина Николаевна</v>
          </cell>
          <cell r="B3225">
            <v>79110132457</v>
          </cell>
        </row>
        <row r="3226">
          <cell r="A3226" t="str">
            <v>Трошин Владимир Петрович</v>
          </cell>
          <cell r="B3226">
            <v>79202797778</v>
          </cell>
        </row>
        <row r="3227">
          <cell r="A3227" t="str">
            <v>Трунов Дмитрий Евгеньевич</v>
          </cell>
          <cell r="B3227">
            <v>79852102070</v>
          </cell>
        </row>
        <row r="3228">
          <cell r="A3228" t="str">
            <v>Трунова Екатерина Юрьевна</v>
          </cell>
          <cell r="B3228">
            <v>79858738384</v>
          </cell>
        </row>
        <row r="3229">
          <cell r="A3229" t="str">
            <v>Трунтов Андрей Федорович</v>
          </cell>
          <cell r="B3229">
            <v>79221799222</v>
          </cell>
        </row>
        <row r="3230">
          <cell r="A3230" t="str">
            <v>Трупиков Дмитрий Станиславович</v>
          </cell>
          <cell r="B3230">
            <v>79203522021</v>
          </cell>
        </row>
        <row r="3231">
          <cell r="A3231" t="str">
            <v>Труханкин Анатолий Васильевич</v>
          </cell>
          <cell r="B3231">
            <v>79877821153</v>
          </cell>
        </row>
        <row r="3232">
          <cell r="A3232" t="str">
            <v>Трушникова Инна Олеговна</v>
          </cell>
          <cell r="B3232">
            <v>79150093223</v>
          </cell>
        </row>
        <row r="3233">
          <cell r="A3233" t="str">
            <v>Тряпко Владимир Александрович</v>
          </cell>
          <cell r="B3233">
            <v>79165483213</v>
          </cell>
        </row>
        <row r="3234">
          <cell r="A3234" t="str">
            <v>Тужилков Антон Сергеевич</v>
          </cell>
          <cell r="B3234">
            <v>79819124879</v>
          </cell>
        </row>
        <row r="3235">
          <cell r="A3235" t="str">
            <v>Тульнова Ольга Владимировна</v>
          </cell>
          <cell r="B3235">
            <v>79204054175</v>
          </cell>
        </row>
        <row r="3236">
          <cell r="A3236" t="str">
            <v>Туманова Анжелика Артуровна</v>
          </cell>
          <cell r="B3236">
            <v>79111508107</v>
          </cell>
        </row>
        <row r="3237">
          <cell r="A3237" t="str">
            <v>Тунбаев Максим Валерович</v>
          </cell>
          <cell r="B3237">
            <v>79371877777</v>
          </cell>
        </row>
        <row r="3238">
          <cell r="A3238" t="str">
            <v>Туразян Алина Василиевна</v>
          </cell>
          <cell r="B3238">
            <v>79035229534</v>
          </cell>
        </row>
        <row r="3239">
          <cell r="A3239" t="str">
            <v>Турдиалиев Дилшоджон</v>
          </cell>
          <cell r="B3239">
            <v>79610259677</v>
          </cell>
        </row>
        <row r="3240">
          <cell r="A3240" t="str">
            <v>Турумбекова Темиркан Кадырбековна</v>
          </cell>
          <cell r="B3240">
            <v>79006229906</v>
          </cell>
        </row>
        <row r="3241">
          <cell r="A3241" t="str">
            <v>Турчинович Дмитрий Георгиевич</v>
          </cell>
          <cell r="B3241">
            <v>79879739341</v>
          </cell>
        </row>
        <row r="3242">
          <cell r="A3242" t="str">
            <v>Тутуев Александр Сергеевич</v>
          </cell>
          <cell r="B3242">
            <v>79065140560</v>
          </cell>
        </row>
        <row r="3243">
          <cell r="A3243" t="str">
            <v>Тутунджян Артур Хачатурович</v>
          </cell>
          <cell r="B3243">
            <v>79055535548</v>
          </cell>
        </row>
        <row r="3244">
          <cell r="A3244" t="str">
            <v>Тушина Оксана Ивановна</v>
          </cell>
          <cell r="B3244">
            <v>79777661796</v>
          </cell>
        </row>
        <row r="3245">
          <cell r="A3245" t="str">
            <v>Тхакохова Джуллета Джашарбековна</v>
          </cell>
          <cell r="B3245">
            <v>79654045566</v>
          </cell>
        </row>
        <row r="3246">
          <cell r="A3246" t="str">
            <v>Тымощук Ярема Дмитриевич</v>
          </cell>
          <cell r="B3246">
            <v>79175357003</v>
          </cell>
        </row>
        <row r="3247">
          <cell r="A3247" t="str">
            <v>Тюменцев Максим Сергеевич</v>
          </cell>
          <cell r="B3247">
            <v>79388774050</v>
          </cell>
        </row>
        <row r="3248">
          <cell r="A3248" t="str">
            <v>Тюмин Валерий Александрович</v>
          </cell>
          <cell r="B3248">
            <v>79869544879</v>
          </cell>
        </row>
        <row r="3249">
          <cell r="A3249" t="str">
            <v>Тюрин Алексей Викторович</v>
          </cell>
          <cell r="B3249">
            <v>79033608111</v>
          </cell>
        </row>
        <row r="3250">
          <cell r="A3250" t="str">
            <v>Тюрин Артем Александрович</v>
          </cell>
          <cell r="B3250">
            <v>79771974200</v>
          </cell>
        </row>
        <row r="3251">
          <cell r="A3251" t="str">
            <v>Тюрнин Юрий Викторович</v>
          </cell>
          <cell r="B3251" t="str">
            <v/>
          </cell>
        </row>
        <row r="3252">
          <cell r="A3252" t="str">
            <v>Тяпов Иван Анатольевич</v>
          </cell>
          <cell r="B3252">
            <v>79255077159</v>
          </cell>
        </row>
        <row r="3253">
          <cell r="A3253" t="str">
            <v>Уалханова Айжан Токтаргазиновна</v>
          </cell>
          <cell r="B3253">
            <v>79684480814</v>
          </cell>
        </row>
        <row r="3254">
          <cell r="A3254" t="str">
            <v>Уалханова Айжан Токтаргазиновна</v>
          </cell>
          <cell r="B3254">
            <v>79266573879</v>
          </cell>
        </row>
        <row r="3255">
          <cell r="A3255" t="str">
            <v>Уварова Евгения Александровна</v>
          </cell>
          <cell r="B3255">
            <v>79165204422</v>
          </cell>
        </row>
        <row r="3256">
          <cell r="A3256" t="str">
            <v>Уварова Наталья Викторовна</v>
          </cell>
          <cell r="B3256">
            <v>79673161217</v>
          </cell>
        </row>
        <row r="3257">
          <cell r="A3257" t="str">
            <v>Уголькова Любовь Александровна</v>
          </cell>
          <cell r="B3257">
            <v>79853175522</v>
          </cell>
        </row>
        <row r="3258">
          <cell r="A3258" t="str">
            <v>Угренинов Денис Александрович</v>
          </cell>
          <cell r="B3258">
            <v>79261307699</v>
          </cell>
        </row>
        <row r="3259">
          <cell r="A3259" t="str">
            <v>Угринский Андрей Анатольевич</v>
          </cell>
          <cell r="B3259">
            <v>79262741961</v>
          </cell>
        </row>
        <row r="3260">
          <cell r="A3260" t="str">
            <v>Узаков Пахлавон Муродилович</v>
          </cell>
          <cell r="B3260">
            <v>79150005343</v>
          </cell>
        </row>
        <row r="3261">
          <cell r="A3261" t="str">
            <v>Узбеков Антон Сергеевич</v>
          </cell>
          <cell r="B3261">
            <v>79530273058</v>
          </cell>
        </row>
        <row r="3262">
          <cell r="A3262" t="str">
            <v>Улесов Олег Викторович</v>
          </cell>
          <cell r="B3262">
            <v>79002566038</v>
          </cell>
        </row>
        <row r="3263">
          <cell r="A3263" t="str">
            <v>Ульбашева Елена Владимировна</v>
          </cell>
          <cell r="B3263">
            <v>79643296845</v>
          </cell>
        </row>
        <row r="3264">
          <cell r="A3264" t="str">
            <v>Ульянов Михаил Юрьевич</v>
          </cell>
          <cell r="B3264">
            <v>79254595181</v>
          </cell>
        </row>
        <row r="3265">
          <cell r="A3265" t="str">
            <v>Умаров Бобиржон Баходирович</v>
          </cell>
          <cell r="B3265">
            <v>79250996299</v>
          </cell>
        </row>
        <row r="3266">
          <cell r="A3266" t="str">
            <v>Умарова Индира Ризвановна</v>
          </cell>
          <cell r="B3266">
            <v>79280222885</v>
          </cell>
        </row>
        <row r="3267">
          <cell r="A3267" t="str">
            <v>Унанян Самвел Мартунович</v>
          </cell>
          <cell r="B3267">
            <v>79647151845</v>
          </cell>
        </row>
        <row r="3268">
          <cell r="A3268" t="str">
            <v>Унковская Тамара Валентиновна</v>
          </cell>
          <cell r="B3268">
            <v>79657620907</v>
          </cell>
        </row>
        <row r="3269">
          <cell r="A3269" t="str">
            <v>Уразов Максим Игоревич</v>
          </cell>
          <cell r="B3269" t="str">
            <v/>
          </cell>
        </row>
        <row r="3270">
          <cell r="A3270" t="str">
            <v>Ураков Мурат Асланович</v>
          </cell>
          <cell r="B3270">
            <v>79189213110</v>
          </cell>
        </row>
        <row r="3271">
          <cell r="A3271" t="str">
            <v>Урсул Ирина Геннадьевна</v>
          </cell>
          <cell r="B3271">
            <v>79031040914</v>
          </cell>
        </row>
        <row r="3272">
          <cell r="A3272" t="str">
            <v>Урютина Мария Николаевна</v>
          </cell>
          <cell r="B3272">
            <v>79883662777</v>
          </cell>
        </row>
        <row r="3273">
          <cell r="A3273" t="str">
            <v>Усанова Евгения Георгиевна</v>
          </cell>
          <cell r="B3273">
            <v>79166080113</v>
          </cell>
        </row>
        <row r="3274">
          <cell r="A3274" t="str">
            <v>Усанова Екатерина Евгеньевна</v>
          </cell>
          <cell r="B3274">
            <v>79857609255</v>
          </cell>
        </row>
        <row r="3275">
          <cell r="A3275" t="str">
            <v>Усенко Сергей Константинович</v>
          </cell>
          <cell r="B3275">
            <v>79046317839</v>
          </cell>
        </row>
        <row r="3276">
          <cell r="A3276" t="str">
            <v>Усик Александр Андреевич</v>
          </cell>
          <cell r="B3276">
            <v>79689011696</v>
          </cell>
        </row>
        <row r="3277">
          <cell r="A3277" t="str">
            <v>Усиков Андрей Васильевич</v>
          </cell>
          <cell r="B3277">
            <v>79035805153</v>
          </cell>
        </row>
        <row r="3278">
          <cell r="A3278" t="str">
            <v>Ускирева Наталья Владимировна</v>
          </cell>
          <cell r="B3278">
            <v>79133053949</v>
          </cell>
        </row>
        <row r="3279">
          <cell r="A3279" t="str">
            <v>Усманов Ринат Ульфатович</v>
          </cell>
          <cell r="B3279">
            <v>79174123701</v>
          </cell>
        </row>
        <row r="3280">
          <cell r="A3280" t="str">
            <v>Устинов Максим Викторович</v>
          </cell>
          <cell r="B3280">
            <v>79263030102</v>
          </cell>
        </row>
        <row r="3281">
          <cell r="A3281" t="str">
            <v>Устюкова Лучия Сергеевна</v>
          </cell>
          <cell r="B3281">
            <v>79038297174</v>
          </cell>
        </row>
        <row r="3282">
          <cell r="A3282" t="str">
            <v>Устян Атом Арутюнович</v>
          </cell>
          <cell r="B3282">
            <v>79154234567</v>
          </cell>
        </row>
        <row r="3283">
          <cell r="A3283" t="str">
            <v>Уткин Алексей Александрович</v>
          </cell>
          <cell r="B3283">
            <v>79107961131</v>
          </cell>
        </row>
        <row r="3284">
          <cell r="A3284" t="str">
            <v>Учуватов Александр Николаевич</v>
          </cell>
          <cell r="B3284">
            <v>79853000819</v>
          </cell>
        </row>
        <row r="3285">
          <cell r="A3285" t="str">
            <v>Фадеев Андрей Алексеевич</v>
          </cell>
          <cell r="B3285">
            <v>79265859234</v>
          </cell>
        </row>
        <row r="3286">
          <cell r="A3286" t="str">
            <v>Файзуллин Марат Равильевич</v>
          </cell>
          <cell r="B3286">
            <v>79030171115</v>
          </cell>
        </row>
        <row r="3287">
          <cell r="A3287" t="str">
            <v>Фатеев Денис Николаевич</v>
          </cell>
          <cell r="B3287">
            <v>79189317139</v>
          </cell>
        </row>
        <row r="3288">
          <cell r="A3288" t="str">
            <v>Фатеев Леонид Алексеевич</v>
          </cell>
          <cell r="B3288">
            <v>79850697188</v>
          </cell>
        </row>
        <row r="3289">
          <cell r="A3289" t="str">
            <v>Фатьянов Валерий Михайлович</v>
          </cell>
          <cell r="B3289">
            <v>79996008755</v>
          </cell>
        </row>
        <row r="3290">
          <cell r="A3290" t="str">
            <v>Федоренко Андрей Вячеславович</v>
          </cell>
          <cell r="B3290">
            <v>79162394903</v>
          </cell>
        </row>
        <row r="3291">
          <cell r="A3291" t="str">
            <v>Федоркина Елена Александровна</v>
          </cell>
          <cell r="B3291">
            <v>79616606060</v>
          </cell>
        </row>
        <row r="3292">
          <cell r="A3292" t="str">
            <v>Федоркина Елена Александровна</v>
          </cell>
          <cell r="B3292">
            <v>79884962409</v>
          </cell>
        </row>
        <row r="3293">
          <cell r="A3293" t="str">
            <v>Федоров Александр Николаевич</v>
          </cell>
          <cell r="B3293">
            <v>79251110528</v>
          </cell>
        </row>
        <row r="3294">
          <cell r="A3294" t="str">
            <v>Федоров Алексей Олегович</v>
          </cell>
          <cell r="B3294">
            <v>79626843568</v>
          </cell>
        </row>
        <row r="3295">
          <cell r="A3295" t="str">
            <v>Федоров Алексей Сергеевич</v>
          </cell>
          <cell r="B3295">
            <v>79164064400</v>
          </cell>
        </row>
        <row r="3296">
          <cell r="A3296" t="str">
            <v>Федоров Виктор Владимирович</v>
          </cell>
          <cell r="B3296">
            <v>79629853348</v>
          </cell>
        </row>
        <row r="3297">
          <cell r="A3297" t="str">
            <v>Федоров Игорь Владимирович</v>
          </cell>
          <cell r="B3297">
            <v>79062766576</v>
          </cell>
        </row>
        <row r="3298">
          <cell r="A3298" t="str">
            <v>Федоров Юрий Сергеевич</v>
          </cell>
          <cell r="B3298">
            <v>79282098818</v>
          </cell>
        </row>
        <row r="3299">
          <cell r="A3299" t="str">
            <v>Федорченко Любовь Сергеевна</v>
          </cell>
          <cell r="B3299">
            <v>79687658661</v>
          </cell>
        </row>
        <row r="3300">
          <cell r="A3300" t="str">
            <v>Федосеев Дмитрий Валерьевич</v>
          </cell>
          <cell r="B3300">
            <v>79854300075</v>
          </cell>
        </row>
        <row r="3301">
          <cell r="A3301" t="str">
            <v>Федоткин Константин Михайлович</v>
          </cell>
          <cell r="B3301">
            <v>79531889678</v>
          </cell>
        </row>
        <row r="3302">
          <cell r="A3302" t="str">
            <v>Федущак Олег Викторович</v>
          </cell>
          <cell r="B3302">
            <v>79296691633</v>
          </cell>
        </row>
        <row r="3303">
          <cell r="A3303" t="str">
            <v>Фейзуллаев Альберт Нефтуллаевич</v>
          </cell>
          <cell r="B3303">
            <v>79675918868</v>
          </cell>
        </row>
        <row r="3304">
          <cell r="A3304" t="str">
            <v>Ферани Эдуард Мамиконович</v>
          </cell>
          <cell r="B3304">
            <v>79204549494</v>
          </cell>
        </row>
        <row r="3305">
          <cell r="A3305" t="str">
            <v>Фетисов Сергей Владимирович</v>
          </cell>
          <cell r="B3305">
            <v>79672015609</v>
          </cell>
        </row>
        <row r="3306">
          <cell r="A3306" t="str">
            <v>Фетисов Сергей Владимирович</v>
          </cell>
          <cell r="B3306">
            <v>79204797477</v>
          </cell>
        </row>
        <row r="3307">
          <cell r="A3307" t="str">
            <v>Фигель Владимир Феодорович</v>
          </cell>
          <cell r="B3307">
            <v>79199962161</v>
          </cell>
        </row>
        <row r="3308">
          <cell r="A3308" t="str">
            <v>Фиданян Арменчик Арсенович</v>
          </cell>
          <cell r="B3308">
            <v>79772706727</v>
          </cell>
        </row>
        <row r="3309">
          <cell r="A3309" t="str">
            <v>Филатов Андрей Петрович</v>
          </cell>
          <cell r="B3309">
            <v>79264582754</v>
          </cell>
        </row>
        <row r="3310">
          <cell r="A3310" t="str">
            <v>Филатов Сергей Юрьевич</v>
          </cell>
          <cell r="B3310">
            <v>79017005283</v>
          </cell>
        </row>
        <row r="3311">
          <cell r="A3311" t="str">
            <v>Филатова Наталия Александровна</v>
          </cell>
          <cell r="B3311">
            <v>79166925279</v>
          </cell>
        </row>
        <row r="3312">
          <cell r="A3312" t="str">
            <v>Филатова Юлия Петровна</v>
          </cell>
          <cell r="B3312">
            <v>79257662854</v>
          </cell>
        </row>
        <row r="3313">
          <cell r="A3313" t="str">
            <v>Филимонов Владимир Васильевич</v>
          </cell>
          <cell r="B3313">
            <v>79111222161</v>
          </cell>
        </row>
        <row r="3314">
          <cell r="A3314" t="str">
            <v>Филимонова Алеся Александровна</v>
          </cell>
          <cell r="B3314">
            <v>79276684047</v>
          </cell>
        </row>
        <row r="3315">
          <cell r="A3315" t="str">
            <v>Филиппов Вадим Владимирович</v>
          </cell>
          <cell r="B3315">
            <v>79265302170</v>
          </cell>
        </row>
        <row r="3316">
          <cell r="A3316" t="str">
            <v>Филипчук Кирилл Владимирович</v>
          </cell>
          <cell r="B3316">
            <v>79252333085</v>
          </cell>
        </row>
        <row r="3317">
          <cell r="A3317" t="str">
            <v>Фимин Алексей Викторович</v>
          </cell>
          <cell r="B3317">
            <v>79857767215</v>
          </cell>
        </row>
        <row r="3318">
          <cell r="A3318" t="str">
            <v>ФИНПРОМ ООО</v>
          </cell>
          <cell r="B3318" t="str">
            <v/>
          </cell>
        </row>
        <row r="3319">
          <cell r="A3319" t="str">
            <v>Флейшер Евгений Дмитриевич</v>
          </cell>
          <cell r="B3319">
            <v>79650006400</v>
          </cell>
        </row>
        <row r="3320">
          <cell r="A3320" t="str">
            <v>Фоменок Николай Михайлович</v>
          </cell>
          <cell r="B3320">
            <v>79772706703</v>
          </cell>
        </row>
        <row r="3321">
          <cell r="A3321" t="str">
            <v>Фомин Александр Борисович</v>
          </cell>
          <cell r="B3321">
            <v>79652066498</v>
          </cell>
        </row>
        <row r="3322">
          <cell r="A3322" t="str">
            <v>Фомин Иван Евгеньевич</v>
          </cell>
          <cell r="B3322">
            <v>79773441744</v>
          </cell>
        </row>
        <row r="3323">
          <cell r="A3323" t="str">
            <v>Фомичев Александр Сергеевич</v>
          </cell>
          <cell r="B3323">
            <v>79013629604</v>
          </cell>
        </row>
        <row r="3324">
          <cell r="A3324" t="str">
            <v>Фомичев Денис Александрович</v>
          </cell>
          <cell r="B3324">
            <v>79037926375</v>
          </cell>
        </row>
        <row r="3325">
          <cell r="A3325" t="str">
            <v>Фомичев Павел Петрович</v>
          </cell>
          <cell r="B3325">
            <v>79165909758</v>
          </cell>
        </row>
        <row r="3326">
          <cell r="A3326" t="str">
            <v>Фомичева Маргарита Витальевна</v>
          </cell>
          <cell r="B3326">
            <v>79152836705</v>
          </cell>
        </row>
        <row r="3327">
          <cell r="A3327" t="str">
            <v>Фоника Евгений Евгеньевич</v>
          </cell>
          <cell r="B3327">
            <v>79168200304</v>
          </cell>
        </row>
        <row r="3328">
          <cell r="A3328" t="str">
            <v>ФОРМУЛА КОМФОРТА ООО</v>
          </cell>
          <cell r="B3328">
            <v>79522694422</v>
          </cell>
        </row>
        <row r="3329">
          <cell r="A3329" t="str">
            <v>Фостиропуло Дмитрий Георгиевич</v>
          </cell>
          <cell r="B3329">
            <v>79057414221</v>
          </cell>
        </row>
        <row r="3330">
          <cell r="A3330" t="str">
            <v>Фофанов Михаил Михайлович</v>
          </cell>
          <cell r="B3330">
            <v>79261931081</v>
          </cell>
        </row>
        <row r="3331">
          <cell r="A3331" t="str">
            <v>Фращенко Наталья Николаевна</v>
          </cell>
          <cell r="B3331">
            <v>79267043689</v>
          </cell>
        </row>
        <row r="3332">
          <cell r="A3332" t="str">
            <v>Фризен Андрей Викторович</v>
          </cell>
          <cell r="B3332">
            <v>79255767958</v>
          </cell>
        </row>
        <row r="3333">
          <cell r="A3333" t="str">
            <v>Фроленко Евгения Михайловна</v>
          </cell>
          <cell r="B3333" t="str">
            <v/>
          </cell>
        </row>
        <row r="3334">
          <cell r="A3334" t="str">
            <v>Фролов Алексей Александрович</v>
          </cell>
          <cell r="B3334">
            <v>79099289054</v>
          </cell>
        </row>
        <row r="3335">
          <cell r="A3335" t="str">
            <v>Фролов Василий Михайлович</v>
          </cell>
          <cell r="B3335">
            <v>79992105871</v>
          </cell>
        </row>
        <row r="3336">
          <cell r="A3336" t="str">
            <v>Фролов Геннадий Вольдемарович</v>
          </cell>
          <cell r="B3336">
            <v>79167500454</v>
          </cell>
        </row>
        <row r="3337">
          <cell r="A3337" t="str">
            <v>Фролов Дмитрий Владимирович</v>
          </cell>
          <cell r="B3337">
            <v>79534275949</v>
          </cell>
        </row>
        <row r="3338">
          <cell r="A3338" t="str">
            <v>Фролов Павел Андреевич</v>
          </cell>
          <cell r="B3338">
            <v>79534139710</v>
          </cell>
        </row>
        <row r="3339">
          <cell r="A3339" t="str">
            <v>Фролов Сергей Владимирович</v>
          </cell>
          <cell r="B3339">
            <v>79190494697</v>
          </cell>
        </row>
        <row r="3340">
          <cell r="A3340" t="str">
            <v>Фролов Серджиу</v>
          </cell>
          <cell r="B3340">
            <v>79057721896</v>
          </cell>
        </row>
        <row r="3341">
          <cell r="A3341" t="str">
            <v>Фролова Инна Валерьевна</v>
          </cell>
          <cell r="B3341">
            <v>79219859597</v>
          </cell>
        </row>
        <row r="3342">
          <cell r="A3342" t="str">
            <v>ФСС ООО</v>
          </cell>
          <cell r="B3342">
            <v>79099171136</v>
          </cell>
        </row>
        <row r="3343">
          <cell r="A3343" t="str">
            <v>Футыш Оксана Ярославовна</v>
          </cell>
          <cell r="B3343">
            <v>79207063555</v>
          </cell>
        </row>
        <row r="3344">
          <cell r="A3344" t="str">
            <v>Хабибуллин Дмитрий Радикович</v>
          </cell>
          <cell r="B3344">
            <v>79853475555</v>
          </cell>
        </row>
        <row r="3345">
          <cell r="A3345" t="str">
            <v>Хадж Муса Аладдин</v>
          </cell>
          <cell r="B3345">
            <v>79104955005</v>
          </cell>
        </row>
        <row r="3346">
          <cell r="A3346" t="str">
            <v>Хадиев Фанис Рафисович</v>
          </cell>
          <cell r="B3346">
            <v>79178708672</v>
          </cell>
        </row>
        <row r="3347">
          <cell r="A3347" t="str">
            <v>Хазеков Игорь Николаевич</v>
          </cell>
          <cell r="B3347">
            <v>79255009249</v>
          </cell>
        </row>
        <row r="3348">
          <cell r="A3348" t="str">
            <v>Хазиев Рустам Маратович</v>
          </cell>
          <cell r="B3348">
            <v>79378419392</v>
          </cell>
        </row>
        <row r="3349">
          <cell r="A3349" t="str">
            <v>Хазов Владимир Николаевич</v>
          </cell>
          <cell r="B3349">
            <v>79811371800</v>
          </cell>
        </row>
        <row r="3350">
          <cell r="A3350" t="str">
            <v>Хазова Анна Андреевна</v>
          </cell>
          <cell r="B3350">
            <v>79852790769</v>
          </cell>
        </row>
        <row r="3351">
          <cell r="A3351" t="str">
            <v>Хайдаров Бехруз Сайдуллоевич</v>
          </cell>
          <cell r="B3351">
            <v>79178658909</v>
          </cell>
        </row>
        <row r="3352">
          <cell r="A3352" t="str">
            <v>Хайретдинов Ильгиз Гакилович</v>
          </cell>
          <cell r="B3352">
            <v>79268557240</v>
          </cell>
        </row>
        <row r="3353">
          <cell r="A3353" t="str">
            <v>Хайретдинова Айгуль Ильгизовна</v>
          </cell>
          <cell r="B3353">
            <v>79017789243</v>
          </cell>
        </row>
        <row r="3354">
          <cell r="A3354" t="str">
            <v>Хайруллин Алексей Зуфарович</v>
          </cell>
          <cell r="B3354">
            <v>79177740858</v>
          </cell>
        </row>
        <row r="3355">
          <cell r="A3355" t="str">
            <v>Халилов Идрак Зардаби Оглы</v>
          </cell>
          <cell r="B3355">
            <v>79266160016</v>
          </cell>
        </row>
        <row r="3356">
          <cell r="A3356" t="str">
            <v>Халманских Денис Анатольевич</v>
          </cell>
          <cell r="B3356">
            <v>79817126534</v>
          </cell>
        </row>
        <row r="3357">
          <cell r="A3357" t="str">
            <v>Халов Андрей Александрович</v>
          </cell>
          <cell r="B3357">
            <v>79154915161</v>
          </cell>
        </row>
        <row r="3358">
          <cell r="A3358" t="str">
            <v>Хамидуллов Линар Надырович</v>
          </cell>
          <cell r="B3358">
            <v>79969536478</v>
          </cell>
        </row>
        <row r="3359">
          <cell r="A3359" t="str">
            <v>Ханамиров Ханамир Казахмедович</v>
          </cell>
          <cell r="B3359">
            <v>79884200203</v>
          </cell>
        </row>
        <row r="3360">
          <cell r="A3360" t="str">
            <v>Ханбеков Валерий Рифатович</v>
          </cell>
          <cell r="B3360">
            <v>79026517027</v>
          </cell>
        </row>
        <row r="3361">
          <cell r="A3361" t="str">
            <v>Ханукаев Михаил Гавриилович</v>
          </cell>
          <cell r="B3361">
            <v>79057597799</v>
          </cell>
        </row>
        <row r="3362">
          <cell r="A3362" t="str">
            <v>Харагезян Армен Вартересович</v>
          </cell>
          <cell r="B3362">
            <v>79895096989</v>
          </cell>
        </row>
        <row r="3363">
          <cell r="A3363" t="str">
            <v>Харатян Гегам Арамаисович</v>
          </cell>
          <cell r="B3363">
            <v>79873238333</v>
          </cell>
        </row>
        <row r="3364">
          <cell r="A3364" t="str">
            <v>Харинов Глеб Игоревич</v>
          </cell>
          <cell r="B3364">
            <v>79531530302</v>
          </cell>
        </row>
        <row r="3365">
          <cell r="A3365" t="str">
            <v>Харисов Раниз Мулланурович</v>
          </cell>
          <cell r="B3365">
            <v>79172665812</v>
          </cell>
        </row>
        <row r="3366">
          <cell r="A3366" t="str">
            <v>Харитонов Александр Васильевич</v>
          </cell>
          <cell r="B3366">
            <v>79852000240</v>
          </cell>
        </row>
        <row r="3367">
          <cell r="A3367" t="str">
            <v>Харитонова Елена Александровна</v>
          </cell>
          <cell r="B3367">
            <v>79670222019</v>
          </cell>
        </row>
        <row r="3368">
          <cell r="A3368" t="str">
            <v>Харитонова Ирина Александровна</v>
          </cell>
          <cell r="B3368">
            <v>79612507774</v>
          </cell>
        </row>
        <row r="3369">
          <cell r="A3369" t="str">
            <v>Харитонова Наталья Викторовна</v>
          </cell>
          <cell r="B3369">
            <v>79166341586</v>
          </cell>
        </row>
        <row r="3370">
          <cell r="A3370" t="str">
            <v>Харитонова Светлана Викторовна</v>
          </cell>
          <cell r="B3370">
            <v>79165566112</v>
          </cell>
        </row>
        <row r="3371">
          <cell r="A3371" t="str">
            <v>Харламов Артем Сергеевич</v>
          </cell>
          <cell r="B3371">
            <v>79771010404</v>
          </cell>
        </row>
        <row r="3372">
          <cell r="A3372" t="str">
            <v>Харламова Инесса Львовна</v>
          </cell>
          <cell r="B3372">
            <v>79037693322</v>
          </cell>
        </row>
        <row r="3373">
          <cell r="A3373" t="str">
            <v>Хасанов Жасур Абдурашидович</v>
          </cell>
          <cell r="B3373">
            <v>79184300203</v>
          </cell>
        </row>
        <row r="3374">
          <cell r="A3374" t="str">
            <v>Хасанов Рамзан Вахаевич</v>
          </cell>
          <cell r="B3374">
            <v>79263733537</v>
          </cell>
        </row>
        <row r="3375">
          <cell r="A3375" t="str">
            <v>Хасанханов Абдул Юсупович</v>
          </cell>
          <cell r="B3375">
            <v>79267504045</v>
          </cell>
        </row>
        <row r="3376">
          <cell r="A3376" t="str">
            <v>Хасанханов Абдул Юсупович</v>
          </cell>
          <cell r="B3376">
            <v>79250555742</v>
          </cell>
        </row>
        <row r="3377">
          <cell r="A3377" t="str">
            <v>Хатоев Хасан Вахтангович</v>
          </cell>
          <cell r="B3377">
            <v>79037956364</v>
          </cell>
        </row>
        <row r="3378">
          <cell r="A3378" t="str">
            <v>Хацкевич Александр Николаевич</v>
          </cell>
          <cell r="B3378">
            <v>79269336450</v>
          </cell>
        </row>
        <row r="3379">
          <cell r="A3379" t="str">
            <v>Хачатрян Агаси Арменакович</v>
          </cell>
          <cell r="B3379">
            <v>79661232130</v>
          </cell>
        </row>
        <row r="3380">
          <cell r="A3380" t="str">
            <v>Хачатрян Арман Григорьевич</v>
          </cell>
          <cell r="B3380">
            <v>79267230998</v>
          </cell>
        </row>
        <row r="3381">
          <cell r="A3381" t="str">
            <v>Хачатрян Арман Юраевич</v>
          </cell>
          <cell r="B3381">
            <v>79646459994</v>
          </cell>
        </row>
        <row r="3382">
          <cell r="A3382" t="str">
            <v>Хачатрян Лаврент Юрикович</v>
          </cell>
          <cell r="B3382">
            <v>79687547777</v>
          </cell>
        </row>
        <row r="3383">
          <cell r="A3383" t="str">
            <v>Хачатрян Мушег Грантович</v>
          </cell>
          <cell r="B3383">
            <v>79266224640</v>
          </cell>
        </row>
        <row r="3384">
          <cell r="A3384" t="str">
            <v>Хачатрян Сергей Сейранович</v>
          </cell>
          <cell r="B3384">
            <v>79636499539</v>
          </cell>
        </row>
        <row r="3385">
          <cell r="A3385" t="str">
            <v>Хачатрян Хачик Норайрович</v>
          </cell>
          <cell r="B3385">
            <v>79151341191</v>
          </cell>
        </row>
        <row r="3386">
          <cell r="A3386" t="str">
            <v>Хачатрян Хачик Норайрович</v>
          </cell>
          <cell r="B3386">
            <v>79779070919</v>
          </cell>
        </row>
        <row r="3387">
          <cell r="A3387" t="str">
            <v>Хачатуров Евгений Юрьевич</v>
          </cell>
          <cell r="B3387">
            <v>79175716031</v>
          </cell>
        </row>
        <row r="3388">
          <cell r="A3388" t="str">
            <v>Хачикян Давид Алексеевич</v>
          </cell>
          <cell r="B3388">
            <v>79169992772</v>
          </cell>
        </row>
        <row r="3389">
          <cell r="A3389" t="str">
            <v>Хашидов Имамутдин Салимханович</v>
          </cell>
          <cell r="B3389">
            <v>79224068379</v>
          </cell>
        </row>
        <row r="3390">
          <cell r="A3390" t="str">
            <v>Хашимов Далерджон Темурович</v>
          </cell>
          <cell r="B3390">
            <v>79773997172</v>
          </cell>
        </row>
        <row r="3391">
          <cell r="A3391" t="str">
            <v>Хворова Надежда Юрьевна</v>
          </cell>
          <cell r="B3391">
            <v>79256216209</v>
          </cell>
        </row>
        <row r="3392">
          <cell r="A3392" t="str">
            <v>Хечоян Владимир Левонович</v>
          </cell>
          <cell r="B3392">
            <v>79110379585</v>
          </cell>
        </row>
        <row r="3393">
          <cell r="A3393" t="str">
            <v>Хибиев Хидирляс Хибиевич</v>
          </cell>
          <cell r="B3393">
            <v>79641938248</v>
          </cell>
        </row>
        <row r="3394">
          <cell r="A3394" t="str">
            <v>Хидашели Сергей Ильич</v>
          </cell>
          <cell r="B3394">
            <v>79030026966</v>
          </cell>
        </row>
        <row r="3395">
          <cell r="A3395" t="str">
            <v>Хижняк Лада Виталиевна</v>
          </cell>
          <cell r="B3395">
            <v>79881304486</v>
          </cell>
        </row>
        <row r="3396">
          <cell r="A3396" t="str">
            <v>Хилис Лазарь Георгиевич</v>
          </cell>
          <cell r="B3396">
            <v>79264118417</v>
          </cell>
        </row>
        <row r="3397">
          <cell r="A3397" t="str">
            <v>Химинец Надежда Валерьевна</v>
          </cell>
          <cell r="B3397">
            <v>79251448086</v>
          </cell>
        </row>
        <row r="3398">
          <cell r="A3398" t="str">
            <v>Хитров Станислав Валерьевич</v>
          </cell>
          <cell r="B3398">
            <v>79261423862</v>
          </cell>
        </row>
        <row r="3399">
          <cell r="A3399" t="str">
            <v>Хлебников Владимир Витальевич</v>
          </cell>
          <cell r="B3399">
            <v>79608889082</v>
          </cell>
        </row>
        <row r="3400">
          <cell r="A3400" t="str">
            <v>Хлямков Владислав Викторович</v>
          </cell>
          <cell r="B3400">
            <v>79602306663</v>
          </cell>
        </row>
        <row r="3401">
          <cell r="A3401" t="str">
            <v>Ходаковская Надежда Александровна</v>
          </cell>
          <cell r="B3401" t="str">
            <v/>
          </cell>
        </row>
        <row r="3402">
          <cell r="A3402" t="str">
            <v>Ходжаев Андрей Леонидович</v>
          </cell>
          <cell r="B3402">
            <v>79035494702</v>
          </cell>
        </row>
        <row r="3403">
          <cell r="A3403" t="str">
            <v>Хозова Ольга Николаевна</v>
          </cell>
          <cell r="B3403">
            <v>79879673606</v>
          </cell>
        </row>
        <row r="3404">
          <cell r="A3404" t="str">
            <v>Хозяинов Сергей Александрович</v>
          </cell>
          <cell r="B3404">
            <v>79057202038</v>
          </cell>
        </row>
        <row r="3405">
          <cell r="A3405" t="str">
            <v>Хола Максим Иссович</v>
          </cell>
          <cell r="B3405">
            <v>79260305130</v>
          </cell>
        </row>
        <row r="3406">
          <cell r="A3406" t="str">
            <v>Холмирзаев Анваржон Олимжонович</v>
          </cell>
          <cell r="B3406">
            <v>79776442990</v>
          </cell>
        </row>
        <row r="3407">
          <cell r="A3407" t="str">
            <v>Холодков Денис Владимирович</v>
          </cell>
          <cell r="B3407">
            <v>79030058898</v>
          </cell>
        </row>
        <row r="3408">
          <cell r="A3408" t="str">
            <v>Холопов Павел Вячеславович</v>
          </cell>
          <cell r="B3408">
            <v>79213279374</v>
          </cell>
        </row>
        <row r="3409">
          <cell r="A3409" t="str">
            <v>Хоминец Владимир Владимирович</v>
          </cell>
          <cell r="B3409">
            <v>79155979456</v>
          </cell>
        </row>
        <row r="3410">
          <cell r="A3410" t="str">
            <v>Хоминский Вадим Вячеславович</v>
          </cell>
          <cell r="B3410">
            <v>79855314347</v>
          </cell>
        </row>
        <row r="3411">
          <cell r="A3411" t="str">
            <v>Хомутов Алексей Николаевич</v>
          </cell>
          <cell r="B3411">
            <v>79031066372</v>
          </cell>
        </row>
        <row r="3412">
          <cell r="A3412" t="str">
            <v>Хон Игорь Илексеевич</v>
          </cell>
          <cell r="B3412">
            <v>79099891036</v>
          </cell>
        </row>
        <row r="3413">
          <cell r="A3413" t="str">
            <v>Хорошева Светлана Валентиновна</v>
          </cell>
          <cell r="B3413">
            <v>79169806114</v>
          </cell>
        </row>
        <row r="3414">
          <cell r="A3414" t="str">
            <v>Хотенова Елена Витальевна</v>
          </cell>
          <cell r="B3414">
            <v>79169479478</v>
          </cell>
        </row>
        <row r="3415">
          <cell r="A3415" t="str">
            <v>Хотулев Алексей Игоревич</v>
          </cell>
          <cell r="B3415">
            <v>79257908001</v>
          </cell>
        </row>
        <row r="3416">
          <cell r="A3416" t="str">
            <v>Хохлов Михаил Михайлович</v>
          </cell>
          <cell r="B3416">
            <v>79854758411</v>
          </cell>
        </row>
        <row r="3417">
          <cell r="A3417" t="str">
            <v>Хохлова Ирина Игоревна</v>
          </cell>
          <cell r="B3417">
            <v>79785507555</v>
          </cell>
        </row>
        <row r="3418">
          <cell r="A3418" t="str">
            <v>Храмков Евгений Александрович</v>
          </cell>
          <cell r="B3418">
            <v>79686377877</v>
          </cell>
        </row>
        <row r="3419">
          <cell r="A3419" t="str">
            <v>Храмцова Дарья Юрьевна</v>
          </cell>
          <cell r="B3419">
            <v>79206153081</v>
          </cell>
        </row>
        <row r="3420">
          <cell r="A3420" t="str">
            <v>Храпов Андрей Анатольевич</v>
          </cell>
          <cell r="B3420">
            <v>79855372096</v>
          </cell>
        </row>
        <row r="3421">
          <cell r="A3421" t="str">
            <v>Храпов Андрей Геннадиевич</v>
          </cell>
          <cell r="B3421">
            <v>79155578669</v>
          </cell>
        </row>
        <row r="3422">
          <cell r="A3422" t="str">
            <v>Храпов Андрей Геннадиевич</v>
          </cell>
          <cell r="B3422">
            <v>79042896393</v>
          </cell>
        </row>
        <row r="3423">
          <cell r="A3423" t="str">
            <v>Хребтов Геннадий Георгиевич</v>
          </cell>
          <cell r="B3423">
            <v>79286349535</v>
          </cell>
        </row>
        <row r="3424">
          <cell r="A3424" t="str">
            <v>Хрипунов Клим Анатольевич</v>
          </cell>
          <cell r="B3424">
            <v>79280631943</v>
          </cell>
        </row>
        <row r="3425">
          <cell r="A3425" t="str">
            <v>Хромцова Надежда Владимировна</v>
          </cell>
          <cell r="B3425">
            <v>79032230960</v>
          </cell>
        </row>
        <row r="3426">
          <cell r="A3426" t="str">
            <v>Хубян Левон Сергеевич</v>
          </cell>
          <cell r="B3426">
            <v>79881835277</v>
          </cell>
        </row>
        <row r="3427">
          <cell r="A3427" t="str">
            <v>Худин Виктор Васильевич</v>
          </cell>
          <cell r="B3427">
            <v>79646453922</v>
          </cell>
        </row>
        <row r="3428">
          <cell r="A3428" t="str">
            <v>Худомясова Александра Антуановна</v>
          </cell>
          <cell r="B3428">
            <v>79885403478</v>
          </cell>
        </row>
        <row r="3429">
          <cell r="A3429" t="str">
            <v>Худорожков Вячеслав Валерьевич</v>
          </cell>
          <cell r="B3429">
            <v>79826704990</v>
          </cell>
        </row>
        <row r="3430">
          <cell r="A3430" t="str">
            <v>Хуказов Игорь Рубенович</v>
          </cell>
          <cell r="B3430">
            <v>79263265020</v>
          </cell>
        </row>
        <row r="3431">
          <cell r="A3431" t="str">
            <v>Хулхачиев Очир Васильевич</v>
          </cell>
          <cell r="B3431">
            <v>79371942044</v>
          </cell>
        </row>
        <row r="3432">
          <cell r="A3432" t="str">
            <v>Хуртов Сергей Георгиевич</v>
          </cell>
          <cell r="B3432">
            <v>79850899312</v>
          </cell>
        </row>
        <row r="3433">
          <cell r="A3433" t="str">
            <v>Хусаинов Шухрат Джурабоевич</v>
          </cell>
          <cell r="B3433">
            <v>79773406041</v>
          </cell>
        </row>
        <row r="3434">
          <cell r="A3434" t="str">
            <v>Цай Вадим Ильич</v>
          </cell>
          <cell r="B3434" t="str">
            <v/>
          </cell>
        </row>
        <row r="3435">
          <cell r="A3435" t="str">
            <v>Царев Антон Борисович</v>
          </cell>
          <cell r="B3435">
            <v>79067777090</v>
          </cell>
        </row>
        <row r="3436">
          <cell r="A3436" t="str">
            <v>Царев Кирилл Сергеевич</v>
          </cell>
          <cell r="B3436">
            <v>79085497400</v>
          </cell>
        </row>
        <row r="3437">
          <cell r="A3437" t="str">
            <v>Царева Наталия Ивановна</v>
          </cell>
          <cell r="B3437">
            <v>79219875216</v>
          </cell>
        </row>
        <row r="3438">
          <cell r="A3438" t="str">
            <v>Царева Ольга Евгеньевна</v>
          </cell>
          <cell r="B3438">
            <v>79272246024</v>
          </cell>
        </row>
        <row r="3439">
          <cell r="A3439" t="str">
            <v>Царьков Леонид Александрович</v>
          </cell>
          <cell r="B3439">
            <v>79153979739</v>
          </cell>
        </row>
        <row r="3440">
          <cell r="A3440" t="str">
            <v>Царьков Павел Игоревич</v>
          </cell>
          <cell r="B3440">
            <v>79969224020</v>
          </cell>
        </row>
        <row r="3441">
          <cell r="A3441" t="str">
            <v>Цветус Андрей Александрович</v>
          </cell>
          <cell r="B3441">
            <v>79020611000</v>
          </cell>
        </row>
        <row r="3442">
          <cell r="A3442" t="str">
            <v>ЦВО ООО</v>
          </cell>
          <cell r="B3442">
            <v>79626865506</v>
          </cell>
        </row>
        <row r="3443">
          <cell r="A3443" t="str">
            <v>Цечоев Али Исмаилович</v>
          </cell>
          <cell r="B3443">
            <v>79151197516</v>
          </cell>
        </row>
        <row r="3444">
          <cell r="A3444" t="str">
            <v>Цикишев Сергей Николаевич</v>
          </cell>
          <cell r="B3444">
            <v>79604852414</v>
          </cell>
        </row>
        <row r="3445">
          <cell r="A3445" t="str">
            <v>Цилевич Александр Сергеевич</v>
          </cell>
          <cell r="B3445">
            <v>79660932146</v>
          </cell>
        </row>
        <row r="3446">
          <cell r="A3446" t="str">
            <v>Цинская Ольга Игоревна</v>
          </cell>
          <cell r="B3446">
            <v>79096806806</v>
          </cell>
        </row>
        <row r="3447">
          <cell r="A3447" t="str">
            <v>Ципис Вадим Яковлевич</v>
          </cell>
          <cell r="B3447">
            <v>79032249082</v>
          </cell>
        </row>
        <row r="3448">
          <cell r="A3448" t="str">
            <v>Цирамуа Наталия Наполеоновна</v>
          </cell>
          <cell r="B3448">
            <v>79251348884</v>
          </cell>
        </row>
        <row r="3449">
          <cell r="A3449" t="str">
            <v>Циренов Максим Алексеевич</v>
          </cell>
          <cell r="B3449">
            <v>79166202543</v>
          </cell>
        </row>
        <row r="3450">
          <cell r="A3450" t="str">
            <v>Циркунова Юлия Владимировна</v>
          </cell>
          <cell r="B3450">
            <v>79261535958</v>
          </cell>
        </row>
        <row r="3451">
          <cell r="A3451" t="str">
            <v>ЦИТАДЕЛЬСБ ООО</v>
          </cell>
          <cell r="B3451">
            <v>79099241428</v>
          </cell>
        </row>
        <row r="3452">
          <cell r="A3452" t="str">
            <v>Цуриков Яков Владимирович</v>
          </cell>
          <cell r="B3452">
            <v>79604452020</v>
          </cell>
        </row>
        <row r="3453">
          <cell r="A3453" t="str">
            <v>Цымбалов Виталий Павлович</v>
          </cell>
          <cell r="B3453">
            <v>79332220200</v>
          </cell>
        </row>
        <row r="3454">
          <cell r="A3454" t="str">
            <v>Цыркунов Сергей Сергеевич</v>
          </cell>
          <cell r="B3454">
            <v>79265432574</v>
          </cell>
        </row>
        <row r="3455">
          <cell r="A3455" t="str">
            <v>Чадин Владимир Владимирович</v>
          </cell>
          <cell r="B3455">
            <v>79857556434</v>
          </cell>
        </row>
        <row r="3456">
          <cell r="A3456" t="str">
            <v>Чадный Вячеслав Геннадьевич</v>
          </cell>
          <cell r="B3456">
            <v>79182677733</v>
          </cell>
        </row>
        <row r="3457">
          <cell r="A3457" t="str">
            <v>Чайкина Ирина Леонидовна</v>
          </cell>
          <cell r="B3457">
            <v>79650660044</v>
          </cell>
        </row>
        <row r="3458">
          <cell r="A3458" t="str">
            <v>Чаплыгина Наталья Владимировна</v>
          </cell>
          <cell r="B3458">
            <v>79055094156</v>
          </cell>
        </row>
        <row r="3459">
          <cell r="A3459" t="str">
            <v>Чатоян Ерванд Левикович</v>
          </cell>
          <cell r="B3459">
            <v>79035084083</v>
          </cell>
        </row>
        <row r="3460">
          <cell r="A3460" t="str">
            <v>Чаус Андрей Олегович</v>
          </cell>
          <cell r="B3460">
            <v>79255067131</v>
          </cell>
        </row>
        <row r="3461">
          <cell r="A3461" t="str">
            <v>Чащин Александр Станиславович</v>
          </cell>
          <cell r="B3461">
            <v>79186117000</v>
          </cell>
        </row>
        <row r="3462">
          <cell r="A3462" t="str">
            <v>Чащин Роджер Николаевич</v>
          </cell>
          <cell r="B3462">
            <v>79513568610</v>
          </cell>
        </row>
        <row r="3463">
          <cell r="A3463" t="str">
            <v>Чвилева Ирина Игоревна</v>
          </cell>
          <cell r="B3463">
            <v>79111025220</v>
          </cell>
        </row>
        <row r="3464">
          <cell r="A3464" t="str">
            <v>Че Александр Кенчанович</v>
          </cell>
          <cell r="B3464">
            <v>79384930366</v>
          </cell>
        </row>
        <row r="3465">
          <cell r="A3465" t="str">
            <v>Чебитько Владимир Иванович</v>
          </cell>
          <cell r="B3465">
            <v>79137041555</v>
          </cell>
        </row>
        <row r="3466">
          <cell r="A3466" t="str">
            <v>Чеботарев Николай Петрович</v>
          </cell>
          <cell r="B3466">
            <v>79180100101</v>
          </cell>
        </row>
        <row r="3467">
          <cell r="A3467" t="str">
            <v>Чеботкова Полина Михайловна</v>
          </cell>
          <cell r="B3467">
            <v>79122085348</v>
          </cell>
        </row>
        <row r="3468">
          <cell r="A3468" t="str">
            <v>Чегодаева Гульнара Спартаковна</v>
          </cell>
          <cell r="B3468">
            <v>79174355920</v>
          </cell>
        </row>
        <row r="3469">
          <cell r="A3469" t="str">
            <v>Чекалкин Евгений Иванович</v>
          </cell>
          <cell r="B3469">
            <v>79253054973</v>
          </cell>
        </row>
        <row r="3470">
          <cell r="A3470" t="str">
            <v>Чекель Оксана Ивановна</v>
          </cell>
          <cell r="B3470">
            <v>79312107122</v>
          </cell>
        </row>
        <row r="3471">
          <cell r="A3471" t="str">
            <v>Чекомасов Владимир Александрович</v>
          </cell>
          <cell r="B3471">
            <v>79013634719</v>
          </cell>
        </row>
        <row r="3472">
          <cell r="A3472" t="str">
            <v>Челидзе Марина Мерабовна</v>
          </cell>
          <cell r="B3472">
            <v>79160202323</v>
          </cell>
        </row>
        <row r="3473">
          <cell r="A3473" t="str">
            <v>Чепикова Анна Александровна</v>
          </cell>
          <cell r="B3473">
            <v>79253589238</v>
          </cell>
        </row>
        <row r="3474">
          <cell r="A3474" t="str">
            <v>Чепрасова Галина Александровна</v>
          </cell>
          <cell r="B3474">
            <v>79150326123</v>
          </cell>
        </row>
        <row r="3475">
          <cell r="A3475" t="str">
            <v>Чепурной Александр Анатольевич</v>
          </cell>
          <cell r="B3475">
            <v>79258550470</v>
          </cell>
        </row>
        <row r="3476">
          <cell r="A3476" t="str">
            <v>Чередниченко Светлана Андреевна</v>
          </cell>
          <cell r="B3476">
            <v>79057031083</v>
          </cell>
        </row>
        <row r="3477">
          <cell r="A3477" t="str">
            <v>Черемисин Алексей Николаевич</v>
          </cell>
          <cell r="B3477">
            <v>79324713091</v>
          </cell>
        </row>
        <row r="3478">
          <cell r="A3478" t="str">
            <v>Черкасов Евгений Викторович</v>
          </cell>
          <cell r="B3478">
            <v>79168648888</v>
          </cell>
        </row>
        <row r="3479">
          <cell r="A3479" t="str">
            <v>Черкасов Сергей Николаевич</v>
          </cell>
          <cell r="B3479">
            <v>79255107111</v>
          </cell>
        </row>
        <row r="3480">
          <cell r="A3480" t="str">
            <v>Черкасский Сергей Павлович</v>
          </cell>
          <cell r="B3480">
            <v>79385196439</v>
          </cell>
        </row>
        <row r="3481">
          <cell r="A3481" t="str">
            <v>Чернавина Татьяна Дмитриевна</v>
          </cell>
          <cell r="B3481">
            <v>79531948409</v>
          </cell>
        </row>
        <row r="3482">
          <cell r="A3482" t="str">
            <v>Чернакова Елена Викторовна</v>
          </cell>
          <cell r="B3482">
            <v>79184000543</v>
          </cell>
        </row>
        <row r="3483">
          <cell r="A3483" t="str">
            <v>Чернецов Василий Николаевич</v>
          </cell>
          <cell r="B3483">
            <v>79123175602</v>
          </cell>
        </row>
        <row r="3484">
          <cell r="A3484" t="str">
            <v>Черников Сергей Сергеевич</v>
          </cell>
          <cell r="B3484">
            <v>79006556626</v>
          </cell>
        </row>
        <row r="3485">
          <cell r="A3485" t="str">
            <v>Черновисова Вера Николаевна</v>
          </cell>
          <cell r="B3485">
            <v>79672723355</v>
          </cell>
        </row>
        <row r="3486">
          <cell r="A3486" t="str">
            <v>Черноскутов Павел Анатольевич</v>
          </cell>
          <cell r="B3486">
            <v>79049873930</v>
          </cell>
        </row>
        <row r="3487">
          <cell r="A3487" t="str">
            <v>Черных Андрей Сергеевич</v>
          </cell>
          <cell r="B3487">
            <v>79898127888</v>
          </cell>
        </row>
        <row r="3488">
          <cell r="A3488" t="str">
            <v>Чернышев Кирилл Семенович</v>
          </cell>
          <cell r="B3488">
            <v>79261090233</v>
          </cell>
        </row>
        <row r="3489">
          <cell r="A3489" t="str">
            <v>Чернышев Сергей Владимирович</v>
          </cell>
          <cell r="B3489">
            <v>79588497805</v>
          </cell>
        </row>
        <row r="3490">
          <cell r="A3490" t="str">
            <v>Чернышев Сергей Владимирович</v>
          </cell>
          <cell r="B3490">
            <v>7588497805</v>
          </cell>
        </row>
        <row r="3491">
          <cell r="A3491" t="str">
            <v>Чернышова Татьяна Николаевна</v>
          </cell>
          <cell r="B3491">
            <v>79263473686</v>
          </cell>
        </row>
        <row r="3492">
          <cell r="A3492" t="str">
            <v>Черова Ирина Николаевна</v>
          </cell>
          <cell r="B3492">
            <v>79644227920</v>
          </cell>
        </row>
        <row r="3493">
          <cell r="A3493" t="str">
            <v>Чертов Алексей Владимирович</v>
          </cell>
          <cell r="B3493">
            <v>79163203411</v>
          </cell>
        </row>
        <row r="3494">
          <cell r="A3494" t="str">
            <v>Чесноков Владислав Юрьевич</v>
          </cell>
          <cell r="B3494">
            <v>79179602979</v>
          </cell>
        </row>
        <row r="3495">
          <cell r="A3495" t="str">
            <v>Чесноков Георгий Евгеньевич</v>
          </cell>
          <cell r="B3495" t="str">
            <v/>
          </cell>
        </row>
        <row r="3496">
          <cell r="A3496" t="str">
            <v>Четверикова Ирина Алексеевна</v>
          </cell>
          <cell r="B3496">
            <v>79099632438</v>
          </cell>
        </row>
        <row r="3497">
          <cell r="A3497" t="str">
            <v>Четырина Марина Юрьевна</v>
          </cell>
          <cell r="B3497">
            <v>79645244111</v>
          </cell>
        </row>
        <row r="3498">
          <cell r="A3498" t="str">
            <v>Чечуй Сергей Геннадьевич</v>
          </cell>
          <cell r="B3498">
            <v>79850471742</v>
          </cell>
        </row>
        <row r="3499">
          <cell r="A3499" t="str">
            <v>Чибилькаев Александр Сергеевич</v>
          </cell>
          <cell r="B3499">
            <v>79867362677</v>
          </cell>
        </row>
        <row r="3500">
          <cell r="A3500" t="str">
            <v>Чигаров Александр Евгеньевич</v>
          </cell>
          <cell r="B3500">
            <v>79315991922</v>
          </cell>
        </row>
        <row r="3501">
          <cell r="A3501" t="str">
            <v>Чигаров Александр Евгеньевич</v>
          </cell>
          <cell r="B3501">
            <v>79522342627</v>
          </cell>
        </row>
        <row r="3502">
          <cell r="A3502" t="str">
            <v>Чизмечян Арам Варданович</v>
          </cell>
          <cell r="B3502">
            <v>79009324032</v>
          </cell>
        </row>
        <row r="3503">
          <cell r="A3503" t="str">
            <v>Чикатуева Джульета Аслановна</v>
          </cell>
          <cell r="B3503">
            <v>79383585000</v>
          </cell>
        </row>
        <row r="3504">
          <cell r="A3504" t="str">
            <v>Чикирёв Олег Викторович</v>
          </cell>
          <cell r="B3504">
            <v>79062462631</v>
          </cell>
        </row>
        <row r="3505">
          <cell r="A3505" t="str">
            <v>Чикунов Дмитрий Александрович</v>
          </cell>
          <cell r="B3505">
            <v>79099630213</v>
          </cell>
        </row>
        <row r="3506">
          <cell r="A3506" t="str">
            <v>Чистильников Алексей Вячеславович</v>
          </cell>
          <cell r="B3506" t="str">
            <v/>
          </cell>
        </row>
        <row r="3507">
          <cell r="A3507" t="str">
            <v>Чичикина Людмила Валентиновна</v>
          </cell>
          <cell r="B3507">
            <v>79037386699</v>
          </cell>
        </row>
        <row r="3508">
          <cell r="A3508" t="str">
            <v>Члоян Геворк Мамбреович</v>
          </cell>
          <cell r="B3508">
            <v>79032437959</v>
          </cell>
        </row>
        <row r="3509">
          <cell r="A3509" t="str">
            <v>Чоксейрек Ольга Алексеевна</v>
          </cell>
          <cell r="B3509">
            <v>79166891873</v>
          </cell>
        </row>
        <row r="3510">
          <cell r="A3510" t="str">
            <v>Чокуев Жаркынбек Калыбекович</v>
          </cell>
          <cell r="B3510">
            <v>79636239373</v>
          </cell>
        </row>
        <row r="3511">
          <cell r="A3511" t="str">
            <v>Чуб Алексей Алексеевич</v>
          </cell>
          <cell r="B3511">
            <v>79118300049</v>
          </cell>
        </row>
        <row r="3512">
          <cell r="A3512" t="str">
            <v>Чуб Алексей Алексеевич</v>
          </cell>
          <cell r="B3512">
            <v>791183000498</v>
          </cell>
        </row>
        <row r="3513">
          <cell r="A3513" t="str">
            <v>Чубов Максим Викторович</v>
          </cell>
          <cell r="B3513">
            <v>79306585555</v>
          </cell>
        </row>
        <row r="3514">
          <cell r="A3514" t="str">
            <v>Чудина Ольга Викторовна</v>
          </cell>
          <cell r="B3514">
            <v>79672714110</v>
          </cell>
        </row>
        <row r="3515">
          <cell r="A3515" t="str">
            <v>Чуднов Илья Владимирович</v>
          </cell>
          <cell r="B3515">
            <v>79153314073</v>
          </cell>
        </row>
        <row r="3516">
          <cell r="A3516" t="str">
            <v>Чумакова Екатерина Александровна</v>
          </cell>
          <cell r="B3516">
            <v>79264020770</v>
          </cell>
        </row>
        <row r="3517">
          <cell r="A3517" t="str">
            <v>Чумакова Екатерина Александровна</v>
          </cell>
          <cell r="B3517">
            <v>79166783580</v>
          </cell>
        </row>
        <row r="3518">
          <cell r="A3518" t="str">
            <v>Чумутин Евгений Александрович</v>
          </cell>
          <cell r="B3518">
            <v>79640969794</v>
          </cell>
        </row>
        <row r="3519">
          <cell r="A3519" t="str">
            <v>Чупрынина Лилия Леонидовна</v>
          </cell>
          <cell r="B3519">
            <v>79787442802</v>
          </cell>
        </row>
        <row r="3520">
          <cell r="A3520" t="str">
            <v>Чурилов Максим Юрьевич</v>
          </cell>
          <cell r="B3520">
            <v>79686371834</v>
          </cell>
        </row>
        <row r="3521">
          <cell r="A3521" t="str">
            <v>Чурсакова Светлана Павловна</v>
          </cell>
          <cell r="B3521">
            <v>79856218714</v>
          </cell>
        </row>
        <row r="3522">
          <cell r="A3522" t="str">
            <v>Чурсинов Ярослав Александрович</v>
          </cell>
          <cell r="B3522">
            <v>79530987516</v>
          </cell>
        </row>
        <row r="3523">
          <cell r="A3523" t="str">
            <v>Чучаев Адам Аптиевич</v>
          </cell>
          <cell r="B3523">
            <v>79377379999</v>
          </cell>
        </row>
        <row r="3524">
          <cell r="A3524" t="str">
            <v>Шабанова Элвира Назировна</v>
          </cell>
          <cell r="B3524">
            <v>79678666060</v>
          </cell>
        </row>
        <row r="3525">
          <cell r="A3525" t="str">
            <v>Шагивалеев Азат Азатович</v>
          </cell>
          <cell r="B3525">
            <v>79152585727</v>
          </cell>
        </row>
        <row r="3526">
          <cell r="A3526" t="str">
            <v>Шагинян Геворк Карленович</v>
          </cell>
          <cell r="B3526">
            <v>79265733080</v>
          </cell>
        </row>
        <row r="3527">
          <cell r="A3527" t="str">
            <v>Шадрина Елена Николаевна</v>
          </cell>
          <cell r="B3527">
            <v>79152305456</v>
          </cell>
        </row>
        <row r="3528">
          <cell r="A3528" t="str">
            <v>Шаймухаметов Владимир Витальевич</v>
          </cell>
          <cell r="B3528">
            <v>79220586481</v>
          </cell>
        </row>
        <row r="3529">
          <cell r="A3529" t="str">
            <v>Шайхутдинов Рамиль Мунирович</v>
          </cell>
          <cell r="B3529">
            <v>79033145137</v>
          </cell>
        </row>
        <row r="3530">
          <cell r="A3530" t="str">
            <v>Шакиров Сабир Муратович</v>
          </cell>
          <cell r="B3530">
            <v>79031633949</v>
          </cell>
        </row>
        <row r="3531">
          <cell r="A3531" t="str">
            <v>Шакирова Елена Сергеевна</v>
          </cell>
          <cell r="B3531">
            <v>79853640447</v>
          </cell>
        </row>
        <row r="3532">
          <cell r="A3532" t="str">
            <v>Шаламова Татьяна Андреевна</v>
          </cell>
          <cell r="B3532">
            <v>79258836928</v>
          </cell>
        </row>
        <row r="3533">
          <cell r="A3533" t="str">
            <v>Шалдыбин Данил Геннадьевич</v>
          </cell>
          <cell r="B3533">
            <v>79873909101</v>
          </cell>
        </row>
        <row r="3534">
          <cell r="A3534" t="str">
            <v>Шалик Елена Евгеньевна</v>
          </cell>
          <cell r="B3534">
            <v>79118491314</v>
          </cell>
        </row>
        <row r="3535">
          <cell r="A3535" t="str">
            <v>Шалимов Валерий Михайлович</v>
          </cell>
          <cell r="B3535">
            <v>79371014128</v>
          </cell>
        </row>
        <row r="3536">
          <cell r="A3536" t="str">
            <v>Шалыганов Михаил Петрович</v>
          </cell>
          <cell r="B3536">
            <v>79805420202</v>
          </cell>
        </row>
        <row r="3537">
          <cell r="A3537" t="str">
            <v>Шамарин Алексей Александрович</v>
          </cell>
          <cell r="B3537">
            <v>79208096676</v>
          </cell>
        </row>
        <row r="3538">
          <cell r="A3538" t="str">
            <v>Шаматава Давид Роиниевич</v>
          </cell>
          <cell r="B3538">
            <v>79160120422</v>
          </cell>
        </row>
        <row r="3539">
          <cell r="A3539" t="str">
            <v>Шанаурова Ольга Борисовна</v>
          </cell>
          <cell r="B3539">
            <v>79257747454</v>
          </cell>
        </row>
        <row r="3540">
          <cell r="A3540" t="str">
            <v>Шапаев Ибрагим Сайд-Магомедович</v>
          </cell>
          <cell r="B3540">
            <v>79299044094</v>
          </cell>
        </row>
        <row r="3541">
          <cell r="A3541" t="str">
            <v>Шарапов Евгений Вячеславович</v>
          </cell>
          <cell r="B3541">
            <v>79258348796</v>
          </cell>
        </row>
        <row r="3542">
          <cell r="A3542" t="str">
            <v>Шарапова Ирина Николаевна</v>
          </cell>
          <cell r="B3542">
            <v>79153587102</v>
          </cell>
        </row>
        <row r="3543">
          <cell r="A3543" t="str">
            <v>Шарафутдинова Минигуль Саматовна</v>
          </cell>
          <cell r="B3543">
            <v>79164169921</v>
          </cell>
        </row>
        <row r="3544">
          <cell r="A3544" t="str">
            <v>Шарипов Дамир Агтесович</v>
          </cell>
          <cell r="B3544">
            <v>79269531506</v>
          </cell>
        </row>
        <row r="3545">
          <cell r="A3545" t="str">
            <v>Шарифова Егяна Рустам Кызы</v>
          </cell>
          <cell r="B3545" t="str">
            <v/>
          </cell>
        </row>
        <row r="3546">
          <cell r="A3546" t="str">
            <v>Шармазанян Гурген Камоевич</v>
          </cell>
          <cell r="B3546">
            <v>79099732152</v>
          </cell>
        </row>
        <row r="3547">
          <cell r="A3547" t="str">
            <v>Шарыгин Семен Михайлович</v>
          </cell>
          <cell r="B3547">
            <v>79533273740</v>
          </cell>
        </row>
        <row r="3548">
          <cell r="A3548" t="str">
            <v>Шата Алексей Евгеньевич</v>
          </cell>
          <cell r="B3548">
            <v>79627100075</v>
          </cell>
        </row>
        <row r="3549">
          <cell r="A3549" t="str">
            <v>Шаулов Шаул Рамбомович</v>
          </cell>
          <cell r="B3549">
            <v>79685908978</v>
          </cell>
        </row>
        <row r="3550">
          <cell r="A3550" t="str">
            <v>Шафиев Джейхун Расул Оглы</v>
          </cell>
          <cell r="B3550">
            <v>79684443232</v>
          </cell>
        </row>
        <row r="3551">
          <cell r="A3551" t="str">
            <v>Шахабутдинов Марат Камильевич</v>
          </cell>
          <cell r="B3551">
            <v>79266576834</v>
          </cell>
        </row>
        <row r="3552">
          <cell r="A3552" t="str">
            <v>Шахбанов Ахмед Абдулвагабович</v>
          </cell>
          <cell r="B3552">
            <v>79034288804</v>
          </cell>
        </row>
        <row r="3553">
          <cell r="A3553" t="str">
            <v>Шахвердова Ольга Сергеевна</v>
          </cell>
          <cell r="B3553">
            <v>79119208328</v>
          </cell>
        </row>
        <row r="3554">
          <cell r="A3554" t="str">
            <v>Шахкулян Владимир Михайлович</v>
          </cell>
          <cell r="B3554">
            <v>79895009090</v>
          </cell>
        </row>
        <row r="3555">
          <cell r="A3555" t="str">
            <v>Шахназаров Махамед Афиг оглы</v>
          </cell>
          <cell r="B3555">
            <v>79275444022</v>
          </cell>
        </row>
        <row r="3556">
          <cell r="A3556" t="str">
            <v>Шахорина Оксана Александровна</v>
          </cell>
          <cell r="B3556">
            <v>79533124474</v>
          </cell>
        </row>
        <row r="3557">
          <cell r="A3557" t="str">
            <v>Шашков Константин Вячеславович</v>
          </cell>
          <cell r="B3557">
            <v>79152939262</v>
          </cell>
        </row>
        <row r="3558">
          <cell r="A3558" t="str">
            <v>Швецова Екатерина Алексеевна</v>
          </cell>
          <cell r="B3558">
            <v>79638595994</v>
          </cell>
        </row>
        <row r="3559">
          <cell r="A3559" t="str">
            <v>Шевелев Алексей Вячеславович</v>
          </cell>
          <cell r="B3559">
            <v>79261000006</v>
          </cell>
        </row>
        <row r="3560">
          <cell r="A3560" t="str">
            <v>Шевелев Олег Андреевич</v>
          </cell>
          <cell r="B3560">
            <v>79818222555</v>
          </cell>
        </row>
        <row r="3561">
          <cell r="A3561" t="str">
            <v>Шевелев Сергей Игоревич</v>
          </cell>
          <cell r="B3561">
            <v>79295305140</v>
          </cell>
        </row>
        <row r="3562">
          <cell r="A3562" t="str">
            <v>Шевелева Ирина Александровна</v>
          </cell>
          <cell r="B3562">
            <v>79267110006</v>
          </cell>
        </row>
        <row r="3563">
          <cell r="A3563" t="str">
            <v>Шевкунова Елена Михайловна</v>
          </cell>
          <cell r="B3563">
            <v>79255970190</v>
          </cell>
        </row>
        <row r="3564">
          <cell r="A3564" t="str">
            <v>Шевченко Евгений Вячеславович</v>
          </cell>
          <cell r="B3564">
            <v>79618018181</v>
          </cell>
        </row>
        <row r="3565">
          <cell r="A3565" t="str">
            <v>Шевченко Оксана Анатольевна</v>
          </cell>
          <cell r="B3565">
            <v>79280123970</v>
          </cell>
        </row>
        <row r="3566">
          <cell r="A3566" t="str">
            <v>Шевченко Роман Евгеньевич</v>
          </cell>
          <cell r="B3566">
            <v>79269782000</v>
          </cell>
        </row>
        <row r="3567">
          <cell r="A3567" t="str">
            <v>Шевчук Анатолий Владимирович</v>
          </cell>
          <cell r="B3567">
            <v>79086777574</v>
          </cell>
        </row>
        <row r="3568">
          <cell r="A3568" t="str">
            <v>Шеин Сергей Игоревич</v>
          </cell>
          <cell r="B3568">
            <v>79062405252</v>
          </cell>
        </row>
        <row r="3569">
          <cell r="A3569" t="str">
            <v>Шекунова Марина Николаевна</v>
          </cell>
          <cell r="B3569">
            <v>79886487214</v>
          </cell>
        </row>
        <row r="3570">
          <cell r="A3570" t="str">
            <v>Шелин Екатерина Вячеславовна</v>
          </cell>
          <cell r="B3570">
            <v>79252289838</v>
          </cell>
        </row>
        <row r="3571">
          <cell r="A3571" t="str">
            <v>Шелуднев Андрей Валерьевич</v>
          </cell>
          <cell r="B3571">
            <v>79037000705</v>
          </cell>
        </row>
        <row r="3572">
          <cell r="A3572" t="str">
            <v>Шелухин Игорь Вадимович</v>
          </cell>
          <cell r="B3572">
            <v>79855552020</v>
          </cell>
        </row>
        <row r="3573">
          <cell r="A3573" t="str">
            <v>Шергин Федор Сергеевич</v>
          </cell>
          <cell r="B3573">
            <v>79209788666</v>
          </cell>
        </row>
        <row r="3574">
          <cell r="A3574" t="str">
            <v>Шеремет Елена Вячеславовна</v>
          </cell>
          <cell r="B3574">
            <v>79827240097</v>
          </cell>
        </row>
        <row r="3575">
          <cell r="A3575" t="str">
            <v>Шереметов Мурат Анатольевич</v>
          </cell>
          <cell r="B3575">
            <v>79280092777</v>
          </cell>
        </row>
        <row r="3576">
          <cell r="A3576" t="str">
            <v>Шереметьев Дмитрий Григорьевич</v>
          </cell>
          <cell r="B3576">
            <v>79251201555</v>
          </cell>
        </row>
        <row r="3577">
          <cell r="A3577" t="str">
            <v>Шереметьева Оксана Евгеньевна</v>
          </cell>
          <cell r="B3577">
            <v>79663417167</v>
          </cell>
        </row>
        <row r="3578">
          <cell r="A3578" t="str">
            <v>Шерстнев Дмитрий Андреевич</v>
          </cell>
          <cell r="B3578">
            <v>79787689635</v>
          </cell>
        </row>
        <row r="3579">
          <cell r="A3579" t="str">
            <v>Шестаков Евгений Николаевич</v>
          </cell>
          <cell r="B3579">
            <v>79213878387</v>
          </cell>
        </row>
        <row r="3580">
          <cell r="A3580" t="str">
            <v>Шефер Данил Арсеньевич</v>
          </cell>
          <cell r="B3580">
            <v>79254762276</v>
          </cell>
        </row>
        <row r="3581">
          <cell r="A3581" t="str">
            <v>Шешуков Вячеслав Анатольевич</v>
          </cell>
          <cell r="B3581">
            <v>79261366838</v>
          </cell>
        </row>
        <row r="3582">
          <cell r="A3582" t="str">
            <v>Шибаев Александр Викторович</v>
          </cell>
          <cell r="B3582">
            <v>79621959070</v>
          </cell>
        </row>
        <row r="3583">
          <cell r="A3583" t="str">
            <v>Шиганов Денис Юрьевич</v>
          </cell>
          <cell r="B3583">
            <v>79677155001</v>
          </cell>
        </row>
        <row r="3584">
          <cell r="A3584" t="str">
            <v>Шикалов Андрей Юрьевич</v>
          </cell>
          <cell r="B3584">
            <v>79819864225</v>
          </cell>
        </row>
        <row r="3585">
          <cell r="A3585" t="str">
            <v>Шиленко Алексей Александрович</v>
          </cell>
          <cell r="B3585">
            <v>79637774413</v>
          </cell>
        </row>
        <row r="3586">
          <cell r="A3586" t="str">
            <v>Шиленков Александр Владимирович</v>
          </cell>
          <cell r="B3586">
            <v>79162211179</v>
          </cell>
        </row>
        <row r="3587">
          <cell r="A3587" t="str">
            <v>Шилов Владимир Васильевич</v>
          </cell>
          <cell r="B3587">
            <v>79267991516</v>
          </cell>
        </row>
        <row r="3588">
          <cell r="A3588" t="str">
            <v>Шилова Лариса Анатольевна</v>
          </cell>
          <cell r="B3588">
            <v>79037993553</v>
          </cell>
        </row>
        <row r="3589">
          <cell r="A3589" t="str">
            <v>Шиловский Михаил Абрамович</v>
          </cell>
          <cell r="B3589">
            <v>79117672911</v>
          </cell>
        </row>
        <row r="3590">
          <cell r="A3590" t="str">
            <v>Шиляев Алексей Владимирович</v>
          </cell>
          <cell r="B3590">
            <v>79897730623</v>
          </cell>
        </row>
        <row r="3591">
          <cell r="A3591" t="str">
            <v>Шиляева Ирина Владимировна</v>
          </cell>
          <cell r="B3591">
            <v>79151217217</v>
          </cell>
        </row>
        <row r="3592">
          <cell r="A3592" t="str">
            <v>Шиманкин Александр Вячеславович</v>
          </cell>
          <cell r="B3592">
            <v>79528388460</v>
          </cell>
        </row>
        <row r="3593">
          <cell r="A3593" t="str">
            <v>Шинкарев Игорь Витальевич</v>
          </cell>
          <cell r="B3593">
            <v>79096600044</v>
          </cell>
        </row>
        <row r="3594">
          <cell r="A3594" t="str">
            <v>Ширинов Сахиб Джебраил Оглы</v>
          </cell>
          <cell r="B3594">
            <v>79998591124</v>
          </cell>
        </row>
        <row r="3595">
          <cell r="A3595" t="str">
            <v>Ширманов Никита Александрович</v>
          </cell>
          <cell r="B3595">
            <v>79785003671</v>
          </cell>
        </row>
        <row r="3596">
          <cell r="A3596" t="str">
            <v>Широков Иван Андреевич</v>
          </cell>
          <cell r="B3596">
            <v>79521222269</v>
          </cell>
        </row>
        <row r="3597">
          <cell r="A3597" t="str">
            <v>Широкова Мария Викторовна</v>
          </cell>
          <cell r="B3597">
            <v>79256823089</v>
          </cell>
        </row>
        <row r="3598">
          <cell r="A3598" t="str">
            <v>Ширяева Евгения Дмитриевна</v>
          </cell>
          <cell r="B3598">
            <v>79031625488</v>
          </cell>
        </row>
        <row r="3599">
          <cell r="A3599" t="str">
            <v>Шитова Виктория Викторовна</v>
          </cell>
          <cell r="B3599">
            <v>79031060506</v>
          </cell>
        </row>
        <row r="3600">
          <cell r="A3600" t="str">
            <v>Шихалев Вячеслав Николаевич</v>
          </cell>
          <cell r="B3600">
            <v>79096610693</v>
          </cell>
        </row>
        <row r="3601">
          <cell r="A3601" t="str">
            <v>Шиховцов Игорь Николаевич</v>
          </cell>
          <cell r="B3601">
            <v>79514452677</v>
          </cell>
        </row>
        <row r="3602">
          <cell r="A3602" t="str">
            <v>Шишкин Андрей Олегович</v>
          </cell>
          <cell r="B3602">
            <v>79255810241</v>
          </cell>
        </row>
        <row r="3603">
          <cell r="A3603" t="str">
            <v>Шишкова Татьяна Владиславовна</v>
          </cell>
          <cell r="B3603">
            <v>79161210621</v>
          </cell>
        </row>
        <row r="3604">
          <cell r="A3604" t="str">
            <v>Шишулин Сергей Александрович</v>
          </cell>
          <cell r="B3604">
            <v>79111662047</v>
          </cell>
        </row>
        <row r="3605">
          <cell r="A3605" t="str">
            <v>Шкарбанов Александр Сергеевич</v>
          </cell>
          <cell r="B3605">
            <v>79637701316</v>
          </cell>
        </row>
        <row r="3606">
          <cell r="A3606" t="str">
            <v>Шквыр Виктор Викторович</v>
          </cell>
          <cell r="B3606">
            <v>79066940306</v>
          </cell>
        </row>
        <row r="3607">
          <cell r="A3607" t="str">
            <v>Шкодин Юрий Павлович</v>
          </cell>
          <cell r="B3607">
            <v>79165682683</v>
          </cell>
        </row>
        <row r="3608">
          <cell r="A3608" t="str">
            <v>Школьников Денис Александрович</v>
          </cell>
          <cell r="B3608">
            <v>79031620765</v>
          </cell>
        </row>
        <row r="3609">
          <cell r="A3609" t="str">
            <v>Шкрогалев Артем Александрович</v>
          </cell>
          <cell r="B3609">
            <v>79186936667</v>
          </cell>
        </row>
        <row r="3610">
          <cell r="A3610" t="str">
            <v>Шкурко Александр Владимирович</v>
          </cell>
          <cell r="B3610">
            <v>79037962724</v>
          </cell>
        </row>
        <row r="3611">
          <cell r="A3611" t="str">
            <v>Шмачков Иван Сергеевич</v>
          </cell>
          <cell r="B3611">
            <v>79853975777</v>
          </cell>
        </row>
        <row r="3612">
          <cell r="A3612" t="str">
            <v>Шмелёв Денис Александрович</v>
          </cell>
          <cell r="B3612">
            <v>79818571868</v>
          </cell>
        </row>
        <row r="3613">
          <cell r="A3613" t="str">
            <v>Шнитко Александр Михайлович</v>
          </cell>
          <cell r="B3613">
            <v>79150575797</v>
          </cell>
        </row>
        <row r="3614">
          <cell r="A3614" t="str">
            <v>Шогенов Александр Вячеславович</v>
          </cell>
          <cell r="B3614">
            <v>79616666346</v>
          </cell>
        </row>
        <row r="3615">
          <cell r="A3615" t="str">
            <v>Шогенова Ольга Алексеевна</v>
          </cell>
          <cell r="B3615">
            <v>79855728017</v>
          </cell>
        </row>
        <row r="3616">
          <cell r="A3616" t="str">
            <v>Шония Дима Гелаевич</v>
          </cell>
          <cell r="B3616">
            <v>79317771117</v>
          </cell>
        </row>
        <row r="3617">
          <cell r="A3617" t="str">
            <v>Шопронку Сергей Харитонович</v>
          </cell>
          <cell r="B3617">
            <v>79253219255</v>
          </cell>
        </row>
        <row r="3618">
          <cell r="A3618" t="str">
            <v>Шорин Денис Валерьевич</v>
          </cell>
          <cell r="B3618">
            <v>79646324933</v>
          </cell>
        </row>
        <row r="3619">
          <cell r="A3619" t="str">
            <v>Шоферов Николай Николаевич</v>
          </cell>
          <cell r="B3619">
            <v>79117868606</v>
          </cell>
        </row>
        <row r="3620">
          <cell r="A3620" t="str">
            <v>Шпакова Ольга Аркадьевна</v>
          </cell>
          <cell r="B3620">
            <v>79262287998</v>
          </cell>
        </row>
        <row r="3621">
          <cell r="A3621" t="str">
            <v>Шпрыгина Вероника Владимировна</v>
          </cell>
          <cell r="B3621">
            <v>79119409088</v>
          </cell>
        </row>
        <row r="3622">
          <cell r="A3622" t="str">
            <v>Штефуряк Ольга Владимировна</v>
          </cell>
          <cell r="B3622">
            <v>79298263858</v>
          </cell>
        </row>
        <row r="3623">
          <cell r="A3623" t="str">
            <v>Штукин Сергей Александрович</v>
          </cell>
          <cell r="B3623">
            <v>79266118726</v>
          </cell>
        </row>
        <row r="3624">
          <cell r="A3624" t="str">
            <v>Штыкова Ольга Александровна</v>
          </cell>
          <cell r="B3624">
            <v>79015563688</v>
          </cell>
        </row>
        <row r="3625">
          <cell r="A3625" t="str">
            <v>Шубернецкий Андрей Петрович</v>
          </cell>
          <cell r="B3625">
            <v>79661888666</v>
          </cell>
        </row>
        <row r="3626">
          <cell r="A3626" t="str">
            <v>Шубернецкий Андрей Петрович</v>
          </cell>
          <cell r="B3626">
            <v>79661888666</v>
          </cell>
        </row>
        <row r="3627">
          <cell r="A3627" t="str">
            <v>Шубитидзе Алекс Мамукович</v>
          </cell>
          <cell r="B3627">
            <v>79223914888</v>
          </cell>
        </row>
        <row r="3628">
          <cell r="A3628" t="str">
            <v>Шувалов Александр Вячеславович</v>
          </cell>
          <cell r="B3628">
            <v>79013890745</v>
          </cell>
        </row>
        <row r="3629">
          <cell r="A3629" t="str">
            <v>Шувалов Владимир Александрович</v>
          </cell>
          <cell r="B3629">
            <v>79036120269</v>
          </cell>
        </row>
        <row r="3630">
          <cell r="A3630" t="str">
            <v>Шулимов Дмитрий Андреевич</v>
          </cell>
          <cell r="B3630">
            <v>79633624362</v>
          </cell>
        </row>
        <row r="3631">
          <cell r="A3631" t="str">
            <v>Шумаков Владислав Сергеевич</v>
          </cell>
          <cell r="B3631">
            <v>79227129409</v>
          </cell>
        </row>
        <row r="3632">
          <cell r="A3632" t="str">
            <v>Шумилов Валерий Игоревич</v>
          </cell>
          <cell r="B3632">
            <v>79201426215</v>
          </cell>
        </row>
        <row r="3633">
          <cell r="A3633" t="str">
            <v>Шурупова Екатерина Петровна</v>
          </cell>
          <cell r="B3633">
            <v>79859707794</v>
          </cell>
        </row>
        <row r="3634">
          <cell r="A3634" t="str">
            <v>Шурупова Ирина Юрьевна</v>
          </cell>
          <cell r="B3634">
            <v>79776699437</v>
          </cell>
        </row>
        <row r="3635">
          <cell r="A3635" t="str">
            <v>Шустов Иван Сергеевич</v>
          </cell>
          <cell r="B3635">
            <v>79214061513</v>
          </cell>
        </row>
        <row r="3636">
          <cell r="A3636" t="str">
            <v>Шушарин Артем Владимирович</v>
          </cell>
          <cell r="B3636">
            <v>79028705078</v>
          </cell>
        </row>
        <row r="3637">
          <cell r="A3637" t="str">
            <v>Щеглов Роман Сергеевич</v>
          </cell>
          <cell r="B3637">
            <v>79340003444</v>
          </cell>
        </row>
        <row r="3638">
          <cell r="A3638" t="str">
            <v>Щелков Александр Владимирович</v>
          </cell>
          <cell r="B3638">
            <v>79197845073</v>
          </cell>
        </row>
        <row r="3639">
          <cell r="A3639" t="str">
            <v>Щепалов Андрей Васильевич</v>
          </cell>
          <cell r="B3639">
            <v>79670052424</v>
          </cell>
        </row>
        <row r="3640">
          <cell r="A3640" t="str">
            <v>Щепановский Алексей Николаевич</v>
          </cell>
          <cell r="B3640">
            <v>79197707033</v>
          </cell>
        </row>
        <row r="3641">
          <cell r="A3641" t="str">
            <v>Щепетильников Алексей Евгеньевич</v>
          </cell>
          <cell r="B3641">
            <v>79031308324</v>
          </cell>
        </row>
        <row r="3642">
          <cell r="A3642" t="str">
            <v>Щепин Артём Артурович</v>
          </cell>
          <cell r="B3642">
            <v>79250373497</v>
          </cell>
        </row>
        <row r="3643">
          <cell r="A3643" t="str">
            <v>Щербаков Алексей Евгеньевич</v>
          </cell>
          <cell r="B3643">
            <v>79164908510</v>
          </cell>
        </row>
        <row r="3644">
          <cell r="A3644" t="str">
            <v>Щербаков Владислав Владимирович</v>
          </cell>
          <cell r="B3644">
            <v>79037991513</v>
          </cell>
        </row>
        <row r="3645">
          <cell r="A3645" t="str">
            <v>Щербаков Сергей Валерьевич</v>
          </cell>
          <cell r="B3645">
            <v>79859748828</v>
          </cell>
        </row>
        <row r="3646">
          <cell r="A3646" t="str">
            <v>Щербаков Сергей Васильевич</v>
          </cell>
          <cell r="B3646">
            <v>79058936511</v>
          </cell>
        </row>
        <row r="3647">
          <cell r="A3647" t="str">
            <v>Щетников Станислав Александрович</v>
          </cell>
          <cell r="B3647">
            <v>79117170423</v>
          </cell>
        </row>
        <row r="3648">
          <cell r="A3648" t="str">
            <v>Эврика ООО</v>
          </cell>
          <cell r="B3648">
            <v>79897033074</v>
          </cell>
        </row>
        <row r="3649">
          <cell r="A3649" t="str">
            <v>Эктов Евгений Александрович</v>
          </cell>
          <cell r="B3649">
            <v>79017796540</v>
          </cell>
        </row>
        <row r="3650">
          <cell r="A3650" t="str">
            <v>Элибекян Виген Вагаршакович</v>
          </cell>
          <cell r="B3650">
            <v>79853647030</v>
          </cell>
        </row>
        <row r="3651">
          <cell r="A3651" t="str">
            <v>ЭЛ-КОМПЛЕКТ ООО</v>
          </cell>
          <cell r="B3651">
            <v>79161179491</v>
          </cell>
        </row>
        <row r="3652">
          <cell r="A3652" t="str">
            <v>Элоян Артур Гамбарович</v>
          </cell>
          <cell r="B3652">
            <v>79607319694</v>
          </cell>
        </row>
        <row r="3653">
          <cell r="A3653" t="str">
            <v>ЭльБрус ООО</v>
          </cell>
          <cell r="B3653">
            <v>79169998637</v>
          </cell>
        </row>
        <row r="3654">
          <cell r="A3654" t="str">
            <v>Эльдаров Магомед Вахаевич</v>
          </cell>
          <cell r="B3654">
            <v>79885239595</v>
          </cell>
        </row>
        <row r="3655">
          <cell r="A3655" t="str">
            <v>ЭНБЕРЛИ ООО</v>
          </cell>
          <cell r="B3655">
            <v>79215916040</v>
          </cell>
        </row>
        <row r="3656">
          <cell r="A3656" t="str">
            <v>Эргашев Баходир Закирович</v>
          </cell>
          <cell r="B3656">
            <v>79268786830</v>
          </cell>
        </row>
        <row r="3657">
          <cell r="A3657" t="str">
            <v>Эргюн Кристина Николаевна</v>
          </cell>
          <cell r="B3657">
            <v>79770503324</v>
          </cell>
        </row>
        <row r="3658">
          <cell r="A3658" t="str">
            <v>Эрдниева Виктория Владимировна</v>
          </cell>
          <cell r="B3658">
            <v>79651676750</v>
          </cell>
        </row>
        <row r="3659">
          <cell r="A3659" t="str">
            <v>Эседуллаев Самур Камилович</v>
          </cell>
          <cell r="B3659">
            <v>79311010010</v>
          </cell>
        </row>
        <row r="3660">
          <cell r="A3660" t="str">
            <v>Эскеров Агаси Эскерович</v>
          </cell>
          <cell r="B3660">
            <v>79182841372</v>
          </cell>
        </row>
        <row r="3661">
          <cell r="A3661" t="str">
            <v>Юдаев Алексей Владимирович</v>
          </cell>
          <cell r="B3661">
            <v>79037692528</v>
          </cell>
        </row>
        <row r="3662">
          <cell r="A3662" t="str">
            <v>Юдилевич Кирилл Аркадьевич</v>
          </cell>
          <cell r="B3662">
            <v>79255977153</v>
          </cell>
        </row>
        <row r="3663">
          <cell r="A3663" t="str">
            <v>Юдин Александр Сергеевич</v>
          </cell>
          <cell r="B3663">
            <v>79099951765</v>
          </cell>
        </row>
        <row r="3664">
          <cell r="A3664" t="str">
            <v>Юдин Павел Владимирович</v>
          </cell>
          <cell r="B3664">
            <v>79296171884</v>
          </cell>
        </row>
        <row r="3665">
          <cell r="A3665" t="str">
            <v>Юдин Сергей Николаевич</v>
          </cell>
          <cell r="B3665">
            <v>79112861110</v>
          </cell>
        </row>
        <row r="3666">
          <cell r="A3666" t="str">
            <v>Юдина Светлана Валерьевна</v>
          </cell>
          <cell r="B3666">
            <v>79145010453</v>
          </cell>
        </row>
        <row r="3667">
          <cell r="A3667" t="str">
            <v>Южная Екатерина Андреевна</v>
          </cell>
          <cell r="B3667">
            <v>79242159854</v>
          </cell>
        </row>
        <row r="3668">
          <cell r="A3668" t="str">
            <v>Юзбашян Анжелика Гарниковна</v>
          </cell>
          <cell r="B3668">
            <v>79775901707</v>
          </cell>
        </row>
        <row r="3669">
          <cell r="A3669" t="str">
            <v>Юзбашян Ходедан Зограбович</v>
          </cell>
          <cell r="B3669">
            <v>79660098367</v>
          </cell>
        </row>
        <row r="3670">
          <cell r="A3670" t="str">
            <v>Юзлекбаева Светлана Закиевна</v>
          </cell>
          <cell r="B3670" t="str">
            <v/>
          </cell>
        </row>
        <row r="3671">
          <cell r="A3671" t="str">
            <v>Юлдашев Абдумажид Абдулхамиджонович</v>
          </cell>
          <cell r="B3671">
            <v>79265467573</v>
          </cell>
        </row>
        <row r="3672">
          <cell r="A3672" t="str">
            <v>Юлин Сергей Анатольевич</v>
          </cell>
          <cell r="B3672">
            <v>79854629757</v>
          </cell>
        </row>
        <row r="3673">
          <cell r="A3673" t="str">
            <v>Юн Вадим Вячеславович</v>
          </cell>
          <cell r="B3673">
            <v>79016581077</v>
          </cell>
        </row>
        <row r="3674">
          <cell r="A3674" t="str">
            <v>Юнусов Акмалдин Акрамович</v>
          </cell>
          <cell r="B3674">
            <v>79006519767</v>
          </cell>
        </row>
        <row r="3675">
          <cell r="A3675" t="str">
            <v>Юрасов Алексей Александрович</v>
          </cell>
          <cell r="B3675">
            <v>79169043646</v>
          </cell>
        </row>
        <row r="3676">
          <cell r="A3676" t="str">
            <v>Юревич Андрей Валерьянович</v>
          </cell>
          <cell r="B3676">
            <v>79643657871</v>
          </cell>
        </row>
        <row r="3677">
          <cell r="A3677" t="str">
            <v>Юрин Никита Олегович</v>
          </cell>
          <cell r="B3677">
            <v>79167713558</v>
          </cell>
        </row>
        <row r="3678">
          <cell r="A3678" t="str">
            <v>Юрченко Дмитрий Валерьевич</v>
          </cell>
          <cell r="B3678">
            <v>79257810598</v>
          </cell>
        </row>
        <row r="3679">
          <cell r="A3679" t="str">
            <v>Юрчук Николай Олегович</v>
          </cell>
          <cell r="B3679">
            <v>79111231968</v>
          </cell>
        </row>
        <row r="3680">
          <cell r="A3680" t="str">
            <v>Юсупов Абдуазиз Абдукаюмович</v>
          </cell>
          <cell r="B3680">
            <v>79850394677</v>
          </cell>
        </row>
        <row r="3681">
          <cell r="A3681" t="str">
            <v>Юсупов Альберт Гиннатуллаевич</v>
          </cell>
          <cell r="B3681">
            <v>79030156177</v>
          </cell>
        </row>
        <row r="3682">
          <cell r="A3682" t="str">
            <v>Юсупова Екатерина Галимжановна</v>
          </cell>
          <cell r="B3682">
            <v>79085718098</v>
          </cell>
        </row>
        <row r="3683">
          <cell r="A3683" t="str">
            <v>Юшваев Шамаил Юсуфович</v>
          </cell>
          <cell r="B3683">
            <v>79257342424</v>
          </cell>
        </row>
        <row r="3684">
          <cell r="A3684" t="str">
            <v>Юшков Юрий Валерьевич</v>
          </cell>
          <cell r="B3684">
            <v>79220274533</v>
          </cell>
        </row>
        <row r="3685">
          <cell r="A3685" t="str">
            <v>Яблоков Александр Михайлович</v>
          </cell>
          <cell r="B3685">
            <v>79859989794</v>
          </cell>
        </row>
        <row r="3686">
          <cell r="A3686" t="str">
            <v>Ягненков Сергей Васильевич</v>
          </cell>
          <cell r="B3686">
            <v>79165599717</v>
          </cell>
        </row>
        <row r="3687">
          <cell r="A3687" t="str">
            <v>Ягудин Евгений Рафикович</v>
          </cell>
          <cell r="B3687">
            <v>79374301491</v>
          </cell>
        </row>
        <row r="3688">
          <cell r="A3688" t="str">
            <v>Яквашев Рашид Мусович</v>
          </cell>
          <cell r="B3688">
            <v>79186044466</v>
          </cell>
        </row>
        <row r="3689">
          <cell r="A3689" t="str">
            <v>Якимов Андрей Николаевич</v>
          </cell>
          <cell r="B3689">
            <v>79126144864</v>
          </cell>
        </row>
        <row r="3690">
          <cell r="A3690" t="str">
            <v>Яковлев Борис Викторович</v>
          </cell>
          <cell r="B3690">
            <v>79645796128</v>
          </cell>
        </row>
        <row r="3691">
          <cell r="A3691" t="str">
            <v>Яковлев Роман Владимирович</v>
          </cell>
          <cell r="B3691">
            <v>79184095349</v>
          </cell>
        </row>
        <row r="3692">
          <cell r="A3692" t="str">
            <v>Якубов Ислам Симандуевич</v>
          </cell>
          <cell r="B3692">
            <v>79263121881</v>
          </cell>
        </row>
        <row r="3693">
          <cell r="A3693" t="str">
            <v>Якубов Роман Сергеевич</v>
          </cell>
          <cell r="B3693">
            <v>79657677164</v>
          </cell>
        </row>
        <row r="3694">
          <cell r="A3694" t="str">
            <v>Якунин Валерий Викторович</v>
          </cell>
          <cell r="B3694">
            <v>79267163266</v>
          </cell>
        </row>
        <row r="3695">
          <cell r="A3695" t="str">
            <v>Якунчиков Максим Анатольевич</v>
          </cell>
          <cell r="B3695">
            <v>79165971560</v>
          </cell>
        </row>
        <row r="3696">
          <cell r="A3696" t="str">
            <v>Якушин Михаил Александрович</v>
          </cell>
          <cell r="B3696">
            <v>79165181516</v>
          </cell>
        </row>
        <row r="3697">
          <cell r="A3697" t="str">
            <v>Янишевская Анна Сергеевна</v>
          </cell>
          <cell r="B3697">
            <v>79163596977</v>
          </cell>
        </row>
        <row r="3698">
          <cell r="A3698" t="str">
            <v>Янишевская Анна Сергеевна</v>
          </cell>
          <cell r="B3698">
            <v>79859500766</v>
          </cell>
        </row>
        <row r="3699">
          <cell r="A3699" t="str">
            <v>Янчак Вадим Ярославович</v>
          </cell>
          <cell r="B3699">
            <v>79284601448</v>
          </cell>
        </row>
        <row r="3700">
          <cell r="A3700" t="str">
            <v>Ярматова Зилола</v>
          </cell>
          <cell r="B3700">
            <v>79533566633</v>
          </cell>
        </row>
        <row r="3701">
          <cell r="A3701" t="str">
            <v>Ярмоц Константин Викторович</v>
          </cell>
          <cell r="B3701">
            <v>79829322655</v>
          </cell>
        </row>
        <row r="3702">
          <cell r="A3702" t="str">
            <v>Ярмусь Екатерина Юрьевна</v>
          </cell>
          <cell r="B3702">
            <v>79180577034</v>
          </cell>
        </row>
        <row r="3703">
          <cell r="A3703" t="str">
            <v>Яровой Сергей Владимирович</v>
          </cell>
          <cell r="B3703">
            <v>79031128357</v>
          </cell>
        </row>
        <row r="3704">
          <cell r="A3704" t="str">
            <v>Ярунина Олеся Олеговна</v>
          </cell>
          <cell r="B3704">
            <v>79506259515</v>
          </cell>
        </row>
        <row r="3705">
          <cell r="A3705" t="str">
            <v>Ясинский Константин Олегович</v>
          </cell>
          <cell r="B3705">
            <v>79119899665</v>
          </cell>
        </row>
        <row r="3706">
          <cell r="A3706" t="str">
            <v>Яхин Ильдар Ринатович</v>
          </cell>
          <cell r="B3706">
            <v>79872452351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тел(заем)"/>
      <sheetName val="тел(заемРасш)"/>
      <sheetName val="email(заем)"/>
      <sheetName val="тел(пор)"/>
      <sheetName val="email(пор)"/>
      <sheetName val="дог-займ"/>
      <sheetName val="адреса"/>
      <sheetName val="ЧасПоя"/>
      <sheetName val="МСП"/>
      <sheetName val="залог"/>
      <sheetName val="БД РЕЕСТР"/>
      <sheetName val="xforms"/>
    </sheetNames>
    <sheetDataSet>
      <sheetData sheetId="0"/>
      <sheetData sheetId="1"/>
      <sheetData sheetId="2">
        <row r="1">
          <cell r="A1" t="str">
            <v>Заемщик</v>
          </cell>
          <cell r="B1" t="str">
            <v>Займ предоставленный.Номер договора</v>
          </cell>
          <cell r="C1" t="str">
            <v>Email</v>
          </cell>
          <cell r="D1" t="str">
            <v>Адрес электронной почты</v>
          </cell>
        </row>
        <row r="2">
          <cell r="A2" t="str">
            <v>"ВИВАР" ООО</v>
          </cell>
          <cell r="B2" t="str">
            <v>Т-10003/КЭ_Т-20211028/Ц</v>
          </cell>
          <cell r="C2" t="str">
            <v>tvv@engate.ru</v>
          </cell>
        </row>
        <row r="3">
          <cell r="A3" t="str">
            <v>Абакаров Абакар Магомедсалимович</v>
          </cell>
          <cell r="B3" t="str">
            <v>В-20940/КЛ.Транш - 1</v>
          </cell>
          <cell r="D3" t="str">
            <v>unaizat.72@mail.ru</v>
          </cell>
        </row>
        <row r="4">
          <cell r="A4" t="str">
            <v>Абакумов Алексей Михайлович</v>
          </cell>
          <cell r="B4" t="str">
            <v>В-26054/КЛ.Транш - 1</v>
          </cell>
          <cell r="C4" t="str">
            <v>R.abakumov@mail.ru</v>
          </cell>
        </row>
        <row r="5">
          <cell r="A5" t="str">
            <v>Абакумов Алексей Михайлович</v>
          </cell>
          <cell r="B5" t="str">
            <v>В-26054/КЛ.Транш - 2</v>
          </cell>
          <cell r="C5" t="str">
            <v>R.abakumov@mail.ru</v>
          </cell>
        </row>
        <row r="6">
          <cell r="A6" t="str">
            <v>Абакумов Алексей Михайлович</v>
          </cell>
          <cell r="B6" t="str">
            <v>В-26054/КЛ.Транш - 4</v>
          </cell>
          <cell r="C6" t="str">
            <v>R.abakumov@mail.ru</v>
          </cell>
        </row>
        <row r="7">
          <cell r="A7" t="str">
            <v>Абакумов Вадим Михайлович</v>
          </cell>
          <cell r="B7" t="str">
            <v>В-28360/КЛ.Транш - 1</v>
          </cell>
          <cell r="D7" t="str">
            <v>kumwad@mail.ru</v>
          </cell>
        </row>
        <row r="8">
          <cell r="A8" t="str">
            <v>Абдул Каюм Мохаммад Рахим</v>
          </cell>
          <cell r="B8" t="str">
            <v>В-01204/АЗ</v>
          </cell>
        </row>
        <row r="9">
          <cell r="A9" t="str">
            <v>Абдул Каюм Мохаммад Рахим</v>
          </cell>
          <cell r="B9" t="str">
            <v>В-24257/АЗ</v>
          </cell>
        </row>
        <row r="10">
          <cell r="A10" t="str">
            <v>Абдуллахи Амина Халифовна</v>
          </cell>
          <cell r="B10" t="str">
            <v>В-19549/КЛ.Транш - 1</v>
          </cell>
          <cell r="C10" t="str">
            <v>amina.abdullakhi@mail.ru</v>
          </cell>
        </row>
        <row r="11">
          <cell r="A11" t="str">
            <v>Абдуллин Азат Мазитович</v>
          </cell>
          <cell r="B11" t="str">
            <v>В-28383/КЛ.Транш - 1</v>
          </cell>
          <cell r="D11" t="str">
            <v>aidara888666.abdullin@yandex.ru</v>
          </cell>
        </row>
        <row r="12">
          <cell r="A12" t="str">
            <v>Абдуллин Игорь Эдуардович</v>
          </cell>
          <cell r="B12" t="str">
            <v>В-08251/КЛ.Транш - 1</v>
          </cell>
          <cell r="C12" t="str">
            <v>abdullin_i@inbox.ru</v>
          </cell>
        </row>
        <row r="13">
          <cell r="A13" t="str">
            <v>Абдульманова Ангелина Рамилевна</v>
          </cell>
          <cell r="B13" t="str">
            <v>В-11521/КЛ.Транш - 1</v>
          </cell>
          <cell r="C13" t="str">
            <v>lina.abdulmanova92@mail.ru</v>
          </cell>
        </row>
        <row r="14">
          <cell r="A14" t="str">
            <v>Абдурахманов Ватан Сироджиддинович</v>
          </cell>
          <cell r="B14" t="str">
            <v>В-01192/АЗ</v>
          </cell>
          <cell r="C14" t="str">
            <v>avs-int@yandex.ru</v>
          </cell>
        </row>
        <row r="15">
          <cell r="A15" t="str">
            <v>Абдурашитов Озодбек Мавланжанович</v>
          </cell>
          <cell r="B15" t="str">
            <v>В-00116/КЛ.Транш - 4</v>
          </cell>
          <cell r="C15" t="str">
            <v>azaoshsu@gmail.com</v>
          </cell>
        </row>
        <row r="16">
          <cell r="A16" t="str">
            <v>Абдурашитов Озодбек Мавланжанович</v>
          </cell>
          <cell r="B16" t="str">
            <v>В-25132/КЛ.Транш - 1</v>
          </cell>
          <cell r="C16" t="str">
            <v>azaoshsu@gmail.com</v>
          </cell>
        </row>
        <row r="17">
          <cell r="A17" t="str">
            <v>Абдурашитов Озодбек Мавланжанович</v>
          </cell>
          <cell r="B17" t="str">
            <v>В-25132/КЛ.Транш - 2</v>
          </cell>
          <cell r="C17" t="str">
            <v>azaoshsu@gmail.com</v>
          </cell>
        </row>
        <row r="18">
          <cell r="A18" t="str">
            <v>Абелян Артак Шагенович</v>
          </cell>
          <cell r="B18" t="str">
            <v>В-03960/КЛ.Транш - 1_В-20211230/Ц</v>
          </cell>
          <cell r="C18" t="str">
            <v>abelyan-1981@mail.ru</v>
          </cell>
        </row>
        <row r="19">
          <cell r="A19" t="str">
            <v>Аблязизов Эдем Рустемович</v>
          </cell>
          <cell r="B19" t="str">
            <v>В-09625/КЛ.Транш - 1</v>
          </cell>
          <cell r="C19" t="str">
            <v>ablyazizov_edem@mail.ru</v>
          </cell>
        </row>
        <row r="20">
          <cell r="A20" t="str">
            <v>Абраамян Арут Ширазович</v>
          </cell>
          <cell r="B20" t="str">
            <v>В-00172/КЛ.Транш - 1</v>
          </cell>
          <cell r="C20" t="str">
            <v>aru888@yandex.ru</v>
          </cell>
        </row>
        <row r="21">
          <cell r="A21" t="str">
            <v>Абраменко Александр Владимирович</v>
          </cell>
          <cell r="B21" t="str">
            <v>В-08416/КЛ.Транш - 1</v>
          </cell>
          <cell r="C21" t="str">
            <v>9114003384a@gmail.com</v>
          </cell>
        </row>
        <row r="22">
          <cell r="A22" t="str">
            <v>Абрамочкина Ирина Юрьевна</v>
          </cell>
          <cell r="B22" t="str">
            <v>В-28439/КЛ.Транш - 1</v>
          </cell>
          <cell r="D22" t="str">
            <v>irinafarm54@mail.ru</v>
          </cell>
        </row>
        <row r="23">
          <cell r="A23" t="str">
            <v>Абубакиров Бату Асхарович</v>
          </cell>
          <cell r="B23" t="str">
            <v>А-04275/АЗ</v>
          </cell>
          <cell r="C23" t="str">
            <v>russherion@gmail.com</v>
          </cell>
          <cell r="D23" t="str">
            <v>russherion@gmail.com</v>
          </cell>
        </row>
        <row r="24">
          <cell r="A24" t="str">
            <v>Авагян Арман Аветикович</v>
          </cell>
          <cell r="B24" t="str">
            <v>Т-01875/АЗ_Т-20211028/Ц</v>
          </cell>
          <cell r="C24" t="str">
            <v>armanavagyan2016@mail.ru</v>
          </cell>
          <cell r="D24" t="str">
            <v>armanavagyan2016@mail.ru</v>
          </cell>
        </row>
        <row r="25">
          <cell r="A25" t="str">
            <v>Авагян Тигран Агванович</v>
          </cell>
          <cell r="B25" t="str">
            <v>В-02064/КЛ.Транш - 2</v>
          </cell>
          <cell r="C25" t="str">
            <v>vatantigran@mail.ru</v>
          </cell>
        </row>
        <row r="26">
          <cell r="A26" t="str">
            <v>Авагян Тигран Агванович</v>
          </cell>
          <cell r="B26" t="str">
            <v>В-02064/КЛ.Транш - 3</v>
          </cell>
          <cell r="C26" t="str">
            <v>vatantigran@mail.ru</v>
          </cell>
        </row>
        <row r="27">
          <cell r="A27" t="str">
            <v>Авагян Тигран Агванович</v>
          </cell>
          <cell r="B27" t="str">
            <v>В-02064/КЛ.Транш - 4</v>
          </cell>
          <cell r="C27" t="str">
            <v>vatantigran@mail.ru</v>
          </cell>
        </row>
        <row r="28">
          <cell r="A28" t="str">
            <v>Аванесян Виген Эмикович</v>
          </cell>
          <cell r="B28" t="str">
            <v>В-00046/АЗ</v>
          </cell>
        </row>
        <row r="29">
          <cell r="A29" t="str">
            <v>Авдошина Светлана Викторовна</v>
          </cell>
          <cell r="B29" t="str">
            <v>В-19526/КЛ.Транш - 1</v>
          </cell>
          <cell r="D29" t="str">
            <v>lana-avdoshina@mail.ru</v>
          </cell>
        </row>
        <row r="30">
          <cell r="A30" t="str">
            <v>АВТОКОНТИНЕНТ ООО</v>
          </cell>
          <cell r="B30" t="str">
            <v>В-00033/КЭ.Транш - 1</v>
          </cell>
          <cell r="C30" t="str">
            <v>anastasia@amiwabrake.ru</v>
          </cell>
        </row>
        <row r="31">
          <cell r="A31" t="str">
            <v>АВТОКОНТИНЕНТ ООО</v>
          </cell>
          <cell r="B31" t="str">
            <v>В-00033/КЭ.Транш - 2</v>
          </cell>
          <cell r="C31" t="str">
            <v>anastasia@amiwabrake.ru</v>
          </cell>
        </row>
        <row r="32">
          <cell r="A32" t="str">
            <v>Авьюсов Владимир Аркадьевич</v>
          </cell>
          <cell r="B32" t="str">
            <v>В-09974/КЛ.Транш - 2</v>
          </cell>
          <cell r="C32" t="str">
            <v>avyusov77@rambler.ru</v>
          </cell>
        </row>
        <row r="33">
          <cell r="A33" t="str">
            <v>Агаджанян Самвел Амаякович</v>
          </cell>
          <cell r="B33" t="str">
            <v>В-18791/КЛ.Транш - 1</v>
          </cell>
          <cell r="D33" t="str">
            <v>9430600@mail.ru</v>
          </cell>
        </row>
        <row r="34">
          <cell r="A34" t="str">
            <v>Агалакова Анжелика Ириковна</v>
          </cell>
          <cell r="B34" t="str">
            <v>В-25003/КЛ.Транш - 1</v>
          </cell>
          <cell r="D34" t="str">
            <v>Katee_black@mail.ru</v>
          </cell>
        </row>
        <row r="35">
          <cell r="A35" t="str">
            <v>Агалакова Анжелика Ириковна</v>
          </cell>
          <cell r="B35" t="str">
            <v>В-25003/КЛ.Транш - 2</v>
          </cell>
          <cell r="D35" t="str">
            <v>Katee_black@mail.ru</v>
          </cell>
        </row>
        <row r="36">
          <cell r="A36" t="str">
            <v>Агалакова Анжелика Ириковна</v>
          </cell>
          <cell r="B36" t="str">
            <v>В-25003/КЛ.Транш - 3</v>
          </cell>
          <cell r="D36" t="str">
            <v>Katee_black@mail.ru</v>
          </cell>
        </row>
        <row r="37">
          <cell r="A37" t="str">
            <v>Агамов Карэн Вадимович</v>
          </cell>
          <cell r="B37" t="str">
            <v>Т-01886/АЗ_Т-20211028/Ц</v>
          </cell>
          <cell r="C37" t="str">
            <v>agamov2014@yandex.ru</v>
          </cell>
          <cell r="D37" t="str">
            <v>agamov2014@yandex.ru</v>
          </cell>
        </row>
        <row r="38">
          <cell r="A38" t="str">
            <v>Агапов Сергей Петрович</v>
          </cell>
          <cell r="B38" t="str">
            <v>В-12789/КЛ.Транш - 1</v>
          </cell>
          <cell r="C38" t="str">
            <v>sergejagapov83329@gmail.com</v>
          </cell>
          <cell r="D38" t="str">
            <v>sergejagapov83329@gmail.com</v>
          </cell>
        </row>
        <row r="39">
          <cell r="A39" t="str">
            <v>Агапова Галина Анатольевна</v>
          </cell>
          <cell r="B39" t="str">
            <v>В-28847/КЛ.Транш - 1</v>
          </cell>
          <cell r="C39" t="str">
            <v>utyf453@yandex.ru</v>
          </cell>
          <cell r="D39" t="str">
            <v>utyf453@yandex.ru</v>
          </cell>
        </row>
        <row r="40">
          <cell r="A40" t="str">
            <v>Агапова Ирина Николаевна</v>
          </cell>
          <cell r="B40" t="str">
            <v>В-14482/КЛ.Транш - 1</v>
          </cell>
        </row>
        <row r="41">
          <cell r="A41" t="str">
            <v>Агафонов Алексей Юрьевич</v>
          </cell>
          <cell r="B41" t="str">
            <v>А-04839/АЗ_А-20210903/Ц</v>
          </cell>
          <cell r="C41" t="str">
            <v>zannnuda@gmail.com</v>
          </cell>
          <cell r="D41" t="str">
            <v>zannnuda@gmail.com</v>
          </cell>
        </row>
        <row r="42">
          <cell r="A42" t="str">
            <v>Агафонов Алексей Юрьевич</v>
          </cell>
          <cell r="B42" t="str">
            <v>Т-01675/АЗ_Т-20210903/Ц</v>
          </cell>
          <cell r="C42" t="str">
            <v>zannnuda@gmail.com</v>
          </cell>
          <cell r="D42" t="str">
            <v>zannnuda@gmail.com</v>
          </cell>
        </row>
        <row r="43">
          <cell r="A43" t="str">
            <v>Агросоюз ООО</v>
          </cell>
          <cell r="B43" t="str">
            <v>В-30005/КЭ.Транш - 1</v>
          </cell>
          <cell r="C43" t="str">
            <v>info@agrosouz.moscow</v>
          </cell>
        </row>
        <row r="44">
          <cell r="A44" t="str">
            <v>Агузов Мурат Вячеславович</v>
          </cell>
          <cell r="B44" t="str">
            <v>В-24642/АЗ</v>
          </cell>
          <cell r="C44" t="str">
            <v>mr.aguzov@mail.ru</v>
          </cell>
          <cell r="D44" t="str">
            <v>mr.aguzov@mail.ru</v>
          </cell>
        </row>
        <row r="45">
          <cell r="A45" t="str">
            <v>Адамов Николай Олегович</v>
          </cell>
          <cell r="B45" t="str">
            <v>В-04727/КЛ.Транш - 1</v>
          </cell>
          <cell r="C45" t="str">
            <v>adam_n@list.ru</v>
          </cell>
        </row>
        <row r="46">
          <cell r="A46" t="str">
            <v>Адамян Ваграм Акобович</v>
          </cell>
          <cell r="B46" t="str">
            <v>В-03599/КЛ.Транш - 1</v>
          </cell>
        </row>
        <row r="47">
          <cell r="A47" t="str">
            <v>Аджаматова Рашия Магомеднуриевна</v>
          </cell>
          <cell r="B47" t="str">
            <v>В-21938/КЛ.Транш - 1</v>
          </cell>
          <cell r="D47" t="str">
            <v>kurbanova_r@mail.ru</v>
          </cell>
        </row>
        <row r="48">
          <cell r="A48" t="str">
            <v>Аджаматова Рашия Магомеднуриевна</v>
          </cell>
          <cell r="B48" t="str">
            <v>В-21938/КЛ.Транш - 2</v>
          </cell>
          <cell r="D48" t="str">
            <v>kurbanova_r@mail.ru</v>
          </cell>
        </row>
        <row r="49">
          <cell r="A49" t="str">
            <v>Аджаматова Рашия Магомеднуриевна</v>
          </cell>
          <cell r="B49" t="str">
            <v>В-21938/КЛ.Транш - 3</v>
          </cell>
          <cell r="D49" t="str">
            <v>kurbanova_r@mail.ru</v>
          </cell>
        </row>
        <row r="50">
          <cell r="A50" t="str">
            <v>Адилбеков Алмаз Адилбекович</v>
          </cell>
          <cell r="B50" t="str">
            <v>В-00079/КЛ.Транш - 2</v>
          </cell>
          <cell r="C50" t="str">
            <v>almazsultankulov1908@gmail.com</v>
          </cell>
        </row>
        <row r="51">
          <cell r="A51" t="str">
            <v>Азиев Абдурахман Авхадович</v>
          </cell>
          <cell r="B51" t="str">
            <v>В-10841/КЛ.Транш - 1</v>
          </cell>
        </row>
        <row r="52">
          <cell r="A52" t="str">
            <v>Азиева Милана Зайнуладаевна</v>
          </cell>
          <cell r="B52" t="str">
            <v>В-01211/АЗ</v>
          </cell>
        </row>
        <row r="53">
          <cell r="A53" t="str">
            <v>Азоев Стаматис Рудикович</v>
          </cell>
          <cell r="B53" t="str">
            <v>В-01035/КЛ.Транш - 1_В-20211230/Ц</v>
          </cell>
        </row>
        <row r="54">
          <cell r="A54" t="str">
            <v>Айвазян Карен Арменович</v>
          </cell>
          <cell r="B54" t="str">
            <v>В-26261/АЗ</v>
          </cell>
        </row>
        <row r="55">
          <cell r="A55" t="str">
            <v>Айрапетян Нарек Гайкович</v>
          </cell>
          <cell r="B55" t="str">
            <v>В-25131/КЛ.Транш - 1</v>
          </cell>
          <cell r="D55" t="str">
            <v>narek.ayrapetayn.96@bk.ru</v>
          </cell>
        </row>
        <row r="56">
          <cell r="A56" t="str">
            <v>Айрапетянц Гаянэ Вартановна</v>
          </cell>
          <cell r="B56" t="str">
            <v>В-22453/АЗ</v>
          </cell>
          <cell r="C56" t="str">
            <v>gayane_2014@inbox.ru</v>
          </cell>
          <cell r="D56" t="str">
            <v>gayane-2014@inbox.ru</v>
          </cell>
        </row>
        <row r="57">
          <cell r="A57" t="str">
            <v>Айриян Николай Эрнестович</v>
          </cell>
          <cell r="B57" t="str">
            <v>В-01271/КЛ.Транш - 3</v>
          </cell>
          <cell r="C57" t="str">
            <v>9680000101@mail.ru</v>
          </cell>
        </row>
        <row r="58">
          <cell r="A58" t="str">
            <v>Айриян Николай Эрнестович</v>
          </cell>
          <cell r="B58" t="str">
            <v>В-01271/КЛ.Транш - 4</v>
          </cell>
          <cell r="C58" t="str">
            <v>9680000101@mail.ru</v>
          </cell>
        </row>
        <row r="59">
          <cell r="A59" t="str">
            <v>Айриян Николай Эрнестович</v>
          </cell>
          <cell r="B59" t="str">
            <v>В-01271/КЛ.Транш - 5</v>
          </cell>
          <cell r="C59" t="str">
            <v>9680000101@mail.ru</v>
          </cell>
        </row>
        <row r="60">
          <cell r="A60" t="str">
            <v>Айриян Николай Эрнестович</v>
          </cell>
          <cell r="B60" t="str">
            <v>В-01271/КЛ.Транш - 6</v>
          </cell>
          <cell r="C60" t="str">
            <v>9680000101@mail.ru</v>
          </cell>
        </row>
        <row r="61">
          <cell r="A61" t="str">
            <v>Акимова Жанна Константиновна</v>
          </cell>
          <cell r="B61" t="str">
            <v>В-15412/КЛ.Транш - 1</v>
          </cell>
          <cell r="C61" t="str">
            <v>akimova.web.art@gmail.com</v>
          </cell>
        </row>
        <row r="62">
          <cell r="A62" t="str">
            <v>Акимцева Юлия Анатольевна</v>
          </cell>
          <cell r="B62" t="str">
            <v>А-05360/АЗ</v>
          </cell>
        </row>
        <row r="63">
          <cell r="A63" t="str">
            <v>Акиньшин Олег Алексеевич</v>
          </cell>
          <cell r="B63" t="str">
            <v>В-18334/КЛ.Транш - 1</v>
          </cell>
          <cell r="D63" t="str">
            <v>Oleg-akinshin_1983@mail.ru</v>
          </cell>
        </row>
        <row r="64">
          <cell r="A64" t="str">
            <v>Акопян Мелкон Карапетович</v>
          </cell>
          <cell r="B64" t="str">
            <v>В-27391/КЛ.Транш - 1</v>
          </cell>
          <cell r="D64" t="str">
            <v>akopyan_melkon@gmail.com</v>
          </cell>
        </row>
        <row r="65">
          <cell r="A65" t="str">
            <v>Акопян Нарине Самвеловна</v>
          </cell>
          <cell r="B65" t="str">
            <v>В-15235/КЛ.Транш - 3</v>
          </cell>
        </row>
        <row r="66">
          <cell r="A66" t="str">
            <v>Аксенчук Александр Вячеславович</v>
          </cell>
          <cell r="B66" t="str">
            <v>В-19354/КЛ.Транш - 1</v>
          </cell>
        </row>
        <row r="67">
          <cell r="A67" t="str">
            <v>Акчурин Фирит Кяшафович</v>
          </cell>
          <cell r="B67" t="str">
            <v>В-01122/КЛ.Транш - 3</v>
          </cell>
          <cell r="C67" t="str">
            <v>afirit2365@gmail.com</v>
          </cell>
        </row>
        <row r="68">
          <cell r="A68" t="str">
            <v>Акчурин Фирит Кяшафович</v>
          </cell>
          <cell r="B68" t="str">
            <v>В-01122/КЛ.Транш - 4</v>
          </cell>
          <cell r="C68" t="str">
            <v>afirit2365@gmail.com</v>
          </cell>
        </row>
        <row r="69">
          <cell r="A69" t="str">
            <v>Алавердян Аракся Хачиковна</v>
          </cell>
          <cell r="B69" t="str">
            <v>В-26128/АЗ</v>
          </cell>
          <cell r="D69" t="str">
            <v>gamlet2011@rambler.ru</v>
          </cell>
        </row>
        <row r="70">
          <cell r="A70" t="str">
            <v>Аладьин Никита Олегович</v>
          </cell>
          <cell r="B70" t="str">
            <v>В-12519/КЛ.Транш - 2</v>
          </cell>
          <cell r="D70" t="str">
            <v>aladin.nikita@mail.ru</v>
          </cell>
        </row>
        <row r="71">
          <cell r="A71" t="str">
            <v>Аладьин Никита Олегович</v>
          </cell>
          <cell r="B71" t="str">
            <v>В-12519/КЛ.Транш - 3</v>
          </cell>
          <cell r="D71" t="str">
            <v>aladin.nikita@mail.ru</v>
          </cell>
        </row>
        <row r="72">
          <cell r="A72" t="str">
            <v>Алахвердиев Насиб Тахирович</v>
          </cell>
          <cell r="B72" t="str">
            <v>В-24343/КЛ.Транш - 1</v>
          </cell>
          <cell r="C72" t="str">
            <v>ALAHVERDIEV.NASIB@YANDEX.RU</v>
          </cell>
        </row>
        <row r="73">
          <cell r="A73" t="str">
            <v>Алахвердиев Насиб Тахирович</v>
          </cell>
          <cell r="B73" t="str">
            <v>В-24343/КЛ.Транш - 2</v>
          </cell>
          <cell r="C73" t="str">
            <v>ALAHVERDIEV.NASIB@YANDEX.RU</v>
          </cell>
        </row>
        <row r="74">
          <cell r="A74" t="str">
            <v>Алексанян Карине Размиковна</v>
          </cell>
          <cell r="B74" t="str">
            <v>В-00538/АЗ</v>
          </cell>
          <cell r="C74" t="str">
            <v>karine.a86@mail.ru</v>
          </cell>
        </row>
        <row r="75">
          <cell r="A75" t="str">
            <v>Алексанян Роберт Робертович</v>
          </cell>
          <cell r="B75" t="str">
            <v>В-24336/КЛ.Транш - 1</v>
          </cell>
          <cell r="D75" t="str">
            <v>aleksanyanrobert@yandex.ru</v>
          </cell>
        </row>
        <row r="76">
          <cell r="A76" t="str">
            <v>Алексанян Роберт Робертович</v>
          </cell>
          <cell r="B76" t="str">
            <v>В-24336/КЛ.Транш - 2</v>
          </cell>
          <cell r="D76" t="str">
            <v>aleksanyanrobert@yandex.ru</v>
          </cell>
        </row>
        <row r="77">
          <cell r="A77" t="str">
            <v>Алексанян Роберт Робертович</v>
          </cell>
          <cell r="B77" t="str">
            <v>В-24336/КЛ.Транш - 3</v>
          </cell>
          <cell r="D77" t="str">
            <v>aleksanyanrobert@yandex.ru</v>
          </cell>
        </row>
        <row r="78">
          <cell r="A78" t="str">
            <v>Алексанян Роберт Робертович</v>
          </cell>
          <cell r="B78" t="str">
            <v>В-24336/КЛ.Транш - 4</v>
          </cell>
          <cell r="D78" t="str">
            <v>aleksanyanrobert@yandex.ru</v>
          </cell>
        </row>
        <row r="79">
          <cell r="A79" t="str">
            <v>Алексеев Михаил Александрович</v>
          </cell>
          <cell r="B79" t="str">
            <v>В-05105/КЛ.Транш - 1</v>
          </cell>
        </row>
        <row r="80">
          <cell r="A80" t="str">
            <v>Алексеев Юрий Сергеевич</v>
          </cell>
          <cell r="B80" t="str">
            <v>А-04668/АЗ_Т-20200626/Ц</v>
          </cell>
          <cell r="C80" t="str">
            <v>ALEKSEEV@MULTIHOST.RU</v>
          </cell>
          <cell r="D80" t="str">
            <v>ALEKSEEV@MULTIHOST.RU</v>
          </cell>
        </row>
        <row r="81">
          <cell r="A81" t="str">
            <v>Алексеев Юрий Сергеевич</v>
          </cell>
          <cell r="B81" t="str">
            <v>Т-01642/АЗ_Т-20200626/Ц</v>
          </cell>
          <cell r="C81" t="str">
            <v>ALEKSEEV@MULTIHOST.RU</v>
          </cell>
          <cell r="D81" t="str">
            <v>ALEKSEEV@MULTIHOST.RU</v>
          </cell>
        </row>
        <row r="82">
          <cell r="A82" t="str">
            <v>Алексеева Светлана Николаевна</v>
          </cell>
          <cell r="B82" t="str">
            <v>В-02623/КЛ.Транш - 5</v>
          </cell>
          <cell r="C82" t="str">
            <v>1499800@mail.ru</v>
          </cell>
        </row>
        <row r="83">
          <cell r="A83" t="str">
            <v>Алексеева Светлана Николаевна</v>
          </cell>
          <cell r="B83" t="str">
            <v>В-02623/КЛ.Транш - 7</v>
          </cell>
          <cell r="C83" t="str">
            <v>1499800@mail.ru</v>
          </cell>
        </row>
        <row r="84">
          <cell r="A84" t="str">
            <v>Алешин Сергей Сергеевич</v>
          </cell>
          <cell r="B84" t="str">
            <v>В-22822/КЛ.Транш - 1</v>
          </cell>
          <cell r="D84" t="str">
            <v>SS_irk@mail.ru</v>
          </cell>
        </row>
        <row r="85">
          <cell r="A85" t="str">
            <v>Алешин Эдуард Александрович</v>
          </cell>
          <cell r="B85" t="str">
            <v>В-11085/КЛ.Транш - 1</v>
          </cell>
          <cell r="C85" t="str">
            <v>alesib61@gmail.com</v>
          </cell>
        </row>
        <row r="86">
          <cell r="A86" t="str">
            <v>Алешкевич Алексей Викторович</v>
          </cell>
          <cell r="B86" t="str">
            <v>В-23370/КЛ.Транш - 1</v>
          </cell>
          <cell r="C86" t="str">
            <v>Alex.lehan91@mail.ru</v>
          </cell>
          <cell r="D86" t="str">
            <v>Alex.lehan91@mail.ru</v>
          </cell>
        </row>
        <row r="87">
          <cell r="A87" t="str">
            <v>Алешкевич Алексей Викторович</v>
          </cell>
          <cell r="B87" t="str">
            <v>В-23370/КЛ.Транш - 2</v>
          </cell>
          <cell r="C87" t="str">
            <v>Alex.lehan91@mail.ru</v>
          </cell>
          <cell r="D87" t="str">
            <v>Alex.lehan91@mail.ru</v>
          </cell>
        </row>
        <row r="88">
          <cell r="A88" t="str">
            <v>Алешкин Алексей Владиславович</v>
          </cell>
          <cell r="B88" t="str">
            <v>В-27251/КЛ.Транш - 1</v>
          </cell>
          <cell r="D88" t="str">
            <v>CRIstalbusinessdn@yandex.ru</v>
          </cell>
        </row>
        <row r="89">
          <cell r="A89" t="str">
            <v>Алиев Рамиль Али Оглы</v>
          </cell>
          <cell r="B89" t="str">
            <v>В-27261/КЛ.Транш - 1</v>
          </cell>
          <cell r="D89" t="str">
            <v>Aglarov_Rooden77@bk.ru</v>
          </cell>
        </row>
        <row r="90">
          <cell r="A90" t="str">
            <v>Алиев Рамиль Али Оглы</v>
          </cell>
          <cell r="B90" t="str">
            <v>В-27261/КЛ.Транш - 2</v>
          </cell>
          <cell r="D90" t="str">
            <v>Aglarov_Rooden77@bk.ru</v>
          </cell>
        </row>
        <row r="91">
          <cell r="A91" t="str">
            <v>Алиев Рамиль Али Оглы</v>
          </cell>
          <cell r="B91" t="str">
            <v>В-27261/КЛ.Транш - 3</v>
          </cell>
          <cell r="D91" t="str">
            <v>Aglarov_Rooden77@bk.ru</v>
          </cell>
        </row>
        <row r="92">
          <cell r="A92" t="str">
            <v>Алиев Турал Эльдар Оглы</v>
          </cell>
          <cell r="B92" t="str">
            <v>В-12675/КЛ.Транш - 1_В-20211230/Ц</v>
          </cell>
          <cell r="D92" t="str">
            <v>tural.aliyev2018@icloud.com</v>
          </cell>
        </row>
        <row r="93">
          <cell r="A93" t="str">
            <v>Алиев Турал Эльдар Оглы</v>
          </cell>
          <cell r="B93" t="str">
            <v>В-12675/КЛ.Транш - 2_В-20211230/Ц</v>
          </cell>
          <cell r="D93" t="str">
            <v>tural.aliyev2018@icloud.com</v>
          </cell>
        </row>
        <row r="94">
          <cell r="A94" t="str">
            <v>Алиев Турал Эльдар Оглы</v>
          </cell>
          <cell r="B94" t="str">
            <v>В-12675/КЛ.Транш - 3_В-20211230/Ц</v>
          </cell>
          <cell r="D94" t="str">
            <v>tural.aliyev2018@icloud.com</v>
          </cell>
        </row>
        <row r="95">
          <cell r="A95" t="str">
            <v>Алижанова Олмахон Базарбаевна</v>
          </cell>
          <cell r="B95" t="str">
            <v>В-12670/КЛ.Транш - 2</v>
          </cell>
          <cell r="D95" t="str">
            <v>ali9266827490@mail.ru</v>
          </cell>
        </row>
        <row r="96">
          <cell r="A96" t="str">
            <v>Аликулов Серик Ергалеевич</v>
          </cell>
          <cell r="B96" t="str">
            <v>В-17825/КЛ.Транш - 1</v>
          </cell>
          <cell r="D96" t="str">
            <v>alik21382@mail.ru</v>
          </cell>
        </row>
        <row r="97">
          <cell r="A97" t="str">
            <v>Алимирзаев Мурад Нурмагомедович</v>
          </cell>
          <cell r="B97" t="str">
            <v>В-00428/АЗ</v>
          </cell>
          <cell r="C97" t="str">
            <v>abu-bakra@mail.ru</v>
          </cell>
        </row>
        <row r="98">
          <cell r="A98" t="str">
            <v>Алихасов Александр Эдуардович</v>
          </cell>
          <cell r="B98" t="str">
            <v>В-00900/КЛ.Транш - 1</v>
          </cell>
          <cell r="C98" t="str">
            <v>89060888688@mail.ru</v>
          </cell>
        </row>
        <row r="99">
          <cell r="A99" t="str">
            <v>Алихасов Александр Эдуардович</v>
          </cell>
          <cell r="B99" t="str">
            <v>В-00900/КЛ.Транш - 2</v>
          </cell>
          <cell r="C99" t="str">
            <v>89060888688@mail.ru</v>
          </cell>
        </row>
        <row r="100">
          <cell r="A100" t="str">
            <v>Аллилуев-Петровский Евгений Викторович</v>
          </cell>
          <cell r="B100" t="str">
            <v>В-27864/КЛ.Транш - 1</v>
          </cell>
          <cell r="D100" t="str">
            <v>tech_jen@mail.ru</v>
          </cell>
        </row>
        <row r="101">
          <cell r="A101" t="str">
            <v>Алмазов Игорь Николаевич</v>
          </cell>
          <cell r="B101" t="str">
            <v>В-07430/КЛ.Транш - 1</v>
          </cell>
        </row>
        <row r="102">
          <cell r="A102" t="str">
            <v>Алхименков Даниил Андреевич</v>
          </cell>
          <cell r="B102" t="str">
            <v>В-07963/КЛ.Транш - 1</v>
          </cell>
          <cell r="C102" t="str">
            <v>alkhimenkov99@mail.ru</v>
          </cell>
        </row>
        <row r="103">
          <cell r="A103" t="str">
            <v>Алыбаев Долеткельди Ягудович</v>
          </cell>
          <cell r="B103" t="str">
            <v>В-13336/КЛ.Транш - 1</v>
          </cell>
          <cell r="D103" t="str">
            <v>doletkeldi@bk.ru</v>
          </cell>
        </row>
        <row r="104">
          <cell r="A104" t="str">
            <v>Алыбаев Долеткельди Ягудович</v>
          </cell>
          <cell r="B104" t="str">
            <v>В-13336/КЛ.Транш - 2</v>
          </cell>
          <cell r="D104" t="str">
            <v>doletkeldi@bk.ru</v>
          </cell>
        </row>
        <row r="105">
          <cell r="A105" t="str">
            <v>Алымов Владимир Алексеевич</v>
          </cell>
          <cell r="B105" t="str">
            <v>В-00393/АЗ</v>
          </cell>
          <cell r="C105" t="str">
            <v>Vlad-1010@list.ru</v>
          </cell>
        </row>
        <row r="106">
          <cell r="A106" t="str">
            <v>АЛЬЯНС НЕДВИЖИМОСТИ ООО</v>
          </cell>
          <cell r="B106" t="str">
            <v>А-00328/КЭ.Транш - 1</v>
          </cell>
          <cell r="C106" t="str">
            <v>best.allianseplus@yandex.ru</v>
          </cell>
        </row>
        <row r="107">
          <cell r="A107" t="str">
            <v>Аманниязова Гулистан Атаевна</v>
          </cell>
          <cell r="B107" t="str">
            <v>В-18890/КЛ.Транш - 1</v>
          </cell>
          <cell r="D107" t="str">
            <v>gull61@mail.ru</v>
          </cell>
        </row>
        <row r="108">
          <cell r="A108" t="str">
            <v>Амбарцумян Франц Григорьевич</v>
          </cell>
          <cell r="B108" t="str">
            <v>В-23634/КЛ.Транш - 3</v>
          </cell>
        </row>
        <row r="109">
          <cell r="A109" t="str">
            <v>Амбарцумян Франц Григорьевич</v>
          </cell>
          <cell r="B109" t="str">
            <v>В-23634/КЛ.Транш - 4</v>
          </cell>
        </row>
        <row r="110">
          <cell r="A110" t="str">
            <v>Амбарцумян Франц Григорьевич</v>
          </cell>
          <cell r="B110" t="str">
            <v>В-23634/КЛ.Транш - 6</v>
          </cell>
        </row>
        <row r="111">
          <cell r="A111" t="str">
            <v>Амбарцумян Франц Григорьевич</v>
          </cell>
          <cell r="B111" t="str">
            <v>В-23634/КЛ.Транш - 7</v>
          </cell>
        </row>
        <row r="112">
          <cell r="A112" t="str">
            <v>Амбарцумян Франц Григорьевич</v>
          </cell>
          <cell r="B112" t="str">
            <v>В-23634/КЛ.Транш - 8</v>
          </cell>
        </row>
        <row r="113">
          <cell r="A113" t="str">
            <v>Амбарян Манушак Камовна</v>
          </cell>
          <cell r="B113" t="str">
            <v>В-27332/КЛ.Транш - 1</v>
          </cell>
          <cell r="D113" t="str">
            <v>manushak93@mail.ru</v>
          </cell>
        </row>
        <row r="114">
          <cell r="A114" t="str">
            <v>Амбросиенко Павел Сергеевич</v>
          </cell>
          <cell r="B114" t="str">
            <v>В-24374/КЛ.Транш - 1</v>
          </cell>
          <cell r="D114" t="str">
            <v>pavelamb1996@icloud.com</v>
          </cell>
        </row>
        <row r="115">
          <cell r="A115" t="str">
            <v>Аминжонов Уктам Раимжонович</v>
          </cell>
          <cell r="B115" t="str">
            <v>В-14860/КЛ.Транш - 1</v>
          </cell>
          <cell r="D115" t="str">
            <v>9154624804Y@MAIL.RU</v>
          </cell>
        </row>
        <row r="116">
          <cell r="A116" t="str">
            <v>Амирханян Оганес Николаевич</v>
          </cell>
          <cell r="B116" t="str">
            <v>В-27564/АЗ</v>
          </cell>
        </row>
        <row r="117">
          <cell r="A117" t="str">
            <v>Амирханян Эмиль Оганесович</v>
          </cell>
          <cell r="B117" t="str">
            <v>В-27557/КЛ.Транш - 1</v>
          </cell>
          <cell r="C117" t="str">
            <v>7000701@mail.ru</v>
          </cell>
        </row>
        <row r="118">
          <cell r="A118" t="str">
            <v>Ананина Татьяна Григорьевна</v>
          </cell>
          <cell r="B118" t="str">
            <v>В-22241/КЛ.Транш - 1</v>
          </cell>
          <cell r="D118" t="str">
            <v>tanya.ananina1980@mail.ru</v>
          </cell>
        </row>
        <row r="119">
          <cell r="A119" t="str">
            <v>Ананчев Ефим Иванович</v>
          </cell>
          <cell r="B119" t="str">
            <v>В-00038/АЗ</v>
          </cell>
          <cell r="C119" t="str">
            <v>ananchev_@mail.ru</v>
          </cell>
        </row>
        <row r="120">
          <cell r="A120" t="str">
            <v>Ангелов Алексей Славов</v>
          </cell>
          <cell r="B120" t="str">
            <v>В-11782/КЛ.Транш - 1</v>
          </cell>
          <cell r="D120" t="str">
            <v>dsk1512@mail.ru</v>
          </cell>
        </row>
        <row r="121">
          <cell r="A121" t="str">
            <v>Андреев Евгений Петрович</v>
          </cell>
          <cell r="B121" t="str">
            <v>В-02100/КЛ.Транш - 4</v>
          </cell>
          <cell r="C121" t="str">
            <v>andreew6173@mail.ru</v>
          </cell>
        </row>
        <row r="122">
          <cell r="A122" t="str">
            <v>Андреев Евгений Петрович</v>
          </cell>
          <cell r="B122" t="str">
            <v>В-02100/КЛ.Транш - 5</v>
          </cell>
          <cell r="C122" t="str">
            <v>andreew6173@mail.ru</v>
          </cell>
        </row>
        <row r="123">
          <cell r="A123" t="str">
            <v>Андреев Максим Вячеславович</v>
          </cell>
          <cell r="B123" t="str">
            <v>В-01086/КЛ.Транш - 1</v>
          </cell>
        </row>
        <row r="124">
          <cell r="A124" t="str">
            <v>Андреященко Светлана Анатольевна</v>
          </cell>
          <cell r="B124" t="str">
            <v>В-22601/КЛ.Транш - 1</v>
          </cell>
          <cell r="C124" t="str">
            <v>svkom2015@mail.ru</v>
          </cell>
        </row>
        <row r="125">
          <cell r="A125" t="str">
            <v>Анзорова Инна Руслановна</v>
          </cell>
          <cell r="B125" t="str">
            <v>В-13048/КЛ.Транш - 1</v>
          </cell>
          <cell r="D125" t="str">
            <v>anzorova.inna@yandex.ru</v>
          </cell>
        </row>
        <row r="126">
          <cell r="A126" t="str">
            <v>Анищенкова Оксана Михайловна</v>
          </cell>
          <cell r="B126" t="str">
            <v>В-17318/КЛ.Транш - 1</v>
          </cell>
          <cell r="D126" t="str">
            <v>oksana.anishenkova@yandex.ru</v>
          </cell>
        </row>
        <row r="127">
          <cell r="A127" t="str">
            <v>Аннишинец Вячеслав Иванович</v>
          </cell>
          <cell r="B127" t="str">
            <v>В-28497/КЛ.Транш - 1</v>
          </cell>
        </row>
        <row r="128">
          <cell r="A128" t="str">
            <v>Антипов Антон Михайлович</v>
          </cell>
          <cell r="B128" t="str">
            <v>В-28655/КЛ.Транш - 1</v>
          </cell>
          <cell r="C128" t="str">
            <v>nika-timofeeva@yandex.ru</v>
          </cell>
          <cell r="D128" t="str">
            <v>nika-timofeeva@yandex.ru</v>
          </cell>
        </row>
        <row r="129">
          <cell r="A129" t="str">
            <v>Антонов Валерий Иванович</v>
          </cell>
          <cell r="B129" t="str">
            <v>В-01692/КЛ.Транш - 1</v>
          </cell>
          <cell r="C129" t="str">
            <v>anton-iva99@yandex.ru</v>
          </cell>
        </row>
        <row r="130">
          <cell r="A130" t="str">
            <v>Антонов Валерий Иванович</v>
          </cell>
          <cell r="B130" t="str">
            <v>В-01692/КЛ.Транш - 2</v>
          </cell>
          <cell r="C130" t="str">
            <v>anton-iva99@yandex.ru</v>
          </cell>
        </row>
        <row r="131">
          <cell r="A131" t="str">
            <v>Антонов Сергей Петрович</v>
          </cell>
          <cell r="B131" t="str">
            <v>В-12246/КЛ.Транш - 1</v>
          </cell>
          <cell r="D131" t="str">
            <v>S_antonov@list.ru</v>
          </cell>
        </row>
        <row r="132">
          <cell r="A132" t="str">
            <v>Ануфриенко Сергей Владимирович</v>
          </cell>
          <cell r="B132" t="str">
            <v>В-14569/КЛ.Транш - 1_А-20210929/Ц</v>
          </cell>
          <cell r="D132" t="str">
            <v>fendez3797@icloud.com</v>
          </cell>
        </row>
        <row r="133">
          <cell r="A133" t="str">
            <v>Анчутин Павел Александрович</v>
          </cell>
          <cell r="B133" t="str">
            <v>А-03591/АЗ</v>
          </cell>
          <cell r="C133" t="str">
            <v>konecoiskoteki@gmail.com</v>
          </cell>
          <cell r="D133" t="str">
            <v>konecoiskoteki@gmail.com</v>
          </cell>
        </row>
        <row r="134">
          <cell r="A134" t="str">
            <v>Аперян Любовь Артуровна</v>
          </cell>
          <cell r="B134" t="str">
            <v>В-14907/КЛ.Транш - 1</v>
          </cell>
          <cell r="C134" t="str">
            <v>lyubovaperyan@mail.ru</v>
          </cell>
          <cell r="D134" t="str">
            <v>lyubovaperyan@mail.ru</v>
          </cell>
        </row>
        <row r="135">
          <cell r="A135" t="str">
            <v>Аперян Любовь Артуровна</v>
          </cell>
          <cell r="B135" t="str">
            <v>В-14907/КЛ.Транш - 2</v>
          </cell>
          <cell r="C135" t="str">
            <v>lyubovaperyan@mail.ru</v>
          </cell>
          <cell r="D135" t="str">
            <v>lyubovaperyan@mail.ru</v>
          </cell>
        </row>
        <row r="136">
          <cell r="A136" t="str">
            <v>Апухтина Виолетта Байрамовна</v>
          </cell>
          <cell r="B136" t="str">
            <v>В-17805/КЛ.Транш - 1</v>
          </cell>
          <cell r="D136" t="str">
            <v>viola.apuhtina@yandex.ru</v>
          </cell>
        </row>
        <row r="137">
          <cell r="A137" t="str">
            <v>Апухтина Виолетта Байрамовна</v>
          </cell>
          <cell r="B137" t="str">
            <v>В-17805/КЛ.Транш - 2</v>
          </cell>
          <cell r="D137" t="str">
            <v>viola.apuhtina@yandex.ru</v>
          </cell>
        </row>
        <row r="138">
          <cell r="A138" t="str">
            <v>Апухтина Виолетта Байрамовна</v>
          </cell>
          <cell r="B138" t="str">
            <v>В-17805/КЛ.Транш - 3</v>
          </cell>
          <cell r="D138" t="str">
            <v>viola.apuhtina@yandex.ru</v>
          </cell>
        </row>
        <row r="139">
          <cell r="A139" t="str">
            <v>Аракелов Александр Сергеевич</v>
          </cell>
          <cell r="B139" t="str">
            <v>В-29098/КЛ.Транш - 1</v>
          </cell>
          <cell r="D139" t="str">
            <v>sasha-arake@mail.ru</v>
          </cell>
        </row>
        <row r="140">
          <cell r="A140" t="str">
            <v>Аракелян Арут Арменович</v>
          </cell>
          <cell r="B140" t="str">
            <v>В-06419/КЛ.Транш - 1</v>
          </cell>
          <cell r="C140" t="str">
            <v>Arakelyanaryt28@gmail.com</v>
          </cell>
        </row>
        <row r="141">
          <cell r="A141" t="str">
            <v>Аракелян Лусине Вардановна</v>
          </cell>
          <cell r="B141" t="str">
            <v>В-28694/КЛ.Транш - 1</v>
          </cell>
          <cell r="C141" t="str">
            <v>hga92@icloud.com</v>
          </cell>
          <cell r="D141" t="str">
            <v>hga92@icloud.com</v>
          </cell>
        </row>
        <row r="142">
          <cell r="A142" t="str">
            <v>Аракелян Михаил Герасимович</v>
          </cell>
          <cell r="B142" t="str">
            <v>В-21973/КЛ.Транш - 1</v>
          </cell>
          <cell r="D142" t="str">
            <v>arakelyan15@mail.ru</v>
          </cell>
        </row>
        <row r="143">
          <cell r="A143" t="str">
            <v>Аристанов Булат Рахметунлаевич</v>
          </cell>
          <cell r="B143" t="str">
            <v>В-21781/КЛ.Транш - 1</v>
          </cell>
          <cell r="D143" t="str">
            <v>2130429@mail.ru</v>
          </cell>
        </row>
        <row r="144">
          <cell r="A144" t="str">
            <v>Аркан Владимир Владимирович</v>
          </cell>
          <cell r="B144" t="str">
            <v>В-16224/КЛ.Транш - 1</v>
          </cell>
          <cell r="D144" t="str">
            <v>Arkan1971@icloud.com</v>
          </cell>
        </row>
        <row r="145">
          <cell r="A145" t="str">
            <v>Аркатов Денис Евгеньевич</v>
          </cell>
          <cell r="B145" t="str">
            <v>В-02255/КЛ.Транш - 1</v>
          </cell>
          <cell r="C145" t="str">
            <v>anisim16@mail.ru</v>
          </cell>
        </row>
        <row r="146">
          <cell r="A146" t="str">
            <v>Армяновский Сергей Владимирович</v>
          </cell>
          <cell r="B146" t="str">
            <v>В-25806/КЛ.Транш - 1</v>
          </cell>
          <cell r="D146" t="str">
            <v>armyanovskii76@gmail.com</v>
          </cell>
        </row>
        <row r="147">
          <cell r="A147" t="str">
            <v>АРТЭС ООО</v>
          </cell>
          <cell r="B147" t="str">
            <v>В-10012/КЭ.Транш - 1</v>
          </cell>
        </row>
        <row r="148">
          <cell r="A148" t="str">
            <v>Арустамян Диана Артуровна</v>
          </cell>
          <cell r="B148" t="str">
            <v>В-23311/АЗ</v>
          </cell>
          <cell r="D148" t="str">
            <v>Muradyan2204@icloud.com</v>
          </cell>
        </row>
        <row r="149">
          <cell r="A149" t="str">
            <v>Арутюнова Рузанна Георгиевна</v>
          </cell>
          <cell r="B149" t="str">
            <v>А-05413/АЗ</v>
          </cell>
          <cell r="C149" t="str">
            <v>ruzanna2007@list.ru</v>
          </cell>
          <cell r="D149" t="str">
            <v>ruzanna2007@list.ru</v>
          </cell>
        </row>
        <row r="150">
          <cell r="A150" t="str">
            <v>Арутюнова Рузанна Георгиевна</v>
          </cell>
          <cell r="B150" t="str">
            <v>В-01139/АЗ</v>
          </cell>
          <cell r="C150" t="str">
            <v>ruzanna2007@list.ru</v>
          </cell>
          <cell r="D150" t="str">
            <v>ruzanna2007@list.ru</v>
          </cell>
        </row>
        <row r="151">
          <cell r="A151" t="str">
            <v>Арутюнян Карен Варужанович</v>
          </cell>
          <cell r="B151" t="str">
            <v>В-24859/АЗ</v>
          </cell>
          <cell r="D151" t="str">
            <v>info@mka-pravo.ru</v>
          </cell>
        </row>
        <row r="152">
          <cell r="A152" t="str">
            <v>Арутюнян Сережа Теватосович</v>
          </cell>
          <cell r="B152" t="str">
            <v>В-10789/КЛ.Транш - 1</v>
          </cell>
        </row>
        <row r="153">
          <cell r="A153" t="str">
            <v>Архипов Данил Алексеевич</v>
          </cell>
          <cell r="B153" t="str">
            <v>В-14453/КЛ.Транш - 1</v>
          </cell>
          <cell r="D153" t="str">
            <v>arhi.94@bk.ru</v>
          </cell>
        </row>
        <row r="154">
          <cell r="A154" t="str">
            <v>АС ООО</v>
          </cell>
          <cell r="B154" t="str">
            <v>В-10020/КЭ.Транш - 1</v>
          </cell>
          <cell r="C154" t="str">
            <v>oooartosystemy@gmail.com</v>
          </cell>
        </row>
        <row r="155">
          <cell r="A155" t="str">
            <v>Асликян Гарик Самвелович</v>
          </cell>
          <cell r="B155" t="str">
            <v>В-12767/КЛ.Транш - 1</v>
          </cell>
        </row>
        <row r="156">
          <cell r="A156" t="str">
            <v>Атабоев Каримжон Валижонович</v>
          </cell>
          <cell r="B156" t="str">
            <v>В-09172/КЛ.Транш - 1</v>
          </cell>
          <cell r="C156" t="str">
            <v>karimzhon.ataboyev.81@mail.ru</v>
          </cell>
        </row>
        <row r="157">
          <cell r="A157" t="str">
            <v>Атакишиев Гасым Гара Оглы</v>
          </cell>
          <cell r="B157" t="str">
            <v>В-00346/АЗ</v>
          </cell>
        </row>
        <row r="158">
          <cell r="A158" t="str">
            <v>Атаманов Максим Владимирович</v>
          </cell>
          <cell r="B158" t="str">
            <v>В-08288/КЛ.Транш - 2</v>
          </cell>
          <cell r="C158" t="str">
            <v>maximatamanov@bk.ru</v>
          </cell>
        </row>
        <row r="159">
          <cell r="A159" t="str">
            <v>Атрошенко Елена Владимировна</v>
          </cell>
          <cell r="B159" t="str">
            <v>В-08537/КЛ.Транш - 1</v>
          </cell>
        </row>
        <row r="160">
          <cell r="A160" t="str">
            <v>Атрошенко Елена Владимировна</v>
          </cell>
          <cell r="B160" t="str">
            <v>В-08537/КЛ.Транш - 2</v>
          </cell>
        </row>
        <row r="161">
          <cell r="A161" t="str">
            <v>Атцаев Ахмед Шахитович</v>
          </cell>
          <cell r="B161" t="str">
            <v>В-16186/КЛ.Транш - 1</v>
          </cell>
          <cell r="C161" t="str">
            <v>attsayev@list.ru</v>
          </cell>
        </row>
        <row r="162">
          <cell r="A162" t="str">
            <v>Аутлева Сусанна Руслановна</v>
          </cell>
          <cell r="B162" t="str">
            <v>В-01172/АЗ</v>
          </cell>
          <cell r="C162" t="str">
            <v>doc.autleva@gmail.com</v>
          </cell>
          <cell r="D162" t="str">
            <v>doc.autleva@gmail.com</v>
          </cell>
        </row>
        <row r="163">
          <cell r="A163" t="str">
            <v>Афанасенков Андрей Владимирович</v>
          </cell>
          <cell r="B163" t="str">
            <v>В-23229/КЛ.Транш - 1</v>
          </cell>
        </row>
        <row r="164">
          <cell r="A164" t="str">
            <v>Афанасенков Андрей Владимирович</v>
          </cell>
          <cell r="B164" t="str">
            <v>В-23229/КЛ.Транш - 2</v>
          </cell>
        </row>
        <row r="165">
          <cell r="A165" t="str">
            <v>Афонин Николай Юрьевич</v>
          </cell>
          <cell r="B165" t="str">
            <v>В-08361/КЛ.Транш - 1</v>
          </cell>
          <cell r="C165" t="str">
            <v>afoninn57@mail.ru</v>
          </cell>
        </row>
        <row r="166">
          <cell r="A166" t="str">
            <v>Афонин Сергей Юрьевич</v>
          </cell>
          <cell r="B166" t="str">
            <v>В-10204/КЛ.Транш - 1</v>
          </cell>
          <cell r="C166" t="str">
            <v>afonin2904@yandex.ru</v>
          </cell>
        </row>
        <row r="167">
          <cell r="A167" t="str">
            <v>Афонский Максим Станиславович</v>
          </cell>
          <cell r="B167" t="str">
            <v>В-01428/КЛ.Транш - 1</v>
          </cell>
          <cell r="C167" t="str">
            <v>afonskyi@gmail.com</v>
          </cell>
        </row>
        <row r="168">
          <cell r="A168" t="str">
            <v>Афонский Максим Станиславович</v>
          </cell>
          <cell r="B168" t="str">
            <v>В-01428/КЛ.Транш - 2</v>
          </cell>
          <cell r="C168" t="str">
            <v>afonskyi@gmail.com</v>
          </cell>
        </row>
        <row r="169">
          <cell r="A169" t="str">
            <v>Ахмедов Магомедрасул Камаладинович</v>
          </cell>
          <cell r="B169" t="str">
            <v>В-26422/КЛ.Транш - 1</v>
          </cell>
          <cell r="D169" t="str">
            <v>ahmedov@mail.ru</v>
          </cell>
        </row>
        <row r="170">
          <cell r="A170" t="str">
            <v>Ахметов Ривкат Багызович</v>
          </cell>
          <cell r="B170" t="str">
            <v>В-25581/КЛ.Транш - 1</v>
          </cell>
          <cell r="D170" t="str">
            <v>rivkat2509@mail.ru</v>
          </cell>
        </row>
        <row r="171">
          <cell r="A171" t="str">
            <v>Ахметова Елена Леонидовна</v>
          </cell>
          <cell r="B171" t="str">
            <v>В-21253/КЛ.Транш - 1</v>
          </cell>
          <cell r="D171" t="str">
            <v>elena2akhmetova@yandex.ru</v>
          </cell>
        </row>
        <row r="172">
          <cell r="A172" t="str">
            <v>Аюпов Данил Мухаметович</v>
          </cell>
          <cell r="B172" t="str">
            <v>В-21079/КЛ.Транш - 1</v>
          </cell>
          <cell r="D172" t="str">
            <v>vov_2014@bk.ru</v>
          </cell>
        </row>
        <row r="173">
          <cell r="A173" t="str">
            <v>Бабаянц Артур Владимирович</v>
          </cell>
          <cell r="B173" t="str">
            <v>А-04984/АЗ_Т-20200626/Ц</v>
          </cell>
          <cell r="C173" t="str">
            <v>9999550art@gmail.com</v>
          </cell>
          <cell r="D173" t="str">
            <v>9999550art@gmail.com</v>
          </cell>
        </row>
        <row r="174">
          <cell r="A174" t="str">
            <v>Бабаянц Артур Владимирович</v>
          </cell>
          <cell r="B174" t="str">
            <v>Т-01705/АЗ_Т-20200626/Ц</v>
          </cell>
          <cell r="C174" t="str">
            <v>9999550art@gmail.com</v>
          </cell>
          <cell r="D174" t="str">
            <v>9999550art@gmail.com</v>
          </cell>
        </row>
        <row r="175">
          <cell r="A175" t="str">
            <v>Бабенышева Наталия Григорьевна</v>
          </cell>
          <cell r="B175" t="str">
            <v>В-19736/КЛ.Транш - 1</v>
          </cell>
          <cell r="D175" t="str">
            <v>stanislav0694@mail.ru</v>
          </cell>
        </row>
        <row r="176">
          <cell r="A176" t="str">
            <v>Бабичев Андрей Юрьевич</v>
          </cell>
          <cell r="B176" t="str">
            <v>В-15465/КЛ.Транш - 1</v>
          </cell>
          <cell r="C176" t="str">
            <v>whale82@mail.ru</v>
          </cell>
        </row>
        <row r="177">
          <cell r="A177" t="str">
            <v>Бабичев Геннадий Борисович</v>
          </cell>
          <cell r="B177" t="str">
            <v>В-23072/КЛ.Транш - 1</v>
          </cell>
          <cell r="D177" t="str">
            <v>bdb@k-bb.ru</v>
          </cell>
        </row>
        <row r="178">
          <cell r="A178" t="str">
            <v>Бабокин Евгений Александрович</v>
          </cell>
          <cell r="B178" t="str">
            <v>В-00004/КЛ.Транш - 1</v>
          </cell>
          <cell r="C178" t="str">
            <v>babokin79@mail.ru</v>
          </cell>
        </row>
        <row r="179">
          <cell r="A179" t="str">
            <v>Багаев Феликс Давидович</v>
          </cell>
          <cell r="B179" t="str">
            <v>В-24121/КЛ.Транш - 1</v>
          </cell>
        </row>
        <row r="180">
          <cell r="A180" t="str">
            <v>Багаев Феликс Давидович</v>
          </cell>
          <cell r="B180" t="str">
            <v>В-24121/КЛ.Транш - 2</v>
          </cell>
        </row>
        <row r="181">
          <cell r="A181" t="str">
            <v>Бажуткин Николай Владимирович</v>
          </cell>
          <cell r="B181" t="str">
            <v>В-08393/КЛ.Транш - 1</v>
          </cell>
          <cell r="C181" t="str">
            <v>Bazhutkin.78@mail.ru</v>
          </cell>
        </row>
        <row r="182">
          <cell r="A182" t="str">
            <v>Базарнова Татьяна Леонидовна</v>
          </cell>
          <cell r="B182" t="str">
            <v>В-17708/КЛ.Транш - 1</v>
          </cell>
          <cell r="D182" t="str">
            <v>bazarnova61@mail.ru</v>
          </cell>
        </row>
        <row r="183">
          <cell r="A183" t="str">
            <v>Базаров Атаджан Алланурович</v>
          </cell>
          <cell r="B183" t="str">
            <v>В-22991/КЛ.Транш - 1</v>
          </cell>
          <cell r="D183" t="str">
            <v>bazarov995ata@gmail.com</v>
          </cell>
        </row>
        <row r="184">
          <cell r="A184" t="str">
            <v>Базаров Бахтиёр Асрорович</v>
          </cell>
          <cell r="B184" t="str">
            <v>А-05138/АЗ</v>
          </cell>
        </row>
        <row r="185">
          <cell r="A185" t="str">
            <v>Базарова Нафиса Ибрагимжановна</v>
          </cell>
          <cell r="B185" t="str">
            <v>В-15908/КЛ.Транш - 1</v>
          </cell>
          <cell r="D185" t="str">
            <v>нет</v>
          </cell>
        </row>
        <row r="186">
          <cell r="A186" t="str">
            <v>Байрамов Сабир Вагифович</v>
          </cell>
          <cell r="B186" t="str">
            <v>В-21137/КЛ.Транш - 1</v>
          </cell>
          <cell r="D186" t="str">
            <v>sabir_bayramov_93@mail.ru</v>
          </cell>
        </row>
        <row r="187">
          <cell r="A187" t="str">
            <v>Байтемиров Ахметхан Магарамович</v>
          </cell>
          <cell r="B187" t="str">
            <v>В-22173/КЛ.Транш - 1</v>
          </cell>
          <cell r="D187" t="str">
            <v>bam.61@mail.ru</v>
          </cell>
        </row>
        <row r="188">
          <cell r="A188" t="str">
            <v>Бакиров Теймур Бахрам оглы</v>
          </cell>
          <cell r="B188" t="str">
            <v>В-26197/КЛ.Транш - 1</v>
          </cell>
          <cell r="D188" t="str">
            <v>Tejmurb@mail.ru</v>
          </cell>
        </row>
        <row r="189">
          <cell r="A189" t="str">
            <v>Бакиров Теймур Бахрам оглы</v>
          </cell>
          <cell r="B189" t="str">
            <v>В-26197/КЛ.Транш - 2</v>
          </cell>
          <cell r="D189" t="str">
            <v>Tejmurb@mail.ru</v>
          </cell>
        </row>
        <row r="190">
          <cell r="A190" t="str">
            <v>Бакласова Мирабелла Викторовна</v>
          </cell>
          <cell r="B190" t="str">
            <v>В-25792/КЛ.Транш - 1</v>
          </cell>
          <cell r="D190" t="str">
            <v>m.batlasova@gmail.com</v>
          </cell>
        </row>
        <row r="191">
          <cell r="A191" t="str">
            <v>Бакласова Мирабелла Викторовна</v>
          </cell>
          <cell r="B191" t="str">
            <v>В-25792/КЛ.Транш - 2</v>
          </cell>
          <cell r="D191" t="str">
            <v>m.batlasova@gmail.com</v>
          </cell>
        </row>
        <row r="192">
          <cell r="A192" t="str">
            <v>Бакулин Андрей Валерьевич</v>
          </cell>
          <cell r="B192" t="str">
            <v>В-09206/КЛ.Транш - 1</v>
          </cell>
          <cell r="C192" t="str">
            <v>andrey-bakulin80@mail.ru</v>
          </cell>
        </row>
        <row r="193">
          <cell r="A193" t="str">
            <v>Балт Юнион ООО</v>
          </cell>
          <cell r="B193" t="str">
            <v>В-10023/КЭ.Транш - 1</v>
          </cell>
          <cell r="C193" t="str">
            <v>info@baltunion.com</v>
          </cell>
        </row>
        <row r="194">
          <cell r="A194" t="str">
            <v>Бандалак Олег Иванович</v>
          </cell>
          <cell r="B194" t="str">
            <v>В-15261/КЛ.Транш - 1</v>
          </cell>
          <cell r="C194" t="str">
            <v>Bandalak-oleg@mail.ru</v>
          </cell>
        </row>
        <row r="195">
          <cell r="A195" t="str">
            <v>Бандалак Олег Иванович</v>
          </cell>
          <cell r="B195" t="str">
            <v>В-15261/КЛ.Транш - 2</v>
          </cell>
          <cell r="C195" t="str">
            <v>Bandalak-oleg@mail.ru</v>
          </cell>
        </row>
        <row r="196">
          <cell r="A196" t="str">
            <v>Барамия Иракли Роинович</v>
          </cell>
          <cell r="B196" t="str">
            <v>В-00648/АЗ</v>
          </cell>
        </row>
        <row r="197">
          <cell r="A197" t="str">
            <v>Барамыков Рамиль Адипович</v>
          </cell>
          <cell r="B197" t="str">
            <v>В-23136/АЗ</v>
          </cell>
          <cell r="C197" t="str">
            <v>b.r.a@mail.ru</v>
          </cell>
          <cell r="D197" t="str">
            <v>b.r.a@mail.ru</v>
          </cell>
        </row>
        <row r="198">
          <cell r="A198" t="str">
            <v>Барамыков Рамиль Адипович</v>
          </cell>
          <cell r="B198" t="str">
            <v>В-26110/АЗ</v>
          </cell>
          <cell r="C198" t="str">
            <v>b.r.a@mail.ru</v>
          </cell>
          <cell r="D198" t="str">
            <v>b.r.a@mail.ru</v>
          </cell>
        </row>
        <row r="199">
          <cell r="A199" t="str">
            <v>Баранов Аркадий Александрович</v>
          </cell>
          <cell r="B199" t="str">
            <v>В-19093/КЛ.Транш - 1</v>
          </cell>
          <cell r="D199" t="str">
            <v>arkad2002@mail.ru</v>
          </cell>
        </row>
        <row r="200">
          <cell r="A200" t="str">
            <v>Баранов Вадим Викторович</v>
          </cell>
          <cell r="B200" t="str">
            <v>В-09916/КЛ.Транш - 1</v>
          </cell>
          <cell r="C200" t="str">
            <v>2788314@mail.ru</v>
          </cell>
        </row>
        <row r="201">
          <cell r="A201" t="str">
            <v>Баранов Сергей Алексеевич</v>
          </cell>
          <cell r="B201" t="str">
            <v>В-03541/КЛ.Транш - 1</v>
          </cell>
          <cell r="C201" t="str">
            <v>abdumutalib.abdurakhimov@mail.ru</v>
          </cell>
        </row>
        <row r="202">
          <cell r="A202" t="str">
            <v>Баранова Светлана Александровна</v>
          </cell>
          <cell r="B202" t="str">
            <v>В-09086/КЛ.Транш - 1</v>
          </cell>
          <cell r="C202" t="str">
            <v>lana0091@mail.ru</v>
          </cell>
        </row>
        <row r="203">
          <cell r="A203" t="str">
            <v>Баранова Светлана Александровна</v>
          </cell>
          <cell r="B203" t="str">
            <v>В-09086/КЛ.Транш - 2</v>
          </cell>
          <cell r="C203" t="str">
            <v>lana0091@mail.ru</v>
          </cell>
        </row>
        <row r="204">
          <cell r="A204" t="str">
            <v>Баранова Светлана Александровна</v>
          </cell>
          <cell r="B204" t="str">
            <v>В-09086/КЛ.Транш - 3</v>
          </cell>
          <cell r="C204" t="str">
            <v>lana0091@mail.ru</v>
          </cell>
        </row>
        <row r="205">
          <cell r="A205" t="str">
            <v>Бардин Андрей Юрьевич</v>
          </cell>
          <cell r="B205" t="str">
            <v>В-00319/КЛ.Транш - 2</v>
          </cell>
          <cell r="C205" t="str">
            <v>bar1978din@mail.ru</v>
          </cell>
        </row>
        <row r="206">
          <cell r="A206" t="str">
            <v>Барсамян Маргарит Сережовна</v>
          </cell>
          <cell r="B206" t="str">
            <v>В-27587/АЗ</v>
          </cell>
          <cell r="C206" t="str">
            <v>narine_barsamyan@mail.ru</v>
          </cell>
          <cell r="D206" t="str">
            <v>narine_barsamyan@mail.ru</v>
          </cell>
        </row>
        <row r="207">
          <cell r="A207" t="str">
            <v>Барсикян Эдуард Грачевич</v>
          </cell>
          <cell r="B207" t="str">
            <v>В-10041/КЛ.Транш - 2</v>
          </cell>
        </row>
        <row r="208">
          <cell r="A208" t="str">
            <v>Барсикян Эдуард Грачевич</v>
          </cell>
          <cell r="B208" t="str">
            <v>В-10041/КЛ.Транш - 3</v>
          </cell>
        </row>
        <row r="209">
          <cell r="A209" t="str">
            <v>Барсикян Эдуард Грачевич</v>
          </cell>
          <cell r="B209" t="str">
            <v>В-10041/КЛ.Транш - 4</v>
          </cell>
        </row>
        <row r="210">
          <cell r="A210" t="str">
            <v>Барт Денис Михайлович</v>
          </cell>
          <cell r="B210" t="str">
            <v>В-01174/АЗ</v>
          </cell>
        </row>
        <row r="211">
          <cell r="A211" t="str">
            <v>Бархударов Сергей Юрьевич</v>
          </cell>
          <cell r="B211" t="str">
            <v>В-25499/АЗ</v>
          </cell>
        </row>
        <row r="212">
          <cell r="A212" t="str">
            <v>Барчукова Марина Алексеевна</v>
          </cell>
          <cell r="B212" t="str">
            <v>В-00614/АЗ</v>
          </cell>
          <cell r="C212" t="str">
            <v>barchukova.87@mail.ru</v>
          </cell>
        </row>
        <row r="213">
          <cell r="A213" t="str">
            <v>Барышникова Александра Андреевна</v>
          </cell>
          <cell r="B213" t="str">
            <v>В-00772/АЗ</v>
          </cell>
          <cell r="C213" t="str">
            <v>alexa.baryshnikova@gmail.com</v>
          </cell>
        </row>
        <row r="214">
          <cell r="A214" t="str">
            <v>Батурин Василий Михайлович</v>
          </cell>
          <cell r="B214" t="str">
            <v>В-00840/АЗ</v>
          </cell>
        </row>
        <row r="215">
          <cell r="A215" t="str">
            <v>Баулин Андрей Валерьевич</v>
          </cell>
          <cell r="B215" t="str">
            <v>В-00947/КЛ.Транш - 1</v>
          </cell>
          <cell r="C215" t="str">
            <v>b4ulinandrei@yandex.ru</v>
          </cell>
        </row>
        <row r="216">
          <cell r="A216" t="str">
            <v>Баханова Ирина Владимировна</v>
          </cell>
          <cell r="B216" t="str">
            <v>В-06215/КЛ.Транш - 1</v>
          </cell>
          <cell r="C216" t="str">
            <v>iri-bakhanova@yandex.ru</v>
          </cell>
        </row>
        <row r="217">
          <cell r="A217" t="str">
            <v>Баханцов Семен Владимирович</v>
          </cell>
          <cell r="B217" t="str">
            <v>А-05346/АЗ_Т-20211028/Ц</v>
          </cell>
          <cell r="C217" t="str">
            <v>semen.2013@yandex.ru</v>
          </cell>
          <cell r="D217" t="str">
            <v>semen.2013@yandex.ru</v>
          </cell>
        </row>
        <row r="218">
          <cell r="A218" t="str">
            <v>Баханцов Семен Владимирович</v>
          </cell>
          <cell r="B218" t="str">
            <v>В-00313/АЗ_Т-20211028/Ц</v>
          </cell>
          <cell r="C218" t="str">
            <v>semen.2013@yandex.ru</v>
          </cell>
          <cell r="D218" t="str">
            <v>semen.2013@yandex.ru</v>
          </cell>
        </row>
        <row r="219">
          <cell r="A219" t="str">
            <v>Баханцов Семен Владимирович</v>
          </cell>
          <cell r="B219" t="str">
            <v>Т-01805/АЗ_Т-20211028/Ц</v>
          </cell>
          <cell r="C219" t="str">
            <v>semen.2013@yandex.ru</v>
          </cell>
          <cell r="D219" t="str">
            <v>semen.2013@yandex.ru</v>
          </cell>
        </row>
        <row r="220">
          <cell r="A220" t="str">
            <v>Башкатов Егор Иванович</v>
          </cell>
          <cell r="B220" t="str">
            <v>В-00970/АЗ</v>
          </cell>
          <cell r="C220" t="str">
            <v>89119677172@mail.ru</v>
          </cell>
        </row>
        <row r="221">
          <cell r="A221" t="str">
            <v>Башленко Илья Васильевич</v>
          </cell>
          <cell r="B221" t="str">
            <v>В-19655/КЛ.Транш - 1</v>
          </cell>
          <cell r="D221" t="str">
            <v>ps71-71@mail.ru</v>
          </cell>
        </row>
        <row r="222">
          <cell r="A222" t="str">
            <v>Баяндин Сергей Петрович</v>
          </cell>
          <cell r="B222" t="str">
            <v>В-17232/КЛ.Транш - 1</v>
          </cell>
          <cell r="D222" t="str">
            <v>Bayandin97@bk.ru</v>
          </cell>
        </row>
        <row r="223">
          <cell r="A223" t="str">
            <v>Бекетов Алексей Алексеевич</v>
          </cell>
          <cell r="B223" t="str">
            <v>В-23509/КЛ.Транш - 1</v>
          </cell>
          <cell r="D223" t="str">
            <v>Beketov-a@mail.ru</v>
          </cell>
        </row>
        <row r="224">
          <cell r="A224" t="str">
            <v>Бекетов Алексей Алексеевич</v>
          </cell>
          <cell r="B224" t="str">
            <v>В-23509/КЛ.Транш - 2</v>
          </cell>
          <cell r="D224" t="str">
            <v>Beketov-a@mail.ru</v>
          </cell>
        </row>
        <row r="225">
          <cell r="A225" t="str">
            <v>Белан Надежда Александровна</v>
          </cell>
          <cell r="B225" t="str">
            <v>В-04724/КЛ.Транш - 3</v>
          </cell>
          <cell r="C225" t="str">
            <v>dom-kuchugury@yandex.ru</v>
          </cell>
        </row>
        <row r="226">
          <cell r="A226" t="str">
            <v>Белгер Эрнест Владимирович</v>
          </cell>
          <cell r="B226" t="str">
            <v>В-22163/КЛ.Транш - 1</v>
          </cell>
          <cell r="C226" t="str">
            <v>belgernie@gmail.com</v>
          </cell>
          <cell r="D226" t="str">
            <v>belgernie@gmail.com</v>
          </cell>
        </row>
        <row r="227">
          <cell r="A227" t="str">
            <v>Белецкий Григорий Дмитриевич</v>
          </cell>
          <cell r="B227" t="str">
            <v>В-09725/КЛ.Транш - 1</v>
          </cell>
        </row>
        <row r="228">
          <cell r="A228" t="str">
            <v>Белик Галина Александровна</v>
          </cell>
          <cell r="B228" t="str">
            <v>В-27260/АЗ</v>
          </cell>
          <cell r="D228" t="str">
            <v>Winter2312@bk.ru</v>
          </cell>
        </row>
        <row r="229">
          <cell r="A229" t="str">
            <v>Белинский Сергей Игоревич</v>
          </cell>
          <cell r="B229" t="str">
            <v>В-00806/АЗ_В-20211230/Ц</v>
          </cell>
        </row>
        <row r="230">
          <cell r="A230" t="str">
            <v>Белич Валерий Валериевич</v>
          </cell>
          <cell r="B230" t="str">
            <v>В-08212/КЛ.Транш - 4</v>
          </cell>
          <cell r="C230" t="str">
            <v>exklyziv07@rambler.ru</v>
          </cell>
        </row>
        <row r="231">
          <cell r="A231" t="str">
            <v>Белич Валерий Валериевич</v>
          </cell>
          <cell r="B231" t="str">
            <v>В-08212/КЛ.Транш - 5</v>
          </cell>
          <cell r="C231" t="str">
            <v>exklyziv07@rambler.ru</v>
          </cell>
        </row>
        <row r="232">
          <cell r="A232" t="str">
            <v>Белич Валерий Валериевич</v>
          </cell>
          <cell r="B232" t="str">
            <v>В-08212/КЛ.Транш - 6</v>
          </cell>
          <cell r="C232" t="str">
            <v>exklyziv07@rambler.ru</v>
          </cell>
        </row>
        <row r="233">
          <cell r="A233" t="str">
            <v>Белич Валерий Валериевич</v>
          </cell>
          <cell r="B233" t="str">
            <v>В-08212/КЛ.Транш - 7</v>
          </cell>
          <cell r="C233" t="str">
            <v>exklyziv07@rambler.ru</v>
          </cell>
        </row>
        <row r="234">
          <cell r="A234" t="str">
            <v>Белов Александр Сергеевич</v>
          </cell>
          <cell r="B234" t="str">
            <v>А-05459/АЗ</v>
          </cell>
          <cell r="C234" t="str">
            <v>bil955@mail.ru</v>
          </cell>
        </row>
        <row r="235">
          <cell r="A235" t="str">
            <v>Белов Александр Сергеевич</v>
          </cell>
          <cell r="B235" t="str">
            <v>В-00942/АЗ</v>
          </cell>
          <cell r="C235" t="str">
            <v>bil955@mail.ru</v>
          </cell>
        </row>
        <row r="236">
          <cell r="A236" t="str">
            <v>Белов Александр Сергеевич</v>
          </cell>
          <cell r="B236" t="str">
            <v>В-24140/АЗ</v>
          </cell>
          <cell r="C236" t="str">
            <v>bil955@mail.ru</v>
          </cell>
        </row>
        <row r="237">
          <cell r="A237" t="str">
            <v>Белов Вячеслав Сергеевич</v>
          </cell>
          <cell r="B237" t="str">
            <v>В-21795/КЛ.Транш - 1</v>
          </cell>
          <cell r="D237" t="str">
            <v>VYACHESLAV_BELOV_2021@mail.ru</v>
          </cell>
        </row>
        <row r="238">
          <cell r="A238" t="str">
            <v>Белова Ольга Евгеньевна</v>
          </cell>
          <cell r="B238" t="str">
            <v>В-15838/КЛ.Транш - 1</v>
          </cell>
          <cell r="D238" t="str">
            <v>belova-bep@mail.ru</v>
          </cell>
        </row>
        <row r="239">
          <cell r="A239" t="str">
            <v>Белова Ольга Евгеньевна</v>
          </cell>
          <cell r="B239" t="str">
            <v>В-15838/КЛ.Транш - 2</v>
          </cell>
          <cell r="D239" t="str">
            <v>belova-bep@mail.ru</v>
          </cell>
        </row>
        <row r="240">
          <cell r="A240" t="str">
            <v>Белолипцев Дмитрий Олегович</v>
          </cell>
          <cell r="B240" t="str">
            <v>В-17458/КЛ.Транш - 1</v>
          </cell>
          <cell r="D240" t="str">
            <v>chubr_90@mail.ru</v>
          </cell>
        </row>
        <row r="241">
          <cell r="A241" t="str">
            <v>Беломытцев Илья Алексеевич</v>
          </cell>
          <cell r="B241" t="str">
            <v>В-14254/КЛ.Транш - 1</v>
          </cell>
          <cell r="D241" t="str">
            <v>iljyab@gmail.com</v>
          </cell>
        </row>
        <row r="242">
          <cell r="A242" t="str">
            <v>Белорыбкин Михаил Васильевич</v>
          </cell>
          <cell r="B242" t="str">
            <v>В-19684/КЛ.Транш - 1</v>
          </cell>
          <cell r="D242" t="str">
            <v>belrybuin@mail.ru</v>
          </cell>
        </row>
        <row r="243">
          <cell r="A243" t="str">
            <v>Белоусов Валерий Владиславович</v>
          </cell>
          <cell r="B243" t="str">
            <v>В-25922/КЛ.Транш - 1</v>
          </cell>
          <cell r="C243" t="str">
            <v>stihl-krasnodar@mail.ru</v>
          </cell>
        </row>
        <row r="244">
          <cell r="A244" t="str">
            <v>Белоусов Валерий Владиславович</v>
          </cell>
          <cell r="B244" t="str">
            <v>В-25922/КЛ.Транш - 2</v>
          </cell>
          <cell r="C244" t="str">
            <v>stihl-krasnodar@mail.ru</v>
          </cell>
        </row>
        <row r="245">
          <cell r="A245" t="str">
            <v>Белоусова Наталья Анатольевна</v>
          </cell>
          <cell r="B245" t="str">
            <v>В-16357/КЛ.Транш - 1</v>
          </cell>
          <cell r="D245" t="str">
            <v>belousovanatali@gmail.com</v>
          </cell>
        </row>
        <row r="246">
          <cell r="A246" t="str">
            <v>Белоусова Наталья Анатольевна</v>
          </cell>
          <cell r="B246" t="str">
            <v>В-16357/КЛ.Транш - 2</v>
          </cell>
          <cell r="D246" t="str">
            <v>belousovanatali@gmail.com</v>
          </cell>
        </row>
        <row r="247">
          <cell r="A247" t="str">
            <v>Беляев Алексей Васильевич</v>
          </cell>
          <cell r="B247" t="str">
            <v>В-00948/КЛ.Транш - 1</v>
          </cell>
          <cell r="C247" t="str">
            <v>belyai77@mail.ru</v>
          </cell>
        </row>
        <row r="248">
          <cell r="A248" t="str">
            <v>Беляев Андрей Сергеевич</v>
          </cell>
          <cell r="B248" t="str">
            <v>В-00820/АЗ</v>
          </cell>
        </row>
        <row r="249">
          <cell r="A249" t="str">
            <v>Белякова Марина Сергеевна</v>
          </cell>
          <cell r="B249" t="str">
            <v>В-22677/КЛ.Транш - 1</v>
          </cell>
          <cell r="C249" t="str">
            <v>marysa855@gmail.com</v>
          </cell>
          <cell r="D249" t="str">
            <v>marysa855@gmail.com</v>
          </cell>
        </row>
        <row r="250">
          <cell r="A250" t="str">
            <v>Бендас Евгений Васильевич</v>
          </cell>
          <cell r="B250" t="str">
            <v>В-10934/КЛ.Транш - 1</v>
          </cell>
          <cell r="C250" t="str">
            <v>evgeniy.kostroma44@mail.ru</v>
          </cell>
        </row>
        <row r="251">
          <cell r="A251" t="str">
            <v>Бендас Евгений Васильевич</v>
          </cell>
          <cell r="B251" t="str">
            <v>В-10934/КЛ.Транш - 2</v>
          </cell>
          <cell r="C251" t="str">
            <v>evgeniy.kostroma44@mail.ru</v>
          </cell>
        </row>
        <row r="252">
          <cell r="A252" t="str">
            <v>Берберян Эдуард Арутюнович</v>
          </cell>
          <cell r="B252" t="str">
            <v>В-11934/КЛ.Транш - 2</v>
          </cell>
          <cell r="C252" t="str">
            <v>Berberyane87@mail.ru</v>
          </cell>
        </row>
        <row r="253">
          <cell r="A253" t="str">
            <v>Берберян Эдуард Арутюнович</v>
          </cell>
          <cell r="B253" t="str">
            <v>В-11934/КЛ.Транш - 4</v>
          </cell>
          <cell r="C253" t="str">
            <v>Berberyane87@mail.ru</v>
          </cell>
        </row>
        <row r="254">
          <cell r="A254" t="str">
            <v>Березин Валентин Юрьевич</v>
          </cell>
          <cell r="B254" t="str">
            <v>В-28088/КЛ.Транш - 1</v>
          </cell>
          <cell r="C254" t="str">
            <v>9037118940@mail.ru</v>
          </cell>
          <cell r="D254" t="str">
            <v>9037118940@mail.ru</v>
          </cell>
        </row>
        <row r="255">
          <cell r="A255" t="str">
            <v>Березин Валентин Юрьевич</v>
          </cell>
          <cell r="B255" t="str">
            <v>В-28088/КЛ.Транш - 2</v>
          </cell>
          <cell r="C255" t="str">
            <v>9037118940@mail.ru</v>
          </cell>
          <cell r="D255" t="str">
            <v>9037118940@mail.ru</v>
          </cell>
        </row>
        <row r="256">
          <cell r="A256" t="str">
            <v>Березин Виктор Владимирович</v>
          </cell>
          <cell r="B256" t="str">
            <v>В-11162/КЛ.Транш - 1</v>
          </cell>
          <cell r="C256" t="str">
            <v>viktorbiz.spb@gmail.com</v>
          </cell>
        </row>
        <row r="257">
          <cell r="A257" t="str">
            <v>Бесаев Заур Маратович</v>
          </cell>
          <cell r="B257" t="str">
            <v>В-18050/КЛ.Транш - 1</v>
          </cell>
        </row>
        <row r="258">
          <cell r="A258" t="str">
            <v>Бесаев Заур Маратович</v>
          </cell>
          <cell r="B258" t="str">
            <v>В-18050/КЛ.Транш - 2</v>
          </cell>
        </row>
        <row r="259">
          <cell r="A259" t="str">
            <v>Бибнева Анастасия Дмитриевна</v>
          </cell>
          <cell r="B259" t="str">
            <v>В-13254/КЛ.Транш - 1</v>
          </cell>
        </row>
        <row r="260">
          <cell r="A260" t="str">
            <v>Бизнес Бухгалтер ООО</v>
          </cell>
          <cell r="B260" t="str">
            <v>В-00068/КЭ.Транш - 1</v>
          </cell>
          <cell r="C260" t="str">
            <v>ampramian@yandex.ru</v>
          </cell>
        </row>
        <row r="261">
          <cell r="A261" t="str">
            <v>Бикеев Максим Васильевич</v>
          </cell>
          <cell r="B261" t="str">
            <v>В-25705/КЛ.Транш - 1</v>
          </cell>
          <cell r="D261" t="str">
            <v>maksbikeev3@gmail.com</v>
          </cell>
        </row>
        <row r="262">
          <cell r="A262" t="str">
            <v>Бикиева Ольга Альбертовна</v>
          </cell>
          <cell r="B262" t="str">
            <v>В-23881/КЛ.Транш - 1</v>
          </cell>
          <cell r="D262" t="str">
            <v>Bagira.95@mail.ru</v>
          </cell>
        </row>
        <row r="263">
          <cell r="A263" t="str">
            <v>Бикиева Ольга Альбертовна</v>
          </cell>
          <cell r="B263" t="str">
            <v>В-23881/КЛ.Транш - 2</v>
          </cell>
          <cell r="D263" t="str">
            <v>Bagira.95@mail.ru</v>
          </cell>
        </row>
        <row r="264">
          <cell r="A264" t="str">
            <v>Билалов Имам Исламович</v>
          </cell>
          <cell r="B264" t="str">
            <v>В-01024/АЗ</v>
          </cell>
          <cell r="C264" t="str">
            <v>imam_4525@mail.ru</v>
          </cell>
        </row>
        <row r="265">
          <cell r="A265" t="str">
            <v>Битюцких Александр Александрович</v>
          </cell>
          <cell r="B265" t="str">
            <v>Т-01914/АЗ_Т-20211028/Ц</v>
          </cell>
          <cell r="C265" t="str">
            <v>bityutzckih@yandex.ru</v>
          </cell>
        </row>
        <row r="266">
          <cell r="A266" t="str">
            <v>Биченов Сослан Эдуардович</v>
          </cell>
          <cell r="B266" t="str">
            <v>В-00974/АЗ</v>
          </cell>
          <cell r="C266" t="str">
            <v>bitchenov_s@mail.ru</v>
          </cell>
        </row>
        <row r="267">
          <cell r="A267" t="str">
            <v>Биятов Малик Серекович</v>
          </cell>
          <cell r="B267" t="str">
            <v>В-14005/КЛ.Транш - 1</v>
          </cell>
          <cell r="D267" t="str">
            <v>mbiyatov@bk.ru</v>
          </cell>
        </row>
        <row r="268">
          <cell r="A268" t="str">
            <v>Биятов Малик Серекович</v>
          </cell>
          <cell r="B268" t="str">
            <v>В-14005/КЛ.Транш - 2</v>
          </cell>
          <cell r="D268" t="str">
            <v>mbiyatov@bk.ru</v>
          </cell>
        </row>
        <row r="269">
          <cell r="A269" t="str">
            <v>Биятов Малик Серекович</v>
          </cell>
          <cell r="B269" t="str">
            <v>В-14005/КЛ.Транш - 3</v>
          </cell>
          <cell r="D269" t="str">
            <v>mbiyatov@bk.ru</v>
          </cell>
        </row>
        <row r="270">
          <cell r="A270" t="str">
            <v>Блинов Сергей Владимирович</v>
          </cell>
          <cell r="B270" t="str">
            <v>В-25548/КЛ.Транш - 1</v>
          </cell>
          <cell r="D270" t="str">
            <v>sergeblinov775@gmail.com</v>
          </cell>
        </row>
        <row r="271">
          <cell r="A271" t="str">
            <v>Бобров Дмитрий Михайлович</v>
          </cell>
          <cell r="B271" t="str">
            <v>А-05082/АЗ</v>
          </cell>
          <cell r="C271" t="str">
            <v>dmitrii_bobrov@mail.ru</v>
          </cell>
          <cell r="D271" t="str">
            <v>dmitrii_bobrov@mail.ru</v>
          </cell>
        </row>
        <row r="272">
          <cell r="A272" t="str">
            <v>Богачук Сергей Прокопьевич</v>
          </cell>
          <cell r="B272" t="str">
            <v>В-17506/КЛ.Транш - 1</v>
          </cell>
          <cell r="D272" t="str">
            <v>sergheibogacius@gmail.com</v>
          </cell>
        </row>
        <row r="273">
          <cell r="A273" t="str">
            <v>Богданов Александр Сергеевич</v>
          </cell>
          <cell r="B273" t="str">
            <v>В-22763/КЛ.Транш - 1</v>
          </cell>
          <cell r="C273" t="str">
            <v>alexbogdanov.2015@mail.ru</v>
          </cell>
        </row>
        <row r="274">
          <cell r="A274" t="str">
            <v>Богданов Борис Владимирович</v>
          </cell>
          <cell r="B274" t="str">
            <v>В-18370/КЛ.Транш - 1</v>
          </cell>
          <cell r="D274" t="str">
            <v>borisbogdanov2@yandex.ru</v>
          </cell>
        </row>
        <row r="275">
          <cell r="A275" t="str">
            <v>Богданова Марина Алексеевна</v>
          </cell>
          <cell r="B275" t="str">
            <v>В-00708/АЗ</v>
          </cell>
          <cell r="C275" t="str">
            <v>bogdanova-m82@mail.ru</v>
          </cell>
        </row>
        <row r="276">
          <cell r="A276" t="str">
            <v>Богданова Ольга Геннадиевна</v>
          </cell>
          <cell r="B276" t="str">
            <v>В-18536/КЛ.Транш - 1</v>
          </cell>
          <cell r="D276" t="str">
            <v>obogdanova76@mail.ru</v>
          </cell>
        </row>
        <row r="277">
          <cell r="A277" t="str">
            <v>Богомилов Михаил Михайлович</v>
          </cell>
          <cell r="B277" t="str">
            <v>А-04793/АЗ</v>
          </cell>
        </row>
        <row r="278">
          <cell r="A278" t="str">
            <v>Бозоян Агаси Климентович</v>
          </cell>
          <cell r="B278" t="str">
            <v>В-12853/КЛ.Транш - 5</v>
          </cell>
          <cell r="C278" t="str">
            <v>agasi999@list.ru</v>
          </cell>
          <cell r="D278" t="str">
            <v>agasi999@list.ru</v>
          </cell>
        </row>
        <row r="279">
          <cell r="A279" t="str">
            <v>Бозоян Агаси Климентович</v>
          </cell>
          <cell r="B279" t="str">
            <v>В-12853/КЛ.Транш - 6</v>
          </cell>
          <cell r="C279" t="str">
            <v>agasi999@list.ru</v>
          </cell>
          <cell r="D279" t="str">
            <v>agasi999@list.ru</v>
          </cell>
        </row>
        <row r="280">
          <cell r="A280" t="str">
            <v>Бойко Василий Анатольевич</v>
          </cell>
          <cell r="B280" t="str">
            <v>В-03629/КЛ.Транш - 1</v>
          </cell>
          <cell r="C280" t="str">
            <v>v.boyko89@yandex.ru</v>
          </cell>
        </row>
        <row r="281">
          <cell r="A281" t="str">
            <v>Болквадзе Александр Теймуразович</v>
          </cell>
          <cell r="B281" t="str">
            <v>В-22451/АЗ</v>
          </cell>
          <cell r="C281" t="str">
            <v>abolk@rambler.ru</v>
          </cell>
        </row>
        <row r="282">
          <cell r="A282" t="str">
            <v>Бондаренко Александр Александрович</v>
          </cell>
          <cell r="B282" t="str">
            <v>В-25659/КЛ.Транш - 1</v>
          </cell>
          <cell r="D282" t="str">
            <v>mama4899anna@gmail.com</v>
          </cell>
        </row>
        <row r="283">
          <cell r="A283" t="str">
            <v>Бондаренко Александр Александрович</v>
          </cell>
          <cell r="B283" t="str">
            <v>В-25659/КЛ.Транш - 2</v>
          </cell>
          <cell r="D283" t="str">
            <v>mama4899anna@gmail.com</v>
          </cell>
        </row>
        <row r="284">
          <cell r="A284" t="str">
            <v>Бондаренко Светлана Евгеньевна</v>
          </cell>
          <cell r="B284" t="str">
            <v>В-28062/КЛ.Транш - 1</v>
          </cell>
          <cell r="D284" t="str">
            <v>0087078@mail.ru</v>
          </cell>
        </row>
        <row r="285">
          <cell r="A285" t="str">
            <v>Борисов Александр Михайлович</v>
          </cell>
          <cell r="B285" t="str">
            <v>В-21523/КЛ.Транш - 1</v>
          </cell>
          <cell r="C285" t="str">
            <v>buh@emerg.ru</v>
          </cell>
        </row>
        <row r="286">
          <cell r="A286" t="str">
            <v>Борисов Александр Михайлович</v>
          </cell>
          <cell r="B286" t="str">
            <v>В-21523/КЛ.Транш - 2</v>
          </cell>
          <cell r="C286" t="str">
            <v>buh@emerg.ru</v>
          </cell>
        </row>
        <row r="287">
          <cell r="A287" t="str">
            <v>Борисов Андрей Сергеевич</v>
          </cell>
          <cell r="B287" t="str">
            <v>В-14198/КЛ.Транш - 1</v>
          </cell>
          <cell r="D287" t="str">
            <v>andreystreetball@yandex.ru</v>
          </cell>
        </row>
        <row r="288">
          <cell r="A288" t="str">
            <v>Борисов Кирилл Александрович</v>
          </cell>
          <cell r="B288" t="str">
            <v>А-02635/АЗ</v>
          </cell>
          <cell r="C288" t="str">
            <v>soulloki@yandex.ru</v>
          </cell>
          <cell r="D288" t="str">
            <v>soulloki@yandex.ru</v>
          </cell>
        </row>
        <row r="289">
          <cell r="A289" t="str">
            <v>Борисов Максим Валерьевич</v>
          </cell>
          <cell r="B289" t="str">
            <v>В-00461/АЗ</v>
          </cell>
          <cell r="C289" t="str">
            <v>maxx2011@yandex.ru</v>
          </cell>
        </row>
        <row r="290">
          <cell r="A290" t="str">
            <v>Брежнева Мария Михайловна</v>
          </cell>
          <cell r="B290" t="str">
            <v>В-11477/КЛ.Транш - 1</v>
          </cell>
          <cell r="C290" t="str">
            <v>brejnevamm@mail.ru</v>
          </cell>
        </row>
        <row r="291">
          <cell r="A291" t="str">
            <v>Брежнева Мария Михайловна</v>
          </cell>
          <cell r="B291" t="str">
            <v>В-11477/КЛ.Транш - 3</v>
          </cell>
          <cell r="C291" t="str">
            <v>brejnevamm@mail.ru</v>
          </cell>
        </row>
        <row r="292">
          <cell r="A292" t="str">
            <v>Брынский Артем Сергеевич</v>
          </cell>
          <cell r="B292" t="str">
            <v>В-01201/АЗ</v>
          </cell>
          <cell r="C292" t="str">
            <v>abrynskiy@yandex.ru</v>
          </cell>
          <cell r="D292" t="str">
            <v>abrynskiy@yandex.ru</v>
          </cell>
        </row>
        <row r="293">
          <cell r="A293" t="str">
            <v>Буланкин Андрей Сергеевич</v>
          </cell>
          <cell r="B293" t="str">
            <v>В-16983/КЛ.Транш - 1</v>
          </cell>
          <cell r="D293" t="str">
            <v>Bulankin73@gmail.com</v>
          </cell>
        </row>
        <row r="294">
          <cell r="A294" t="str">
            <v>Буланкин Андрей Сергеевич</v>
          </cell>
          <cell r="B294" t="str">
            <v>В-16983/КЛ.Транш - 2</v>
          </cell>
          <cell r="D294" t="str">
            <v>Bulankin73@gmail.com</v>
          </cell>
        </row>
        <row r="295">
          <cell r="A295" t="str">
            <v>Булатов Даниил Владимирович</v>
          </cell>
          <cell r="B295" t="str">
            <v>В-24710/АЗ</v>
          </cell>
          <cell r="D295" t="str">
            <v>danya.bulatov.2002@bk.ru</v>
          </cell>
        </row>
        <row r="296">
          <cell r="A296" t="str">
            <v>Булатова Оксана Валерьевна</v>
          </cell>
          <cell r="B296" t="str">
            <v>В-24691/АЗ</v>
          </cell>
          <cell r="D296" t="str">
            <v>ksbulatova@yandex.ru</v>
          </cell>
        </row>
        <row r="297">
          <cell r="A297" t="str">
            <v>Булгакова Галия Закиевна</v>
          </cell>
          <cell r="B297" t="str">
            <v>В-14915/КЛ.Транш - 5</v>
          </cell>
          <cell r="C297" t="str">
            <v>bulgakova_d@mail.ru</v>
          </cell>
          <cell r="D297" t="str">
            <v>bulgakova_d@mail.ru</v>
          </cell>
        </row>
        <row r="298">
          <cell r="A298" t="str">
            <v>Бунаков Алексей Вячеславович</v>
          </cell>
          <cell r="B298" t="str">
            <v>В-27410/КЛ.Транш - 1</v>
          </cell>
          <cell r="C298" t="str">
            <v>dgefff777@yandex.ru</v>
          </cell>
        </row>
        <row r="299">
          <cell r="A299" t="str">
            <v>Буниатян Арман Арменакович</v>
          </cell>
          <cell r="B299" t="str">
            <v>В-20193/КЛ.Транш - 1</v>
          </cell>
          <cell r="D299" t="str">
            <v>buniatyan84@list.ru</v>
          </cell>
        </row>
        <row r="300">
          <cell r="A300" t="str">
            <v>Буренкова Екатерина Сергеевна</v>
          </cell>
          <cell r="B300" t="str">
            <v>В-19179/КЛ.Транш - 1</v>
          </cell>
          <cell r="D300" t="str">
            <v>ekaterinaburenkova3@gmail.com</v>
          </cell>
        </row>
        <row r="301">
          <cell r="A301" t="str">
            <v>Буренкова Екатерина Сергеевна</v>
          </cell>
          <cell r="B301" t="str">
            <v>В-19179/КЛ.Транш - 2</v>
          </cell>
          <cell r="D301" t="str">
            <v>ekaterinaburenkova3@gmail.com</v>
          </cell>
        </row>
        <row r="302">
          <cell r="A302" t="str">
            <v>Бурков Анатолий Александрович</v>
          </cell>
          <cell r="B302" t="str">
            <v>В-00923/АЗ</v>
          </cell>
          <cell r="C302" t="str">
            <v>stroyproekttehnika@yandex.ru</v>
          </cell>
        </row>
        <row r="303">
          <cell r="A303" t="str">
            <v>Бурма Мария Георгиевна</v>
          </cell>
          <cell r="B303" t="str">
            <v>В-26733/КЛ.Транш - 1</v>
          </cell>
          <cell r="C303" t="str">
            <v>maria.burma@yandex.ru</v>
          </cell>
        </row>
        <row r="304">
          <cell r="A304" t="str">
            <v>Бурцев Владимир Вячеславович</v>
          </cell>
          <cell r="B304" t="str">
            <v>В-23458/КЛ.Транш - 1</v>
          </cell>
          <cell r="D304" t="str">
            <v>volodaburtsev@list.ru</v>
          </cell>
        </row>
        <row r="305">
          <cell r="A305" t="str">
            <v>Бурцев Владимир Вячеславович</v>
          </cell>
          <cell r="B305" t="str">
            <v>В-23458/КЛ.Транш - 2</v>
          </cell>
          <cell r="D305" t="str">
            <v>volodaburtsev@list.ru</v>
          </cell>
        </row>
        <row r="306">
          <cell r="A306" t="str">
            <v>Бурцев Владимир Вячеславович</v>
          </cell>
          <cell r="B306" t="str">
            <v>В-23458/КЛ.Транш - 3</v>
          </cell>
          <cell r="D306" t="str">
            <v>volodaburtsev@list.ru</v>
          </cell>
        </row>
        <row r="307">
          <cell r="A307" t="str">
            <v>Бурцев Владимир Вячеславович</v>
          </cell>
          <cell r="B307" t="str">
            <v>В-23458/КЛ.Транш - 4</v>
          </cell>
          <cell r="D307" t="str">
            <v>volodaburtsev@list.ru</v>
          </cell>
        </row>
        <row r="308">
          <cell r="A308" t="str">
            <v>Бурцев Владимир Вячеславович</v>
          </cell>
          <cell r="B308" t="str">
            <v>В-23458/КЛ.Транш - 5</v>
          </cell>
          <cell r="D308" t="str">
            <v>volodaburtsev@list.ru</v>
          </cell>
        </row>
        <row r="309">
          <cell r="A309" t="str">
            <v>Бурьянов Андрей Михайлович</v>
          </cell>
          <cell r="B309" t="str">
            <v>В-02202/КЛ.Транш - 3</v>
          </cell>
          <cell r="C309" t="str">
            <v>a61130@yandex.ru</v>
          </cell>
          <cell r="D309" t="str">
            <v>a61130@yandex.ru</v>
          </cell>
        </row>
        <row r="310">
          <cell r="A310" t="str">
            <v>Бурьянов Андрей Михайлович</v>
          </cell>
          <cell r="B310" t="str">
            <v>В-28087/КЛ.Транш - 1</v>
          </cell>
          <cell r="C310" t="str">
            <v>a61130@yandex.ru</v>
          </cell>
          <cell r="D310" t="str">
            <v>a61130@yandex.ru</v>
          </cell>
        </row>
        <row r="311">
          <cell r="A311" t="str">
            <v>Бутаков Владимир Владимирович</v>
          </cell>
          <cell r="B311" t="str">
            <v>В-26847/КЛ.Транш - 1</v>
          </cell>
          <cell r="D311" t="str">
            <v>Butakov066@gmail.com</v>
          </cell>
        </row>
        <row r="312">
          <cell r="A312" t="str">
            <v>Бутов Павел Александрович</v>
          </cell>
          <cell r="B312" t="str">
            <v>В-22077/КЛ.Транш - 1</v>
          </cell>
        </row>
        <row r="313">
          <cell r="A313" t="str">
            <v>Бутурлакин Марк Николаевич</v>
          </cell>
          <cell r="B313" t="str">
            <v>В-27050/АЗ</v>
          </cell>
          <cell r="D313" t="str">
            <v>lichcraft@bk.ru</v>
          </cell>
        </row>
        <row r="314">
          <cell r="A314" t="str">
            <v>Быстров Михаил Владимирович</v>
          </cell>
          <cell r="B314" t="str">
            <v>В-02644/КЛ.Транш - 1_В-20211230/Ц</v>
          </cell>
          <cell r="C314" t="str">
            <v>artushok@yandex.ru</v>
          </cell>
        </row>
        <row r="315">
          <cell r="A315" t="str">
            <v>Бычков Алексей Александрович</v>
          </cell>
          <cell r="B315" t="str">
            <v>В-00730/АЗ</v>
          </cell>
          <cell r="C315" t="str">
            <v>RANGEHELPER@MAIL.RU</v>
          </cell>
        </row>
        <row r="316">
          <cell r="A316" t="str">
            <v>Вакорина Екатерина Валентиновна</v>
          </cell>
          <cell r="B316" t="str">
            <v>В-11603/КЛ.Транш - 1</v>
          </cell>
          <cell r="C316" t="str">
            <v>vakorina.k@yandex.ru</v>
          </cell>
        </row>
        <row r="317">
          <cell r="A317" t="str">
            <v>ВАЛАР ООО</v>
          </cell>
          <cell r="B317" t="str">
            <v>В-00023/КЭ.Транш - 1</v>
          </cell>
          <cell r="C317" t="str">
            <v>info@valar-service.ru</v>
          </cell>
        </row>
        <row r="318">
          <cell r="A318" t="str">
            <v>Валеев Рамиль Равилович</v>
          </cell>
          <cell r="B318" t="str">
            <v>В-11716/КЛ.Транш - 1</v>
          </cell>
          <cell r="C318" t="str">
            <v>RAMIL.VALEEV.1996@inbox.ru</v>
          </cell>
        </row>
        <row r="319">
          <cell r="A319" t="str">
            <v>Валеев Тимур Сагитович</v>
          </cell>
          <cell r="B319" t="str">
            <v>В-15822/КЛ.Транш - 1</v>
          </cell>
        </row>
        <row r="320">
          <cell r="A320" t="str">
            <v>Валиков Алексей Анатольевич</v>
          </cell>
          <cell r="B320" t="str">
            <v>В-27006/КЛ.Транш - 1</v>
          </cell>
          <cell r="D320" t="str">
            <v>aleshka.valikov@yandex.ru</v>
          </cell>
        </row>
        <row r="321">
          <cell r="A321" t="str">
            <v>Валитов Марат Рифагатович</v>
          </cell>
          <cell r="B321" t="str">
            <v>В-14944/КЛ.Транш - 1</v>
          </cell>
          <cell r="D321" t="str">
            <v>maratos@ya.ru</v>
          </cell>
        </row>
        <row r="322">
          <cell r="A322" t="str">
            <v>Валитов Марат Рифагатович</v>
          </cell>
          <cell r="B322" t="str">
            <v>В-14944/КЛ.Транш - 2</v>
          </cell>
          <cell r="D322" t="str">
            <v>maratos@ya.ru</v>
          </cell>
        </row>
        <row r="323">
          <cell r="A323" t="str">
            <v>Валитов Марат Рифагатович</v>
          </cell>
          <cell r="B323" t="str">
            <v>В-14944/КЛ.Транш - 3</v>
          </cell>
          <cell r="D323" t="str">
            <v>maratos@ya.ru</v>
          </cell>
        </row>
        <row r="324">
          <cell r="A324" t="str">
            <v>Ваньков Никита Валерьевич</v>
          </cell>
          <cell r="B324" t="str">
            <v>В-08584/КЛ.Транш - 2</v>
          </cell>
          <cell r="C324" t="str">
            <v>vankov.n@mail.ru</v>
          </cell>
        </row>
        <row r="325">
          <cell r="A325" t="str">
            <v>Ваньков Никита Валерьевич</v>
          </cell>
          <cell r="B325" t="str">
            <v>В-08584/КЛ.Транш - 3</v>
          </cell>
          <cell r="C325" t="str">
            <v>vankov.n@mail.ru</v>
          </cell>
        </row>
        <row r="326">
          <cell r="A326" t="str">
            <v>Ваньков Никита Валерьевич</v>
          </cell>
          <cell r="B326" t="str">
            <v>В-08584/КЛ.Транш - 4</v>
          </cell>
          <cell r="C326" t="str">
            <v>vankov.n@mail.ru</v>
          </cell>
        </row>
        <row r="327">
          <cell r="A327" t="str">
            <v>Ваньков Никита Валерьевич</v>
          </cell>
          <cell r="B327" t="str">
            <v>В-08584/КЛ.Транш - 5</v>
          </cell>
          <cell r="C327" t="str">
            <v>vankov.n@mail.ru</v>
          </cell>
        </row>
        <row r="328">
          <cell r="A328" t="str">
            <v>Варданян Ара Лаврентович</v>
          </cell>
          <cell r="B328" t="str">
            <v>В-27835/КЛ.Транш - 1</v>
          </cell>
          <cell r="C328" t="str">
            <v>ugrosinter@mail.ru</v>
          </cell>
          <cell r="D328" t="str">
            <v>ugrosinter@mail.ru</v>
          </cell>
        </row>
        <row r="329">
          <cell r="A329" t="str">
            <v>Варданян Ара Лаврентович</v>
          </cell>
          <cell r="B329" t="str">
            <v>В-27835/КЛ.Транш - 2</v>
          </cell>
          <cell r="C329" t="str">
            <v>ugrosinter@mail.ru</v>
          </cell>
          <cell r="D329" t="str">
            <v>ugrosinter@mail.ru</v>
          </cell>
        </row>
        <row r="330">
          <cell r="A330" t="str">
            <v>Варданян Армен Вазгенович</v>
          </cell>
          <cell r="B330" t="str">
            <v>В-01202/АЗ</v>
          </cell>
          <cell r="C330" t="str">
            <v>vazgenchik82@mail.ru</v>
          </cell>
          <cell r="D330" t="str">
            <v>vazgenchik82@mail.ru</v>
          </cell>
        </row>
        <row r="331">
          <cell r="A331" t="str">
            <v>Вартикян Карен Смбатович</v>
          </cell>
          <cell r="B331" t="str">
            <v>В-25513/КЛ.Транш - 1</v>
          </cell>
          <cell r="D331" t="str">
            <v>VARTIKYAN78@BK.RU</v>
          </cell>
        </row>
        <row r="332">
          <cell r="A332" t="str">
            <v>Василевский Константин Дмитриевич</v>
          </cell>
          <cell r="B332" t="str">
            <v>В-02995/КЛ.Транш - 4</v>
          </cell>
          <cell r="C332" t="str">
            <v>kosvas@mail.ru</v>
          </cell>
        </row>
        <row r="333">
          <cell r="A333" t="str">
            <v>Васильев Дмитрий Сергеевич</v>
          </cell>
          <cell r="B333" t="str">
            <v>В-12157/КЛ.Транш - 1</v>
          </cell>
          <cell r="D333" t="str">
            <v>vbs.5181@yandex.ru</v>
          </cell>
        </row>
        <row r="334">
          <cell r="A334" t="str">
            <v>Васильев Сергей Владимирович</v>
          </cell>
          <cell r="B334" t="str">
            <v>В-20766/КЛ.Транш - 1</v>
          </cell>
        </row>
        <row r="335">
          <cell r="A335" t="str">
            <v>Васильева Екатерина Николаевна</v>
          </cell>
          <cell r="B335" t="str">
            <v>В-01175/КЛ.Транш - 1_В-20211230/Ц</v>
          </cell>
          <cell r="C335" t="str">
            <v>ekaterina-vasileva-1977@mail.ru</v>
          </cell>
        </row>
        <row r="336">
          <cell r="A336" t="str">
            <v>Васильева Ирина Александровна</v>
          </cell>
          <cell r="B336" t="str">
            <v>В-24956/КЛ.Транш - 1</v>
          </cell>
          <cell r="D336" t="str">
            <v>nuikiniv@gmail.com</v>
          </cell>
        </row>
        <row r="337">
          <cell r="A337" t="str">
            <v>Васильева Ольга Владимировна</v>
          </cell>
          <cell r="B337" t="str">
            <v>В-16796/КЛ.Транш - 2</v>
          </cell>
          <cell r="D337" t="str">
            <v>нет</v>
          </cell>
        </row>
        <row r="338">
          <cell r="A338" t="str">
            <v>Васильченко Валерий Владимирович</v>
          </cell>
          <cell r="B338" t="str">
            <v>В-23403/КЛ.Транш - 1</v>
          </cell>
          <cell r="C338" t="str">
            <v>Prestizhstroy@mail.ru</v>
          </cell>
          <cell r="D338" t="str">
            <v>Prestizhstroy@mail.ru</v>
          </cell>
        </row>
        <row r="339">
          <cell r="A339" t="str">
            <v>Васильчиков Максим Сергеевич</v>
          </cell>
          <cell r="B339" t="str">
            <v>В-27532/КЛ.Транш - 1</v>
          </cell>
          <cell r="D339" t="str">
            <v>maxim.v.92@list.ru</v>
          </cell>
        </row>
        <row r="340">
          <cell r="A340" t="str">
            <v>Васюков Дмитрий Викторович</v>
          </cell>
          <cell r="B340" t="str">
            <v>В-06800/КЛ.Транш - 1</v>
          </cell>
          <cell r="C340" t="str">
            <v>spr.mos@ya.ru</v>
          </cell>
        </row>
        <row r="341">
          <cell r="A341" t="str">
            <v>Васюков Дмитрий Викторович</v>
          </cell>
          <cell r="B341" t="str">
            <v>В-06800/КЛ.Транш - 2</v>
          </cell>
          <cell r="C341" t="str">
            <v>spr.mos@ya.ru</v>
          </cell>
        </row>
        <row r="342">
          <cell r="A342" t="str">
            <v>Вахонин Александр Владимирович</v>
          </cell>
          <cell r="B342" t="str">
            <v>В-27957/КЛ.Транш - 1</v>
          </cell>
          <cell r="C342" t="str">
            <v>elmore1981@gmail.com</v>
          </cell>
        </row>
        <row r="343">
          <cell r="A343" t="str">
            <v>Вдовенко Николай Николаевич</v>
          </cell>
          <cell r="B343" t="str">
            <v>В-15881/КЛ.Транш - 1</v>
          </cell>
          <cell r="C343" t="str">
            <v>mos-les@list.ru</v>
          </cell>
        </row>
        <row r="344">
          <cell r="A344" t="str">
            <v>Вдовец Сергей Викторович</v>
          </cell>
          <cell r="B344" t="str">
            <v>В-00722/АЗ</v>
          </cell>
          <cell r="C344" t="str">
            <v>ks1982@mail.ru</v>
          </cell>
        </row>
        <row r="345">
          <cell r="A345" t="str">
            <v>Ведешин Максим Сергеевич</v>
          </cell>
          <cell r="B345" t="str">
            <v>В-15448/КЛ.Транш - 1</v>
          </cell>
          <cell r="C345" t="str">
            <v>maksak1986@mail.ru</v>
          </cell>
        </row>
        <row r="346">
          <cell r="A346" t="str">
            <v>Векилянц Екатерина Николаевна</v>
          </cell>
          <cell r="B346" t="str">
            <v>В-13507/КЛ.Транш - 1</v>
          </cell>
          <cell r="C346" t="str">
            <v>plusewii1579@yandex.ru</v>
          </cell>
          <cell r="D346" t="str">
            <v>plusewii1579@yandex.ru</v>
          </cell>
        </row>
        <row r="347">
          <cell r="A347" t="str">
            <v>Вековищев Андрей Анатольевич</v>
          </cell>
          <cell r="B347" t="str">
            <v>В-02691/КЛ.Транш - 1</v>
          </cell>
          <cell r="C347" t="str">
            <v>pandrejek182@gmail.com</v>
          </cell>
        </row>
        <row r="348">
          <cell r="A348" t="str">
            <v>Веретошенко Михаил Владимирович</v>
          </cell>
          <cell r="B348" t="str">
            <v>В-14906/КЛ.Транш - 2</v>
          </cell>
          <cell r="D348" t="str">
            <v>mveretoshenko@mail.ru</v>
          </cell>
        </row>
        <row r="349">
          <cell r="A349" t="str">
            <v>Веретошенко Михаил Владимирович</v>
          </cell>
          <cell r="B349" t="str">
            <v>В-14906/КЛ.Транш - 3</v>
          </cell>
          <cell r="D349" t="str">
            <v>mveretoshenko@mail.ru</v>
          </cell>
        </row>
        <row r="350">
          <cell r="A350" t="str">
            <v>Вершинина Ольга Владимировна</v>
          </cell>
          <cell r="B350" t="str">
            <v>В-20180/КЛ.Транш - 1</v>
          </cell>
          <cell r="D350" t="str">
            <v>psm-2405@mail.ru</v>
          </cell>
        </row>
        <row r="351">
          <cell r="A351" t="str">
            <v>Веселовская Галина Васильевна</v>
          </cell>
          <cell r="B351" t="str">
            <v>В-26069/АЗ</v>
          </cell>
        </row>
        <row r="352">
          <cell r="A352" t="str">
            <v>Вехова Ирина Александровна</v>
          </cell>
          <cell r="B352" t="str">
            <v>В-08934/КЛ.Транш - 3</v>
          </cell>
          <cell r="C352" t="str">
            <v>Irishka220595@gmail.com</v>
          </cell>
        </row>
        <row r="353">
          <cell r="A353" t="str">
            <v>Видяков Денис Сергеевич</v>
          </cell>
          <cell r="B353" t="str">
            <v>В-28587/КЛ.Транш - 1</v>
          </cell>
          <cell r="D353" t="str">
            <v>denis-vidyakov@yandex.ru</v>
          </cell>
        </row>
        <row r="354">
          <cell r="A354" t="str">
            <v>Виноградов Александр Александрович</v>
          </cell>
          <cell r="B354" t="str">
            <v>В-19446/КЛ.Транш - 4</v>
          </cell>
          <cell r="D354" t="str">
            <v>vinogradov.1991@mail.ru</v>
          </cell>
        </row>
        <row r="355">
          <cell r="A355" t="str">
            <v>Виноградов Алексей Валерьевич</v>
          </cell>
          <cell r="B355" t="str">
            <v>В-23362/КЛ.Транш - 1</v>
          </cell>
          <cell r="C355" t="str">
            <v>V6324@yandex.ru</v>
          </cell>
          <cell r="D355" t="str">
            <v>V6324@yandex.ru</v>
          </cell>
        </row>
        <row r="356">
          <cell r="A356" t="str">
            <v>Виноградов Алексей Валерьевич</v>
          </cell>
          <cell r="B356" t="str">
            <v>В-23362/КЛ.Транш - 2</v>
          </cell>
          <cell r="C356" t="str">
            <v>V6324@yandex.ru</v>
          </cell>
          <cell r="D356" t="str">
            <v>V6324@yandex.ru</v>
          </cell>
        </row>
        <row r="357">
          <cell r="A357" t="str">
            <v>Виноградов Данила Алексеевич</v>
          </cell>
          <cell r="B357" t="str">
            <v>В-26203/КЛ.Транш - 1</v>
          </cell>
        </row>
        <row r="358">
          <cell r="A358" t="str">
            <v>Виноградова Светлана Витальевна</v>
          </cell>
          <cell r="B358" t="str">
            <v>В-21731/КЛ.Транш - 1</v>
          </cell>
          <cell r="D358" t="str">
            <v>sveta198nog@bk.ru</v>
          </cell>
        </row>
        <row r="359">
          <cell r="A359" t="str">
            <v>Виноградова Светлана Витальевна</v>
          </cell>
          <cell r="B359" t="str">
            <v>В-21731/КЛ.Транш - 2</v>
          </cell>
          <cell r="D359" t="str">
            <v>sveta198nog@bk.ru</v>
          </cell>
        </row>
        <row r="360">
          <cell r="A360" t="str">
            <v>Владимиров Александр Андреевич</v>
          </cell>
          <cell r="B360" t="str">
            <v>В-18036/КЛ.Транш - 1</v>
          </cell>
        </row>
        <row r="361">
          <cell r="A361" t="str">
            <v>Владимиров Сергей Прохорович</v>
          </cell>
          <cell r="B361" t="str">
            <v>В-23242/КЛ.Транш - 1</v>
          </cell>
          <cell r="C361" t="str">
            <v>Prohorovich82@bk.ru</v>
          </cell>
          <cell r="D361" t="str">
            <v>Prohorovich82@bk.ru</v>
          </cell>
        </row>
        <row r="362">
          <cell r="A362" t="str">
            <v>Владимиров Сергей Прохорович</v>
          </cell>
          <cell r="B362" t="str">
            <v>В-23242/КЛ.Транш - 2</v>
          </cell>
          <cell r="C362" t="str">
            <v>Prohorovich82@bk.ru</v>
          </cell>
          <cell r="D362" t="str">
            <v>Prohorovich82@bk.ru</v>
          </cell>
        </row>
        <row r="363">
          <cell r="A363" t="str">
            <v>Власов Павел Васильевич</v>
          </cell>
          <cell r="B363" t="str">
            <v>В-13238/КЛ.Транш - 1</v>
          </cell>
        </row>
        <row r="364">
          <cell r="A364" t="str">
            <v>Вовк Таисия Руслановна</v>
          </cell>
          <cell r="B364" t="str">
            <v>В-28501/КЛ.Транш - 1</v>
          </cell>
          <cell r="D364" t="str">
            <v>taisiya-vovk@mail.ru</v>
          </cell>
        </row>
        <row r="365">
          <cell r="A365" t="str">
            <v>Вовк Таисия Руслановна</v>
          </cell>
          <cell r="B365" t="str">
            <v>В-28501/КЛ.Транш - 2</v>
          </cell>
          <cell r="D365" t="str">
            <v>taisiya-vovk@mail.ru</v>
          </cell>
        </row>
        <row r="366">
          <cell r="A366" t="str">
            <v>Водолазкин Александр Юрьевич</v>
          </cell>
          <cell r="B366" t="str">
            <v>В-23383/КЛ.Транш - 1</v>
          </cell>
          <cell r="C366" t="str">
            <v>ayv@bizzo.ru</v>
          </cell>
        </row>
        <row r="367">
          <cell r="A367" t="str">
            <v>Войцеховский Виталий Геннадьевич</v>
          </cell>
          <cell r="B367" t="str">
            <v>В-01055/АЗ</v>
          </cell>
        </row>
        <row r="368">
          <cell r="A368" t="str">
            <v>Волегов Николай Владиславович</v>
          </cell>
          <cell r="B368" t="str">
            <v>В-09037/КЛ.Транш - 1</v>
          </cell>
        </row>
        <row r="369">
          <cell r="A369" t="str">
            <v>Волков Василий Валерьевич</v>
          </cell>
          <cell r="B369" t="str">
            <v>В-13886/КЛ.Транш - 1</v>
          </cell>
          <cell r="D369" t="str">
            <v>volkov.vv89@mail.ru</v>
          </cell>
        </row>
        <row r="370">
          <cell r="A370" t="str">
            <v>Волконский Михаил Владимирович</v>
          </cell>
          <cell r="B370" t="str">
            <v>В-07290/КЛ.Транш - 1</v>
          </cell>
          <cell r="C370" t="str">
            <v>mikew@mail.ru</v>
          </cell>
          <cell r="D370" t="str">
            <v>mikew@mail.ru</v>
          </cell>
        </row>
        <row r="371">
          <cell r="A371" t="str">
            <v>Волконский Михаил Владимирович</v>
          </cell>
          <cell r="B371" t="str">
            <v>В-07290/КЛ.Транш - 2</v>
          </cell>
          <cell r="C371" t="str">
            <v>mikew@mail.ru</v>
          </cell>
          <cell r="D371" t="str">
            <v>mikew@mail.ru</v>
          </cell>
        </row>
        <row r="372">
          <cell r="A372" t="str">
            <v>Волконский Михаил Владимирович</v>
          </cell>
          <cell r="B372" t="str">
            <v>В-07290/КЛ.Транш - 3</v>
          </cell>
          <cell r="C372" t="str">
            <v>mikew@mail.ru</v>
          </cell>
          <cell r="D372" t="str">
            <v>mikew@mail.ru</v>
          </cell>
        </row>
        <row r="373">
          <cell r="A373" t="str">
            <v>Волохов Юрий Викторович</v>
          </cell>
          <cell r="B373" t="str">
            <v>В-16023/КЛ.Транш - 1</v>
          </cell>
          <cell r="C373" t="str">
            <v>volohov17021990@mail.ru</v>
          </cell>
        </row>
        <row r="374">
          <cell r="A374" t="str">
            <v>Воробьев Андрей Владимирович</v>
          </cell>
          <cell r="B374" t="str">
            <v>В-24071/КЛ.Транш - 1</v>
          </cell>
          <cell r="D374" t="str">
            <v>Sof1304@ya.ru</v>
          </cell>
        </row>
        <row r="375">
          <cell r="A375" t="str">
            <v>Воробьев Илья Александрович</v>
          </cell>
          <cell r="B375" t="str">
            <v>В-28127/КЛ.Транш - 1</v>
          </cell>
          <cell r="C375" t="str">
            <v>Vorobev16031991@mail.ru</v>
          </cell>
          <cell r="D375" t="str">
            <v>Vorobev16031991@mail.ru</v>
          </cell>
        </row>
        <row r="376">
          <cell r="A376" t="str">
            <v>Воронков Сергей Владимирович</v>
          </cell>
          <cell r="B376" t="str">
            <v>В-24871/КЛ.Транш - 1</v>
          </cell>
          <cell r="D376" t="str">
            <v>voronok912@mail.ru</v>
          </cell>
        </row>
        <row r="377">
          <cell r="A377" t="str">
            <v>Воронова Татьяна Алексеевна</v>
          </cell>
          <cell r="B377" t="str">
            <v>В-13005/КЛ.Транш - 2</v>
          </cell>
          <cell r="D377" t="str">
            <v>moskva.90@inbox.ru</v>
          </cell>
        </row>
        <row r="378">
          <cell r="A378" t="str">
            <v>Воронова Татьяна Алексеевна</v>
          </cell>
          <cell r="B378" t="str">
            <v>В-13005/КЛ.Транш - 3</v>
          </cell>
          <cell r="D378" t="str">
            <v>moskva.90@inbox.ru</v>
          </cell>
        </row>
        <row r="379">
          <cell r="A379" t="str">
            <v>Вороновский Евгений Григорьевич</v>
          </cell>
          <cell r="B379" t="str">
            <v>В-14789/КЛ.Транш - 1</v>
          </cell>
          <cell r="C379" t="str">
            <v>angsnab@mail.ru</v>
          </cell>
          <cell r="D379" t="str">
            <v>angsnad@mail.ru</v>
          </cell>
        </row>
        <row r="380">
          <cell r="A380" t="str">
            <v>Ворошилин Владимир Игоревич</v>
          </cell>
          <cell r="B380" t="str">
            <v>В-18600/КЛ.Транш - 1</v>
          </cell>
          <cell r="D380" t="str">
            <v>mds.vladimirv@yandex.ru</v>
          </cell>
        </row>
        <row r="381">
          <cell r="A381" t="str">
            <v>Вяткин Евгений Федорович</v>
          </cell>
          <cell r="B381" t="str">
            <v>В-18909/КЛ.Транш - 1</v>
          </cell>
          <cell r="D381" t="str">
            <v>a9851150900@yandex.ru</v>
          </cell>
        </row>
        <row r="382">
          <cell r="A382" t="str">
            <v>Вяткин Евгений Федорович</v>
          </cell>
          <cell r="B382" t="str">
            <v>В-18909/КЛ.Транш - 3</v>
          </cell>
          <cell r="D382" t="str">
            <v>a9851150900@yandex.ru</v>
          </cell>
        </row>
        <row r="383">
          <cell r="A383" t="str">
            <v>Габитов Альберт Наилевич</v>
          </cell>
          <cell r="B383" t="str">
            <v>В-17900/КЛ.Транш - 1</v>
          </cell>
          <cell r="D383" t="str">
            <v>gabitovalbert@mail.ru</v>
          </cell>
        </row>
        <row r="384">
          <cell r="A384" t="str">
            <v>Габитов Альберт Наилевич</v>
          </cell>
          <cell r="B384" t="str">
            <v>В-17900/КЛ.Транш - 2</v>
          </cell>
          <cell r="D384" t="str">
            <v>gabitovalbert@mail.ru</v>
          </cell>
        </row>
        <row r="385">
          <cell r="A385" t="str">
            <v>Гавриленко Денис Владимирович</v>
          </cell>
          <cell r="B385" t="str">
            <v>В-02707/КЛ.Транш - 1</v>
          </cell>
          <cell r="C385" t="str">
            <v>GAVRILENKODENIS77@GMAIL.COM</v>
          </cell>
        </row>
        <row r="386">
          <cell r="A386" t="str">
            <v>Гаврин Валентин Николаевич</v>
          </cell>
          <cell r="B386" t="str">
            <v>В-25304/АЗ</v>
          </cell>
          <cell r="C386" t="str">
            <v>valek010383@mail.ru</v>
          </cell>
          <cell r="D386" t="str">
            <v>valek010383@mail.ru</v>
          </cell>
        </row>
        <row r="387">
          <cell r="A387" t="str">
            <v>Гагарин Юрий Александрович</v>
          </cell>
          <cell r="B387" t="str">
            <v>В-28961/КЛ.Транш - 1</v>
          </cell>
          <cell r="D387" t="str">
            <v>kitaevotm@mail.ru</v>
          </cell>
        </row>
        <row r="388">
          <cell r="A388" t="str">
            <v>Гаджиев Намик Али Оглы</v>
          </cell>
          <cell r="B388" t="str">
            <v>В-28204/КЛ.Транш - 1</v>
          </cell>
          <cell r="C388" t="str">
            <v>gnao04127400@gmail.com</v>
          </cell>
          <cell r="D388" t="str">
            <v>gnao04127400@gmail.com</v>
          </cell>
        </row>
        <row r="389">
          <cell r="A389" t="str">
            <v>Гадян Артак Андраникович</v>
          </cell>
          <cell r="B389" t="str">
            <v>В-11186/КЛ.Транш - 1</v>
          </cell>
        </row>
        <row r="390">
          <cell r="A390" t="str">
            <v>Гадян Артак Андраникович</v>
          </cell>
          <cell r="B390" t="str">
            <v>В-11186/КЛ.Транш - 2</v>
          </cell>
        </row>
        <row r="391">
          <cell r="A391" t="str">
            <v>Газали Оксана Владимировна</v>
          </cell>
          <cell r="B391" t="str">
            <v>В-17192/КЛ.Транш - 1</v>
          </cell>
          <cell r="C391" t="str">
            <v>gazali2011@yandex.ru</v>
          </cell>
          <cell r="D391" t="str">
            <v>gazali2011@yandex.ru</v>
          </cell>
        </row>
        <row r="392">
          <cell r="A392" t="str">
            <v>Газали Оксана Владимировна</v>
          </cell>
          <cell r="B392" t="str">
            <v>В-17192/КЛ.Транш - 2</v>
          </cell>
          <cell r="C392" t="str">
            <v>gazali2011@yandex.ru</v>
          </cell>
          <cell r="D392" t="str">
            <v>gazali2011@yandex.ru</v>
          </cell>
        </row>
        <row r="393">
          <cell r="A393" t="str">
            <v>Гайдарлы Андрей Васильевич</v>
          </cell>
          <cell r="B393" t="str">
            <v>В-00391/АЗ</v>
          </cell>
          <cell r="C393" t="str">
            <v>and-gadar@ya.ru</v>
          </cell>
        </row>
        <row r="394">
          <cell r="A394" t="str">
            <v>ГАЛАКТИКА ООО</v>
          </cell>
          <cell r="B394" t="str">
            <v>А-10122/КЭ.Транш - 1</v>
          </cell>
          <cell r="C394" t="str">
            <v>isuslenikov@mail.ru</v>
          </cell>
        </row>
        <row r="395">
          <cell r="A395" t="str">
            <v>Галактионов Алексей Владимирович</v>
          </cell>
          <cell r="B395" t="str">
            <v>В-27892/КЛ.Транш - 1</v>
          </cell>
          <cell r="C395" t="str">
            <v>chameleo75@yandex.ru</v>
          </cell>
        </row>
        <row r="396">
          <cell r="A396" t="str">
            <v>Галактионов Алексей Владимирович</v>
          </cell>
          <cell r="B396" t="str">
            <v>В-27892/КЛ.Транш - 2</v>
          </cell>
          <cell r="C396" t="str">
            <v>chameleo75@yandex.ru</v>
          </cell>
        </row>
        <row r="397">
          <cell r="A397" t="str">
            <v>Галанина Юлия Александровна</v>
          </cell>
          <cell r="B397" t="str">
            <v>В-00956/АЗ</v>
          </cell>
        </row>
        <row r="398">
          <cell r="A398" t="str">
            <v>Галеев Александр Ринатович</v>
          </cell>
          <cell r="B398" t="str">
            <v>В-10141/КЛ.Транш - 1</v>
          </cell>
          <cell r="C398" t="str">
            <v>sevasstalker@yandex.ru</v>
          </cell>
        </row>
        <row r="399">
          <cell r="A399" t="str">
            <v>Галеев Александр Ринатович</v>
          </cell>
          <cell r="B399" t="str">
            <v>В-10141/КЛ.Транш - 2</v>
          </cell>
          <cell r="C399" t="str">
            <v>sevasstalker@yandex.ru</v>
          </cell>
        </row>
        <row r="400">
          <cell r="A400" t="str">
            <v>Галёна Ольга Владимировна</v>
          </cell>
          <cell r="B400" t="str">
            <v>В-00137/АЗ</v>
          </cell>
          <cell r="C400" t="str">
            <v>aelita29@inbox.ru</v>
          </cell>
        </row>
        <row r="401">
          <cell r="A401" t="str">
            <v>Галивец Андрей Олегович</v>
          </cell>
          <cell r="B401" t="str">
            <v>В-24546/КЛ.Транш - 4</v>
          </cell>
          <cell r="C401" t="str">
            <v>galivetsao@gmail.com</v>
          </cell>
          <cell r="D401" t="str">
            <v>galivetsao@gmail.com</v>
          </cell>
        </row>
        <row r="402">
          <cell r="A402" t="str">
            <v>Галивец Андрей Олегович</v>
          </cell>
          <cell r="B402" t="str">
            <v>В-24546/КЛ.Транш - 5</v>
          </cell>
          <cell r="C402" t="str">
            <v>galivetsao@gmail.com</v>
          </cell>
          <cell r="D402" t="str">
            <v>galivetsao@gmail.com</v>
          </cell>
        </row>
        <row r="403">
          <cell r="A403" t="str">
            <v>Галивец Андрей Олегович</v>
          </cell>
          <cell r="B403" t="str">
            <v>В-24546/КЛ.Транш - 6</v>
          </cell>
          <cell r="C403" t="str">
            <v>galivetsao@gmail.com</v>
          </cell>
          <cell r="D403" t="str">
            <v>galivetsao@gmail.com</v>
          </cell>
        </row>
        <row r="404">
          <cell r="A404" t="str">
            <v>Галимов Руслан Рашитович</v>
          </cell>
          <cell r="B404" t="str">
            <v>В-03359/КЛ.Транш - 5</v>
          </cell>
          <cell r="C404" t="str">
            <v>rusland8893@gmail.com</v>
          </cell>
        </row>
        <row r="405">
          <cell r="A405" t="str">
            <v>Галицина Елена Викторовна</v>
          </cell>
          <cell r="B405" t="str">
            <v>В-18305/КЛ.Транш - 1</v>
          </cell>
          <cell r="D405" t="str">
            <v>lenavg@rambler.ru</v>
          </cell>
        </row>
        <row r="406">
          <cell r="A406" t="str">
            <v>Галицина Елена Викторовна</v>
          </cell>
          <cell r="B406" t="str">
            <v>В-18305/КЛ.Транш - 2</v>
          </cell>
          <cell r="D406" t="str">
            <v>lenavg@rambler.ru</v>
          </cell>
        </row>
        <row r="407">
          <cell r="A407" t="str">
            <v>Галицина Елена Викторовна</v>
          </cell>
          <cell r="B407" t="str">
            <v>В-18305/КЛ.Транш - 3</v>
          </cell>
          <cell r="D407" t="str">
            <v>lenavg@rambler.ru</v>
          </cell>
        </row>
        <row r="408">
          <cell r="A408" t="str">
            <v>Галушка Светлана Анатольевна</v>
          </cell>
          <cell r="B408" t="str">
            <v>В-28089/КЛ.Транш - 1</v>
          </cell>
          <cell r="D408" t="str">
            <v>mezhregion77@inbox.ru</v>
          </cell>
        </row>
        <row r="409">
          <cell r="A409" t="str">
            <v>Гальчук Илья Анатольевич</v>
          </cell>
          <cell r="B409" t="str">
            <v>Т-01867/АЗ_Т-20211028/Ц</v>
          </cell>
          <cell r="C409" t="str">
            <v>9217878342@mail.ru</v>
          </cell>
        </row>
        <row r="410">
          <cell r="A410" t="str">
            <v>Гараев Ровшан Гасымович</v>
          </cell>
          <cell r="B410" t="str">
            <v>В-13177/КЛ.Транш - 1_А-20210929/Ц</v>
          </cell>
        </row>
        <row r="411">
          <cell r="A411" t="str">
            <v>Гарнер Роман Борисович</v>
          </cell>
          <cell r="B411" t="str">
            <v>В-05009/КЛ.Транш - 1</v>
          </cell>
          <cell r="C411" t="str">
            <v>romangarner@yandex.ru</v>
          </cell>
          <cell r="D411" t="str">
            <v>romangarner@yandex.ru</v>
          </cell>
        </row>
        <row r="412">
          <cell r="A412" t="str">
            <v>Гасанов Ниджат Назим Оглы</v>
          </cell>
          <cell r="B412" t="str">
            <v>В-20155/КЛ.Транш - 1</v>
          </cell>
          <cell r="D412" t="str">
            <v>Gasanovvicat@yandex.ru</v>
          </cell>
        </row>
        <row r="413">
          <cell r="A413" t="str">
            <v>Гатауллин Рафаэль Винерович</v>
          </cell>
          <cell r="B413" t="str">
            <v>В-28677/КЛ.Транш - 1</v>
          </cell>
          <cell r="C413" t="str">
            <v>rafalovo@mail.ru</v>
          </cell>
        </row>
        <row r="414">
          <cell r="A414" t="str">
            <v>Гахокидзе Давид Аверионович</v>
          </cell>
          <cell r="B414" t="str">
            <v>В-09010/КЛ.Транш - 1</v>
          </cell>
        </row>
        <row r="415">
          <cell r="A415" t="str">
            <v>Гачегов Дмитрий Сергеевич</v>
          </cell>
          <cell r="B415" t="str">
            <v>В-18171/КЛ.Транш - 1</v>
          </cell>
          <cell r="D415" t="str">
            <v>dgachegov486@gmail.com</v>
          </cell>
        </row>
        <row r="416">
          <cell r="A416" t="str">
            <v>Гевондян Норайр Беникович</v>
          </cell>
          <cell r="B416" t="str">
            <v>В-27729/АЗ</v>
          </cell>
          <cell r="C416" t="str">
            <v>noro17narine@mail.ru</v>
          </cell>
          <cell r="D416" t="str">
            <v>noro17narine@mail.ru</v>
          </cell>
        </row>
        <row r="417">
          <cell r="A417" t="str">
            <v>Гевондян Сергей Норайрович</v>
          </cell>
          <cell r="B417" t="str">
            <v>В-27730/АЗ</v>
          </cell>
          <cell r="C417" t="str">
            <v>gevondyan-s@bk.ru</v>
          </cell>
          <cell r="D417" t="str">
            <v>gevondyan-s@bk.ru</v>
          </cell>
        </row>
        <row r="418">
          <cell r="A418" t="str">
            <v>Геворгян Агаси Ашотович</v>
          </cell>
          <cell r="B418" t="str">
            <v>В-01169/АЗ</v>
          </cell>
          <cell r="C418" t="str">
            <v>aghas66@mail.ru</v>
          </cell>
        </row>
        <row r="419">
          <cell r="A419" t="str">
            <v>Герейханов Фаик Гуснеддинович</v>
          </cell>
          <cell r="B419" t="str">
            <v>В-17494/КЛ.Транш - 1</v>
          </cell>
          <cell r="D419" t="str">
            <v>f.ger.78@mail.ru</v>
          </cell>
        </row>
        <row r="420">
          <cell r="A420" t="str">
            <v>Герюгов Расул Азнаурович</v>
          </cell>
          <cell r="B420" t="str">
            <v>В-00041/АЗ</v>
          </cell>
        </row>
        <row r="421">
          <cell r="A421" t="str">
            <v>Гиенко Павел Анатольевич</v>
          </cell>
          <cell r="B421" t="str">
            <v>В-13297/КЛ.Транш - 1</v>
          </cell>
          <cell r="C421" t="str">
            <v>gienko.pavel@yandex.ru</v>
          </cell>
          <cell r="D421" t="str">
            <v>gienko.pavel@yandex.ru</v>
          </cell>
        </row>
        <row r="422">
          <cell r="A422" t="str">
            <v>Гилаев Флюс Фаусович</v>
          </cell>
          <cell r="B422" t="str">
            <v>В-18164/КЛ.Транш - 1</v>
          </cell>
          <cell r="D422" t="str">
            <v>gilaevf@gmail.com</v>
          </cell>
        </row>
        <row r="423">
          <cell r="A423" t="str">
            <v>Гильмтдинов Ильдус Вазирович</v>
          </cell>
          <cell r="B423" t="str">
            <v>В-11836/КЛ.Транш - 2</v>
          </cell>
          <cell r="C423" t="str">
            <v>gil.ildusoo@mail.ru</v>
          </cell>
        </row>
        <row r="424">
          <cell r="A424" t="str">
            <v>ГК АкоЛет ООО</v>
          </cell>
          <cell r="B424" t="str">
            <v>А-00386/КЭ.Транш - 1</v>
          </cell>
          <cell r="C424" t="str">
            <v>alexey@akolet.ru</v>
          </cell>
        </row>
        <row r="425">
          <cell r="A425" t="str">
            <v>ГЛОБУС ООО</v>
          </cell>
          <cell r="B425" t="str">
            <v>В-10021/КЭ.Транш - 1</v>
          </cell>
          <cell r="C425" t="str">
            <v>globus-2003@mail.ru</v>
          </cell>
        </row>
        <row r="426">
          <cell r="A426" t="str">
            <v>Глухов Василий Александрович</v>
          </cell>
          <cell r="B426" t="str">
            <v>В-07147/КЛ.Транш - 1</v>
          </cell>
          <cell r="C426" t="str">
            <v>glukhoff46@gmail.com</v>
          </cell>
        </row>
        <row r="427">
          <cell r="A427" t="str">
            <v>Глухов Василий Александрович</v>
          </cell>
          <cell r="B427" t="str">
            <v>В-07147/КЛ.Транш - 2</v>
          </cell>
          <cell r="C427" t="str">
            <v>glukhoff46@gmail.com</v>
          </cell>
        </row>
        <row r="428">
          <cell r="A428" t="str">
            <v>Глухов Максим Сергеевич</v>
          </cell>
          <cell r="B428" t="str">
            <v>В-12410/КЛ.Транш - 1</v>
          </cell>
          <cell r="C428" t="str">
            <v>stylecity58@mail.ru</v>
          </cell>
          <cell r="D428" t="str">
            <v>stylecity58@mail.ru</v>
          </cell>
        </row>
        <row r="429">
          <cell r="A429" t="str">
            <v>Гнедаш Александр Александрович</v>
          </cell>
          <cell r="B429" t="str">
            <v>В-09882/КЛ.Транш - 10</v>
          </cell>
          <cell r="C429" t="str">
            <v>KARANDAW500100@GMAIL.COM</v>
          </cell>
        </row>
        <row r="430">
          <cell r="A430" t="str">
            <v>Гнедаш Александр Александрович</v>
          </cell>
          <cell r="B430" t="str">
            <v>В-09882/КЛ.Транш - 8</v>
          </cell>
          <cell r="C430" t="str">
            <v>KARANDAW500100@GMAIL.COM</v>
          </cell>
        </row>
        <row r="431">
          <cell r="A431" t="str">
            <v>Гнедаш Александр Александрович</v>
          </cell>
          <cell r="B431" t="str">
            <v>В-09882/КЛ.Транш - 9</v>
          </cell>
          <cell r="C431" t="str">
            <v>KARANDAW500100@GMAIL.COM</v>
          </cell>
        </row>
        <row r="432">
          <cell r="A432" t="str">
            <v>Говоруха Андрей Михайлович</v>
          </cell>
          <cell r="B432" t="str">
            <v>В-21568/КЛ.Транш - 1</v>
          </cell>
          <cell r="D432" t="str">
            <v>govoryna17_88@mail.ru</v>
          </cell>
        </row>
        <row r="433">
          <cell r="A433" t="str">
            <v>Гоголев Александр Александрович</v>
          </cell>
          <cell r="B433" t="str">
            <v>В-00980/АЗ_А-20210929/Ц</v>
          </cell>
          <cell r="C433" t="str">
            <v>koroli8383@bk.ru</v>
          </cell>
        </row>
        <row r="434">
          <cell r="A434" t="str">
            <v>Гогохия Вероника Валериевна</v>
          </cell>
          <cell r="B434" t="str">
            <v>В-01216/АЗ</v>
          </cell>
          <cell r="C434" t="str">
            <v>veronika_aes@icloud.com</v>
          </cell>
        </row>
        <row r="435">
          <cell r="A435" t="str">
            <v>Годуйко Николай Николаевич</v>
          </cell>
          <cell r="B435" t="str">
            <v>В-27315/КЛ.Транш - 1</v>
          </cell>
          <cell r="D435" t="str">
            <v>nikolj.godujko@gmail.com</v>
          </cell>
        </row>
        <row r="436">
          <cell r="A436" t="str">
            <v>Гойгереев Камал Исаевич</v>
          </cell>
          <cell r="B436" t="str">
            <v>В-18983/КЛ.Транш - 1_В-20211230/Ц</v>
          </cell>
          <cell r="D436" t="str">
            <v>kamal.goygereev@mail.ru</v>
          </cell>
        </row>
        <row r="437">
          <cell r="A437" t="str">
            <v>Головатинский Лев Витальевич</v>
          </cell>
          <cell r="B437" t="str">
            <v>А-04404/АЗ</v>
          </cell>
          <cell r="C437" t="str">
            <v>glv.msk@gmail.com</v>
          </cell>
          <cell r="D437" t="str">
            <v>glv.msk@gmail.com</v>
          </cell>
        </row>
        <row r="438">
          <cell r="A438" t="str">
            <v>Головач Николай Михайлович</v>
          </cell>
          <cell r="B438" t="str">
            <v>А-04070/АЗ</v>
          </cell>
        </row>
        <row r="439">
          <cell r="A439" t="str">
            <v>Головач Николай Михайлович</v>
          </cell>
          <cell r="B439" t="str">
            <v>А-05114/АЗ</v>
          </cell>
        </row>
        <row r="440">
          <cell r="A440" t="str">
            <v>Головина Екатерина Давидовна</v>
          </cell>
          <cell r="B440" t="str">
            <v>В-01072/КЛ.Транш - 1</v>
          </cell>
          <cell r="C440" t="str">
            <v>kat.percik@mail.ru</v>
          </cell>
        </row>
        <row r="441">
          <cell r="A441" t="str">
            <v>Голосеев Алексей Анатольевич</v>
          </cell>
          <cell r="B441" t="str">
            <v>В-12088/КЛ.Транш - 1</v>
          </cell>
          <cell r="D441" t="str">
            <v>9264765646@mail.ru</v>
          </cell>
        </row>
        <row r="442">
          <cell r="A442" t="str">
            <v>Голосенин Тимофей Васильевич</v>
          </cell>
          <cell r="B442" t="str">
            <v>В-08348/КЛ.Транш - 7</v>
          </cell>
          <cell r="C442" t="str">
            <v>8po4ta@gmail.com</v>
          </cell>
        </row>
        <row r="443">
          <cell r="A443" t="str">
            <v>Голота Илья Викторович</v>
          </cell>
          <cell r="B443" t="str">
            <v>В-00359/КЛ.Транш - 2</v>
          </cell>
          <cell r="C443" t="str">
            <v>ivgolota@gmail.com</v>
          </cell>
        </row>
        <row r="444">
          <cell r="A444" t="str">
            <v>Голубев Михаил Владимирович</v>
          </cell>
          <cell r="B444" t="str">
            <v>В-20166/КЛ.Транш - 1</v>
          </cell>
          <cell r="D444" t="str">
            <v>katerinafedulova18174@gmai.com</v>
          </cell>
        </row>
        <row r="445">
          <cell r="A445" t="str">
            <v>Голубева Ольга Петровна</v>
          </cell>
          <cell r="B445" t="str">
            <v>В-15560/КЛ.Транш - 1</v>
          </cell>
          <cell r="D445" t="str">
            <v>partneravto2016@mail.ru</v>
          </cell>
        </row>
        <row r="446">
          <cell r="A446" t="str">
            <v>Голубь Елена Николаевна</v>
          </cell>
          <cell r="B446" t="str">
            <v>В-18958/КЛ.Транш - 1</v>
          </cell>
          <cell r="D446" t="str">
            <v>elena26.g@yandex.ru</v>
          </cell>
        </row>
        <row r="447">
          <cell r="A447" t="str">
            <v>Гончарь Юрий Валерьевич</v>
          </cell>
          <cell r="B447" t="str">
            <v>В-21630/КЛ.Транш - 1</v>
          </cell>
          <cell r="D447" t="str">
            <v>0891551085@mail.ru</v>
          </cell>
        </row>
        <row r="448">
          <cell r="A448" t="str">
            <v>Горбачев Денис Леонидович</v>
          </cell>
          <cell r="B448" t="str">
            <v>В-01182/АЗ</v>
          </cell>
          <cell r="C448" t="str">
            <v>tk-legion@list.ru</v>
          </cell>
        </row>
        <row r="449">
          <cell r="A449" t="str">
            <v>Горбачев Денис Леонидович</v>
          </cell>
          <cell r="B449" t="str">
            <v>В-25981/АЗ</v>
          </cell>
          <cell r="C449" t="str">
            <v>tk-legion@list.ru</v>
          </cell>
        </row>
        <row r="450">
          <cell r="A450" t="str">
            <v>Горбачев Иван Эдуардович</v>
          </cell>
          <cell r="B450" t="str">
            <v>В-23229/АЗ</v>
          </cell>
          <cell r="D450" t="str">
            <v>Guhan0974@mail.com</v>
          </cell>
        </row>
        <row r="451">
          <cell r="A451" t="str">
            <v>Горбачёв Олег Юрьевич</v>
          </cell>
          <cell r="B451" t="str">
            <v>В-23104/КЛ.Транш - 1</v>
          </cell>
          <cell r="C451" t="str">
            <v>oleg.yurevich.197019690406@mail.ru</v>
          </cell>
          <cell r="D451" t="str">
            <v>oleg.yurevich.197019690406@mail.ru</v>
          </cell>
        </row>
        <row r="452">
          <cell r="A452" t="str">
            <v>Горбенко Олег Олегович</v>
          </cell>
          <cell r="B452" t="str">
            <v>В-24823/КЛ.Транш - 1</v>
          </cell>
          <cell r="D452" t="str">
            <v>danila8odrov@gmail.com</v>
          </cell>
        </row>
        <row r="453">
          <cell r="A453" t="str">
            <v>Горбунов Александр Георгиевич</v>
          </cell>
          <cell r="B453" t="str">
            <v>В-22699/КЛ.Транш - 1</v>
          </cell>
          <cell r="D453" t="str">
            <v>нет</v>
          </cell>
        </row>
        <row r="454">
          <cell r="A454" t="str">
            <v>Гордеев Дмитрий Романович</v>
          </cell>
          <cell r="B454" t="str">
            <v>В-00592/АЗ</v>
          </cell>
        </row>
        <row r="455">
          <cell r="A455" t="str">
            <v>Гордеева Наталья Николаевна</v>
          </cell>
          <cell r="B455" t="str">
            <v>В-01012/АЗ</v>
          </cell>
          <cell r="C455" t="str">
            <v>natgord85@yandex.ru</v>
          </cell>
        </row>
        <row r="456">
          <cell r="A456" t="str">
            <v>Городенок Дмитрий Петрович</v>
          </cell>
          <cell r="B456" t="str">
            <v>В-00009/АЗ</v>
          </cell>
        </row>
        <row r="457">
          <cell r="A457" t="str">
            <v>Горохов Сергей Владимирович 2</v>
          </cell>
          <cell r="B457" t="str">
            <v>В-00065/АЗ</v>
          </cell>
          <cell r="C457" t="str">
            <v>an_aspekt@mail.ru</v>
          </cell>
        </row>
        <row r="458">
          <cell r="A458" t="str">
            <v>ГорСтрой ООО</v>
          </cell>
          <cell r="B458" t="str">
            <v>В-00076/КЭ.Транш - 1</v>
          </cell>
          <cell r="C458" t="str">
            <v>9166997777@mail.ru</v>
          </cell>
        </row>
        <row r="459">
          <cell r="A459" t="str">
            <v>Горшков Никита Григорьевич</v>
          </cell>
          <cell r="B459" t="str">
            <v>В-04967/КЛ.Транш - 4</v>
          </cell>
          <cell r="C459" t="str">
            <v>7thfloor@mail.ru</v>
          </cell>
        </row>
        <row r="460">
          <cell r="A460" t="str">
            <v>Грабовская Вероника Викторовна</v>
          </cell>
          <cell r="B460" t="str">
            <v>В-00017/КЛ.Транш - 2</v>
          </cell>
          <cell r="C460" t="str">
            <v>veronika_grabovskaya@mail.ru</v>
          </cell>
        </row>
        <row r="461">
          <cell r="A461" t="str">
            <v>Грабовская Вероника Викторовна</v>
          </cell>
          <cell r="B461" t="str">
            <v>В-00017/КЛ.Транш - 3</v>
          </cell>
          <cell r="C461" t="str">
            <v>veronika_grabovskaya@mail.ru</v>
          </cell>
        </row>
        <row r="462">
          <cell r="A462" t="str">
            <v>Грачев Сергей Владимирович</v>
          </cell>
          <cell r="B462" t="str">
            <v>А-05165/АЗ_А-20200626/Ц</v>
          </cell>
          <cell r="C462" t="str">
            <v>gsw-spb@yandex.ru</v>
          </cell>
          <cell r="D462" t="str">
            <v>gsw-spb@yandex.ru</v>
          </cell>
        </row>
        <row r="463">
          <cell r="A463" t="str">
            <v>Гребнев Юрий Александрович</v>
          </cell>
          <cell r="B463" t="str">
            <v>В-00837/АЗ</v>
          </cell>
          <cell r="C463" t="str">
            <v>grebnev_ALEXSEY@mail.ru</v>
          </cell>
        </row>
        <row r="464">
          <cell r="A464" t="str">
            <v>Гребнев Юрий Александрович</v>
          </cell>
          <cell r="B464" t="str">
            <v>В-00838/АЗ</v>
          </cell>
          <cell r="C464" t="str">
            <v>grebnev_ALEXSEY@mail.ru</v>
          </cell>
        </row>
        <row r="465">
          <cell r="A465" t="str">
            <v>Гречкин Сергей Петрович</v>
          </cell>
          <cell r="B465" t="str">
            <v>В-22026/КЛ.Транш - 1</v>
          </cell>
          <cell r="D465" t="str">
            <v>Strannik112277@mail.ru</v>
          </cell>
        </row>
        <row r="466">
          <cell r="A466" t="str">
            <v>Гречко Алексей Сергеевич</v>
          </cell>
          <cell r="B466" t="str">
            <v>В-13530/КЛ.Транш - 1</v>
          </cell>
          <cell r="C466" t="str">
            <v>specnaz943@gmail.com</v>
          </cell>
        </row>
        <row r="467">
          <cell r="A467" t="str">
            <v>Гречко Алексей Сергеевич</v>
          </cell>
          <cell r="B467" t="str">
            <v>В-13530/КЛ.Транш - 2</v>
          </cell>
          <cell r="C467" t="str">
            <v>specnaz943@gmail.com</v>
          </cell>
        </row>
        <row r="468">
          <cell r="A468" t="str">
            <v>Гриб Юрий Валерьевич</v>
          </cell>
          <cell r="B468" t="str">
            <v>В-26474/КЛ.Транш - 1</v>
          </cell>
          <cell r="D468" t="str">
            <v>Gribyra513@gmail.com</v>
          </cell>
        </row>
        <row r="469">
          <cell r="A469" t="str">
            <v>Григоренко Андрей Николаевич</v>
          </cell>
          <cell r="B469" t="str">
            <v>В-00693/АЗ</v>
          </cell>
          <cell r="C469" t="str">
            <v>andrey-judo95@mail.ru</v>
          </cell>
        </row>
        <row r="470">
          <cell r="A470" t="str">
            <v>Григорьев Олег Вячеславович</v>
          </cell>
          <cell r="B470" t="str">
            <v>В-18894/КЛ.Транш - 1</v>
          </cell>
          <cell r="D470" t="str">
            <v>150777g11@gmail.com</v>
          </cell>
        </row>
        <row r="471">
          <cell r="A471" t="str">
            <v>Григорьев Эдуард Юрьевич</v>
          </cell>
          <cell r="B471" t="str">
            <v>В-02337/КЛ.Транш - 1</v>
          </cell>
          <cell r="C471" t="str">
            <v>007predator007@mail.ru</v>
          </cell>
        </row>
        <row r="472">
          <cell r="A472" t="str">
            <v>Григорьев Эдуард Юрьевич</v>
          </cell>
          <cell r="B472" t="str">
            <v>В-02337/КЛ.Транш - 2</v>
          </cell>
          <cell r="C472" t="str">
            <v>007predator007@mail.ru</v>
          </cell>
        </row>
        <row r="473">
          <cell r="A473" t="str">
            <v>Григорьев Эдуард Юрьевич</v>
          </cell>
          <cell r="B473" t="str">
            <v>В-02337/КЛ.Транш - 3</v>
          </cell>
          <cell r="C473" t="str">
            <v>007predator007@mail.ru</v>
          </cell>
        </row>
        <row r="474">
          <cell r="A474" t="str">
            <v>Григорьева Наталья Владимировна</v>
          </cell>
          <cell r="B474" t="str">
            <v>В-00345/АЗ</v>
          </cell>
        </row>
        <row r="475">
          <cell r="A475" t="str">
            <v>Григорьева Наталья Владимировна</v>
          </cell>
          <cell r="B475" t="str">
            <v>В-01074/АЗ</v>
          </cell>
        </row>
        <row r="476">
          <cell r="A476" t="str">
            <v>Григорян Артур Амраги</v>
          </cell>
          <cell r="B476" t="str">
            <v>В-03686/КЛ.Транш - 1_В-20211230/Ц</v>
          </cell>
          <cell r="C476" t="str">
            <v>artur@latex.ru.com</v>
          </cell>
        </row>
        <row r="477">
          <cell r="A477" t="str">
            <v>Григорян Эмма Петросовна</v>
          </cell>
          <cell r="B477" t="str">
            <v>В-11553/КЛ.Транш - 1</v>
          </cell>
          <cell r="C477" t="str">
            <v>emma2710@mail.ru</v>
          </cell>
        </row>
        <row r="478">
          <cell r="A478" t="str">
            <v>Гриднева Татьяна Николаевна</v>
          </cell>
          <cell r="B478" t="str">
            <v>В-12484/КЛ.Транш - 1</v>
          </cell>
        </row>
        <row r="479">
          <cell r="A479" t="str">
            <v>Гридяева Лариса Павловна</v>
          </cell>
          <cell r="B479" t="str">
            <v>В-25530/КЛ.Транш - 1</v>
          </cell>
          <cell r="D479" t="str">
            <v>bezgodov-88@mail.ru</v>
          </cell>
        </row>
        <row r="480">
          <cell r="A480" t="str">
            <v>Гринь Юлия Владимировна</v>
          </cell>
          <cell r="B480" t="str">
            <v>В-17051/КЛ.Транш - 1</v>
          </cell>
          <cell r="D480" t="str">
            <v>jliana90@mail.ru</v>
          </cell>
        </row>
        <row r="481">
          <cell r="A481" t="str">
            <v>Гриценко Дмитрий Владимирович</v>
          </cell>
          <cell r="B481" t="str">
            <v>В-25126/КЛ.Транш - 1</v>
          </cell>
          <cell r="D481" t="str">
            <v>senegal2014@mail.ru</v>
          </cell>
        </row>
        <row r="482">
          <cell r="A482" t="str">
            <v>Гриценко Дмитрий Владимирович</v>
          </cell>
          <cell r="B482" t="str">
            <v>В-25126/КЛ.Транш - 2</v>
          </cell>
          <cell r="D482" t="str">
            <v>senegal2014@mail.ru</v>
          </cell>
        </row>
        <row r="483">
          <cell r="A483" t="str">
            <v>Гришенков Николай Викторович</v>
          </cell>
          <cell r="B483" t="str">
            <v>А-05139/АЗ_А-20200626/Ц</v>
          </cell>
          <cell r="C483" t="str">
            <v>aectann1985@gmail.com</v>
          </cell>
          <cell r="D483" t="str">
            <v>aectann1985@gmail.com</v>
          </cell>
        </row>
        <row r="484">
          <cell r="A484" t="str">
            <v>Громов Алексей Геннадьевич</v>
          </cell>
          <cell r="B484" t="str">
            <v>В-04162/КЛ.Транш - 1</v>
          </cell>
          <cell r="C484" t="str">
            <v>gromalex69@icloud.com</v>
          </cell>
        </row>
        <row r="485">
          <cell r="A485" t="str">
            <v>Громов Вячеслав Александрович</v>
          </cell>
          <cell r="B485" t="str">
            <v>В-00951/АЗ</v>
          </cell>
          <cell r="C485" t="str">
            <v>slavahttp@yandex.ru</v>
          </cell>
        </row>
        <row r="486">
          <cell r="A486" t="str">
            <v>Громов Вячеслав Александрович</v>
          </cell>
          <cell r="B486" t="str">
            <v>Т-01931/АЗ_Т-20211028/Ц</v>
          </cell>
          <cell r="C486" t="str">
            <v>slavahttp@yandex.ru</v>
          </cell>
        </row>
        <row r="487">
          <cell r="A487" t="str">
            <v>Громов Сергей Дмитриевич</v>
          </cell>
          <cell r="B487" t="str">
            <v>В-03392/КЛ.Транш - 1</v>
          </cell>
          <cell r="C487" t="str">
            <v>ssergromow.gromov@yandex.ru</v>
          </cell>
        </row>
        <row r="488">
          <cell r="A488" t="str">
            <v>Груничев Александр Леонидович</v>
          </cell>
          <cell r="B488" t="str">
            <v>В-00858/АЗ</v>
          </cell>
        </row>
        <row r="489">
          <cell r="A489" t="str">
            <v>ГТ.Билдинг ООО</v>
          </cell>
          <cell r="B489" t="str">
            <v>В-00044/КЭ.Транш - 1</v>
          </cell>
        </row>
        <row r="490">
          <cell r="A490" t="str">
            <v>Губайдуллаев Хафиз Рафхатович</v>
          </cell>
          <cell r="B490" t="str">
            <v>В-08268/КЛ.Транш - 2</v>
          </cell>
          <cell r="C490" t="str">
            <v>ghafiz3@mail.ru</v>
          </cell>
        </row>
        <row r="491">
          <cell r="A491" t="str">
            <v>Губская Светлана Анатольевна</v>
          </cell>
          <cell r="B491" t="str">
            <v>В-11396/КЛ.Транш - 2</v>
          </cell>
          <cell r="C491" t="str">
            <v>svetlana01031969@yandex.ru</v>
          </cell>
        </row>
        <row r="492">
          <cell r="A492" t="str">
            <v>Гудименко Константин Алексеевич</v>
          </cell>
          <cell r="B492" t="str">
            <v>В-07411/КЛ.Транш - 1</v>
          </cell>
          <cell r="C492" t="str">
            <v>CPNN@YANDEX.RU</v>
          </cell>
        </row>
        <row r="493">
          <cell r="A493" t="str">
            <v>Гудименко Константин Алексеевич</v>
          </cell>
          <cell r="B493" t="str">
            <v>В-07411/КЛ.Транш - 2</v>
          </cell>
          <cell r="C493" t="str">
            <v>CPNN@YANDEX.RU</v>
          </cell>
        </row>
        <row r="494">
          <cell r="A494" t="str">
            <v>Гудименко Константин Алексеевич</v>
          </cell>
          <cell r="B494" t="str">
            <v>В-07411/КЛ.Транш - 3</v>
          </cell>
          <cell r="C494" t="str">
            <v>CPNN@YANDEX.RU</v>
          </cell>
        </row>
        <row r="495">
          <cell r="A495" t="str">
            <v>Гудименко Константин Алексеевич</v>
          </cell>
          <cell r="B495" t="str">
            <v>В-07411/КЛ.Транш - 4</v>
          </cell>
          <cell r="C495" t="str">
            <v>CPNN@YANDEX.RU</v>
          </cell>
        </row>
        <row r="496">
          <cell r="A496" t="str">
            <v>Гудименко Константин Алексеевич</v>
          </cell>
          <cell r="B496" t="str">
            <v>В-07411/КЛ.Транш - 5</v>
          </cell>
          <cell r="C496" t="str">
            <v>CPNN@YANDEX.RU</v>
          </cell>
        </row>
        <row r="497">
          <cell r="A497" t="str">
            <v>Гудименко Константин Алексеевич</v>
          </cell>
          <cell r="B497" t="str">
            <v>В-07411/КЛ.Транш - 6</v>
          </cell>
          <cell r="C497" t="str">
            <v>CPNN@YANDEX.RU</v>
          </cell>
        </row>
        <row r="498">
          <cell r="A498" t="str">
            <v>Гукасян Павел Владимирович</v>
          </cell>
          <cell r="B498" t="str">
            <v>В-14728/КЛ.Транш - 4</v>
          </cell>
          <cell r="C498" t="str">
            <v>troyanviruses@gmail.com</v>
          </cell>
        </row>
        <row r="499">
          <cell r="A499" t="str">
            <v>Гукасян Павел Владимирович</v>
          </cell>
          <cell r="B499" t="str">
            <v>В-14728/КЛ.Транш - 6</v>
          </cell>
          <cell r="C499" t="str">
            <v>troyanviruses@gmail.com</v>
          </cell>
        </row>
        <row r="500">
          <cell r="A500" t="str">
            <v>Гукасян Павел Владимирович</v>
          </cell>
          <cell r="B500" t="str">
            <v>В-14728/КЛ.Транш - 7</v>
          </cell>
          <cell r="C500" t="str">
            <v>troyanviruses@gmail.com</v>
          </cell>
        </row>
        <row r="501">
          <cell r="A501" t="str">
            <v>Гукасян Павел Владимирович</v>
          </cell>
          <cell r="B501" t="str">
            <v>В-14728/КЛ.Транш - 8</v>
          </cell>
          <cell r="C501" t="str">
            <v>troyanviruses@gmail.com</v>
          </cell>
        </row>
        <row r="502">
          <cell r="A502" t="str">
            <v>Гукасян Павел Владимирович</v>
          </cell>
          <cell r="B502" t="str">
            <v>В-14728/КЛ.Транш - 9</v>
          </cell>
          <cell r="C502" t="str">
            <v>troyanviruses@gmail.com</v>
          </cell>
        </row>
        <row r="503">
          <cell r="A503" t="str">
            <v>Гулиев Адиль Джангирович</v>
          </cell>
          <cell r="B503" t="str">
            <v>В-00161/АЗ</v>
          </cell>
          <cell r="C503" t="str">
            <v>Adam.081@mail.ru</v>
          </cell>
        </row>
        <row r="504">
          <cell r="A504" t="str">
            <v>Гулиева Сусан Мубариз Кызы</v>
          </cell>
          <cell r="B504" t="str">
            <v>В-25757/КЛ.Транш - 1</v>
          </cell>
          <cell r="D504" t="str">
            <v>gurievasusan@gmail.com</v>
          </cell>
        </row>
        <row r="505">
          <cell r="A505" t="str">
            <v>Гулканян Наири Гарникович</v>
          </cell>
          <cell r="B505" t="str">
            <v>В-25640/КЛ.Транш - 1</v>
          </cell>
          <cell r="C505" t="str">
            <v>nairi0501@mail.ru</v>
          </cell>
          <cell r="D505" t="str">
            <v>nairi0501@mail.ru</v>
          </cell>
        </row>
        <row r="506">
          <cell r="A506" t="str">
            <v>Гупало Илья Александрович</v>
          </cell>
          <cell r="B506" t="str">
            <v>В-01217/АЗ</v>
          </cell>
          <cell r="C506" t="str">
            <v>ilyagupalo@gmail.com</v>
          </cell>
          <cell r="D506" t="str">
            <v>ilyagupalo@gmail.com</v>
          </cell>
        </row>
        <row r="507">
          <cell r="A507" t="str">
            <v>Гуркин Владимир Рудольфович</v>
          </cell>
          <cell r="B507" t="str">
            <v>В-20118/КЛ.Транш - 1</v>
          </cell>
        </row>
        <row r="508">
          <cell r="A508" t="str">
            <v>Гуров Евгений Сергеевич</v>
          </cell>
          <cell r="B508" t="str">
            <v>В-18586/КЛ.Транш - 1</v>
          </cell>
          <cell r="D508" t="str">
            <v>gengur1289@gmail.com</v>
          </cell>
        </row>
        <row r="509">
          <cell r="A509" t="str">
            <v>Гусев Владимир Николаевич</v>
          </cell>
          <cell r="B509" t="str">
            <v>В-00496/АЗ</v>
          </cell>
          <cell r="C509" t="str">
            <v>g.vladimir1965@gmail.com</v>
          </cell>
        </row>
        <row r="510">
          <cell r="A510" t="str">
            <v>Гусейинов Рафиг Шамил</v>
          </cell>
          <cell r="B510" t="str">
            <v>В-00497/АЗ</v>
          </cell>
        </row>
        <row r="511">
          <cell r="A511" t="str">
            <v>Гусейнов Магомед Динисламович</v>
          </cell>
          <cell r="B511" t="str">
            <v>В-27747/КЛ.Транш - 1</v>
          </cell>
        </row>
        <row r="512">
          <cell r="A512" t="str">
            <v>Гусейнов Муслум Нурали Оглы</v>
          </cell>
          <cell r="B512" t="str">
            <v>А-05110/АЗ_А-20200626/Ц</v>
          </cell>
        </row>
        <row r="513">
          <cell r="A513" t="str">
            <v>Гуциев Илес Эдильбекович</v>
          </cell>
          <cell r="B513" t="str">
            <v>В-00911/АЗ_В-20211230/Ц</v>
          </cell>
          <cell r="C513" t="str">
            <v>001_maas@mail.ru</v>
          </cell>
        </row>
        <row r="514">
          <cell r="A514" t="str">
            <v>Гуциев Илес Эдильбекович</v>
          </cell>
          <cell r="B514" t="str">
            <v>В-00927/АЗ_В-20211230/Ц</v>
          </cell>
          <cell r="C514" t="str">
            <v>001_maas@mail.ru</v>
          </cell>
        </row>
        <row r="515">
          <cell r="A515" t="str">
            <v>Гучуа Натия Геноевна</v>
          </cell>
          <cell r="B515" t="str">
            <v>А-04018/АЗ_А-20200626/Ц</v>
          </cell>
          <cell r="C515" t="str">
            <v>guc-natiya@yandex.ru</v>
          </cell>
          <cell r="D515" t="str">
            <v>guc-natiya@yandex.ru</v>
          </cell>
        </row>
        <row r="516">
          <cell r="A516" t="str">
            <v>Гюльбалаев Азамат Шарфитдинович</v>
          </cell>
          <cell r="B516" t="str">
            <v>В-00581/АЗ</v>
          </cell>
          <cell r="C516" t="str">
            <v>2470033@mail.ru</v>
          </cell>
        </row>
        <row r="517">
          <cell r="A517" t="str">
            <v>Давыдов Игорь Александрович</v>
          </cell>
          <cell r="B517" t="str">
            <v>В-28437/КЛ.Транш - 1</v>
          </cell>
          <cell r="D517" t="str">
            <v>Igor.davydoff@gmail.com</v>
          </cell>
        </row>
        <row r="518">
          <cell r="A518" t="str">
            <v>Дагиров Рустам Шамсутдинович</v>
          </cell>
          <cell r="B518" t="str">
            <v>В-00431/КЛ.Транш - 1</v>
          </cell>
          <cell r="C518" t="str">
            <v>dagirov82@bk.ru</v>
          </cell>
        </row>
        <row r="519">
          <cell r="A519" t="str">
            <v>Дагиров Рустам Шамсутдинович</v>
          </cell>
          <cell r="B519" t="str">
            <v>В-00431/КЛ.Транш - 2</v>
          </cell>
          <cell r="C519" t="str">
            <v>dagirov82@bk.ru</v>
          </cell>
        </row>
        <row r="520">
          <cell r="A520" t="str">
            <v>Далгатов Гаджимурад Магомедович</v>
          </cell>
          <cell r="B520" t="str">
            <v>В-12746/КЛ.Транш - 10</v>
          </cell>
          <cell r="C520" t="str">
            <v>dgm81@mail.ru</v>
          </cell>
          <cell r="D520" t="str">
            <v>dgm81@mail.ru</v>
          </cell>
        </row>
        <row r="521">
          <cell r="A521" t="str">
            <v>Далгатов Гаджимурад Магомедович</v>
          </cell>
          <cell r="B521" t="str">
            <v>В-12746/КЛ.Транш - 15</v>
          </cell>
          <cell r="C521" t="str">
            <v>dgm81@mail.ru</v>
          </cell>
          <cell r="D521" t="str">
            <v>dgm81@mail.ru</v>
          </cell>
        </row>
        <row r="522">
          <cell r="A522" t="str">
            <v>Далгатов Гаджимурад Магомедович</v>
          </cell>
          <cell r="B522" t="str">
            <v>В-12746/КЛ.Транш - 16</v>
          </cell>
          <cell r="C522" t="str">
            <v>dgm81@mail.ru</v>
          </cell>
          <cell r="D522" t="str">
            <v>dgm81@mail.ru</v>
          </cell>
        </row>
        <row r="523">
          <cell r="A523" t="str">
            <v>Далгатов Гаджимурад Магомедович</v>
          </cell>
          <cell r="B523" t="str">
            <v>В-12746/КЛ.Транш - 19</v>
          </cell>
          <cell r="C523" t="str">
            <v>dgm81@mail.ru</v>
          </cell>
          <cell r="D523" t="str">
            <v>dgm81@mail.ru</v>
          </cell>
        </row>
        <row r="524">
          <cell r="A524" t="str">
            <v>Далгатов Гаджимурад Магомедович</v>
          </cell>
          <cell r="B524" t="str">
            <v>В-12746/КЛ.Транш - 23</v>
          </cell>
          <cell r="C524" t="str">
            <v>dgm81@mail.ru</v>
          </cell>
          <cell r="D524" t="str">
            <v>dgm81@mail.ru</v>
          </cell>
        </row>
        <row r="525">
          <cell r="A525" t="str">
            <v>Далгатов Гаджимурад Магомедович</v>
          </cell>
          <cell r="B525" t="str">
            <v>В-12746/КЛ.Транш - 24</v>
          </cell>
          <cell r="C525" t="str">
            <v>dgm81@mail.ru</v>
          </cell>
          <cell r="D525" t="str">
            <v>dgm81@mail.ru</v>
          </cell>
        </row>
        <row r="526">
          <cell r="A526" t="str">
            <v>Далгатов Гаджимурад Магомедович</v>
          </cell>
          <cell r="B526" t="str">
            <v>В-12746/КЛ.Транш - 25</v>
          </cell>
          <cell r="C526" t="str">
            <v>dgm81@mail.ru</v>
          </cell>
          <cell r="D526" t="str">
            <v>dgm81@mail.ru</v>
          </cell>
        </row>
        <row r="527">
          <cell r="A527" t="str">
            <v>Далгатов Гаджимурад Магомедович</v>
          </cell>
          <cell r="B527" t="str">
            <v>В-12746/КЛ.Транш - 6</v>
          </cell>
          <cell r="C527" t="str">
            <v>dgm81@mail.ru</v>
          </cell>
          <cell r="D527" t="str">
            <v>dgm81@mail.ru</v>
          </cell>
        </row>
        <row r="528">
          <cell r="A528" t="str">
            <v>Далгатов Гаджимурад Магомедович</v>
          </cell>
          <cell r="B528" t="str">
            <v>В-12746/КЛ.Транш - 7</v>
          </cell>
          <cell r="C528" t="str">
            <v>dgm81@mail.ru</v>
          </cell>
          <cell r="D528" t="str">
            <v>dgm81@mail.ru</v>
          </cell>
        </row>
        <row r="529">
          <cell r="A529" t="str">
            <v>Далгатов Гаджимурад Магомедович</v>
          </cell>
          <cell r="B529" t="str">
            <v>В-12746/КЛ.Транш - 9</v>
          </cell>
          <cell r="C529" t="str">
            <v>dgm81@mail.ru</v>
          </cell>
          <cell r="D529" t="str">
            <v>dgm81@mail.ru</v>
          </cell>
        </row>
        <row r="530">
          <cell r="A530" t="str">
            <v>Дам Вихерс Юлия Владимировна</v>
          </cell>
          <cell r="B530" t="str">
            <v>А-03641/АЗ</v>
          </cell>
        </row>
        <row r="531">
          <cell r="A531" t="str">
            <v>Данелян Рафик Размикович</v>
          </cell>
          <cell r="B531" t="str">
            <v>В-26290/КЛ.Транш - 1</v>
          </cell>
          <cell r="D531" t="str">
            <v>Danelyan-rafik97@mail.ru</v>
          </cell>
        </row>
        <row r="532">
          <cell r="A532" t="str">
            <v>Данилин Дмитрий Павлович</v>
          </cell>
          <cell r="B532" t="str">
            <v>А-04119/АЗ</v>
          </cell>
          <cell r="C532" t="str">
            <v>danilin.d@mail.ru</v>
          </cell>
          <cell r="D532" t="str">
            <v>danilin.d@mail.ru</v>
          </cell>
        </row>
        <row r="533">
          <cell r="A533" t="str">
            <v>Даниялов Марат Алавутдинович</v>
          </cell>
          <cell r="B533" t="str">
            <v>В-17533/КЛ.Транш - 1_В-20211230/Ц</v>
          </cell>
          <cell r="D533" t="str">
            <v>mdaniaylov92@gmail.com</v>
          </cell>
        </row>
        <row r="534">
          <cell r="A534" t="str">
            <v>Дарвичева Татьяна Викторовна</v>
          </cell>
          <cell r="B534" t="str">
            <v>А-05421/АЗ_А-20200626/Ц</v>
          </cell>
        </row>
        <row r="535">
          <cell r="A535" t="str">
            <v>Дарвичева Татьяна Викторовна</v>
          </cell>
          <cell r="B535" t="str">
            <v>В-00702/АЗ</v>
          </cell>
        </row>
        <row r="536">
          <cell r="A536" t="str">
            <v>Дарвичева Татьяна Викторовна</v>
          </cell>
          <cell r="B536" t="str">
            <v>Т-01843/АЗ_Т-20200626/Ц</v>
          </cell>
        </row>
        <row r="537">
          <cell r="A537" t="str">
            <v>Двинянина Елена Владимировна</v>
          </cell>
          <cell r="B537" t="str">
            <v>В-23409/КЛ.Транш - 1</v>
          </cell>
        </row>
        <row r="538">
          <cell r="A538" t="str">
            <v>Дементьев Александр Валерьевич</v>
          </cell>
          <cell r="B538" t="str">
            <v>В-19564/КЛ.Транш - 1</v>
          </cell>
          <cell r="D538" t="str">
            <v>dementozza@gmail.com</v>
          </cell>
        </row>
        <row r="539">
          <cell r="A539" t="str">
            <v>Дементьев Александр Валерьевич</v>
          </cell>
          <cell r="B539" t="str">
            <v>В-19564/КЛ.Транш - 2</v>
          </cell>
          <cell r="D539" t="str">
            <v>dementozza@gmail.com</v>
          </cell>
        </row>
        <row r="540">
          <cell r="A540" t="str">
            <v>Дементьев Василий Алексеевич</v>
          </cell>
          <cell r="B540" t="str">
            <v>В-10909/КЛ.Транш - 1</v>
          </cell>
          <cell r="C540" t="str">
            <v>vadenentev@yandex.ru</v>
          </cell>
        </row>
        <row r="541">
          <cell r="A541" t="str">
            <v>Демченко Андрей Сергеевич</v>
          </cell>
          <cell r="B541" t="str">
            <v>В-01050/АЗ</v>
          </cell>
        </row>
        <row r="542">
          <cell r="A542" t="str">
            <v>Демченко Андрей Сергеевич</v>
          </cell>
          <cell r="B542" t="str">
            <v>В-01051/АЗ</v>
          </cell>
        </row>
        <row r="543">
          <cell r="A543" t="str">
            <v>Денисенко Руслана Анатольевна</v>
          </cell>
          <cell r="B543" t="str">
            <v>В-12380/КЛ.Транш - 1</v>
          </cell>
          <cell r="C543" t="str">
            <v>danis13131@mail.ru</v>
          </cell>
          <cell r="D543" t="str">
            <v>danis13131@mail.ru</v>
          </cell>
        </row>
        <row r="544">
          <cell r="A544" t="str">
            <v>Деревяга Илья Викторович</v>
          </cell>
          <cell r="B544" t="str">
            <v>В-13070/КЛ.Транш - 2</v>
          </cell>
          <cell r="D544" t="str">
            <v>buhara-com@rambler.ru</v>
          </cell>
        </row>
        <row r="545">
          <cell r="A545" t="str">
            <v>Деревяга Илья Викторович</v>
          </cell>
          <cell r="B545" t="str">
            <v>В-13070/КЛ.Транш - 3</v>
          </cell>
          <cell r="D545" t="str">
            <v>buhara-com@rambler.ru</v>
          </cell>
        </row>
        <row r="546">
          <cell r="A546" t="str">
            <v>Джабраилов Саид-Хусейн Хасанович</v>
          </cell>
          <cell r="B546" t="str">
            <v>В-12401/КЛ.Транш - 1</v>
          </cell>
          <cell r="C546" t="str">
            <v>yugenergo@list.ru</v>
          </cell>
        </row>
        <row r="547">
          <cell r="A547" t="str">
            <v>Джабраилов Саид-Хусейн Хасанович</v>
          </cell>
          <cell r="B547" t="str">
            <v>В-12401/КЛ.Транш - 2</v>
          </cell>
          <cell r="C547" t="str">
            <v>yugenergo@list.ru</v>
          </cell>
        </row>
        <row r="548">
          <cell r="A548" t="str">
            <v>Джангуланова Амина Бауржановна</v>
          </cell>
          <cell r="B548" t="str">
            <v>В-24594/АЗ</v>
          </cell>
          <cell r="C548" t="str">
            <v>nalchik143@hotmail.com</v>
          </cell>
          <cell r="D548" t="str">
            <v>nalchik143@hotmail.com</v>
          </cell>
        </row>
        <row r="549">
          <cell r="A549" t="str">
            <v>Джулакян Мартирос Жораевич</v>
          </cell>
          <cell r="B549" t="str">
            <v>В-06481/КЛ.Транш - 7</v>
          </cell>
          <cell r="C549" t="str">
            <v>julhakian@rambler.ru</v>
          </cell>
        </row>
        <row r="550">
          <cell r="A550" t="str">
            <v>Джумаева Муслима Султоновна</v>
          </cell>
          <cell r="B550" t="str">
            <v>В-01148/АЗ</v>
          </cell>
        </row>
        <row r="551">
          <cell r="A551" t="str">
            <v>Дзейтов Муслим Алиевич</v>
          </cell>
          <cell r="B551" t="str">
            <v>В-20300/КЛ.Транш - 1</v>
          </cell>
          <cell r="D551" t="str">
            <v>dzmuslim@mail.ru</v>
          </cell>
        </row>
        <row r="552">
          <cell r="A552" t="str">
            <v>Дзюба Евгений Григорьевич</v>
          </cell>
          <cell r="B552" t="str">
            <v>В-22409/КЛ.Транш - 1</v>
          </cell>
          <cell r="C552" t="str">
            <v>Evgeniy-vl@list.ru</v>
          </cell>
          <cell r="D552" t="str">
            <v>Evgeniy-vl@list.ru</v>
          </cell>
        </row>
        <row r="553">
          <cell r="A553" t="str">
            <v>Диакону Сергей Борисович</v>
          </cell>
          <cell r="B553" t="str">
            <v>В-25367/АЗ</v>
          </cell>
        </row>
        <row r="554">
          <cell r="A554" t="str">
            <v>Диденко Роман Владимирович</v>
          </cell>
          <cell r="B554" t="str">
            <v>В-12256/КЛ.Транш - 1</v>
          </cell>
          <cell r="D554" t="str">
            <v>dide-roman@mail.ru</v>
          </cell>
        </row>
        <row r="555">
          <cell r="A555" t="str">
            <v>Дидиев Хасан Асланович</v>
          </cell>
          <cell r="B555" t="str">
            <v>В-15163/КЛ.Транш - 1</v>
          </cell>
          <cell r="C555" t="str">
            <v>mr_didiev@mail.ru</v>
          </cell>
          <cell r="D555" t="str">
            <v>mr_didiev@mail.ru</v>
          </cell>
        </row>
        <row r="556">
          <cell r="A556" t="str">
            <v>Дмитриев Алексей Евгеньевич</v>
          </cell>
          <cell r="B556" t="str">
            <v>Т-01890/АЗ_Т-20211028/Ц</v>
          </cell>
          <cell r="C556" t="str">
            <v>berlingo.dmitriev@yandex.ru</v>
          </cell>
        </row>
        <row r="557">
          <cell r="A557" t="str">
            <v>Дмитриев Антон Романович</v>
          </cell>
          <cell r="B557" t="str">
            <v>В-28291/КЛ.Транш - 1</v>
          </cell>
          <cell r="C557" t="str">
            <v>skansa35@gmail.com</v>
          </cell>
          <cell r="D557" t="str">
            <v>skansa35@gmail.com</v>
          </cell>
        </row>
        <row r="558">
          <cell r="A558" t="str">
            <v>Добрица Любовь Анатольевна</v>
          </cell>
          <cell r="B558" t="str">
            <v>А-04742/АЗ</v>
          </cell>
        </row>
        <row r="559">
          <cell r="A559" t="str">
            <v>Добров Дмитрий Сергеевич</v>
          </cell>
          <cell r="B559" t="str">
            <v>В-16882/КЛ.Транш - 2</v>
          </cell>
          <cell r="D559" t="str">
            <v>julin.dima2012@yandex.ru</v>
          </cell>
        </row>
        <row r="560">
          <cell r="A560" t="str">
            <v>Догарева Мария Станиславовна</v>
          </cell>
          <cell r="B560" t="str">
            <v>В-03259/КЛ.Транш - 1</v>
          </cell>
          <cell r="C560" t="str">
            <v>mdogareva@yandex.ru</v>
          </cell>
        </row>
        <row r="561">
          <cell r="A561" t="str">
            <v>Додохова Анна Николаевна</v>
          </cell>
          <cell r="B561" t="str">
            <v>В-00272/АЗ_В-20211230/Ц</v>
          </cell>
          <cell r="C561" t="str">
            <v>shantalprim@mail.ru</v>
          </cell>
        </row>
        <row r="562">
          <cell r="A562" t="str">
            <v>Долгополов Сергей Юрьевич</v>
          </cell>
          <cell r="B562" t="str">
            <v>В-07544/КЛ.Транш - 1</v>
          </cell>
          <cell r="C562" t="str">
            <v>maindolgopolov@rambler.ru</v>
          </cell>
        </row>
        <row r="563">
          <cell r="A563" t="str">
            <v>Долгошеев Александр Юрьевич</v>
          </cell>
          <cell r="B563" t="str">
            <v>В-13719/КЛ.Транш - 1</v>
          </cell>
          <cell r="C563" t="str">
            <v>dolgosheev.sanek@mail.ru</v>
          </cell>
          <cell r="D563" t="str">
            <v>dolgosheev.sanek@mail.ru</v>
          </cell>
        </row>
        <row r="564">
          <cell r="A564" t="str">
            <v>Доновский Даниил Дмитриевич</v>
          </cell>
          <cell r="B564" t="str">
            <v>В-11733/КЛ.Транш - 1</v>
          </cell>
          <cell r="C564" t="str">
            <v>daniildonovskiy@gmail.com</v>
          </cell>
        </row>
        <row r="565">
          <cell r="A565" t="str">
            <v>Дорожинская Екатерина Андреевна</v>
          </cell>
          <cell r="B565" t="str">
            <v>В-23074/КЛ.Транш - 1</v>
          </cell>
          <cell r="D565" t="str">
            <v>katya.dorozhinskaya@yandex.ru</v>
          </cell>
        </row>
        <row r="566">
          <cell r="A566" t="str">
            <v>Дорохин Артем Олегович</v>
          </cell>
          <cell r="B566" t="str">
            <v>В-24493/КЛ.Транш - 1</v>
          </cell>
        </row>
        <row r="567">
          <cell r="A567" t="str">
            <v>ДОРРЕМСТРОЙ ООО</v>
          </cell>
          <cell r="B567" t="str">
            <v>В-00077/КЭ.Транш - 1</v>
          </cell>
          <cell r="C567" t="str">
            <v>dorremstroi2018@gmail.com</v>
          </cell>
        </row>
        <row r="568">
          <cell r="A568" t="str">
            <v>Дортман Ольга Александровна</v>
          </cell>
          <cell r="B568" t="str">
            <v>В-24934/КЛ.Транш - 1</v>
          </cell>
          <cell r="C568" t="str">
            <v>olyadortman@yandex.ru</v>
          </cell>
        </row>
        <row r="569">
          <cell r="A569" t="str">
            <v>Дортман Ольга Александровна</v>
          </cell>
          <cell r="B569" t="str">
            <v>В-24934/КЛ.Транш - 2</v>
          </cell>
          <cell r="C569" t="str">
            <v>olyadortman@yandex.ru</v>
          </cell>
        </row>
        <row r="570">
          <cell r="A570" t="str">
            <v>Дортман Ольга Александровна</v>
          </cell>
          <cell r="B570" t="str">
            <v>В-24934/КЛ.Транш - 3</v>
          </cell>
          <cell r="C570" t="str">
            <v>olyadortman@yandex.ru</v>
          </cell>
        </row>
        <row r="571">
          <cell r="A571" t="str">
            <v>Доценко Артём Анатольевич</v>
          </cell>
          <cell r="B571" t="str">
            <v>В-19715/КЛ.Транш - 1</v>
          </cell>
          <cell r="D571" t="str">
            <v>docent89ekx@gmail.com</v>
          </cell>
        </row>
        <row r="572">
          <cell r="A572" t="str">
            <v>Дробный Александр Олегович</v>
          </cell>
          <cell r="B572" t="str">
            <v>В-20084/КЛ.Транш - 1</v>
          </cell>
          <cell r="D572" t="str">
            <v>29951331@mail.ru</v>
          </cell>
        </row>
        <row r="573">
          <cell r="A573" t="str">
            <v>Дробот Роман Вячеславович</v>
          </cell>
          <cell r="B573" t="str">
            <v>В-12943/КЛ.Транш - 1</v>
          </cell>
        </row>
        <row r="574">
          <cell r="A574" t="str">
            <v>Дрогин Дмитрий Владимирович</v>
          </cell>
          <cell r="B574" t="str">
            <v>В-15912/КЛ.Транш - 1</v>
          </cell>
          <cell r="C574" t="str">
            <v>drogin86@mail.ru</v>
          </cell>
        </row>
        <row r="575">
          <cell r="A575" t="str">
            <v>Дрогин Дмитрий Владимирович</v>
          </cell>
          <cell r="B575" t="str">
            <v>В-15912/КЛ.Транш - 2</v>
          </cell>
          <cell r="C575" t="str">
            <v>drogin86@mail.ru</v>
          </cell>
        </row>
        <row r="576">
          <cell r="A576" t="str">
            <v>Дрожжин Андрей Юрьевич</v>
          </cell>
          <cell r="B576" t="str">
            <v>В-19897/КЛ.Транш - 1</v>
          </cell>
          <cell r="D576" t="str">
            <v>anderei87@rambler.ru</v>
          </cell>
        </row>
        <row r="577">
          <cell r="A577" t="str">
            <v>Дубовская Юлия Олеговна</v>
          </cell>
          <cell r="B577" t="str">
            <v>В-05840/КЛ.Транш - 2</v>
          </cell>
          <cell r="C577" t="str">
            <v>popova0116@yandex.ru</v>
          </cell>
          <cell r="D577" t="str">
            <v>popova0116@yandex.ru</v>
          </cell>
        </row>
        <row r="578">
          <cell r="A578" t="str">
            <v>Дубров Алексей Владимирович</v>
          </cell>
          <cell r="B578" t="str">
            <v>В-27980/КЛ.Транш - 1</v>
          </cell>
          <cell r="C578" t="str">
            <v>aleksejdubrov6@gmail.com</v>
          </cell>
        </row>
        <row r="579">
          <cell r="A579" t="str">
            <v>Дубский Денис Николаевич</v>
          </cell>
          <cell r="B579" t="str">
            <v>В-14987/КЛ.Транш - 1</v>
          </cell>
          <cell r="D579" t="str">
            <v>dubskiy1990@yandex.ru</v>
          </cell>
        </row>
        <row r="580">
          <cell r="A580" t="str">
            <v>Дудин Василий Васильевич</v>
          </cell>
          <cell r="B580" t="str">
            <v>В-16067/КЛ.Транш - 1</v>
          </cell>
          <cell r="D580" t="str">
            <v>vasilijdudin9@gmail.com</v>
          </cell>
        </row>
        <row r="581">
          <cell r="A581" t="str">
            <v>Дунаева Любовь Анатольевна</v>
          </cell>
          <cell r="B581" t="str">
            <v>В-10704/КЛ.Транш - 1</v>
          </cell>
          <cell r="C581" t="str">
            <v>dunaevala@inbox.ru</v>
          </cell>
        </row>
        <row r="582">
          <cell r="A582" t="str">
            <v>Дыгова Раиса Мусарбиевна</v>
          </cell>
          <cell r="B582" t="str">
            <v>В-10648/КЛ.Транш - 2</v>
          </cell>
          <cell r="C582" t="str">
            <v>Khantsev001@mail.ru</v>
          </cell>
        </row>
        <row r="583">
          <cell r="A583" t="str">
            <v>Дядченко Елена Валентиновна</v>
          </cell>
          <cell r="B583" t="str">
            <v>В-00233/КЛ.Транш - 1</v>
          </cell>
          <cell r="C583" t="str">
            <v>ula801@yandex.ru</v>
          </cell>
        </row>
        <row r="584">
          <cell r="A584" t="str">
            <v>Евсеев Сергей Анатольевич</v>
          </cell>
          <cell r="B584" t="str">
            <v>В-10492/КЛ.Транш - 1</v>
          </cell>
          <cell r="C584" t="str">
            <v>Sergant1514@spaces.ru</v>
          </cell>
        </row>
        <row r="585">
          <cell r="A585" t="str">
            <v>Евстигнеев Дмитрий Станиславович</v>
          </cell>
          <cell r="B585" t="str">
            <v>В-01175/АЗ</v>
          </cell>
        </row>
        <row r="586">
          <cell r="A586" t="str">
            <v>Евстратов Игорь Владимирович</v>
          </cell>
          <cell r="B586" t="str">
            <v>В-16257/КЛ.Транш - 2</v>
          </cell>
        </row>
        <row r="587">
          <cell r="A587" t="str">
            <v>Евтина Яна Анатольевна</v>
          </cell>
          <cell r="B587" t="str">
            <v>В-17605/КЛ.Транш - 1</v>
          </cell>
          <cell r="D587" t="str">
            <v>anineru801@gmail.com</v>
          </cell>
        </row>
        <row r="588">
          <cell r="A588" t="str">
            <v>Егиазарян Геворг Рубикович</v>
          </cell>
          <cell r="B588" t="str">
            <v>В-28358/КЛ.Транш - 1</v>
          </cell>
          <cell r="D588" t="str">
            <v>gevorg79@bk.ru</v>
          </cell>
        </row>
        <row r="589">
          <cell r="A589" t="str">
            <v>Егоров Андрей Вячеславович</v>
          </cell>
          <cell r="B589" t="str">
            <v>В-29052/КЛ.Транш - 1</v>
          </cell>
          <cell r="D589" t="str">
            <v>Nightfall610@yandex.ru</v>
          </cell>
        </row>
        <row r="590">
          <cell r="A590" t="str">
            <v>Егоров Владимир Борисович</v>
          </cell>
          <cell r="B590" t="str">
            <v>В-26251/КЛ.Транш - 1</v>
          </cell>
          <cell r="C590" t="str">
            <v>9092868@gmail.ru</v>
          </cell>
        </row>
        <row r="591">
          <cell r="A591" t="str">
            <v>Егоров Павел Евгеньевич</v>
          </cell>
          <cell r="B591" t="str">
            <v>В-25229/АЗ</v>
          </cell>
          <cell r="C591" t="str">
            <v>karapyz-666@mail.ru</v>
          </cell>
          <cell r="D591" t="str">
            <v>karapyz-666@mail.ru</v>
          </cell>
        </row>
        <row r="592">
          <cell r="A592" t="str">
            <v>Егоров Сергей Владимирович</v>
          </cell>
          <cell r="B592" t="str">
            <v>В-00438/КЛ.Транш - 1</v>
          </cell>
          <cell r="C592" t="str">
            <v>sergejegorov801@gmail.com</v>
          </cell>
        </row>
        <row r="593">
          <cell r="A593" t="str">
            <v>Егоршева Ирина Александровна</v>
          </cell>
          <cell r="B593" t="str">
            <v>В-00617/КЛ.Транш - 1_Т-20211028/Ц</v>
          </cell>
          <cell r="C593" t="str">
            <v>iegorsheva@yandex.ru</v>
          </cell>
        </row>
        <row r="594">
          <cell r="A594" t="str">
            <v>Егоян Арарат Хнгяносович</v>
          </cell>
          <cell r="B594" t="str">
            <v>В-26477/КЛ.Транш - 1</v>
          </cell>
          <cell r="D594" t="str">
            <v>egoyanararat1983@MAIL.RU</v>
          </cell>
        </row>
        <row r="595">
          <cell r="A595" t="str">
            <v>Егоян Вард Баласанович</v>
          </cell>
          <cell r="B595" t="str">
            <v>В-01038/АЗ</v>
          </cell>
        </row>
        <row r="596">
          <cell r="A596" t="str">
            <v>Егупов Дмитрий Сергеевич</v>
          </cell>
          <cell r="B596" t="str">
            <v>В-28549/АЗ</v>
          </cell>
          <cell r="C596" t="str">
            <v>egupoff75@yandex.ru</v>
          </cell>
          <cell r="D596" t="str">
            <v>egupoff75@yandex.ru</v>
          </cell>
        </row>
        <row r="597">
          <cell r="A597" t="str">
            <v>Егупов Дмитрий Сергеевич</v>
          </cell>
          <cell r="B597" t="str">
            <v>В-28968/АЗ</v>
          </cell>
          <cell r="C597" t="str">
            <v>egupoff75@yandex.ru</v>
          </cell>
          <cell r="D597" t="str">
            <v>egupoff75@yandex.ru</v>
          </cell>
        </row>
        <row r="598">
          <cell r="A598" t="str">
            <v>Елизарова Виктория Андреевна</v>
          </cell>
          <cell r="B598" t="str">
            <v>В-21269/КЛ.Транш - 1</v>
          </cell>
          <cell r="D598" t="str">
            <v>nikulya91@list.ru</v>
          </cell>
        </row>
        <row r="599">
          <cell r="A599" t="str">
            <v>Елисеев Вячеслав Викторович</v>
          </cell>
          <cell r="B599" t="str">
            <v>В-01675/КЛ.Транш - 3</v>
          </cell>
          <cell r="C599" t="str">
            <v>slava-e@list.ru</v>
          </cell>
          <cell r="D599" t="str">
            <v>slava-e@list.ru</v>
          </cell>
        </row>
        <row r="600">
          <cell r="A600" t="str">
            <v>Елисеев Вячеслав Викторович</v>
          </cell>
          <cell r="B600" t="str">
            <v>В-25509/КЛ.Транш - 1</v>
          </cell>
          <cell r="C600" t="str">
            <v>slava-e@list.ru</v>
          </cell>
          <cell r="D600" t="str">
            <v>slava-e@list.ru</v>
          </cell>
        </row>
        <row r="601">
          <cell r="A601" t="str">
            <v>Елистратов Сергей Викторович</v>
          </cell>
          <cell r="B601" t="str">
            <v>В-11447/КЛ.Транш - 1</v>
          </cell>
          <cell r="C601" t="str">
            <v>elistratov83@mail.ru</v>
          </cell>
        </row>
        <row r="602">
          <cell r="A602" t="str">
            <v>Ельшин Владимир Анатольевич</v>
          </cell>
          <cell r="B602" t="str">
            <v>В-01161/АЗ</v>
          </cell>
        </row>
        <row r="603">
          <cell r="A603" t="str">
            <v>Емелин Сергей Анатольевич</v>
          </cell>
          <cell r="B603" t="str">
            <v>В-23655/КЛ.Транш - 2</v>
          </cell>
          <cell r="C603" t="str">
            <v>89536694040@mail.ru</v>
          </cell>
          <cell r="D603" t="str">
            <v>89536694040@mail.ru</v>
          </cell>
        </row>
        <row r="604">
          <cell r="A604" t="str">
            <v>Емелин Сергей Анатольевич</v>
          </cell>
          <cell r="B604" t="str">
            <v>В-23655/КЛ.Транш - 3</v>
          </cell>
          <cell r="C604" t="str">
            <v>89536694040@mail.ru</v>
          </cell>
          <cell r="D604" t="str">
            <v>89536694040@mail.ru</v>
          </cell>
        </row>
        <row r="605">
          <cell r="A605" t="str">
            <v>Емельяненко Александр Николаевич</v>
          </cell>
          <cell r="B605" t="str">
            <v>В-14529/КЛ.Транш - 1</v>
          </cell>
          <cell r="D605" t="str">
            <v>doctor_slyshet@mail.ru</v>
          </cell>
        </row>
        <row r="606">
          <cell r="A606" t="str">
            <v>Ергашев Мухаммаджон Абдувалиевич</v>
          </cell>
          <cell r="B606" t="str">
            <v>В-12042/КЛ.Транш - 1</v>
          </cell>
          <cell r="C606" t="str">
            <v>ergashev2021@mail.ru</v>
          </cell>
        </row>
        <row r="607">
          <cell r="A607" t="str">
            <v>Еременко Сергей Артурович</v>
          </cell>
          <cell r="B607" t="str">
            <v>В-19349/КЛ.Транш - 1</v>
          </cell>
        </row>
        <row r="608">
          <cell r="A608" t="str">
            <v>Еремян Артур Корюнович</v>
          </cell>
          <cell r="B608" t="str">
            <v>В-05135/КЛ.Транш - 1</v>
          </cell>
          <cell r="C608" t="str">
            <v>arut2603@mail.ru</v>
          </cell>
        </row>
        <row r="609">
          <cell r="A609" t="str">
            <v>Ермак Анатолий Антонович</v>
          </cell>
          <cell r="B609" t="str">
            <v>В-01156/АЗ</v>
          </cell>
        </row>
        <row r="610">
          <cell r="A610" t="str">
            <v>Ермаков Владислав Олегович</v>
          </cell>
          <cell r="B610" t="str">
            <v>В-23339/АЗ</v>
          </cell>
          <cell r="C610" t="str">
            <v>ermakovVladuha@gmail.com</v>
          </cell>
        </row>
        <row r="611">
          <cell r="A611" t="str">
            <v>Ермаков Кирилл Андреевич</v>
          </cell>
          <cell r="B611" t="str">
            <v>В-01015/КЛ.Транш - 3</v>
          </cell>
          <cell r="C611" t="str">
            <v>9055511185@mail.ru</v>
          </cell>
        </row>
        <row r="612">
          <cell r="A612" t="str">
            <v>Ермакова Кристина Алексеевна</v>
          </cell>
          <cell r="B612" t="str">
            <v>В-23325/АЗ</v>
          </cell>
          <cell r="C612" t="str">
            <v>kristy00783@mail.ru</v>
          </cell>
        </row>
        <row r="613">
          <cell r="A613" t="str">
            <v>Ермилин Виталий Владимирович</v>
          </cell>
          <cell r="B613" t="str">
            <v>В-19901/КЛ.Транш - 1</v>
          </cell>
          <cell r="D613" t="str">
            <v>vitalijermilin00@gmail.com</v>
          </cell>
        </row>
        <row r="614">
          <cell r="A614" t="str">
            <v>Ермишин Сергей Михайлович</v>
          </cell>
          <cell r="B614" t="str">
            <v>А-05305/АЗ_А-20200626/Ц</v>
          </cell>
          <cell r="C614" t="str">
            <v>s_yermishin@mail.ru</v>
          </cell>
        </row>
        <row r="615">
          <cell r="A615" t="str">
            <v>Ермишин Сергей Михайлович</v>
          </cell>
          <cell r="B615" t="str">
            <v>В-00085/АЗ</v>
          </cell>
          <cell r="C615" t="str">
            <v>s_yermishin@mail.ru</v>
          </cell>
        </row>
        <row r="616">
          <cell r="A616" t="str">
            <v>Ерофеева Марина Игоревна</v>
          </cell>
          <cell r="B616" t="str">
            <v>В-26743/КЛ.Транш - 1</v>
          </cell>
          <cell r="D616" t="str">
            <v>marinae2008@yandex.ru</v>
          </cell>
        </row>
        <row r="617">
          <cell r="A617" t="str">
            <v>Ерохина Маргарида дэ Матушь</v>
          </cell>
          <cell r="B617" t="str">
            <v>В-00183/АЗ</v>
          </cell>
          <cell r="C617" t="str">
            <v>margar79@bk.ru</v>
          </cell>
        </row>
        <row r="618">
          <cell r="A618" t="str">
            <v>Ерохов Андрей Вячеславович</v>
          </cell>
          <cell r="B618" t="str">
            <v>А-04639/АЗ</v>
          </cell>
          <cell r="C618" t="str">
            <v>487397@YANDEX.RU</v>
          </cell>
          <cell r="D618" t="str">
            <v>487397@YANDEX.RU</v>
          </cell>
        </row>
        <row r="619">
          <cell r="A619" t="str">
            <v>Ерошкин Роман Сергеевич</v>
          </cell>
          <cell r="B619" t="str">
            <v>В-04159/КЛ.Транш - 1</v>
          </cell>
          <cell r="C619" t="str">
            <v>skailaner@gmail.com</v>
          </cell>
        </row>
        <row r="620">
          <cell r="A620" t="str">
            <v>Ерошов Дмитрий Иванович</v>
          </cell>
          <cell r="B620" t="str">
            <v>В-03907/КЛ.Транш - 2</v>
          </cell>
          <cell r="C620" t="str">
            <v>Dmitriymoon@mail.ru</v>
          </cell>
        </row>
        <row r="621">
          <cell r="A621" t="str">
            <v>Есиков Алексей Вячеславович</v>
          </cell>
          <cell r="B621" t="str">
            <v>В-09470/КЛ.Транш - 2</v>
          </cell>
          <cell r="C621" t="str">
            <v>erickov.alexel@yandex.ru</v>
          </cell>
        </row>
        <row r="622">
          <cell r="A622" t="str">
            <v>Ефимчук Олег Николаевич</v>
          </cell>
          <cell r="B622" t="str">
            <v>В-00411/АЗ</v>
          </cell>
          <cell r="C622" t="str">
            <v>oleg1465673@gmail.com</v>
          </cell>
        </row>
        <row r="623">
          <cell r="A623" t="str">
            <v>Ефремов Николай Михайлович</v>
          </cell>
          <cell r="B623" t="str">
            <v>В-00540/КЛ.Транш - 1</v>
          </cell>
          <cell r="C623" t="str">
            <v>nikolaj.efremov.2019@mail.ru</v>
          </cell>
        </row>
        <row r="624">
          <cell r="A624" t="str">
            <v>Жалилов Марифжон Махамадаминович</v>
          </cell>
          <cell r="B624" t="str">
            <v>В-12435/КЛ.Транш - 1</v>
          </cell>
        </row>
        <row r="625">
          <cell r="A625" t="str">
            <v>Жалилов Руслан Мамасаитович</v>
          </cell>
          <cell r="B625" t="str">
            <v>В-24798/АЗ</v>
          </cell>
        </row>
        <row r="626">
          <cell r="A626" t="str">
            <v>Жамлиханов Руслан Мигдятович</v>
          </cell>
          <cell r="B626" t="str">
            <v>В-22920/КЛ.Транш - 1</v>
          </cell>
          <cell r="D626" t="str">
            <v>raslanzhamlihanov@yandex.ru</v>
          </cell>
        </row>
        <row r="627">
          <cell r="A627" t="str">
            <v>Жарков Камиль Орифжонович</v>
          </cell>
          <cell r="B627" t="str">
            <v>В-00457/АЗ_Т-20211028/Ц</v>
          </cell>
          <cell r="C627" t="str">
            <v>malish_kamil@mail.ru</v>
          </cell>
          <cell r="D627" t="str">
            <v>malish_kamil@mail.ru</v>
          </cell>
        </row>
        <row r="628">
          <cell r="A628" t="str">
            <v>Желядинов Рустам Максутович</v>
          </cell>
          <cell r="B628" t="str">
            <v>А-04223/АЗ</v>
          </cell>
        </row>
        <row r="629">
          <cell r="A629" t="str">
            <v>Женихов Александр Николаевич</v>
          </cell>
          <cell r="B629" t="str">
            <v>В-20171/КЛ.Транш - 1</v>
          </cell>
          <cell r="D629" t="str">
            <v>zhenihov19880203@gmail.com</v>
          </cell>
        </row>
        <row r="630">
          <cell r="A630" t="str">
            <v>Жирнов Игорь Владимирович</v>
          </cell>
          <cell r="B630" t="str">
            <v>В-08644/КЛ.Транш - 1</v>
          </cell>
          <cell r="C630" t="str">
            <v>vkrasnenitsa@gmail.com</v>
          </cell>
        </row>
        <row r="631">
          <cell r="A631" t="str">
            <v>Житаренко Юрий Иванович</v>
          </cell>
          <cell r="B631" t="str">
            <v>В-10495/КЛ.Транш - 1</v>
          </cell>
        </row>
        <row r="632">
          <cell r="A632" t="str">
            <v>Жолобов Алексей Юрьевич</v>
          </cell>
          <cell r="B632" t="str">
            <v>В-27416/АЗ</v>
          </cell>
          <cell r="D632" t="str">
            <v>alexeyzholobov@mail.ru</v>
          </cell>
        </row>
        <row r="633">
          <cell r="A633" t="str">
            <v>Жубоев Дамир Асланович</v>
          </cell>
          <cell r="B633" t="str">
            <v>В-16541/КЛ.Транш - 1</v>
          </cell>
          <cell r="C633" t="str">
            <v>dzhuboev@gmail.com</v>
          </cell>
        </row>
        <row r="634">
          <cell r="A634" t="str">
            <v>Жумабаев Умар Сонунбекович</v>
          </cell>
          <cell r="B634" t="str">
            <v>В-19597/КЛ.Транш - 1</v>
          </cell>
          <cell r="D634" t="str">
            <v>zhumabaevumar@yandex.ru</v>
          </cell>
        </row>
        <row r="635">
          <cell r="A635" t="str">
            <v>Жумабаев Умар Сонунбекович</v>
          </cell>
          <cell r="B635" t="str">
            <v>В-19597/КЛ.Транш - 2</v>
          </cell>
          <cell r="D635" t="str">
            <v>zhumabaevumar@yandex.ru</v>
          </cell>
        </row>
        <row r="636">
          <cell r="A636" t="str">
            <v>Жумабаев Умар Сонунбекович</v>
          </cell>
          <cell r="B636" t="str">
            <v>В-19597/КЛ.Транш - 3</v>
          </cell>
          <cell r="D636" t="str">
            <v>zhumabaevumar@yandex.ru</v>
          </cell>
        </row>
        <row r="637">
          <cell r="A637" t="str">
            <v>Жумабаев Умар Сонунбекович</v>
          </cell>
          <cell r="B637" t="str">
            <v>В-19597/КЛ.Транш - 4</v>
          </cell>
          <cell r="D637" t="str">
            <v>zhumabaevumar@yandex.ru</v>
          </cell>
        </row>
        <row r="638">
          <cell r="A638" t="str">
            <v>Жумабаев Умар Сонунбекович</v>
          </cell>
          <cell r="B638" t="str">
            <v>В-19597/КЛ.Транш - 5</v>
          </cell>
          <cell r="D638" t="str">
            <v>zhumabaevumar@yandex.ru</v>
          </cell>
        </row>
        <row r="639">
          <cell r="A639" t="str">
            <v>Жумабаев Умар Сонунбекович</v>
          </cell>
          <cell r="B639" t="str">
            <v>В-19597/КЛ.Транш - 6</v>
          </cell>
          <cell r="D639" t="str">
            <v>zhumabaevumar@yandex.ru</v>
          </cell>
        </row>
        <row r="640">
          <cell r="A640" t="str">
            <v>Журавлёв Денис Сергеевич</v>
          </cell>
          <cell r="B640" t="str">
            <v>В-25052/КЛ.Транш - 1</v>
          </cell>
          <cell r="C640" t="str">
            <v>deniszhuravlyev80@gmail.com</v>
          </cell>
          <cell r="D640" t="str">
            <v>deniszhuravlyev80@gmail.com</v>
          </cell>
        </row>
        <row r="641">
          <cell r="A641" t="str">
            <v>Журавлева Анастасия Александровна</v>
          </cell>
          <cell r="B641" t="str">
            <v>В-01098/АЗ</v>
          </cell>
        </row>
        <row r="642">
          <cell r="A642" t="str">
            <v>Журавлева Наталья Юрьевна</v>
          </cell>
          <cell r="B642" t="str">
            <v>В-21208/КЛ.Транш - 1</v>
          </cell>
          <cell r="D642" t="str">
            <v>nata-bird@yandex.ru</v>
          </cell>
        </row>
        <row r="643">
          <cell r="A643" t="str">
            <v>Журавлева Наталья Юрьевна</v>
          </cell>
          <cell r="B643" t="str">
            <v>В-21208/КЛ.Транш - 2</v>
          </cell>
          <cell r="D643" t="str">
            <v>nata-bird@yandex.ru</v>
          </cell>
        </row>
        <row r="644">
          <cell r="A644" t="str">
            <v>Забиров Ринат Шавкатович</v>
          </cell>
          <cell r="B644" t="str">
            <v>В-01179/АЗ_В-20211230/Ц</v>
          </cell>
          <cell r="C644" t="str">
            <v>renarenatov@gmail.com</v>
          </cell>
          <cell r="D644" t="str">
            <v>renarenatov@gmail.com</v>
          </cell>
        </row>
        <row r="645">
          <cell r="A645" t="str">
            <v>Завойских Станислав Вадимович</v>
          </cell>
          <cell r="B645" t="str">
            <v>В-24012/КЛ.Транш - 1</v>
          </cell>
          <cell r="D645" t="str">
            <v>izhwood@gmail.com</v>
          </cell>
        </row>
        <row r="646">
          <cell r="A646" t="str">
            <v>Заворина Елена Георгиевна</v>
          </cell>
          <cell r="B646" t="str">
            <v>В-15073/КЛ.Транш - 3</v>
          </cell>
          <cell r="C646" t="str">
            <v>lena-suleiman@mail.ru</v>
          </cell>
          <cell r="D646" t="str">
            <v>lena-suleiman@mail.ru</v>
          </cell>
        </row>
        <row r="647">
          <cell r="A647" t="str">
            <v>Загорулько Алексей Сергеевич</v>
          </cell>
          <cell r="B647" t="str">
            <v>В-26517/КЛ.Транш - 1</v>
          </cell>
          <cell r="D647" t="str">
            <v>Zajorulkoalexsey8@gmail.com</v>
          </cell>
        </row>
        <row r="648">
          <cell r="A648" t="str">
            <v>Загорулько Елена Михайловна</v>
          </cell>
          <cell r="B648" t="str">
            <v>В-17962/КЛ.Транш - 1</v>
          </cell>
          <cell r="C648" t="str">
            <v>9295634233@list.ru</v>
          </cell>
        </row>
        <row r="649">
          <cell r="A649" t="str">
            <v>Загребельный Юрий Николаевич</v>
          </cell>
          <cell r="B649" t="str">
            <v>В-25407/КЛ.Транш - 1</v>
          </cell>
          <cell r="D649" t="str">
            <v>urgen.81@mail.ru</v>
          </cell>
        </row>
        <row r="650">
          <cell r="A650" t="str">
            <v>Заика Денис Викторович</v>
          </cell>
          <cell r="B650" t="str">
            <v>В-04333/КЛ.Транш - 3</v>
          </cell>
          <cell r="C650" t="str">
            <v>deniszaika86@yandex.ru</v>
          </cell>
        </row>
        <row r="651">
          <cell r="A651" t="str">
            <v>Заика Денис Викторович</v>
          </cell>
          <cell r="B651" t="str">
            <v>В-04333/КЛ.Транш - 7</v>
          </cell>
          <cell r="C651" t="str">
            <v>deniszaika86@yandex.ru</v>
          </cell>
        </row>
        <row r="652">
          <cell r="A652" t="str">
            <v>Заика Денис Викторович</v>
          </cell>
          <cell r="B652" t="str">
            <v>В-04333/КЛ.Транш - 8</v>
          </cell>
          <cell r="C652" t="str">
            <v>deniszaika86@yandex.ru</v>
          </cell>
        </row>
        <row r="653">
          <cell r="A653" t="str">
            <v>Зайцев Антон Эдуардович</v>
          </cell>
          <cell r="B653" t="str">
            <v>В-14196/КЛ.Транш - 1</v>
          </cell>
          <cell r="D653" t="str">
            <v>zaitcev-anton@mail.ru</v>
          </cell>
        </row>
        <row r="654">
          <cell r="A654" t="str">
            <v>Зайцев Владимир Васильевич</v>
          </cell>
          <cell r="B654" t="str">
            <v>В-24363/КЛ.Транш - 1</v>
          </cell>
          <cell r="D654" t="str">
            <v>wowancska280978@gmail.com</v>
          </cell>
        </row>
        <row r="655">
          <cell r="A655" t="str">
            <v>Зайцев Владимир Васильевич</v>
          </cell>
          <cell r="B655" t="str">
            <v>В-24363/КЛ.Транш - 2</v>
          </cell>
          <cell r="D655" t="str">
            <v>wowancska280978@gmail.com</v>
          </cell>
        </row>
        <row r="656">
          <cell r="A656" t="str">
            <v>Зайцев Герман Борисович</v>
          </cell>
          <cell r="B656" t="str">
            <v>В-24984/КЛ.Транш - 1</v>
          </cell>
          <cell r="D656" t="str">
            <v>germasha86@mail.ru</v>
          </cell>
        </row>
        <row r="657">
          <cell r="A657" t="str">
            <v>Зайцев Герман Борисович</v>
          </cell>
          <cell r="B657" t="str">
            <v>В-24984/КЛ.Транш - 2</v>
          </cell>
          <cell r="D657" t="str">
            <v>germasha86@mail.ru</v>
          </cell>
        </row>
        <row r="658">
          <cell r="A658" t="str">
            <v>Зайцев Иван Владимирович</v>
          </cell>
          <cell r="B658" t="str">
            <v>В-13449/КЛ.Транш - 1</v>
          </cell>
          <cell r="D658" t="str">
            <v>vanya-zaytsev@inbox.ru</v>
          </cell>
        </row>
        <row r="659">
          <cell r="A659" t="str">
            <v>Зайцева Светлана Юрьевна</v>
          </cell>
          <cell r="B659" t="str">
            <v>В-22744/КЛ.Транш - 1</v>
          </cell>
          <cell r="C659" t="str">
            <v>svetazajceva01@gmail.com</v>
          </cell>
          <cell r="D659" t="str">
            <v>svetazajceva01@gmail.com</v>
          </cell>
        </row>
        <row r="660">
          <cell r="A660" t="str">
            <v>Залевский Александр Владиславович</v>
          </cell>
          <cell r="B660" t="str">
            <v>В-02641/КЛ.Транш - 1</v>
          </cell>
          <cell r="C660" t="str">
            <v>3369352@MAIL.RU</v>
          </cell>
        </row>
        <row r="661">
          <cell r="A661" t="str">
            <v>Заманов Сулейман Валех оглы</v>
          </cell>
          <cell r="B661" t="str">
            <v>В-00872/АЗ</v>
          </cell>
        </row>
        <row r="662">
          <cell r="A662" t="str">
            <v>Заргаров Насиб Зияддин Оглы</v>
          </cell>
          <cell r="B662" t="str">
            <v>В-00678/КЛ.Транш - 1</v>
          </cell>
          <cell r="C662" t="str">
            <v>nasib_007@mail.ru</v>
          </cell>
        </row>
        <row r="663">
          <cell r="A663" t="str">
            <v>Заргарян Марианна Марленовна</v>
          </cell>
          <cell r="B663" t="str">
            <v>В-15330/КЛ.Транш - 1_В-20211230/Ц</v>
          </cell>
          <cell r="C663" t="str">
            <v>marnar21@mail.ru</v>
          </cell>
        </row>
        <row r="664">
          <cell r="A664" t="str">
            <v>Заречкина Светлана Сергеевна</v>
          </cell>
          <cell r="B664" t="str">
            <v>В-05064/КЛ.Транш - 1</v>
          </cell>
          <cell r="C664" t="str">
            <v>szarechkina@bk.ru</v>
          </cell>
        </row>
        <row r="665">
          <cell r="A665" t="str">
            <v>Зарипов Булат Ульфатович</v>
          </cell>
          <cell r="B665" t="str">
            <v>В-15156/КЛ.Транш - 1</v>
          </cell>
          <cell r="C665" t="str">
            <v>Bulazarip89@gmail.com</v>
          </cell>
          <cell r="D665" t="str">
            <v>Bulazarip89@gmail.com</v>
          </cell>
        </row>
        <row r="666">
          <cell r="A666" t="str">
            <v>Захаркин Алексей Викторович</v>
          </cell>
          <cell r="B666" t="str">
            <v>В-01898/КЛ.Транш - 1</v>
          </cell>
          <cell r="C666" t="str">
            <v>aleksisbest@ya.ru</v>
          </cell>
        </row>
        <row r="667">
          <cell r="A667" t="str">
            <v>Захаркова Ирина Валерьевна</v>
          </cell>
          <cell r="B667" t="str">
            <v>В-11847/КЛ.Транш - 1</v>
          </cell>
          <cell r="C667" t="str">
            <v>zakharkova.ira@mail.ru</v>
          </cell>
        </row>
        <row r="668">
          <cell r="A668" t="str">
            <v>Захаров Виктор Алексеевич</v>
          </cell>
          <cell r="B668" t="str">
            <v>В-28703/КЛ.Транш - 1</v>
          </cell>
          <cell r="C668" t="str">
            <v>vmitino2@ya.ru</v>
          </cell>
          <cell r="D668" t="str">
            <v>vmitino2@ya.ru</v>
          </cell>
        </row>
        <row r="669">
          <cell r="A669" t="str">
            <v>Захаров Евгений Николаевич 2</v>
          </cell>
          <cell r="B669" t="str">
            <v>В-00986/КЛ.Транш - 1</v>
          </cell>
        </row>
        <row r="670">
          <cell r="A670" t="str">
            <v>Захарова Ирина Константиновна</v>
          </cell>
          <cell r="B670" t="str">
            <v>В-12912/КЛ.Транш - 1</v>
          </cell>
        </row>
        <row r="671">
          <cell r="A671" t="str">
            <v>Зеленков Алексей Владимирович</v>
          </cell>
          <cell r="B671" t="str">
            <v>В-08942/КЛ.Транш - 1</v>
          </cell>
          <cell r="C671" t="str">
            <v>1544400@mail.ru</v>
          </cell>
        </row>
        <row r="672">
          <cell r="A672" t="str">
            <v>Зеленский Альберт Александрович</v>
          </cell>
          <cell r="B672" t="str">
            <v>В-00100/АЗ</v>
          </cell>
          <cell r="C672" t="str">
            <v>RUSIY.ANGEL@GMAIL.COM</v>
          </cell>
        </row>
        <row r="673">
          <cell r="A673" t="str">
            <v>Зеленский Валентин Викторович</v>
          </cell>
          <cell r="B673" t="str">
            <v>В-15021/КЛ.Транш - 3</v>
          </cell>
          <cell r="D673" t="str">
            <v>1765159@mail.ru</v>
          </cell>
        </row>
        <row r="674">
          <cell r="A674" t="str">
            <v>Зеленский Валентин Викторович</v>
          </cell>
          <cell r="B674" t="str">
            <v>В-15021/КЛ.Транш - 4</v>
          </cell>
          <cell r="D674" t="str">
            <v>1765159@mail.ru</v>
          </cell>
        </row>
        <row r="675">
          <cell r="A675" t="str">
            <v>Зеленский Валентин Викторович</v>
          </cell>
          <cell r="B675" t="str">
            <v>В-15021/КЛ.Транш - 5</v>
          </cell>
          <cell r="D675" t="str">
            <v>1765159@mail.ru</v>
          </cell>
        </row>
        <row r="676">
          <cell r="A676" t="str">
            <v>Зелинский Антон Павлович</v>
          </cell>
          <cell r="B676" t="str">
            <v>В-17310/КЛ.Транш - 1</v>
          </cell>
          <cell r="D676" t="str">
            <v>Frenki27@mail.ru</v>
          </cell>
        </row>
        <row r="677">
          <cell r="A677" t="str">
            <v>Зенин Александр Петрович</v>
          </cell>
          <cell r="B677" t="str">
            <v>А-04751/АЗ</v>
          </cell>
        </row>
        <row r="678">
          <cell r="A678" t="str">
            <v>Зинина Анна Вячеславовна</v>
          </cell>
          <cell r="B678" t="str">
            <v>В-14560/КЛ.Транш - 2</v>
          </cell>
          <cell r="D678" t="str">
            <v>saz_78@mail.ru</v>
          </cell>
        </row>
        <row r="679">
          <cell r="A679" t="str">
            <v>Зинина Анна Вячеславовна</v>
          </cell>
          <cell r="B679" t="str">
            <v>В-14560/КЛ.Транш - 3</v>
          </cell>
          <cell r="D679" t="str">
            <v>saz_78@mail.ru</v>
          </cell>
        </row>
        <row r="680">
          <cell r="A680" t="str">
            <v>Зинкевич Константин Владимирович</v>
          </cell>
          <cell r="B680" t="str">
            <v>В-17167/КЛ.Транш - 1</v>
          </cell>
          <cell r="D680" t="str">
            <v>zinckevitzhkonstantin@mail.ru</v>
          </cell>
        </row>
        <row r="681">
          <cell r="A681" t="str">
            <v>Зиновьева Елена Николаевна</v>
          </cell>
          <cell r="B681" t="str">
            <v>В-15831/КЛ.Транш - 1</v>
          </cell>
          <cell r="C681" t="str">
            <v>lenaaoshkol32@mail.ru</v>
          </cell>
          <cell r="D681" t="str">
            <v>lenaaoshkol32@mail.ru</v>
          </cell>
        </row>
        <row r="682">
          <cell r="A682" t="str">
            <v>Зияев Азиз Джамшедович</v>
          </cell>
          <cell r="B682" t="str">
            <v>В-00832/АЗ_В-20211230/Ц</v>
          </cell>
        </row>
        <row r="683">
          <cell r="A683" t="str">
            <v>Зияев Азиз Джамшедович</v>
          </cell>
          <cell r="B683" t="str">
            <v>В-00833/АЗ_В-20211230/Ц</v>
          </cell>
        </row>
        <row r="684">
          <cell r="A684" t="str">
            <v>Зияев Азиз Джамшедович</v>
          </cell>
          <cell r="B684" t="str">
            <v>В-00835/АЗ_В-20211230/Ц</v>
          </cell>
        </row>
        <row r="685">
          <cell r="A685" t="str">
            <v>Зияев Азиз Джамшедович</v>
          </cell>
          <cell r="B685" t="str">
            <v>В-00836/АЗ_В-20211230/Ц</v>
          </cell>
        </row>
        <row r="686">
          <cell r="A686" t="str">
            <v>Златин Денис Петрович</v>
          </cell>
          <cell r="B686" t="str">
            <v>В-24927/КЛ.Транш - 1</v>
          </cell>
        </row>
        <row r="687">
          <cell r="A687" t="str">
            <v>Змиевский Владимир Владимирович</v>
          </cell>
          <cell r="B687" t="str">
            <v>В-00953/АЗ</v>
          </cell>
          <cell r="C687" t="str">
            <v>vladimir2105@yandex.ru</v>
          </cell>
        </row>
        <row r="688">
          <cell r="A688" t="str">
            <v>Зозулич Мария Федоровна</v>
          </cell>
          <cell r="B688" t="str">
            <v>В-15735/КЛ.Транш - 2</v>
          </cell>
          <cell r="D688" t="str">
            <v>mariya.zozulich@mail.ru</v>
          </cell>
        </row>
        <row r="689">
          <cell r="A689" t="str">
            <v>Золотарева Марина Владимировна 2</v>
          </cell>
          <cell r="B689" t="str">
            <v>В-20713/КЛ.Транш - 1</v>
          </cell>
          <cell r="D689" t="str">
            <v>fevraieva0608@yandex.ru</v>
          </cell>
        </row>
        <row r="690">
          <cell r="A690" t="str">
            <v>Золотарева Марина Владимировна 2</v>
          </cell>
          <cell r="B690" t="str">
            <v>В-20713/КЛ.Транш - 2</v>
          </cell>
          <cell r="D690" t="str">
            <v>fevraieva0608@yandex.ru</v>
          </cell>
        </row>
        <row r="691">
          <cell r="A691" t="str">
            <v>Золотов Олег Владимирович</v>
          </cell>
          <cell r="B691" t="str">
            <v>В-23840/КЛ.Транш - 1</v>
          </cell>
          <cell r="C691" t="str">
            <v>zabota76@mail.ru</v>
          </cell>
          <cell r="D691" t="str">
            <v>zabota76@mail.ru</v>
          </cell>
        </row>
        <row r="692">
          <cell r="A692" t="str">
            <v>Зотов Дмитрий Анатольевич</v>
          </cell>
          <cell r="B692" t="str">
            <v>В-23555/КЛ.Транш - 1</v>
          </cell>
          <cell r="D692" t="str">
            <v>d.a.zotov84@mail.ru</v>
          </cell>
        </row>
        <row r="693">
          <cell r="A693" t="str">
            <v>Зотов Дмитрий Анатольевич</v>
          </cell>
          <cell r="B693" t="str">
            <v>В-23555/КЛ.Транш - 2</v>
          </cell>
          <cell r="D693" t="str">
            <v>d.a.zotov84@mail.ru</v>
          </cell>
        </row>
        <row r="694">
          <cell r="A694" t="str">
            <v>Зубов Виталий Владимирович</v>
          </cell>
          <cell r="B694" t="str">
            <v>В-06343/КЛ.Транш - 1</v>
          </cell>
          <cell r="C694" t="str">
            <v>vzv1@yandex.ru</v>
          </cell>
        </row>
        <row r="695">
          <cell r="A695" t="str">
            <v>Зубов Виталий Владимирович</v>
          </cell>
          <cell r="B695" t="str">
            <v>В-06343/КЛ.Транш - 2</v>
          </cell>
          <cell r="C695" t="str">
            <v>vzv1@yandex.ru</v>
          </cell>
        </row>
        <row r="696">
          <cell r="A696" t="str">
            <v>Зуева Мария Михайловна</v>
          </cell>
          <cell r="B696" t="str">
            <v>В-22996/КЛ.Транш - 1</v>
          </cell>
          <cell r="D696" t="str">
            <v>Mary.zueva1999@gmail.com</v>
          </cell>
        </row>
        <row r="697">
          <cell r="A697" t="str">
            <v>Зуева Мария Михайловна</v>
          </cell>
          <cell r="B697" t="str">
            <v>В-22996/КЛ.Транш - 2</v>
          </cell>
          <cell r="D697" t="str">
            <v>Mary.zueva1999@gmail.com</v>
          </cell>
        </row>
        <row r="698">
          <cell r="A698" t="str">
            <v>Зуева Мария Михайловна</v>
          </cell>
          <cell r="B698" t="str">
            <v>В-22996/КЛ.Транш - 3</v>
          </cell>
          <cell r="D698" t="str">
            <v>Mary.zueva1999@gmail.com</v>
          </cell>
        </row>
        <row r="699">
          <cell r="A699" t="str">
            <v>Зуева Мария Михайловна</v>
          </cell>
          <cell r="B699" t="str">
            <v>В-22996/КЛ.Транш - 4</v>
          </cell>
          <cell r="D699" t="str">
            <v>Mary.zueva1999@gmail.com</v>
          </cell>
        </row>
        <row r="700">
          <cell r="A700" t="str">
            <v>Зуева Светлана Григорьевна</v>
          </cell>
          <cell r="B700" t="str">
            <v>А-04955/АЗ</v>
          </cell>
        </row>
        <row r="701">
          <cell r="A701" t="str">
            <v>Зюба Наталья Сергеевна</v>
          </cell>
          <cell r="B701" t="str">
            <v>В-01634/КЛ.Транш - 4</v>
          </cell>
          <cell r="C701" t="str">
            <v>zuba.n@mail.ru</v>
          </cell>
        </row>
        <row r="702">
          <cell r="A702" t="str">
            <v>Зюнин Александр Сергеевич</v>
          </cell>
          <cell r="B702" t="str">
            <v>В-11781/КЛ.Транш - 2</v>
          </cell>
          <cell r="C702" t="str">
            <v>zyunin@zavodarmtec.ru</v>
          </cell>
          <cell r="D702" t="str">
            <v>zyunin@zavodarmtec.ru</v>
          </cell>
        </row>
        <row r="703">
          <cell r="A703" t="str">
            <v>Зюнин Александр Сергеевич</v>
          </cell>
          <cell r="B703" t="str">
            <v>В-11781/КЛ.Транш - 3</v>
          </cell>
          <cell r="C703" t="str">
            <v>zyunin@zavodarmtec.ru</v>
          </cell>
          <cell r="D703" t="str">
            <v>zyunin@zavodarmtec.ru</v>
          </cell>
        </row>
        <row r="704">
          <cell r="A704" t="str">
            <v>Ибрагимов Асхаб Ибрагимович</v>
          </cell>
          <cell r="B704" t="str">
            <v>В-24610/КЛ.Транш - 1</v>
          </cell>
          <cell r="C704" t="str">
            <v>pimzag05@icloud.com</v>
          </cell>
          <cell r="D704" t="str">
            <v>pimzag05@icloud.com</v>
          </cell>
        </row>
        <row r="705">
          <cell r="A705" t="str">
            <v>Ибрагимов Тимирбулат Мусаевич</v>
          </cell>
          <cell r="B705" t="str">
            <v>В-06092/КЛ.Транш - 1</v>
          </cell>
          <cell r="C705" t="str">
            <v>timirbulat84@mail.ru</v>
          </cell>
        </row>
        <row r="706">
          <cell r="A706" t="str">
            <v>Ивакин Тимофей Геннадьевич</v>
          </cell>
          <cell r="B706" t="str">
            <v>В-17852/КЛ.Транш - 1_В-20211230/Ц</v>
          </cell>
          <cell r="D706" t="str">
            <v>ivakintimm@yandex.ru</v>
          </cell>
        </row>
        <row r="707">
          <cell r="A707" t="str">
            <v>Иванец Дмитрий Андреевич</v>
          </cell>
          <cell r="B707" t="str">
            <v>В-00823/АЗ</v>
          </cell>
          <cell r="C707" t="str">
            <v>dm.ivanets@gmail.com</v>
          </cell>
        </row>
        <row r="708">
          <cell r="A708" t="str">
            <v>Иванов Александр Сергеевич</v>
          </cell>
          <cell r="B708" t="str">
            <v>В-23782/КЛ.Транш - 4</v>
          </cell>
          <cell r="C708" t="str">
            <v>9162049438@mail.ru</v>
          </cell>
        </row>
        <row r="709">
          <cell r="A709" t="str">
            <v>Иванов Александр Сергеевич</v>
          </cell>
          <cell r="B709" t="str">
            <v>В-23782/КЛ.Транш - 5</v>
          </cell>
          <cell r="C709" t="str">
            <v>9162049438@mail.ru</v>
          </cell>
        </row>
        <row r="710">
          <cell r="A710" t="str">
            <v>Иванов Алексей Александрович</v>
          </cell>
          <cell r="B710" t="str">
            <v>В-03465/КЛ.Транш - 1</v>
          </cell>
          <cell r="D710" t="str">
            <v>port.taman.ivanov@gmail.com</v>
          </cell>
        </row>
        <row r="711">
          <cell r="A711" t="str">
            <v>Иванов Антон Олегович</v>
          </cell>
          <cell r="B711" t="str">
            <v>В-17095/КЛ.Транш - 1</v>
          </cell>
          <cell r="D711" t="str">
            <v>tox100500@mail.ru</v>
          </cell>
        </row>
        <row r="712">
          <cell r="A712" t="str">
            <v>Иванов Борис Александрович</v>
          </cell>
          <cell r="B712" t="str">
            <v>В-17625/КЛ.Транш - 1_В-20211230/Ц</v>
          </cell>
          <cell r="D712" t="str">
            <v>borisivanov1209@gmail.com</v>
          </cell>
        </row>
        <row r="713">
          <cell r="A713" t="str">
            <v>Иванов Владимир Леонидович</v>
          </cell>
          <cell r="B713" t="str">
            <v>В-11534/КЛ.Транш - 1</v>
          </cell>
          <cell r="C713" t="str">
            <v>alldata_33@rambler.ru</v>
          </cell>
        </row>
        <row r="714">
          <cell r="A714" t="str">
            <v>Иванов Владимир Леонидович</v>
          </cell>
          <cell r="B714" t="str">
            <v>В-11534/КЛ.Транш - 2</v>
          </cell>
          <cell r="C714" t="str">
            <v>alldata_33@rambler.ru</v>
          </cell>
        </row>
        <row r="715">
          <cell r="A715" t="str">
            <v>Иванов Евгений Владимирович</v>
          </cell>
          <cell r="B715" t="str">
            <v>А-00063/БЭ</v>
          </cell>
          <cell r="C715" t="str">
            <v>7296324@INBOX.RU</v>
          </cell>
          <cell r="D715" t="str">
            <v>7296324@INBOX.RU</v>
          </cell>
        </row>
        <row r="716">
          <cell r="A716" t="str">
            <v>Иванов Евгений Владимирович</v>
          </cell>
          <cell r="B716" t="str">
            <v>Т-00038/БЭ_Т-20211028/Ц</v>
          </cell>
          <cell r="C716" t="str">
            <v>7296324@INBOX.RU</v>
          </cell>
          <cell r="D716" t="str">
            <v>7296324@INBOX.RU</v>
          </cell>
        </row>
        <row r="717">
          <cell r="A717" t="str">
            <v>Иванов Илья Андреевич</v>
          </cell>
          <cell r="B717" t="str">
            <v>В-18216/КЛ.Транш - 1</v>
          </cell>
          <cell r="D717" t="str">
            <v>pustomerzha14@gmail.com</v>
          </cell>
        </row>
        <row r="718">
          <cell r="A718" t="str">
            <v>Иванов Николай Александрович</v>
          </cell>
          <cell r="B718" t="str">
            <v>В-17061/КЛ.Транш - 1</v>
          </cell>
          <cell r="D718" t="str">
            <v>ivanov_nikolay@list.ru</v>
          </cell>
        </row>
        <row r="719">
          <cell r="A719" t="str">
            <v>Иванов Сергей Викторович</v>
          </cell>
          <cell r="B719" t="str">
            <v>А-05285/АЗ_Т-20200626/Ц</v>
          </cell>
          <cell r="C719" t="str">
            <v>SERGIV21@YANDEX.RU</v>
          </cell>
          <cell r="D719" t="str">
            <v>SERGIV21@YANDEX.RU</v>
          </cell>
        </row>
        <row r="720">
          <cell r="A720" t="str">
            <v>Иванов Сергей Викторович</v>
          </cell>
          <cell r="B720" t="str">
            <v>Т-01775/АЗ_Т-20200626/Ц</v>
          </cell>
          <cell r="C720" t="str">
            <v>SERGIV21@YANDEX.RU</v>
          </cell>
          <cell r="D720" t="str">
            <v>SERGIV21@YANDEX.RU</v>
          </cell>
        </row>
        <row r="721">
          <cell r="A721" t="str">
            <v>Иванченко Сергей Александрович</v>
          </cell>
          <cell r="B721" t="str">
            <v>В-12551/КЛ.Транш - 1</v>
          </cell>
          <cell r="C721" t="str">
            <v>sergey.ivanchenko1987@mail.ru</v>
          </cell>
          <cell r="D721" t="str">
            <v>sergey.ivanchenko1987@mail.ru</v>
          </cell>
        </row>
        <row r="722">
          <cell r="A722" t="str">
            <v>Ивкин Александр Викторович</v>
          </cell>
          <cell r="B722" t="str">
            <v>В-17362/КЛ.Транш - 1</v>
          </cell>
          <cell r="D722" t="str">
            <v>alex76060@mail.ru</v>
          </cell>
        </row>
        <row r="723">
          <cell r="A723" t="str">
            <v>Ивлева Ольга Николаевна</v>
          </cell>
          <cell r="B723" t="str">
            <v>В-00972/АЗ</v>
          </cell>
          <cell r="C723" t="str">
            <v>Laliya1980@mail.ru</v>
          </cell>
        </row>
        <row r="724">
          <cell r="A724" t="str">
            <v>Игнатенко Александр Анатольевич</v>
          </cell>
          <cell r="B724" t="str">
            <v>В-01146/АЗ</v>
          </cell>
          <cell r="C724" t="str">
            <v>proamce@mail.ru</v>
          </cell>
          <cell r="D724" t="str">
            <v>proamce@mail.ru</v>
          </cell>
        </row>
        <row r="725">
          <cell r="A725" t="str">
            <v>Игнатенко Вера Александровна</v>
          </cell>
          <cell r="B725" t="str">
            <v>В-01145/АЗ</v>
          </cell>
        </row>
        <row r="726">
          <cell r="A726" t="str">
            <v>Иджян Соломон Сергеевич</v>
          </cell>
          <cell r="B726" t="str">
            <v>А-05208/АЗ</v>
          </cell>
        </row>
        <row r="727">
          <cell r="A727" t="str">
            <v>Иджян Соломон Сергеевич</v>
          </cell>
          <cell r="B727" t="str">
            <v>Т-01758/АЗ_А-20200626/Ц</v>
          </cell>
        </row>
        <row r="728">
          <cell r="A728" t="str">
            <v>Измайлова Юлия Игоревна</v>
          </cell>
          <cell r="B728" t="str">
            <v>В-19662/КЛ.Транш - 1</v>
          </cell>
          <cell r="D728" t="str">
            <v>w3906540@mail.ru</v>
          </cell>
        </row>
        <row r="729">
          <cell r="A729" t="str">
            <v>Изотов Александр Анатольевич</v>
          </cell>
          <cell r="B729" t="str">
            <v>В-01227/АЗ</v>
          </cell>
          <cell r="C729" t="str">
            <v>izot.al@gmail.com</v>
          </cell>
          <cell r="D729" t="str">
            <v>izot.al@gmail.com</v>
          </cell>
        </row>
        <row r="730">
          <cell r="A730" t="str">
            <v>Ильин Руслан Михайлович</v>
          </cell>
          <cell r="B730" t="str">
            <v>В-28544/КЛ.Транш - 1</v>
          </cell>
          <cell r="D730" t="str">
            <v>i.89891995183@yandex.ru</v>
          </cell>
        </row>
        <row r="731">
          <cell r="A731" t="str">
            <v>Ильин Сергей Михайлович</v>
          </cell>
          <cell r="B731" t="str">
            <v>В-09203/КЛ.Транш - 1</v>
          </cell>
          <cell r="C731" t="str">
            <v>serega9578320@yandex.ru</v>
          </cell>
        </row>
        <row r="732">
          <cell r="A732" t="str">
            <v>Ильинский Владимир Юрьевич</v>
          </cell>
          <cell r="B732" t="str">
            <v>В-16915/КЛ.Транш - 1</v>
          </cell>
          <cell r="D732" t="str">
            <v>ilynsky@mail.ru</v>
          </cell>
        </row>
        <row r="733">
          <cell r="A733" t="str">
            <v>Ильченко Анастасия Сергеевна</v>
          </cell>
          <cell r="B733" t="str">
            <v>В-00320/КЛ.Транш - 1</v>
          </cell>
        </row>
        <row r="734">
          <cell r="A734" t="str">
            <v>Инджелер Фатих</v>
          </cell>
          <cell r="B734" t="str">
            <v>В-10278/КЛ.Транш - 1</v>
          </cell>
          <cell r="C734" t="str">
            <v>indzelerfatih@gmail.com</v>
          </cell>
        </row>
        <row r="735">
          <cell r="A735" t="str">
            <v>Инютин Никита Александрович</v>
          </cell>
          <cell r="B735" t="str">
            <v>В-25747/КЛ.Транш - 1</v>
          </cell>
          <cell r="D735" t="str">
            <v>inyutin.nik@yandex.ru</v>
          </cell>
        </row>
        <row r="736">
          <cell r="A736" t="str">
            <v>ИП Аббасов Амин Тофиг Оглы</v>
          </cell>
          <cell r="B736" t="str">
            <v>А-10045/КЭ.Транш - 2</v>
          </cell>
          <cell r="C736" t="str">
            <v>9643724946@mail.ru</v>
          </cell>
        </row>
        <row r="737">
          <cell r="A737" t="str">
            <v>ИП Акулич Александр Сергеевич</v>
          </cell>
          <cell r="B737" t="str">
            <v>А-10061/КЭ.Транш - 1</v>
          </cell>
          <cell r="C737" t="str">
            <v>akulichalex@gmail.com</v>
          </cell>
        </row>
        <row r="738">
          <cell r="A738" t="str">
            <v>ИП Антонов Павел Владимирович</v>
          </cell>
          <cell r="B738" t="str">
            <v>А-10100/КЭ.Транш - 3</v>
          </cell>
          <cell r="C738" t="str">
            <v>ostrov442@yandex.ru</v>
          </cell>
        </row>
        <row r="739">
          <cell r="A739" t="str">
            <v>ИП Аракелян Мелине Микаеловна</v>
          </cell>
          <cell r="B739" t="str">
            <v>В-00054/КЭ.Транш - 1</v>
          </cell>
          <cell r="C739" t="str">
            <v>arakelyan.milen@yandex.ru</v>
          </cell>
        </row>
        <row r="740">
          <cell r="A740" t="str">
            <v>ИП Артемов Александр Викторович</v>
          </cell>
          <cell r="B740" t="str">
            <v>В-30007/КЭ.Транш - 1</v>
          </cell>
          <cell r="C740" t="str">
            <v>aartemov-k@rambler.ru</v>
          </cell>
          <cell r="D740" t="str">
            <v>aartemov-k@rambler.ru</v>
          </cell>
        </row>
        <row r="741">
          <cell r="A741" t="str">
            <v>ИП Артемов Александр Викторович</v>
          </cell>
          <cell r="B741" t="str">
            <v>В-30007/КЭ.Транш - 2</v>
          </cell>
          <cell r="C741" t="str">
            <v>aartemov-k@rambler.ru</v>
          </cell>
          <cell r="D741" t="str">
            <v>aartemov-k@rambler.ru</v>
          </cell>
        </row>
        <row r="742">
          <cell r="A742" t="str">
            <v>ИП Арутюнян Ваге Андреасович</v>
          </cell>
          <cell r="B742" t="str">
            <v>В-00021/КЭ.Транш - 1</v>
          </cell>
          <cell r="D742" t="str">
            <v>vage55555@mail.ru</v>
          </cell>
        </row>
        <row r="743">
          <cell r="A743" t="str">
            <v>ИП Байрахтарян Артём Григорьевич</v>
          </cell>
          <cell r="B743" t="str">
            <v>В-00069/КЭ.Транш - 1</v>
          </cell>
          <cell r="C743" t="str">
            <v>9695252@mail.ru</v>
          </cell>
          <cell r="D743" t="str">
            <v>9695252@mail.ru</v>
          </cell>
        </row>
        <row r="744">
          <cell r="A744" t="str">
            <v>ИП Белан Надежда Александровна</v>
          </cell>
          <cell r="B744" t="str">
            <v>В-30001/КЭ.Транш - 1</v>
          </cell>
          <cell r="C744" t="str">
            <v>dom-kuchugury@yandex.ru</v>
          </cell>
        </row>
        <row r="745">
          <cell r="A745" t="str">
            <v>ИП Белов Александр Сергеевич</v>
          </cell>
          <cell r="B745" t="str">
            <v>В-00060/КЭ.Транш - 1</v>
          </cell>
          <cell r="C745" t="str">
            <v>ail955@mail.ru</v>
          </cell>
        </row>
        <row r="746">
          <cell r="A746" t="str">
            <v>ИП Беляева Виктория Александровна</v>
          </cell>
          <cell r="B746" t="str">
            <v>А-10063/КЭ.Транш - 1</v>
          </cell>
          <cell r="C746" t="str">
            <v>bellyvik@yandex.ru</v>
          </cell>
        </row>
        <row r="747">
          <cell r="A747" t="str">
            <v>ИП Богданова Лариса Анатольевна</v>
          </cell>
          <cell r="B747" t="str">
            <v>Т-10005/КЭ_Т-20211028/Ц</v>
          </cell>
          <cell r="C747" t="str">
            <v>teem2003@mail.ru</v>
          </cell>
        </row>
        <row r="748">
          <cell r="A748" t="str">
            <v>ИП Бойко Василий Анатольевич</v>
          </cell>
          <cell r="B748" t="str">
            <v>Т-00004/КЭ_Т-20211028/Ц</v>
          </cell>
          <cell r="C748" t="str">
            <v>varezhkacafe@yandex.ru</v>
          </cell>
        </row>
        <row r="749">
          <cell r="A749" t="str">
            <v>ИП Быданов Кирилл Владимирович</v>
          </cell>
          <cell r="B749" t="str">
            <v>А-10087/КЭ.Транш - 1</v>
          </cell>
          <cell r="C749" t="str">
            <v>kirvb@mail.ru</v>
          </cell>
        </row>
        <row r="750">
          <cell r="A750" t="str">
            <v>ИП Вертейко Алексей Михайлович</v>
          </cell>
          <cell r="B750" t="str">
            <v>В-30003/КЭ.Транш - 1</v>
          </cell>
          <cell r="D750" t="str">
            <v>verteyko.a_cofi@mail.ru</v>
          </cell>
        </row>
        <row r="751">
          <cell r="A751" t="str">
            <v>ИП Грозин Андрей Викторович</v>
          </cell>
          <cell r="B751" t="str">
            <v>А-00281/КЭ.Транш - 3</v>
          </cell>
          <cell r="C751" t="str">
            <v>info@grozin.ru</v>
          </cell>
        </row>
        <row r="752">
          <cell r="A752" t="str">
            <v>ИП Грозин Андрей Викторович</v>
          </cell>
          <cell r="B752" t="str">
            <v>А-00389/КЭ.Транш - 1</v>
          </cell>
          <cell r="C752" t="str">
            <v>info@grozin.ru</v>
          </cell>
        </row>
        <row r="753">
          <cell r="A753" t="str">
            <v>ИП Грозин Андрей Викторович</v>
          </cell>
          <cell r="B753" t="str">
            <v>А-00389/КЭ.Транш - 2</v>
          </cell>
          <cell r="C753" t="str">
            <v>info@grozin.ru</v>
          </cell>
        </row>
        <row r="754">
          <cell r="A754" t="str">
            <v>ИП Деньга Виктор Иванович</v>
          </cell>
          <cell r="B754" t="str">
            <v>В-00079/КЭ.Транш - 1</v>
          </cell>
          <cell r="C754" t="str">
            <v>dengavi@mail.ru</v>
          </cell>
        </row>
        <row r="755">
          <cell r="A755" t="str">
            <v>ИП Жаворонков Сергей Владимирович</v>
          </cell>
          <cell r="B755" t="str">
            <v>В-00043/КЭ.Транш - 1</v>
          </cell>
          <cell r="C755" t="str">
            <v>one@murom-hockey.com</v>
          </cell>
          <cell r="D755" t="str">
            <v>one@murom-hockey.com</v>
          </cell>
        </row>
        <row r="756">
          <cell r="A756" t="str">
            <v>ИП Зинченко Аркадий Александрович</v>
          </cell>
          <cell r="B756" t="str">
            <v>Т-10006/КЭ_Т-20211028/Ц</v>
          </cell>
          <cell r="C756" t="str">
            <v>vol-vo@mail.ru</v>
          </cell>
        </row>
        <row r="757">
          <cell r="A757" t="str">
            <v>ИП Камшонков Александр Владимирович</v>
          </cell>
          <cell r="B757" t="str">
            <v>Т-00008/КЭ_Т-20211028/Ц</v>
          </cell>
          <cell r="C757" t="str">
            <v>kamshonkov@mail.ru</v>
          </cell>
        </row>
        <row r="758">
          <cell r="A758" t="str">
            <v>ИП Керимов Азер Байрам Оглы</v>
          </cell>
          <cell r="B758" t="str">
            <v>В-00051/КЭ.Транш - 1</v>
          </cell>
        </row>
        <row r="759">
          <cell r="A759" t="str">
            <v>ИП Клименченко Ирина Анатольевна</v>
          </cell>
          <cell r="B759" t="str">
            <v>А-30002/КЭ.Транш - 1</v>
          </cell>
          <cell r="C759" t="str">
            <v>klimenchenko.i@yandex.ru</v>
          </cell>
        </row>
        <row r="760">
          <cell r="A760" t="str">
            <v>ИП Клякин Станислав Анатольевич</v>
          </cell>
          <cell r="B760" t="str">
            <v>Т-00002/КЭ_Т-20211028/Ц</v>
          </cell>
          <cell r="C760" t="str">
            <v>Klyakin@inbox.ru</v>
          </cell>
        </row>
        <row r="761">
          <cell r="A761" t="str">
            <v>ИП Королев Александр Владимирович</v>
          </cell>
          <cell r="B761" t="str">
            <v>А-10036/КЭ.Транш - 1</v>
          </cell>
        </row>
        <row r="762">
          <cell r="A762" t="str">
            <v>ИП Кругляк Наталья Анатольевна</v>
          </cell>
          <cell r="B762" t="str">
            <v>Т-00001/КЭ_Т-20211028/Ц</v>
          </cell>
          <cell r="C762" t="str">
            <v>nat_green_eye@mail.ru</v>
          </cell>
        </row>
        <row r="763">
          <cell r="A763" t="str">
            <v>ИП Леднева Елена Владимировна</v>
          </cell>
          <cell r="B763" t="str">
            <v>Т-10007/КЭ_Т-20211028/Ц</v>
          </cell>
          <cell r="C763" t="str">
            <v>lednewae@mail.ru</v>
          </cell>
        </row>
        <row r="764">
          <cell r="A764" t="str">
            <v>ИП Мамедов Рамин Алим Оглы</v>
          </cell>
          <cell r="B764" t="str">
            <v>В-00081/КЭ.Транш - 1</v>
          </cell>
          <cell r="C764" t="str">
            <v>mamedov749@icloud.com</v>
          </cell>
          <cell r="D764" t="str">
            <v>mamedov749@icloud.com</v>
          </cell>
        </row>
        <row r="765">
          <cell r="A765" t="str">
            <v>ИП Мамедов Эльдар Эльдарович</v>
          </cell>
          <cell r="B765" t="str">
            <v>А-00314/КЭ.Транш - 1</v>
          </cell>
          <cell r="C765" t="str">
            <v>loc-002@mail.ru</v>
          </cell>
        </row>
        <row r="766">
          <cell r="A766" t="str">
            <v>ИП Махавкина Валентина Николаевна</v>
          </cell>
          <cell r="B766" t="str">
            <v>А-10066/КЭ.Транш - 2</v>
          </cell>
          <cell r="C766" t="str">
            <v>valentinan5656@mail.ru</v>
          </cell>
        </row>
        <row r="767">
          <cell r="A767" t="str">
            <v>ИП Махавкина Валентина Николаевна</v>
          </cell>
          <cell r="B767" t="str">
            <v>А-10066/КЭ.Транш - 3</v>
          </cell>
          <cell r="C767" t="str">
            <v>valentinan5656@mail.ru</v>
          </cell>
        </row>
        <row r="768">
          <cell r="A768" t="str">
            <v>ИП Махавкина Валентина Николаевна</v>
          </cell>
          <cell r="B768" t="str">
            <v>А-10066/КЭ.Транш - 4</v>
          </cell>
          <cell r="C768" t="str">
            <v>valentinan5656@mail.ru</v>
          </cell>
        </row>
        <row r="769">
          <cell r="A769" t="str">
            <v>ИП Месропян Аревик Орбеловна</v>
          </cell>
          <cell r="B769" t="str">
            <v>В-00063/КЭ.Транш - 3</v>
          </cell>
          <cell r="C769" t="str">
            <v>1969arevik@mail.ru</v>
          </cell>
          <cell r="D769" t="str">
            <v>1969arevik@mail.ru</v>
          </cell>
        </row>
        <row r="770">
          <cell r="A770" t="str">
            <v>ИП Мехтиев Артём Викторович</v>
          </cell>
          <cell r="B770" t="str">
            <v>А-00255/КЭ.Транш - 1</v>
          </cell>
          <cell r="C770" t="str">
            <v>6797649@mail.ru</v>
          </cell>
        </row>
        <row r="771">
          <cell r="A771" t="str">
            <v>ИП Нартоков Анзор Русланович</v>
          </cell>
          <cell r="B771" t="str">
            <v>А-00309/КЭ.Транш - 1</v>
          </cell>
          <cell r="C771" t="str">
            <v>dzora92@mail.ru</v>
          </cell>
        </row>
        <row r="772">
          <cell r="A772" t="str">
            <v>ИП Нартоков Анзор Русланович</v>
          </cell>
          <cell r="B772" t="str">
            <v>А-00309/КЭ.Транш - 2</v>
          </cell>
          <cell r="C772" t="str">
            <v>dzora92@mail.ru</v>
          </cell>
        </row>
        <row r="773">
          <cell r="A773" t="str">
            <v>ИП Окунева Лилия Викторовна</v>
          </cell>
          <cell r="B773" t="str">
            <v>В-00052/КЭ.Транш - 1</v>
          </cell>
          <cell r="C773" t="str">
            <v>Liliaokunewa@yandex.ru</v>
          </cell>
          <cell r="D773" t="str">
            <v>Liliaokunewa@yandex.ru</v>
          </cell>
        </row>
        <row r="774">
          <cell r="A774" t="str">
            <v>ИП Петров Юрий Викторович</v>
          </cell>
          <cell r="B774" t="str">
            <v>В-10025/КЭ.Транш - 1</v>
          </cell>
          <cell r="D774" t="str">
            <v>pe4ka3x@gmail.com</v>
          </cell>
        </row>
        <row r="775">
          <cell r="A775" t="str">
            <v>ИП Петрухин Анатолий Васильевич</v>
          </cell>
          <cell r="B775" t="str">
            <v>В-30002/КЭ.Транш - 2</v>
          </cell>
          <cell r="C775" t="str">
            <v>a.petruhin@tehnograd-kuban.ru</v>
          </cell>
        </row>
        <row r="776">
          <cell r="A776" t="str">
            <v>ИП Петрухин Анатолий Васильевич</v>
          </cell>
          <cell r="B776" t="str">
            <v>В-30002/КЭ.Транш - 3</v>
          </cell>
          <cell r="C776" t="str">
            <v>a.petruhin@tehnograd-kuban.ru</v>
          </cell>
        </row>
        <row r="777">
          <cell r="A777" t="str">
            <v>ИП Пивкин Константин Леонидович</v>
          </cell>
          <cell r="B777" t="str">
            <v>А-30005/КЭ.Транш - 1</v>
          </cell>
          <cell r="C777" t="str">
            <v>kospivkin@gmail.com</v>
          </cell>
        </row>
        <row r="778">
          <cell r="A778" t="str">
            <v>ИП Пулянина Вероника Александровна</v>
          </cell>
          <cell r="B778" t="str">
            <v>А-00418/КЭ.Транш - 1</v>
          </cell>
          <cell r="C778" t="str">
            <v>info@verobrand.ru</v>
          </cell>
        </row>
        <row r="779">
          <cell r="A779" t="str">
            <v>ИП Разумова Регина Дмитриевна</v>
          </cell>
          <cell r="B779" t="str">
            <v>В-00047/КЭ.Транш - 1</v>
          </cell>
          <cell r="C779" t="str">
            <v>missrazumova@bk.ru</v>
          </cell>
        </row>
        <row r="780">
          <cell r="A780" t="str">
            <v>ИП Разумова Регина Дмитриевна</v>
          </cell>
          <cell r="B780" t="str">
            <v>В-00047/КЭ.Транш - 2</v>
          </cell>
          <cell r="C780" t="str">
            <v>missrazumova@bk.ru</v>
          </cell>
        </row>
        <row r="781">
          <cell r="A781" t="str">
            <v>ИП Русин Дмитрий Валерьевич</v>
          </cell>
          <cell r="B781" t="str">
            <v>А-00467/КЭ.Транш - 1</v>
          </cell>
          <cell r="C781" t="str">
            <v>ramenki00@mail.ru</v>
          </cell>
        </row>
        <row r="782">
          <cell r="A782" t="str">
            <v>ИП Сбитнева Нелли Игоревна</v>
          </cell>
          <cell r="B782" t="str">
            <v>А-00305/КЭ.Транш - 1</v>
          </cell>
        </row>
        <row r="783">
          <cell r="A783" t="str">
            <v>ИП Светлов Виталий Анатольевич</v>
          </cell>
          <cell r="B783" t="str">
            <v>А-10101/КЭ.Транш - 4</v>
          </cell>
          <cell r="C783" t="str">
            <v>s_vit.85@mail.ru</v>
          </cell>
        </row>
        <row r="784">
          <cell r="A784" t="str">
            <v>ИП Светлов Виталий Анатольевич</v>
          </cell>
          <cell r="B784" t="str">
            <v>В-10008/КЭ.Транш - 1</v>
          </cell>
          <cell r="C784" t="str">
            <v>s_vit.85@mail.ru</v>
          </cell>
        </row>
        <row r="785">
          <cell r="A785" t="str">
            <v>ИП Светлов Виталий Анатольевич</v>
          </cell>
          <cell r="B785" t="str">
            <v>В-10008/КЭ.Транш - 2</v>
          </cell>
          <cell r="C785" t="str">
            <v>s_vit.85@mail.ru</v>
          </cell>
        </row>
        <row r="786">
          <cell r="A786" t="str">
            <v>ИП Светлов Виталий Анатольевич</v>
          </cell>
          <cell r="B786" t="str">
            <v>В-10008/КЭ.Транш - 3</v>
          </cell>
          <cell r="C786" t="str">
            <v>s_vit.85@mail.ru</v>
          </cell>
        </row>
        <row r="787">
          <cell r="A787" t="str">
            <v>ИП Светлов Виталий Анатольевич</v>
          </cell>
          <cell r="B787" t="str">
            <v>В-10024/КЭ.Транш - 1</v>
          </cell>
          <cell r="C787" t="str">
            <v>s_vit.85@mail.ru</v>
          </cell>
        </row>
        <row r="788">
          <cell r="A788" t="str">
            <v>ИП Силкин Максим Алексеевич</v>
          </cell>
          <cell r="B788" t="str">
            <v>В-00032/КЭ.Транш - 10</v>
          </cell>
          <cell r="C788" t="str">
            <v>maximm60663@gmail.com</v>
          </cell>
        </row>
        <row r="789">
          <cell r="A789" t="str">
            <v>ИП Силкин Максим Алексеевич</v>
          </cell>
          <cell r="B789" t="str">
            <v>В-00032/КЭ.Транш - 11</v>
          </cell>
          <cell r="C789" t="str">
            <v>maximm60663@gmail.com</v>
          </cell>
        </row>
        <row r="790">
          <cell r="A790" t="str">
            <v>ИП Силкин Максим Алексеевич</v>
          </cell>
          <cell r="B790" t="str">
            <v>В-00032/КЭ.Транш - 12</v>
          </cell>
          <cell r="C790" t="str">
            <v>maximm60663@gmail.com</v>
          </cell>
        </row>
        <row r="791">
          <cell r="A791" t="str">
            <v>ИП Силкин Максим Алексеевич</v>
          </cell>
          <cell r="B791" t="str">
            <v>В-00032/КЭ.Транш - 13</v>
          </cell>
          <cell r="C791" t="str">
            <v>maximm60663@gmail.com</v>
          </cell>
        </row>
        <row r="792">
          <cell r="A792" t="str">
            <v>ИП Силкин Максим Алексеевич</v>
          </cell>
          <cell r="B792" t="str">
            <v>В-00032/КЭ.Транш - 14</v>
          </cell>
          <cell r="C792" t="str">
            <v>maximm60663@gmail.com</v>
          </cell>
        </row>
        <row r="793">
          <cell r="A793" t="str">
            <v>ИП Силкин Максим Алексеевич</v>
          </cell>
          <cell r="B793" t="str">
            <v>В-00032/КЭ.Транш - 15</v>
          </cell>
          <cell r="C793" t="str">
            <v>maximm60663@gmail.com</v>
          </cell>
        </row>
        <row r="794">
          <cell r="A794" t="str">
            <v>ИП Силкин Максим Алексеевич</v>
          </cell>
          <cell r="B794" t="str">
            <v>В-00032/КЭ.Транш - 16</v>
          </cell>
          <cell r="C794" t="str">
            <v>maximm60663@gmail.com</v>
          </cell>
        </row>
        <row r="795">
          <cell r="A795" t="str">
            <v>ИП Силкин Максим Алексеевич</v>
          </cell>
          <cell r="B795" t="str">
            <v>В-00032/КЭ.Транш - 8</v>
          </cell>
          <cell r="C795" t="str">
            <v>maximm60663@gmail.com</v>
          </cell>
        </row>
        <row r="796">
          <cell r="A796" t="str">
            <v>ИП Силкин Максим Алексеевич</v>
          </cell>
          <cell r="B796" t="str">
            <v>В-00056/КЭ.Транш - 1</v>
          </cell>
          <cell r="C796" t="str">
            <v>maximm60663@gmail.com</v>
          </cell>
        </row>
        <row r="797">
          <cell r="A797" t="str">
            <v>ИП Силкин Максим Алексеевич</v>
          </cell>
          <cell r="B797" t="str">
            <v>В-00056/КЭ.Транш - 2</v>
          </cell>
          <cell r="C797" t="str">
            <v>maximm60663@gmail.com</v>
          </cell>
        </row>
        <row r="798">
          <cell r="A798" t="str">
            <v>ИП Силютина Анна Геннадьевна</v>
          </cell>
          <cell r="B798" t="str">
            <v>А-00404/КЭ.Транш - 1</v>
          </cell>
          <cell r="C798" t="str">
            <v>silutina-89@mail.ru</v>
          </cell>
        </row>
        <row r="799">
          <cell r="A799" t="str">
            <v>ИП Стрельникова Татьяна Владимировна</v>
          </cell>
          <cell r="B799" t="str">
            <v>В-00058/КЭ.Транш - 1</v>
          </cell>
          <cell r="C799" t="str">
            <v>tania198009@mail.ru</v>
          </cell>
        </row>
        <row r="800">
          <cell r="A800" t="str">
            <v>ИП Султанова Екатерина Владимировна</v>
          </cell>
          <cell r="B800" t="str">
            <v>А-00161/КЭ.Транш - 1</v>
          </cell>
        </row>
        <row r="801">
          <cell r="A801" t="str">
            <v>ИП Тен Елена Манкильевна</v>
          </cell>
          <cell r="B801" t="str">
            <v>В-00012/КЭ.Транш - 1</v>
          </cell>
          <cell r="C801" t="str">
            <v>gsbc@yandex.ru</v>
          </cell>
          <cell r="D801" t="str">
            <v>gsbc@yandex.ru</v>
          </cell>
        </row>
        <row r="802">
          <cell r="A802" t="str">
            <v>ИП Трескунова Ольга Евгеньевна</v>
          </cell>
          <cell r="B802" t="str">
            <v>А-10102/КЭ.Транш - 1</v>
          </cell>
          <cell r="C802" t="str">
            <v>olgatreskunova1@gmail.com</v>
          </cell>
        </row>
        <row r="803">
          <cell r="A803" t="str">
            <v>ИП Удалов Игорь Игоревич</v>
          </cell>
          <cell r="B803" t="str">
            <v>А-00435/КЭ.Транш - 1</v>
          </cell>
          <cell r="C803" t="str">
            <v>7664406@gmail.com</v>
          </cell>
        </row>
        <row r="804">
          <cell r="A804" t="str">
            <v>ИП Фараджов Зейнал Алинаги Оглы</v>
          </cell>
          <cell r="B804" t="str">
            <v>А-10039/КЭ.Транш - 1</v>
          </cell>
        </row>
        <row r="805">
          <cell r="A805" t="str">
            <v>ИП Федотов Тихон Андреевич</v>
          </cell>
          <cell r="B805" t="str">
            <v>В-30009/КЭ.Транш - 1</v>
          </cell>
          <cell r="C805" t="str">
            <v>podkluch23@yandex.ru</v>
          </cell>
        </row>
        <row r="806">
          <cell r="A806" t="str">
            <v>ИП Филатов Андрей Анатольевич</v>
          </cell>
          <cell r="B806" t="str">
            <v>А-10032/КЭ.Транш - 1</v>
          </cell>
          <cell r="C806" t="str">
            <v>filnd@yandex.ru</v>
          </cell>
        </row>
        <row r="807">
          <cell r="A807" t="str">
            <v>ИП Филатов Андрей Анатольевич</v>
          </cell>
          <cell r="B807" t="str">
            <v>А-10032/КЭ.Транш - 2</v>
          </cell>
          <cell r="C807" t="str">
            <v>filnd@yandex.ru</v>
          </cell>
        </row>
        <row r="808">
          <cell r="A808" t="str">
            <v>ИП Харин Евгений Александрович</v>
          </cell>
          <cell r="B808" t="str">
            <v>А-00458/КЭ.Транш - 1</v>
          </cell>
          <cell r="C808" t="str">
            <v>evgeni.harin@gmail.com</v>
          </cell>
        </row>
        <row r="809">
          <cell r="A809" t="str">
            <v>ИП Харин Евгений Александрович</v>
          </cell>
          <cell r="B809" t="str">
            <v>В-00022/КЭ.Транш - 1_А-20210929/Ц</v>
          </cell>
          <cell r="C809" t="str">
            <v>evgeni.harin@gmail.com</v>
          </cell>
        </row>
        <row r="810">
          <cell r="A810" t="str">
            <v>ИП Чеботарь Анжелика Сергеевна</v>
          </cell>
          <cell r="B810" t="str">
            <v>А-00327/КЭ.Транш - 1</v>
          </cell>
          <cell r="C810" t="str">
            <v>nerudexpress@inbox.ru</v>
          </cell>
        </row>
        <row r="811">
          <cell r="A811" t="str">
            <v>ИП Чермошенцева Галина Сергеевна</v>
          </cell>
          <cell r="B811" t="str">
            <v>А-00357/КЭ.Транш - 1</v>
          </cell>
        </row>
        <row r="812">
          <cell r="A812" t="str">
            <v>ИП Шумакова Наталья Владимировна</v>
          </cell>
          <cell r="B812" t="str">
            <v>В-00061/КЭ.Транш - 1</v>
          </cell>
          <cell r="C812" t="str">
            <v>nataly139@yandex.ru</v>
          </cell>
        </row>
        <row r="813">
          <cell r="A813" t="str">
            <v>ИП Ячменёва Ольга Сергеевна</v>
          </cell>
          <cell r="B813" t="str">
            <v>А-10092/КЭ.Транш - 1</v>
          </cell>
          <cell r="C813" t="str">
            <v>rusbizgame@gmail.com</v>
          </cell>
        </row>
        <row r="814">
          <cell r="A814" t="str">
            <v>ИП Ячменёва Ольга Сергеевна</v>
          </cell>
          <cell r="B814" t="str">
            <v>А-10092/КЭ.Транш - 2</v>
          </cell>
          <cell r="C814" t="str">
            <v>rusbizgame@gmail.com</v>
          </cell>
        </row>
        <row r="815">
          <cell r="A815" t="str">
            <v>ИП Ячменёва Ольга Сергеевна</v>
          </cell>
          <cell r="B815" t="str">
            <v>А-10092/КЭ.Транш - 3</v>
          </cell>
          <cell r="C815" t="str">
            <v>rusbizgame@gmail.com</v>
          </cell>
        </row>
        <row r="816">
          <cell r="A816" t="str">
            <v>Ирицян Армен Дживанович</v>
          </cell>
          <cell r="B816" t="str">
            <v>В-28538/КЛ.Транш - 1</v>
          </cell>
          <cell r="C816" t="str">
            <v>irik_12@mail.ru</v>
          </cell>
          <cell r="D816" t="str">
            <v>irik_12@mail.ru</v>
          </cell>
        </row>
        <row r="817">
          <cell r="A817" t="str">
            <v>Исаев Александр Васильевич</v>
          </cell>
          <cell r="B817" t="str">
            <v>В-20430/КЛ.Транш - 1</v>
          </cell>
          <cell r="D817" t="str">
            <v>kofpac44@gmail.com</v>
          </cell>
        </row>
        <row r="818">
          <cell r="A818" t="str">
            <v>Исаков Иван Владимирович</v>
          </cell>
          <cell r="B818" t="str">
            <v>В-20787/КЛ.Транш - 1</v>
          </cell>
          <cell r="D818" t="str">
            <v>ISAKOVISAKOVIVAN@MAIL.RU</v>
          </cell>
        </row>
        <row r="819">
          <cell r="A819" t="str">
            <v>Исаков Магомед Владимирович</v>
          </cell>
          <cell r="B819" t="str">
            <v>В-12016/КЛ.Транш - 1</v>
          </cell>
        </row>
        <row r="820">
          <cell r="A820" t="str">
            <v>Исаков Магомед Владимирович</v>
          </cell>
          <cell r="B820" t="str">
            <v>В-12016/КЛ.Транш - 2</v>
          </cell>
        </row>
        <row r="821">
          <cell r="A821" t="str">
            <v>Исаков Магомед Владимирович</v>
          </cell>
          <cell r="B821" t="str">
            <v>В-12016/КЛ.Транш - 3</v>
          </cell>
        </row>
        <row r="822">
          <cell r="A822" t="str">
            <v>Исаков Магомед Владимирович</v>
          </cell>
          <cell r="B822" t="str">
            <v>В-12016/КЛ.Транш - 4</v>
          </cell>
        </row>
        <row r="823">
          <cell r="A823" t="str">
            <v>Исаченков Сергей Алексеевич</v>
          </cell>
          <cell r="B823" t="str">
            <v>В-00683/КЛ.Транш - 1</v>
          </cell>
          <cell r="C823" t="str">
            <v>sergei366sergei@yandex.ru</v>
          </cell>
        </row>
        <row r="824">
          <cell r="A824" t="str">
            <v>Искендеров Рашад Сахиб Оглы</v>
          </cell>
          <cell r="B824" t="str">
            <v>В-11407/КЛ.Транш - 1</v>
          </cell>
          <cell r="C824" t="str">
            <v>iskenderov.2121@bk.ru</v>
          </cell>
          <cell r="D824" t="str">
            <v>iskenderov.2121@bk.ru</v>
          </cell>
        </row>
        <row r="825">
          <cell r="A825" t="str">
            <v>Исрапилов Магомед Исрапилович</v>
          </cell>
          <cell r="B825" t="str">
            <v>В-25298/КЛ.Транш - 1</v>
          </cell>
          <cell r="D825" t="str">
            <v>luiza.kadieva95@yandex.ru</v>
          </cell>
        </row>
        <row r="826">
          <cell r="A826" t="str">
            <v>Исхаков Олег Дауранович</v>
          </cell>
          <cell r="B826" t="str">
            <v>В-01149/АЗ</v>
          </cell>
          <cell r="C826" t="str">
            <v>79217799345@mail.ru</v>
          </cell>
          <cell r="D826" t="str">
            <v>79217799345@mail.ru</v>
          </cell>
        </row>
        <row r="827">
          <cell r="A827" t="str">
            <v>Ичалов Абдула Гаджиахмедович</v>
          </cell>
          <cell r="B827" t="str">
            <v>В-23978/КЛ.Транш - 1</v>
          </cell>
          <cell r="C827" t="str">
            <v>mr.ichalov@mail.ru</v>
          </cell>
          <cell r="D827" t="str">
            <v>mr.ichalov@mail.ru</v>
          </cell>
        </row>
        <row r="828">
          <cell r="A828" t="str">
            <v>Ичалов Абдула Гаджиахмедович</v>
          </cell>
          <cell r="B828" t="str">
            <v>В-23978/КЛ.Транш - 2</v>
          </cell>
          <cell r="C828" t="str">
            <v>mr.ichalov@mail.ru</v>
          </cell>
          <cell r="D828" t="str">
            <v>mr.ichalov@mail.ru</v>
          </cell>
        </row>
        <row r="829">
          <cell r="A829" t="str">
            <v>Ишутин Станислав Андреевич</v>
          </cell>
          <cell r="B829" t="str">
            <v>В-22728/КЛ.Транш - 1</v>
          </cell>
          <cell r="D829" t="str">
            <v>ishutin_stas@mail.ru</v>
          </cell>
        </row>
        <row r="830">
          <cell r="A830" t="str">
            <v>Кабанов Андрей Павлович</v>
          </cell>
          <cell r="B830" t="str">
            <v>В-05581/КЛ.Транш - 2</v>
          </cell>
          <cell r="C830" t="str">
            <v>cabman9@mail.ru</v>
          </cell>
        </row>
        <row r="831">
          <cell r="A831" t="str">
            <v>Каверин Владимир Геннадьевич</v>
          </cell>
          <cell r="B831" t="str">
            <v>В-00477/АЗ</v>
          </cell>
          <cell r="C831" t="str">
            <v>vladimir.kaverin@gmail.com</v>
          </cell>
        </row>
        <row r="832">
          <cell r="A832" t="str">
            <v>Казаков Александр Викторович</v>
          </cell>
          <cell r="B832" t="str">
            <v>В-22583/КЛ.Транш - 1</v>
          </cell>
          <cell r="C832" t="str">
            <v>kazakov116@mail.ru</v>
          </cell>
          <cell r="D832" t="str">
            <v>kazakov116@mail.ru</v>
          </cell>
        </row>
        <row r="833">
          <cell r="A833" t="str">
            <v>Казанин Игорь Викторович</v>
          </cell>
          <cell r="B833" t="str">
            <v>В-16873/КЛ.Транш - 1</v>
          </cell>
          <cell r="D833" t="str">
            <v>Kazaninigor@icloud.com</v>
          </cell>
        </row>
        <row r="834">
          <cell r="A834" t="str">
            <v>Казанцева Альбина Валерьевна</v>
          </cell>
          <cell r="B834" t="str">
            <v>В-00398/АЗ</v>
          </cell>
        </row>
        <row r="835">
          <cell r="A835" t="str">
            <v>Казарян Валико Беникович</v>
          </cell>
          <cell r="B835" t="str">
            <v>В-17201/КЛ.Транш - 1</v>
          </cell>
          <cell r="D835" t="str">
            <v>kazaryanvaliko0797@mail.ru</v>
          </cell>
        </row>
        <row r="836">
          <cell r="A836" t="str">
            <v>Казарян Валико Беникович</v>
          </cell>
          <cell r="B836" t="str">
            <v>В-17201/КЛ.Транш - 2</v>
          </cell>
          <cell r="D836" t="str">
            <v>kazaryanvaliko0797@mail.ru</v>
          </cell>
        </row>
        <row r="837">
          <cell r="A837" t="str">
            <v>Казачкин Андрей Юрьевич</v>
          </cell>
          <cell r="B837" t="str">
            <v>В-27630/КЛ.Транш - 1</v>
          </cell>
          <cell r="D837" t="str">
            <v>kazachkin81@ mail.ru</v>
          </cell>
        </row>
        <row r="838">
          <cell r="A838" t="str">
            <v>Казеев Радмир Рамирович</v>
          </cell>
          <cell r="B838" t="str">
            <v>В-00660/АЗ_В-20211230/Ц</v>
          </cell>
        </row>
        <row r="839">
          <cell r="A839" t="str">
            <v>Казыханова Лилия Расимовна</v>
          </cell>
          <cell r="B839" t="str">
            <v>В-10509/КЛ.Транш - 1</v>
          </cell>
          <cell r="C839" t="str">
            <v>cazixanova.lilija@yandex.ru</v>
          </cell>
        </row>
        <row r="840">
          <cell r="A840" t="str">
            <v>Калантаров Артур Григорьевич</v>
          </cell>
          <cell r="B840" t="str">
            <v>В-20653/КЛ.Транш - 1</v>
          </cell>
          <cell r="D840" t="str">
            <v>kalantarovartur@gmail.com</v>
          </cell>
        </row>
        <row r="841">
          <cell r="A841" t="str">
            <v>Калантарян Артур Вазгени</v>
          </cell>
          <cell r="B841" t="str">
            <v>В-00687/АЗ</v>
          </cell>
        </row>
        <row r="842">
          <cell r="A842" t="str">
            <v>Калашников Алексей Владимирович</v>
          </cell>
          <cell r="B842" t="str">
            <v>В-09250/КЛ.Транш - 1_В-20211230/Ц</v>
          </cell>
          <cell r="C842" t="str">
            <v>akzz1986@mail.ru</v>
          </cell>
        </row>
        <row r="843">
          <cell r="A843" t="str">
            <v>Калашников Юрий Витальевич</v>
          </cell>
          <cell r="B843" t="str">
            <v>В-27855/КЛ.Транш - 1</v>
          </cell>
          <cell r="C843" t="str">
            <v>merilon2@mail.ru</v>
          </cell>
          <cell r="D843" t="str">
            <v>merilon2@mail.ru</v>
          </cell>
        </row>
        <row r="844">
          <cell r="A844" t="str">
            <v>Календжян Вячеслав Вячеславович</v>
          </cell>
          <cell r="B844" t="str">
            <v>В-01187/АЗ</v>
          </cell>
        </row>
        <row r="845">
          <cell r="A845" t="str">
            <v>Календиров Зейнадин Равильевич</v>
          </cell>
          <cell r="B845" t="str">
            <v>В-17067/КЛ.Транш - 1</v>
          </cell>
          <cell r="D845" t="str">
            <v>Zidankalendirov@yandex.ru</v>
          </cell>
        </row>
        <row r="846">
          <cell r="A846" t="str">
            <v>Калинин Алексей Дмитриевич</v>
          </cell>
          <cell r="B846" t="str">
            <v>В-01198/АЗ</v>
          </cell>
        </row>
        <row r="847">
          <cell r="A847" t="str">
            <v>Калинин Андрей Викторович</v>
          </cell>
          <cell r="B847" t="str">
            <v>В-25795/АЗ</v>
          </cell>
          <cell r="D847" t="str">
            <v>9161619393@mail.ru</v>
          </cell>
        </row>
        <row r="848">
          <cell r="A848" t="str">
            <v>Калошин Павел Сергеевич</v>
          </cell>
          <cell r="B848" t="str">
            <v>В-03473/КЛ.Транш - 1</v>
          </cell>
          <cell r="C848" t="str">
            <v>draivik2013@gmail.com</v>
          </cell>
        </row>
        <row r="849">
          <cell r="A849" t="str">
            <v>Калядина Кристина Юрьевна</v>
          </cell>
          <cell r="B849" t="str">
            <v>В-26556/КЛ.Транш - 1</v>
          </cell>
          <cell r="D849" t="str">
            <v>kristinochka5554@mail.ru</v>
          </cell>
        </row>
        <row r="850">
          <cell r="A850" t="str">
            <v>Каляев Владимир Александрович</v>
          </cell>
          <cell r="B850" t="str">
            <v>В-01911/КЛ.Транш - 1</v>
          </cell>
          <cell r="C850" t="str">
            <v>calyaew.vlad@yandex.ru</v>
          </cell>
        </row>
        <row r="851">
          <cell r="A851" t="str">
            <v>Камбулина Ирина Юрьевна</v>
          </cell>
          <cell r="B851" t="str">
            <v>В-19846/КЛ.Транш - 1</v>
          </cell>
          <cell r="D851" t="str">
            <v>irinazolotaia43@gmail.com</v>
          </cell>
        </row>
        <row r="852">
          <cell r="A852" t="str">
            <v>Каменев Константин Николаевич</v>
          </cell>
          <cell r="B852" t="str">
            <v>В-25687/АЗ</v>
          </cell>
          <cell r="D852" t="str">
            <v>193433@mail.ru</v>
          </cell>
        </row>
        <row r="853">
          <cell r="A853" t="str">
            <v>Камшилин Александр Александрович</v>
          </cell>
          <cell r="B853" t="str">
            <v>А-00053/БЭ</v>
          </cell>
          <cell r="C853" t="str">
            <v>RU4444@MAIL.RU</v>
          </cell>
          <cell r="D853" t="str">
            <v>RU4444@MAIL.RU</v>
          </cell>
        </row>
        <row r="854">
          <cell r="A854" t="str">
            <v>Камшилина Татьяна Ивановна</v>
          </cell>
          <cell r="B854" t="str">
            <v>А-00051/БЭ</v>
          </cell>
          <cell r="C854" t="str">
            <v>mebeloptima@mail.ru</v>
          </cell>
          <cell r="D854" t="str">
            <v>mebeloptima@mail.ru</v>
          </cell>
        </row>
        <row r="855">
          <cell r="A855" t="str">
            <v>Камшилина Татьяна Ивановна</v>
          </cell>
          <cell r="B855" t="str">
            <v>А-04328/АЗ</v>
          </cell>
          <cell r="C855" t="str">
            <v>mebeloptima@mail.ru</v>
          </cell>
          <cell r="D855" t="str">
            <v>mebeloptima@mail.ru</v>
          </cell>
        </row>
        <row r="856">
          <cell r="A856" t="str">
            <v>Камшилина Татьяна Ивановна</v>
          </cell>
          <cell r="B856" t="str">
            <v>Т-00030/БЭ_Т-20211028/Ц</v>
          </cell>
          <cell r="C856" t="str">
            <v>mebeloptima@mail.ru</v>
          </cell>
          <cell r="D856" t="str">
            <v>mebeloptima@mail.ru</v>
          </cell>
        </row>
        <row r="857">
          <cell r="A857" t="str">
            <v>Камышов Игорь Николаевич</v>
          </cell>
          <cell r="B857" t="str">
            <v>В-19766/КЛ.Транш - 1</v>
          </cell>
          <cell r="D857" t="str">
            <v>Kamishov1985@rambler.ru</v>
          </cell>
        </row>
        <row r="858">
          <cell r="A858" t="str">
            <v>Кандаков Хайдарали Махмадрузиевич</v>
          </cell>
          <cell r="B858" t="str">
            <v>В-00907/КЛ.Транш - 6</v>
          </cell>
          <cell r="C858" t="str">
            <v>au.kandakov@bk.ru</v>
          </cell>
          <cell r="D858" t="str">
            <v>au.kandakov@bk.ru</v>
          </cell>
        </row>
        <row r="859">
          <cell r="A859" t="str">
            <v>Кандаков Хайдарали Махмадрузиевич</v>
          </cell>
          <cell r="B859" t="str">
            <v>В-00907/КЛ.Транш - 7</v>
          </cell>
          <cell r="C859" t="str">
            <v>au.kandakov@bk.ru</v>
          </cell>
          <cell r="D859" t="str">
            <v>au.kandakov@bk.ru</v>
          </cell>
        </row>
        <row r="860">
          <cell r="A860" t="str">
            <v>Кандаков Хайдарали Махмадрузиевич</v>
          </cell>
          <cell r="B860" t="str">
            <v>В-00907/КЛ.Транш - 8</v>
          </cell>
          <cell r="C860" t="str">
            <v>au.kandakov@bk.ru</v>
          </cell>
          <cell r="D860" t="str">
            <v>au.kandakov@bk.ru</v>
          </cell>
        </row>
        <row r="861">
          <cell r="A861" t="str">
            <v>Кандаков Хайдарали Махмадрузиевич</v>
          </cell>
          <cell r="B861" t="str">
            <v>В-24618/АЗ</v>
          </cell>
          <cell r="C861" t="str">
            <v>au.kandakov@bk.ru</v>
          </cell>
          <cell r="D861" t="str">
            <v>au.kandakov@bk.ru</v>
          </cell>
        </row>
        <row r="862">
          <cell r="A862" t="str">
            <v>Кандаков Хайдарали Махмадрузиевич</v>
          </cell>
          <cell r="B862" t="str">
            <v>В-25494/АЗ</v>
          </cell>
          <cell r="C862" t="str">
            <v>au.kandakov@bk.ru</v>
          </cell>
          <cell r="D862" t="str">
            <v>au.kandakov@bk.ru</v>
          </cell>
        </row>
        <row r="863">
          <cell r="A863" t="str">
            <v>Кандаков Хайдарали Махмадрузиевич</v>
          </cell>
          <cell r="B863" t="str">
            <v>В-27038/АЗ</v>
          </cell>
          <cell r="C863" t="str">
            <v>au.kandakov@bk.ru</v>
          </cell>
          <cell r="D863" t="str">
            <v>au.kandakov@bk.ru</v>
          </cell>
        </row>
        <row r="864">
          <cell r="A864" t="str">
            <v>Капанадзе Илья Абелиевич</v>
          </cell>
          <cell r="B864" t="str">
            <v>В-15770/КЛ.Транш - 2</v>
          </cell>
          <cell r="D864" t="str">
            <v>нет</v>
          </cell>
        </row>
        <row r="865">
          <cell r="A865" t="str">
            <v>Караваев Александр Викторович</v>
          </cell>
          <cell r="B865" t="str">
            <v>В-10001/КЛ.Транш - 1</v>
          </cell>
          <cell r="C865" t="str">
            <v>nemobuta.ak79@gmail.com</v>
          </cell>
        </row>
        <row r="866">
          <cell r="A866" t="str">
            <v>Караваев Александр Викторович</v>
          </cell>
          <cell r="B866" t="str">
            <v>В-10001/КЛ.Транш - 2</v>
          </cell>
          <cell r="C866" t="str">
            <v>nemobuta.ak79@gmail.com</v>
          </cell>
        </row>
        <row r="867">
          <cell r="A867" t="str">
            <v>Караваев Александр Викторович</v>
          </cell>
          <cell r="B867" t="str">
            <v>В-10001/КЛ.Транш - 3</v>
          </cell>
          <cell r="C867" t="str">
            <v>nemobuta.ak79@gmail.com</v>
          </cell>
        </row>
        <row r="868">
          <cell r="A868" t="str">
            <v>Караваев Евгений Сергеевич</v>
          </cell>
          <cell r="B868" t="str">
            <v>А-03853/АЗ</v>
          </cell>
        </row>
        <row r="869">
          <cell r="A869" t="str">
            <v>КАРАВАН ООО</v>
          </cell>
          <cell r="B869" t="str">
            <v>В-10018/КЭ.Транш - 1</v>
          </cell>
          <cell r="C869" t="str">
            <v>mikle.freedman@gmail.com</v>
          </cell>
        </row>
        <row r="870">
          <cell r="A870" t="str">
            <v>Карагезян Шушаник Вачагановна</v>
          </cell>
          <cell r="B870" t="str">
            <v>В-28159/КЛ.Транш - 1</v>
          </cell>
          <cell r="C870" t="str">
            <v>shushan.karagyozyan.1986@mail.ru</v>
          </cell>
          <cell r="D870" t="str">
            <v>shushan.karagyozyan.1986@mail.ru</v>
          </cell>
        </row>
        <row r="871">
          <cell r="A871" t="str">
            <v>Караева Татьяна Сергеевна</v>
          </cell>
          <cell r="B871" t="str">
            <v>А-05151/АЗ</v>
          </cell>
          <cell r="C871" t="str">
            <v>KARAEVAT79@MAIL.RU</v>
          </cell>
          <cell r="D871" t="str">
            <v>KARAEVAT79@MAIL.RU</v>
          </cell>
        </row>
        <row r="872">
          <cell r="A872" t="str">
            <v>Караева Татьяна Сергеевна</v>
          </cell>
          <cell r="B872" t="str">
            <v>Т-01744/АЗ_Т-20211028/Ц</v>
          </cell>
          <cell r="C872" t="str">
            <v>KARAEVAT79@MAIL.RU</v>
          </cell>
          <cell r="D872" t="str">
            <v>KARAEVAT79@MAIL.RU</v>
          </cell>
        </row>
        <row r="873">
          <cell r="A873" t="str">
            <v>Карманов Александр Иванович</v>
          </cell>
          <cell r="B873" t="str">
            <v>В-13600/КЛ.Транш - 1</v>
          </cell>
          <cell r="D873" t="str">
            <v>doverie.hostel@yandex.ru</v>
          </cell>
        </row>
        <row r="874">
          <cell r="A874" t="str">
            <v>Карманов Виталий Петрович</v>
          </cell>
          <cell r="B874" t="str">
            <v>В-17597/КЛ.Транш - 1</v>
          </cell>
          <cell r="D874" t="str">
            <v>911karman911@gmail.com</v>
          </cell>
        </row>
        <row r="875">
          <cell r="A875" t="str">
            <v>Карманов Виталий Петрович</v>
          </cell>
          <cell r="B875" t="str">
            <v>В-17597/КЛ.Транш - 2</v>
          </cell>
          <cell r="D875" t="str">
            <v>911karman911@gmail.com</v>
          </cell>
        </row>
        <row r="876">
          <cell r="A876" t="str">
            <v>Карпушин Артемий Михайлович</v>
          </cell>
          <cell r="B876" t="str">
            <v>В-09500/КЛ.Транш - 1</v>
          </cell>
        </row>
        <row r="877">
          <cell r="A877" t="str">
            <v>Карташова Евгения Анатольевна</v>
          </cell>
          <cell r="B877" t="str">
            <v>В-11472/КЛ.Транш - 2</v>
          </cell>
          <cell r="C877" t="str">
            <v>kartevgeniya.alli@gmail.com</v>
          </cell>
        </row>
        <row r="878">
          <cell r="A878" t="str">
            <v>Карташова Евгения Анатольевна</v>
          </cell>
          <cell r="B878" t="str">
            <v>В-11472/КЛ.Транш - 3</v>
          </cell>
          <cell r="C878" t="str">
            <v>kartevgeniya.alli@gmail.com</v>
          </cell>
        </row>
        <row r="879">
          <cell r="A879" t="str">
            <v>Карчун Вероника Витальевна</v>
          </cell>
          <cell r="B879" t="str">
            <v>В-21222/КЛ.Транш - 1</v>
          </cell>
          <cell r="D879" t="str">
            <v>Veronateatr@yandex.ru</v>
          </cell>
        </row>
        <row r="880">
          <cell r="A880" t="str">
            <v>Касаткин Евгений Олегович</v>
          </cell>
          <cell r="B880" t="str">
            <v>В-22897/КЛ.Транш - 1</v>
          </cell>
          <cell r="C880" t="str">
            <v>ewg.kasatkin2018@yandex.ru</v>
          </cell>
        </row>
        <row r="881">
          <cell r="A881" t="str">
            <v>КАСКАД ТУРИЗМ ООО</v>
          </cell>
          <cell r="B881" t="str">
            <v>Т-00003/КЭ_Т-20211028/Ц</v>
          </cell>
          <cell r="C881" t="str">
            <v>kaskadturizm@rambler.ru</v>
          </cell>
        </row>
        <row r="882">
          <cell r="A882" t="str">
            <v>Касутин Евгений Дмитриевич</v>
          </cell>
          <cell r="B882" t="str">
            <v>В-22434/АЗ_В-20211230/Ц</v>
          </cell>
          <cell r="C882" t="str">
            <v>37john37@mail.ru</v>
          </cell>
          <cell r="D882" t="str">
            <v>37john37@mail.ru</v>
          </cell>
        </row>
        <row r="883">
          <cell r="A883" t="str">
            <v>Касутина Виктория Алексеевна</v>
          </cell>
          <cell r="B883" t="str">
            <v>В-22436/АЗ</v>
          </cell>
          <cell r="C883" t="str">
            <v>vika.kasutina@mail.ru</v>
          </cell>
          <cell r="D883" t="str">
            <v>vika.kasutina@mail.ru</v>
          </cell>
        </row>
        <row r="884">
          <cell r="A884" t="str">
            <v>Качев Дмитрий Вячеславович</v>
          </cell>
          <cell r="B884" t="str">
            <v>В-14937/КЛ.Транш - 1</v>
          </cell>
          <cell r="C884" t="str">
            <v>5052452@mail.ru</v>
          </cell>
        </row>
        <row r="885">
          <cell r="A885" t="str">
            <v>Качев Дмитрий Вячеславович</v>
          </cell>
          <cell r="B885" t="str">
            <v>В-14937/КЛ.Транш - 2</v>
          </cell>
          <cell r="C885" t="str">
            <v>5052452@mail.ru</v>
          </cell>
        </row>
        <row r="886">
          <cell r="A886" t="str">
            <v>Качев Дмитрий Вячеславович</v>
          </cell>
          <cell r="B886" t="str">
            <v>В-14937/КЛ.Транш - 3</v>
          </cell>
          <cell r="C886" t="str">
            <v>5052452@mail.ru</v>
          </cell>
        </row>
        <row r="887">
          <cell r="A887" t="str">
            <v>Качев Дмитрий Вячеславович</v>
          </cell>
          <cell r="B887" t="str">
            <v>В-14937/КЛ.Транш - 4</v>
          </cell>
          <cell r="C887" t="str">
            <v>5052452@mail.ru</v>
          </cell>
        </row>
        <row r="888">
          <cell r="A888" t="str">
            <v>Кашуба Артем Сергеевич</v>
          </cell>
          <cell r="B888" t="str">
            <v>В-06453/КЛ.Транш - 3</v>
          </cell>
          <cell r="C888" t="str">
            <v>89296519015@mail.ru</v>
          </cell>
        </row>
        <row r="889">
          <cell r="A889" t="str">
            <v>Кашуба Артем Сергеевич</v>
          </cell>
          <cell r="B889" t="str">
            <v>В-06453/КЛ.Транш - 4</v>
          </cell>
          <cell r="C889" t="str">
            <v>89296519015@mail.ru</v>
          </cell>
        </row>
        <row r="890">
          <cell r="A890" t="str">
            <v>Кебурия Илья Нугзариевич</v>
          </cell>
          <cell r="B890" t="str">
            <v>В-17106/КЛ.Транш - 1</v>
          </cell>
          <cell r="D890" t="str">
            <v>kot050286@mail.ru</v>
          </cell>
        </row>
        <row r="891">
          <cell r="A891" t="str">
            <v>КЕЙСТОУН ООО</v>
          </cell>
          <cell r="B891" t="str">
            <v>В-00042/КЭ.Транш - 1</v>
          </cell>
          <cell r="C891" t="str">
            <v>fpstroy@yandex.ru</v>
          </cell>
        </row>
        <row r="892">
          <cell r="A892" t="str">
            <v>Келехсаев Эдуард Павлович</v>
          </cell>
          <cell r="B892" t="str">
            <v>В-01092/КЛ.Транш - 1</v>
          </cell>
          <cell r="C892" t="str">
            <v>eduard.kelehsaev@yandex.ru</v>
          </cell>
        </row>
        <row r="893">
          <cell r="A893" t="str">
            <v>Келешян Мария Георгиевна</v>
          </cell>
          <cell r="B893" t="str">
            <v>В-18438/КЛ.Транш - 1</v>
          </cell>
          <cell r="C893" t="str">
            <v>mariya.muh@icloud.com</v>
          </cell>
          <cell r="D893" t="str">
            <v>mariya.muh@icloud.com</v>
          </cell>
        </row>
        <row r="894">
          <cell r="A894" t="str">
            <v>Кильдюшкин Андрей Николаевич</v>
          </cell>
          <cell r="B894" t="str">
            <v>В-07877/КЛ.Транш - 12</v>
          </cell>
        </row>
        <row r="895">
          <cell r="A895" t="str">
            <v>Кильдюшкин Андрей Николаевич</v>
          </cell>
          <cell r="B895" t="str">
            <v>В-07877/КЛ.Транш - 14</v>
          </cell>
        </row>
        <row r="896">
          <cell r="A896" t="str">
            <v>Кильдюшкин Андрей Николаевич</v>
          </cell>
          <cell r="B896" t="str">
            <v>В-07877/КЛ.Транш - 15</v>
          </cell>
        </row>
        <row r="897">
          <cell r="A897" t="str">
            <v>Ким Александр Эдуардович</v>
          </cell>
          <cell r="B897" t="str">
            <v>В-25351/КЛ.Транш - 1</v>
          </cell>
          <cell r="D897" t="str">
            <v>Alexanderkim2501@gmail.com</v>
          </cell>
        </row>
        <row r="898">
          <cell r="A898" t="str">
            <v>Ким Александр Эдуардович</v>
          </cell>
          <cell r="B898" t="str">
            <v>В-25351/КЛ.Транш - 2</v>
          </cell>
          <cell r="D898" t="str">
            <v>Alexanderkim2501@gmail.com</v>
          </cell>
        </row>
        <row r="899">
          <cell r="A899" t="str">
            <v>Кирейчиков Виктор Николаевич</v>
          </cell>
          <cell r="B899" t="str">
            <v>В-14835/КЛ.Транш - 1</v>
          </cell>
          <cell r="C899" t="str">
            <v>kirey18@mail.ru</v>
          </cell>
          <cell r="D899" t="str">
            <v>kirey18@mail.ru</v>
          </cell>
        </row>
        <row r="900">
          <cell r="A900" t="str">
            <v>Кирейчиков Виктор Николаевич</v>
          </cell>
          <cell r="B900" t="str">
            <v>В-14835/КЛ.Транш - 2</v>
          </cell>
          <cell r="C900" t="str">
            <v>kirey18@mail.ru</v>
          </cell>
          <cell r="D900" t="str">
            <v>kirey18@mail.ru</v>
          </cell>
        </row>
        <row r="901">
          <cell r="A901" t="str">
            <v>Кириллов Николай Валерьевич</v>
          </cell>
          <cell r="B901" t="str">
            <v>В-20703/КЛ.Транш - 1</v>
          </cell>
          <cell r="D901" t="str">
            <v>stfkstr@gmail.com</v>
          </cell>
        </row>
        <row r="902">
          <cell r="A902" t="str">
            <v>Кириллова Екатерина Александровна</v>
          </cell>
          <cell r="B902" t="str">
            <v>В-20377/КЛ.Транш - 1</v>
          </cell>
          <cell r="D902" t="str">
            <v>Kirka812@yandex.ru</v>
          </cell>
        </row>
        <row r="903">
          <cell r="A903" t="str">
            <v>Кирпищикова Александра Александровна</v>
          </cell>
          <cell r="B903" t="str">
            <v>В-28927/КЛ.Транш - 1</v>
          </cell>
          <cell r="C903" t="str">
            <v>desin.rou@mail.ru</v>
          </cell>
          <cell r="D903" t="str">
            <v>desin.rou@mail.ru</v>
          </cell>
        </row>
        <row r="904">
          <cell r="A904" t="str">
            <v>Киселев Александр Максимович</v>
          </cell>
          <cell r="B904" t="str">
            <v>В-19346/КЛ.Транш - 2</v>
          </cell>
          <cell r="D904" t="str">
            <v>tomasulp@gmail.com</v>
          </cell>
        </row>
        <row r="905">
          <cell r="A905" t="str">
            <v>Киселев Александр Максимович</v>
          </cell>
          <cell r="B905" t="str">
            <v>В-19346/КЛ.Транш - 3</v>
          </cell>
          <cell r="D905" t="str">
            <v>tomasulp@gmail.com</v>
          </cell>
        </row>
        <row r="906">
          <cell r="A906" t="str">
            <v>Киселев Андрей Владимирович</v>
          </cell>
          <cell r="B906" t="str">
            <v>В-14178/КЛ.Транш - 1</v>
          </cell>
          <cell r="D906" t="str">
            <v>Jagu66@mail.ru</v>
          </cell>
        </row>
        <row r="907">
          <cell r="A907" t="str">
            <v>Кисель Наталья Александровна</v>
          </cell>
          <cell r="B907" t="str">
            <v>В-12553/КЛ.Транш - 1</v>
          </cell>
          <cell r="D907" t="str">
            <v>nata.kisel09@bk.ru</v>
          </cell>
        </row>
        <row r="908">
          <cell r="A908" t="str">
            <v>Кисенко Евгений Николаевич</v>
          </cell>
          <cell r="B908" t="str">
            <v>В-00433/КЛ.Транш - 1</v>
          </cell>
          <cell r="C908" t="str">
            <v>8253276@gmail.com</v>
          </cell>
        </row>
        <row r="909">
          <cell r="A909" t="str">
            <v>Клементьев Александр Александрович</v>
          </cell>
          <cell r="B909" t="str">
            <v>В-13477/КЛ.Транш - 2</v>
          </cell>
          <cell r="D909" t="str">
            <v>alex230892@mail.ru</v>
          </cell>
        </row>
        <row r="910">
          <cell r="A910" t="str">
            <v>Климахина Татьяна Сергеевна</v>
          </cell>
          <cell r="B910" t="str">
            <v>В-09890/КЛ.Транш - 1</v>
          </cell>
        </row>
        <row r="911">
          <cell r="A911" t="str">
            <v>Климов Павел Александрович</v>
          </cell>
          <cell r="B911" t="str">
            <v>В-29080/КЛ.Транш - 1</v>
          </cell>
          <cell r="D911" t="str">
            <v>domain.123476@gmail.com</v>
          </cell>
        </row>
        <row r="912">
          <cell r="A912" t="str">
            <v>Клинов Сергей Евгеньевич</v>
          </cell>
          <cell r="B912" t="str">
            <v>В-19593/КЛ.Транш - 1</v>
          </cell>
          <cell r="D912" t="str">
            <v>sk@advisk.ru</v>
          </cell>
        </row>
        <row r="913">
          <cell r="A913" t="str">
            <v>Клочихина Ирина Валерьевна</v>
          </cell>
          <cell r="B913" t="str">
            <v>В-12372/КЛ.Транш - 1</v>
          </cell>
          <cell r="D913" t="str">
            <v>irinka_vrach@inbox.ru</v>
          </cell>
        </row>
        <row r="914">
          <cell r="A914" t="str">
            <v>Клюев Павел Валерьевич</v>
          </cell>
          <cell r="B914" t="str">
            <v>В-16768/КЛ.Транш - 1</v>
          </cell>
          <cell r="C914" t="str">
            <v>klyuev.p.v@gmail.com</v>
          </cell>
        </row>
        <row r="915">
          <cell r="A915" t="str">
            <v>Князев Алексей Иванович</v>
          </cell>
          <cell r="B915" t="str">
            <v>В-08368/КЛ.Транш - 2</v>
          </cell>
          <cell r="C915" t="str">
            <v>Ka031968@gmail.com</v>
          </cell>
        </row>
        <row r="916">
          <cell r="A916" t="str">
            <v>Кобальт ООО</v>
          </cell>
          <cell r="B916" t="str">
            <v>В-00018/КЭ.Транш - 1</v>
          </cell>
          <cell r="C916" t="str">
            <v>kobalt26@bk.ru</v>
          </cell>
        </row>
        <row r="917">
          <cell r="A917" t="str">
            <v>Кобальт ООО</v>
          </cell>
          <cell r="B917" t="str">
            <v>В-00073/КЭ.Транш - 1</v>
          </cell>
          <cell r="C917" t="str">
            <v>kobalt26@bk.ru</v>
          </cell>
        </row>
        <row r="918">
          <cell r="A918" t="str">
            <v>Кобахидзе Тэмури Юрьевич</v>
          </cell>
          <cell r="B918" t="str">
            <v>В-15778/КЛ.Транш - 1</v>
          </cell>
          <cell r="D918" t="str">
            <v>timoxa1389@mail.ru</v>
          </cell>
        </row>
        <row r="919">
          <cell r="A919" t="str">
            <v>Кобахидзе Тэмури Юрьевич</v>
          </cell>
          <cell r="B919" t="str">
            <v>В-15778/КЛ.Транш - 2</v>
          </cell>
          <cell r="D919" t="str">
            <v>timoxa1389@mail.ru</v>
          </cell>
        </row>
        <row r="920">
          <cell r="A920" t="str">
            <v>Кобзев Олег Викторович</v>
          </cell>
          <cell r="B920" t="str">
            <v>В-12231/КЛ.Транш - 1</v>
          </cell>
        </row>
        <row r="921">
          <cell r="A921" t="str">
            <v>Ковбасенко Александр Анатольевич</v>
          </cell>
          <cell r="B921" t="str">
            <v>А-04684/АЗ</v>
          </cell>
        </row>
        <row r="922">
          <cell r="A922" t="str">
            <v>Ковбасенко Александр Анатольевич</v>
          </cell>
          <cell r="B922" t="str">
            <v>Т-01646/АЗ_А-20200626/Ц</v>
          </cell>
        </row>
        <row r="923">
          <cell r="A923" t="str">
            <v>Ковригина Ирина Евгеньевна</v>
          </cell>
          <cell r="B923" t="str">
            <v>В-17380/КЛ.Транш - 1</v>
          </cell>
          <cell r="D923" t="str">
            <v>A9777347119@yandex.ru</v>
          </cell>
        </row>
        <row r="924">
          <cell r="A924" t="str">
            <v>Коврик Леонид Николаевич</v>
          </cell>
          <cell r="B924" t="str">
            <v>В-00783/КЛ.Транш - 2</v>
          </cell>
          <cell r="C924" t="str">
            <v>leonidkovrik@yandex.ru</v>
          </cell>
        </row>
        <row r="925">
          <cell r="A925" t="str">
            <v>Коврик Леонид Николаевич</v>
          </cell>
          <cell r="B925" t="str">
            <v>В-00783/КЛ.Транш - 5</v>
          </cell>
          <cell r="C925" t="str">
            <v>leonidkovrik@yandex.ru</v>
          </cell>
        </row>
        <row r="926">
          <cell r="A926" t="str">
            <v>Ковтун Денис Александрович</v>
          </cell>
          <cell r="B926" t="str">
            <v>В-27086/КЛ.Транш - 1</v>
          </cell>
          <cell r="D926" t="str">
            <v>legalservices26@mail.ru</v>
          </cell>
        </row>
        <row r="927">
          <cell r="A927" t="str">
            <v>Ковылин Герман Олегович</v>
          </cell>
          <cell r="B927" t="str">
            <v>А-03533/АЗ_А-20210517/Ц</v>
          </cell>
          <cell r="C927" t="str">
            <v>1362802@mail.ru</v>
          </cell>
          <cell r="D927" t="str">
            <v>1362802@mail.ru</v>
          </cell>
        </row>
        <row r="928">
          <cell r="A928" t="str">
            <v>Ковылин Герман Олегович</v>
          </cell>
          <cell r="B928" t="str">
            <v>Т-01681/АЗ_Т-20210517/Ц</v>
          </cell>
          <cell r="C928" t="str">
            <v>1362802@mail.ru</v>
          </cell>
          <cell r="D928" t="str">
            <v>1362802@mail.ru</v>
          </cell>
        </row>
        <row r="929">
          <cell r="A929" t="str">
            <v>Кожанов Александр Михайлович</v>
          </cell>
          <cell r="B929" t="str">
            <v>В-19104/КЛ.Транш - 1</v>
          </cell>
          <cell r="D929" t="str">
            <v>koganov1982@mail.ru</v>
          </cell>
        </row>
        <row r="930">
          <cell r="A930" t="str">
            <v>Кожинов Дмитрий Сергеевич</v>
          </cell>
          <cell r="B930" t="str">
            <v>В-28598/КЛ.Транш - 1</v>
          </cell>
          <cell r="D930" t="str">
            <v>dsk@s-d,spb,ru</v>
          </cell>
        </row>
        <row r="931">
          <cell r="A931" t="str">
            <v>Кожухова Наталья Евгеньевна</v>
          </cell>
          <cell r="B931" t="str">
            <v>В-26409/КЛ.Транш - 1</v>
          </cell>
          <cell r="D931" t="str">
            <v>nataly.kozhukhova@gmail.com</v>
          </cell>
        </row>
        <row r="932">
          <cell r="A932" t="str">
            <v>Козин Яков Геннадьевич</v>
          </cell>
          <cell r="B932" t="str">
            <v>В-01131/АЗ_А-20210929/Ц</v>
          </cell>
          <cell r="C932" t="str">
            <v>yakov-kozin@mail.ru</v>
          </cell>
          <cell r="D932" t="str">
            <v>yakov-kozin@mail.ru</v>
          </cell>
        </row>
        <row r="933">
          <cell r="A933" t="str">
            <v>Козлов Александр Борисович</v>
          </cell>
          <cell r="B933" t="str">
            <v>В-09513/КЛ.Транш - 1</v>
          </cell>
          <cell r="C933" t="str">
            <v>aleksk1@yandex.ru</v>
          </cell>
        </row>
        <row r="934">
          <cell r="A934" t="str">
            <v>Козлов Александр Борисович</v>
          </cell>
          <cell r="B934" t="str">
            <v>В-09513/КЛ.Транш - 2</v>
          </cell>
          <cell r="C934" t="str">
            <v>aleksk1@yandex.ru</v>
          </cell>
        </row>
        <row r="935">
          <cell r="A935" t="str">
            <v>Козлов Александр Борисович</v>
          </cell>
          <cell r="B935" t="str">
            <v>В-09513/КЛ.Транш - 3</v>
          </cell>
          <cell r="C935" t="str">
            <v>aleksk1@yandex.ru</v>
          </cell>
        </row>
        <row r="936">
          <cell r="A936" t="str">
            <v>Козлов Александр Борисович</v>
          </cell>
          <cell r="B936" t="str">
            <v>В-09513/КЛ.Транш - 4</v>
          </cell>
          <cell r="C936" t="str">
            <v>aleksk1@yandex.ru</v>
          </cell>
        </row>
        <row r="937">
          <cell r="A937" t="str">
            <v>Козлов Иван Александрович</v>
          </cell>
          <cell r="B937" t="str">
            <v>В-14546/КЛ.Транш - 1</v>
          </cell>
          <cell r="D937" t="str">
            <v>mypower84@mail.ru</v>
          </cell>
        </row>
        <row r="938">
          <cell r="A938" t="str">
            <v>Козубекова Наргиза Жапарбаевна</v>
          </cell>
          <cell r="B938" t="str">
            <v>В-16728/КЛ.Транш - 1</v>
          </cell>
          <cell r="D938" t="str">
            <v>nkuxbekova@mail.ru</v>
          </cell>
        </row>
        <row r="939">
          <cell r="A939" t="str">
            <v>Козырев Павел Борисович</v>
          </cell>
          <cell r="B939" t="str">
            <v>В-09397/КЛ.Транш - 2</v>
          </cell>
          <cell r="C939" t="str">
            <v>7054048@gmail.com</v>
          </cell>
        </row>
        <row r="940">
          <cell r="A940" t="str">
            <v>Кокина Татьяна Викторовна</v>
          </cell>
          <cell r="B940" t="str">
            <v>В-15583/КЛ.Транш - 1</v>
          </cell>
        </row>
        <row r="941">
          <cell r="A941" t="str">
            <v>Коконев Николай Александрович</v>
          </cell>
          <cell r="B941" t="str">
            <v>В-11713/КЛ.Транш - 1</v>
          </cell>
          <cell r="C941" t="str">
            <v>nakols_75@mail.ru</v>
          </cell>
        </row>
        <row r="942">
          <cell r="A942" t="str">
            <v>Колебанова Екатерина Александровна</v>
          </cell>
          <cell r="B942" t="str">
            <v>В-12880/КЛ.Транш - 1</v>
          </cell>
          <cell r="D942" t="str">
            <v>ekat.92@mail.ru</v>
          </cell>
        </row>
        <row r="943">
          <cell r="A943" t="str">
            <v>Колесников Евгений Михайлович</v>
          </cell>
          <cell r="B943" t="str">
            <v>В-18921/КЛ.Транш - 1</v>
          </cell>
          <cell r="D943" t="str">
            <v>omegairkutsk@mail/ru</v>
          </cell>
        </row>
        <row r="944">
          <cell r="A944" t="str">
            <v>Колесников Михаил Вячеславович</v>
          </cell>
          <cell r="B944" t="str">
            <v>В-28090/АЗ</v>
          </cell>
          <cell r="D944" t="str">
            <v>voles_84@bk.ru</v>
          </cell>
        </row>
        <row r="945">
          <cell r="A945" t="str">
            <v>Колобашкин Андрей Владимирович</v>
          </cell>
          <cell r="B945" t="str">
            <v>В-22663/КЛ.Транш - 1</v>
          </cell>
          <cell r="C945" t="str">
            <v>NANO_1971@MAIL.RU</v>
          </cell>
        </row>
        <row r="946">
          <cell r="A946" t="str">
            <v>Колосков Александр Михайлович</v>
          </cell>
          <cell r="B946" t="str">
            <v>В-15668/КЛ.Транш - 1</v>
          </cell>
          <cell r="C946" t="str">
            <v>koloskova1971@mail.ru</v>
          </cell>
        </row>
        <row r="947">
          <cell r="A947" t="str">
            <v>Колпаков Антон Валерьевич</v>
          </cell>
          <cell r="B947" t="str">
            <v>В-19880/КЛ.Транш - 1</v>
          </cell>
          <cell r="D947" t="str">
            <v>kolpakov.anton.v@gmail.com</v>
          </cell>
        </row>
        <row r="948">
          <cell r="A948" t="str">
            <v>Колпакова Валерия Викторовна</v>
          </cell>
          <cell r="B948" t="str">
            <v>В-20572/КЛ.Транш - 1</v>
          </cell>
          <cell r="D948" t="str">
            <v>velerykolpakova@mail.ru</v>
          </cell>
        </row>
        <row r="949">
          <cell r="A949" t="str">
            <v>Колпакова Валерия Викторовна</v>
          </cell>
          <cell r="B949" t="str">
            <v>В-20572/КЛ.Транш - 2</v>
          </cell>
          <cell r="D949" t="str">
            <v>velerykolpakova@mail.ru</v>
          </cell>
        </row>
        <row r="950">
          <cell r="A950" t="str">
            <v>Кольчицкий Захар Викторович</v>
          </cell>
          <cell r="B950" t="str">
            <v>В-11334/КЛ.Транш - 1</v>
          </cell>
          <cell r="C950" t="str">
            <v>itu123434@gmail.com</v>
          </cell>
        </row>
        <row r="951">
          <cell r="A951" t="str">
            <v>Комаров Андрей Сергеевич</v>
          </cell>
          <cell r="B951" t="str">
            <v>В-26776/КЛ.Транш - 1</v>
          </cell>
          <cell r="D951" t="str">
            <v>andrey-kom@bk.ru</v>
          </cell>
        </row>
        <row r="952">
          <cell r="A952" t="str">
            <v>Комаров Евгений Николаевич</v>
          </cell>
          <cell r="B952" t="str">
            <v>В-25401/КЛ.Транш - 1</v>
          </cell>
          <cell r="D952" t="str">
            <v>evgen.k.e.n@mail.ru</v>
          </cell>
        </row>
        <row r="953">
          <cell r="A953" t="str">
            <v>Комаров Роман Иванович</v>
          </cell>
          <cell r="B953" t="str">
            <v>В-00884/КЛ.Транш - 1</v>
          </cell>
          <cell r="C953" t="str">
            <v>RETAIL2000@RAMBLER.RU</v>
          </cell>
        </row>
        <row r="954">
          <cell r="A954" t="str">
            <v>Комаров Роман Иванович</v>
          </cell>
          <cell r="B954" t="str">
            <v>В-00884/КЛ.Транш - 2</v>
          </cell>
          <cell r="C954" t="str">
            <v>RETAIL2000@RAMBLER.RU</v>
          </cell>
        </row>
        <row r="955">
          <cell r="A955" t="str">
            <v>Комарова Марина Владимировна</v>
          </cell>
          <cell r="B955" t="str">
            <v>В-11630/КЛ.Транш - 1</v>
          </cell>
          <cell r="C955" t="str">
            <v>FMV.81@mail.ru</v>
          </cell>
        </row>
        <row r="956">
          <cell r="A956" t="str">
            <v>Кондратьев Андрей Александрович</v>
          </cell>
          <cell r="B956" t="str">
            <v>В-16933/КЛ.Транш - 1</v>
          </cell>
          <cell r="D956" t="str">
            <v>21_24_27@mail.ru</v>
          </cell>
        </row>
        <row r="957">
          <cell r="A957" t="str">
            <v>Кондратьев Андрей Александрович</v>
          </cell>
          <cell r="B957" t="str">
            <v>В-16933/КЛ.Транш - 2</v>
          </cell>
          <cell r="D957" t="str">
            <v>21_24_27@mail.ru</v>
          </cell>
        </row>
        <row r="958">
          <cell r="A958" t="str">
            <v>Кондратюк Алексей Николаевич</v>
          </cell>
          <cell r="B958" t="str">
            <v>В-24308/КЛ.Транш - 1</v>
          </cell>
          <cell r="D958" t="str">
            <v>ank6813434@mail.ru</v>
          </cell>
        </row>
        <row r="959">
          <cell r="A959" t="str">
            <v>Кондратюк Алексей Николаевич</v>
          </cell>
          <cell r="B959" t="str">
            <v>В-24308/КЛ.Транш - 2</v>
          </cell>
          <cell r="D959" t="str">
            <v>ank6813434@mail.ru</v>
          </cell>
        </row>
        <row r="960">
          <cell r="A960" t="str">
            <v>Кондрашов Василий Игоревич</v>
          </cell>
          <cell r="B960" t="str">
            <v>В-16455/КЛ.Транш - 1</v>
          </cell>
          <cell r="D960" t="str">
            <v>vasian2021@mail.ru</v>
          </cell>
        </row>
        <row r="961">
          <cell r="A961" t="str">
            <v>Конев Сергей Арсентьевич</v>
          </cell>
          <cell r="B961" t="str">
            <v>В-01184/АЗ</v>
          </cell>
        </row>
        <row r="962">
          <cell r="A962" t="str">
            <v>Конокотин Леонид Викторович</v>
          </cell>
          <cell r="B962" t="str">
            <v>А-05308/АЗ_В-20211230/Ц</v>
          </cell>
        </row>
        <row r="963">
          <cell r="A963" t="str">
            <v>Конуркин Сергей Сергеевич</v>
          </cell>
          <cell r="B963" t="str">
            <v>В-27646/КЛ.Транш - 1</v>
          </cell>
          <cell r="D963" t="str">
            <v>konurckin.serega.2017@yandex.ru</v>
          </cell>
        </row>
        <row r="964">
          <cell r="A964" t="str">
            <v>Кончаков Дмитрий Валерьевич</v>
          </cell>
          <cell r="B964" t="str">
            <v>В-20592/КЛ.Транш - 4</v>
          </cell>
          <cell r="D964" t="str">
            <v>Dimazhelubev@gmail.com</v>
          </cell>
        </row>
        <row r="965">
          <cell r="A965" t="str">
            <v>Копытман Александр Семенович</v>
          </cell>
          <cell r="B965" t="str">
            <v>В-17469/КЛ.Транш - 1</v>
          </cell>
        </row>
        <row r="966">
          <cell r="A966" t="str">
            <v>Копытман Александр Семенович</v>
          </cell>
          <cell r="B966" t="str">
            <v>В-17469/КЛ.Транш - 2</v>
          </cell>
        </row>
        <row r="967">
          <cell r="A967" t="str">
            <v>Корелов Виктор Алексеевич</v>
          </cell>
          <cell r="B967" t="str">
            <v>В-22911/КЛ.Транш - 2</v>
          </cell>
          <cell r="C967" t="str">
            <v>al128@yandex.ru</v>
          </cell>
        </row>
        <row r="968">
          <cell r="A968" t="str">
            <v>Коржев Александр Сергеевич</v>
          </cell>
          <cell r="B968" t="str">
            <v>В-03758/КЛ.Транш - 1</v>
          </cell>
          <cell r="C968" t="str">
            <v>Cahek47rus@icloud.com</v>
          </cell>
        </row>
        <row r="969">
          <cell r="A969" t="str">
            <v>Коркина Елена Александровна</v>
          </cell>
          <cell r="B969" t="str">
            <v>В-19991/КЛ.Транш - 1</v>
          </cell>
          <cell r="C969" t="str">
            <v>lenochka9509@mail.ru</v>
          </cell>
        </row>
        <row r="970">
          <cell r="A970" t="str">
            <v>Коркина Елена Александровна</v>
          </cell>
          <cell r="B970" t="str">
            <v>В-19991/КЛ.Транш - 2</v>
          </cell>
          <cell r="C970" t="str">
            <v>lenochka9509@mail.ru</v>
          </cell>
        </row>
        <row r="971">
          <cell r="A971" t="str">
            <v>Коркина Елена Александровна</v>
          </cell>
          <cell r="B971" t="str">
            <v>В-19991/КЛ.Транш - 3</v>
          </cell>
          <cell r="C971" t="str">
            <v>lenochka9509@mail.ru</v>
          </cell>
        </row>
        <row r="972">
          <cell r="A972" t="str">
            <v>Кормилицын Максим Геннадиевич</v>
          </cell>
          <cell r="B972" t="str">
            <v>В-28252/КЛ.Транш - 1</v>
          </cell>
          <cell r="D972" t="str">
            <v>maksimkormilitsyn@gmail.com</v>
          </cell>
        </row>
        <row r="973">
          <cell r="A973" t="str">
            <v>Корнач Антон Владимирович</v>
          </cell>
          <cell r="B973" t="str">
            <v>В-07328/КЛ.Транш - 1</v>
          </cell>
          <cell r="C973" t="str">
            <v>a.kornach@mail.ru</v>
          </cell>
          <cell r="D973" t="str">
            <v>a.kornach@mail.ru</v>
          </cell>
        </row>
        <row r="974">
          <cell r="A974" t="str">
            <v>Корнач Антон Владимирович</v>
          </cell>
          <cell r="B974" t="str">
            <v>В-07328/КЛ.Транш - 2</v>
          </cell>
          <cell r="C974" t="str">
            <v>a.kornach@mail.ru</v>
          </cell>
          <cell r="D974" t="str">
            <v>a.kornach@mail.ru</v>
          </cell>
        </row>
        <row r="975">
          <cell r="A975" t="str">
            <v>Корниенко Андрей Юрьевич</v>
          </cell>
          <cell r="B975" t="str">
            <v>В-03846/КЛ.Транш - 1</v>
          </cell>
          <cell r="C975" t="str">
            <v>kornienko.a@kccrus.ru</v>
          </cell>
        </row>
        <row r="976">
          <cell r="A976" t="str">
            <v>Корниенко Андрей Юрьевич</v>
          </cell>
          <cell r="B976" t="str">
            <v>В-03846/КЛ.Транш - 2</v>
          </cell>
          <cell r="C976" t="str">
            <v>kornienko.a@kccrus.ru</v>
          </cell>
        </row>
        <row r="977">
          <cell r="A977" t="str">
            <v>Корнилов Александр Дмитриевич</v>
          </cell>
          <cell r="B977" t="str">
            <v>В-22352/АЗ</v>
          </cell>
          <cell r="C977" t="str">
            <v>sash-kornilov@yandex.ru</v>
          </cell>
        </row>
        <row r="978">
          <cell r="A978" t="str">
            <v>Корнилова Алена Константиновна</v>
          </cell>
          <cell r="B978" t="str">
            <v>В-19681/КЛ.Транш - 1</v>
          </cell>
          <cell r="D978" t="str">
            <v>a.k.kornilova@gmail.com</v>
          </cell>
        </row>
        <row r="979">
          <cell r="A979" t="str">
            <v>Корнилова Наталия Владимировна</v>
          </cell>
          <cell r="B979" t="str">
            <v>В-18496/КЛ.Транш - 1</v>
          </cell>
          <cell r="D979" t="str">
            <v>natalinail1219@gmail.com</v>
          </cell>
        </row>
        <row r="980">
          <cell r="A980" t="str">
            <v>Корносенков Евгений Алексеевич</v>
          </cell>
          <cell r="B980" t="str">
            <v>В-09290/КЛ.Транш - 1</v>
          </cell>
        </row>
        <row r="981">
          <cell r="A981" t="str">
            <v>Королёв Дмитрий Евгеньевич</v>
          </cell>
          <cell r="B981" t="str">
            <v>А-00035/БЭ</v>
          </cell>
          <cell r="C981" t="str">
            <v>ksmarket@bk.ru</v>
          </cell>
        </row>
        <row r="982">
          <cell r="A982" t="str">
            <v>Королев Максим Владимирович</v>
          </cell>
          <cell r="B982" t="str">
            <v>В-00586/АЗ_В-20211230/Ц</v>
          </cell>
        </row>
        <row r="983">
          <cell r="A983" t="str">
            <v>Королёв Сергей Николаевич</v>
          </cell>
          <cell r="B983" t="str">
            <v>В-18141/КЛ.Транш - 1</v>
          </cell>
          <cell r="D983" t="str">
            <v>g.danton@mail.ru</v>
          </cell>
        </row>
        <row r="984">
          <cell r="A984" t="str">
            <v>Король Маргарита Игоревна</v>
          </cell>
          <cell r="B984" t="str">
            <v>В-22935/КЛ.Транш - 1</v>
          </cell>
          <cell r="C984" t="str">
            <v>ritylyakorol@mail.ru</v>
          </cell>
          <cell r="D984" t="str">
            <v>ritylyakorol@mail.ru</v>
          </cell>
        </row>
        <row r="985">
          <cell r="A985" t="str">
            <v>Король Маргарита Игоревна</v>
          </cell>
          <cell r="B985" t="str">
            <v>В-22935/КЛ.Транш - 2</v>
          </cell>
          <cell r="C985" t="str">
            <v>ritylyakorol@mail.ru</v>
          </cell>
          <cell r="D985" t="str">
            <v>ritylyakorol@mail.ru</v>
          </cell>
        </row>
        <row r="986">
          <cell r="A986" t="str">
            <v>Коростелкина Татьяна Владимировна</v>
          </cell>
          <cell r="B986" t="str">
            <v>В-19070/КЛ.Транш - 2</v>
          </cell>
          <cell r="D986" t="str">
            <v>tatuxa88@gmail.com</v>
          </cell>
        </row>
        <row r="987">
          <cell r="A987" t="str">
            <v>Коростелкина Татьяна Владимировна</v>
          </cell>
          <cell r="B987" t="str">
            <v>В-19070/КЛ.Транш - 3</v>
          </cell>
          <cell r="D987" t="str">
            <v>tatuxa88@gmail.com</v>
          </cell>
        </row>
        <row r="988">
          <cell r="A988" t="str">
            <v>Коростелкина Татьяна Владимировна</v>
          </cell>
          <cell r="B988" t="str">
            <v>В-19070/КЛ.Транш - 4</v>
          </cell>
          <cell r="D988" t="str">
            <v>tatuxa88@gmail.com</v>
          </cell>
        </row>
        <row r="989">
          <cell r="A989" t="str">
            <v>Корчагина Татьяна Юрьевна</v>
          </cell>
          <cell r="B989" t="str">
            <v>В-00992/АЗ_А-20210929/Ц</v>
          </cell>
        </row>
        <row r="990">
          <cell r="A990" t="str">
            <v>Косарева Надежда Николаевна</v>
          </cell>
          <cell r="B990" t="str">
            <v>В-01191/АЗ</v>
          </cell>
          <cell r="C990" t="str">
            <v>nadyn@list.ru</v>
          </cell>
          <cell r="D990" t="str">
            <v>nadyn@list.ru</v>
          </cell>
        </row>
        <row r="991">
          <cell r="A991" t="str">
            <v>Косинова Мария Евгеньевна</v>
          </cell>
          <cell r="B991" t="str">
            <v>А-05332/АЗ_А-20210517/Ц</v>
          </cell>
        </row>
        <row r="992">
          <cell r="A992" t="str">
            <v>Косинова Мария Евгеньевна</v>
          </cell>
          <cell r="B992" t="str">
            <v>Т-01797/АЗ_Т-20210517/Ц</v>
          </cell>
        </row>
        <row r="993">
          <cell r="A993" t="str">
            <v>Костанян Нерсик Арамович</v>
          </cell>
          <cell r="B993" t="str">
            <v>В-01152/АЗ</v>
          </cell>
          <cell r="C993" t="str">
            <v>8109900@mail.ru</v>
          </cell>
        </row>
        <row r="994">
          <cell r="A994" t="str">
            <v>Кострыгина Юлия Викторовна</v>
          </cell>
          <cell r="B994" t="str">
            <v>В-22100/КЛ.Транш - 1</v>
          </cell>
          <cell r="D994" t="str">
            <v>tanyeli-00@mail.ru</v>
          </cell>
        </row>
        <row r="995">
          <cell r="A995" t="str">
            <v>Кострюков Сергей Вячеславович</v>
          </cell>
          <cell r="B995" t="str">
            <v>В-24021/КЛ.Транш - 1</v>
          </cell>
          <cell r="D995" t="str">
            <v>Dail86@yandex.ru</v>
          </cell>
        </row>
        <row r="996">
          <cell r="A996" t="str">
            <v>Котелло Марина Юрьевна</v>
          </cell>
          <cell r="B996" t="str">
            <v>В-09928/КЛ.Транш - 1</v>
          </cell>
          <cell r="C996" t="str">
            <v>Nelubova_777@mail.ru</v>
          </cell>
        </row>
        <row r="997">
          <cell r="A997" t="str">
            <v>Котляров Алексей Дмитриевич</v>
          </cell>
          <cell r="B997" t="str">
            <v>В-05611/КЛ.Транш - 1</v>
          </cell>
          <cell r="C997" t="str">
            <v>holter3@mail.ru</v>
          </cell>
        </row>
        <row r="998">
          <cell r="A998" t="str">
            <v>Котов Руслан Геннадьевич</v>
          </cell>
          <cell r="B998" t="str">
            <v>В-12740/КЛ.Транш - 2</v>
          </cell>
        </row>
        <row r="999">
          <cell r="A999" t="str">
            <v>Коханов Андрей Валентинович</v>
          </cell>
          <cell r="B999" t="str">
            <v>В-08513/КЛ.Транш - 1</v>
          </cell>
          <cell r="C999" t="str">
            <v>KOXANOV67@MAIL.RU</v>
          </cell>
        </row>
        <row r="1000">
          <cell r="A1000" t="str">
            <v>Коцуба Андрей Сергеевич</v>
          </cell>
          <cell r="B1000" t="str">
            <v>В-00737/АЗ</v>
          </cell>
        </row>
        <row r="1001">
          <cell r="A1001" t="str">
            <v>Кочарян Саргис Сетракович</v>
          </cell>
          <cell r="B1001" t="str">
            <v>В-13219/КЛ.Транш - 1</v>
          </cell>
        </row>
        <row r="1002">
          <cell r="A1002" t="str">
            <v>Кочнева Наталья Николаевна</v>
          </cell>
          <cell r="B1002" t="str">
            <v>В-21666/КЛ.Транш - 1</v>
          </cell>
          <cell r="D1002" t="str">
            <v>natusya77783@mail.ru</v>
          </cell>
        </row>
        <row r="1003">
          <cell r="A1003" t="str">
            <v>Кошевой Андрей Анатольевич</v>
          </cell>
          <cell r="B1003" t="str">
            <v>В-02029/КЛ.Транш - 2</v>
          </cell>
          <cell r="C1003" t="str">
            <v>andrei-hazikov@mail.ru</v>
          </cell>
        </row>
        <row r="1004">
          <cell r="A1004" t="str">
            <v>Кошевой Андрей Анатольевич</v>
          </cell>
          <cell r="B1004" t="str">
            <v>В-26318/КЛ.Транш - 1</v>
          </cell>
          <cell r="C1004" t="str">
            <v>andrei-hazikov@mail.ru</v>
          </cell>
        </row>
        <row r="1005">
          <cell r="A1005" t="str">
            <v>Кошелева Светлана Сергеевна</v>
          </cell>
          <cell r="B1005" t="str">
            <v>В-23633/КЛ.Транш - 1</v>
          </cell>
          <cell r="D1005" t="str">
            <v>Kosheleva018@yandex.ru</v>
          </cell>
        </row>
        <row r="1006">
          <cell r="A1006" t="str">
            <v>Кравченко Вера Юрьевна</v>
          </cell>
          <cell r="B1006" t="str">
            <v>В-05725/КЛ.Транш - 5</v>
          </cell>
          <cell r="C1006" t="str">
            <v>vera-kravchenko-89@yandex.ru</v>
          </cell>
        </row>
        <row r="1007">
          <cell r="A1007" t="str">
            <v>Кравченко Вера Юрьевна</v>
          </cell>
          <cell r="B1007" t="str">
            <v>В-05725/КЛ.Транш - 6</v>
          </cell>
          <cell r="C1007" t="str">
            <v>vera-kravchenko-89@yandex.ru</v>
          </cell>
        </row>
        <row r="1008">
          <cell r="A1008" t="str">
            <v>Кравченко Владимир Николаевич</v>
          </cell>
          <cell r="B1008" t="str">
            <v>В-21960/КЛ.Транш - 1</v>
          </cell>
          <cell r="D1008" t="str">
            <v>kravchenkov11@yandex.ru</v>
          </cell>
        </row>
        <row r="1009">
          <cell r="A1009" t="str">
            <v>Кравченко Владимир Николаевич</v>
          </cell>
          <cell r="B1009" t="str">
            <v>В-21960/КЛ.Транш - 2</v>
          </cell>
          <cell r="D1009" t="str">
            <v>kravchenkov11@yandex.ru</v>
          </cell>
        </row>
        <row r="1010">
          <cell r="A1010" t="str">
            <v>Кравчук Андрей Николаевич</v>
          </cell>
          <cell r="B1010" t="str">
            <v>В-14094/КЛ.Транш - 2</v>
          </cell>
          <cell r="D1010" t="str">
            <v>andrei.kravchyk1981@mail.ry</v>
          </cell>
        </row>
        <row r="1011">
          <cell r="A1011" t="str">
            <v>Крайнева Марина Александровна</v>
          </cell>
          <cell r="B1011" t="str">
            <v>В-28684/КЛ.Транш - 1</v>
          </cell>
          <cell r="D1011" t="str">
            <v>marinaaleksandrovna486@gmail.com</v>
          </cell>
        </row>
        <row r="1012">
          <cell r="A1012" t="str">
            <v>КРАЙСАВТО ООО</v>
          </cell>
          <cell r="B1012" t="str">
            <v>В-00083/КЭ.Транш - 1</v>
          </cell>
        </row>
        <row r="1013">
          <cell r="A1013" t="str">
            <v>Красников Константин Михайлович</v>
          </cell>
          <cell r="B1013" t="str">
            <v>В-26099/КЛ.Транш - 1</v>
          </cell>
          <cell r="C1013" t="str">
            <v>Kmkrasnikov@mail.ru</v>
          </cell>
        </row>
        <row r="1014">
          <cell r="A1014" t="str">
            <v>Красников Константин Михайлович</v>
          </cell>
          <cell r="B1014" t="str">
            <v>В-26099/КЛ.Транш - 2</v>
          </cell>
          <cell r="C1014" t="str">
            <v>Kmkrasnikov@mail.ru</v>
          </cell>
        </row>
        <row r="1015">
          <cell r="A1015" t="str">
            <v>Краснов Николай Викторович</v>
          </cell>
          <cell r="B1015" t="str">
            <v>В-07706/КЛ.Транш - 1</v>
          </cell>
          <cell r="C1015" t="str">
            <v>krasnovnikolai132@gmail.com</v>
          </cell>
        </row>
        <row r="1016">
          <cell r="A1016" t="str">
            <v>Краснокутская Ирина Анатольевна</v>
          </cell>
          <cell r="B1016" t="str">
            <v>В-26649/АЗ</v>
          </cell>
          <cell r="C1016" t="str">
            <v>krasnokutskaya_19@icloud.com</v>
          </cell>
          <cell r="D1016" t="str">
            <v>krasnokutskaya_19@icloud.com</v>
          </cell>
        </row>
        <row r="1017">
          <cell r="A1017" t="str">
            <v>Краснокутский Анатолий Владимирович</v>
          </cell>
          <cell r="B1017" t="str">
            <v>В-26651/АЗ</v>
          </cell>
        </row>
        <row r="1018">
          <cell r="A1018" t="str">
            <v>Креатив дизайн ООО</v>
          </cell>
          <cell r="B1018" t="str">
            <v>А-00375/КЭ.Транш - 1</v>
          </cell>
          <cell r="C1018" t="str">
            <v>sokoarus@gmail.com</v>
          </cell>
        </row>
        <row r="1019">
          <cell r="A1019" t="str">
            <v>Кривотулов Дмитрий Александрович</v>
          </cell>
          <cell r="B1019" t="str">
            <v>В-02402/КЛ.Транш - 1</v>
          </cell>
          <cell r="C1019" t="str">
            <v>dmitrysoul11@yandex.ru</v>
          </cell>
        </row>
        <row r="1020">
          <cell r="A1020" t="str">
            <v>Крикунов Тимофей Николаевич</v>
          </cell>
          <cell r="B1020" t="str">
            <v>В-07632/КЛ.Транш - 1</v>
          </cell>
          <cell r="C1020" t="str">
            <v>krikun7575@gmail.com</v>
          </cell>
        </row>
        <row r="1021">
          <cell r="A1021" t="str">
            <v>КРОШКИ ООО</v>
          </cell>
          <cell r="B1021" t="str">
            <v>А-00211/КЭ.Транш - 2</v>
          </cell>
        </row>
        <row r="1022">
          <cell r="A1022" t="str">
            <v>Круглов Иван Семёнович</v>
          </cell>
          <cell r="B1022" t="str">
            <v>В-23438/АЗ</v>
          </cell>
          <cell r="C1022" t="str">
            <v>m9037997362@yandex.ru</v>
          </cell>
          <cell r="D1022" t="str">
            <v>m9037997362@yandex.ru</v>
          </cell>
        </row>
        <row r="1023">
          <cell r="A1023" t="str">
            <v>Крутова Наталья Владимировна</v>
          </cell>
          <cell r="B1023" t="str">
            <v>В-04182/КЛ.Транш - 1</v>
          </cell>
          <cell r="C1023" t="str">
            <v>n.krutova@list.ru</v>
          </cell>
        </row>
        <row r="1024">
          <cell r="A1024" t="str">
            <v>Крутова Наталья Владимировна</v>
          </cell>
          <cell r="B1024" t="str">
            <v>В-04182/КЛ.Транш - 2</v>
          </cell>
          <cell r="C1024" t="str">
            <v>n.krutova@list.ru</v>
          </cell>
        </row>
        <row r="1025">
          <cell r="A1025" t="str">
            <v>Крыгин Илья Владимирович</v>
          </cell>
          <cell r="B1025" t="str">
            <v>В-18715/КЛ.Транш - 1</v>
          </cell>
          <cell r="D1025" t="str">
            <v>kiv524@rambler.ru</v>
          </cell>
        </row>
        <row r="1026">
          <cell r="A1026" t="str">
            <v>Крыгин Илья Владимирович</v>
          </cell>
          <cell r="B1026" t="str">
            <v>В-18715/КЛ.Транш - 2</v>
          </cell>
          <cell r="D1026" t="str">
            <v>kiv524@rambler.ru</v>
          </cell>
        </row>
        <row r="1027">
          <cell r="A1027" t="str">
            <v>Крыгин Илья Владимирович</v>
          </cell>
          <cell r="B1027" t="str">
            <v>В-18715/КЛ.Транш - 4</v>
          </cell>
          <cell r="D1027" t="str">
            <v>kiv524@rambler.ru</v>
          </cell>
        </row>
        <row r="1028">
          <cell r="A1028" t="str">
            <v>Крюков Сергей Викторович</v>
          </cell>
          <cell r="B1028" t="str">
            <v>А-05392/АЗ</v>
          </cell>
          <cell r="C1028" t="str">
            <v>7968869@mail.ru</v>
          </cell>
          <cell r="D1028" t="str">
            <v>7968869@mail.ru</v>
          </cell>
        </row>
        <row r="1029">
          <cell r="A1029" t="str">
            <v>Крюков Сергей Викторович</v>
          </cell>
          <cell r="B1029" t="str">
            <v>В-00280/КЛ.Транш - 1</v>
          </cell>
          <cell r="C1029" t="str">
            <v>7968869@mail.ru</v>
          </cell>
          <cell r="D1029" t="str">
            <v>7968869@mail.ru</v>
          </cell>
        </row>
        <row r="1030">
          <cell r="A1030" t="str">
            <v>Крюков Сергей Викторович</v>
          </cell>
          <cell r="B1030" t="str">
            <v>В-00280/КЛ.Транш - 2</v>
          </cell>
          <cell r="C1030" t="str">
            <v>7968869@mail.ru</v>
          </cell>
          <cell r="D1030" t="str">
            <v>7968869@mail.ru</v>
          </cell>
        </row>
        <row r="1031">
          <cell r="A1031" t="str">
            <v>Крюков Сергей Викторович</v>
          </cell>
          <cell r="B1031" t="str">
            <v>Т-01827/АЗ_Т-20211028/Ц</v>
          </cell>
          <cell r="C1031" t="str">
            <v>7968869@mail.ru</v>
          </cell>
          <cell r="D1031" t="str">
            <v>7968869@mail.ru</v>
          </cell>
        </row>
        <row r="1032">
          <cell r="A1032" t="str">
            <v>Крючковский Сергей Владиславович</v>
          </cell>
          <cell r="B1032" t="str">
            <v>В-25457/КЛ.Транш - 1</v>
          </cell>
          <cell r="D1032" t="str">
            <v>kruhkov83@mail.ru</v>
          </cell>
        </row>
        <row r="1033">
          <cell r="A1033" t="str">
            <v>Кудаев Марат Арсенович</v>
          </cell>
          <cell r="B1033" t="str">
            <v>В-24596/АЗ</v>
          </cell>
        </row>
        <row r="1034">
          <cell r="A1034" t="str">
            <v>Кудрин Роман Анатольевич</v>
          </cell>
          <cell r="B1034" t="str">
            <v>В-25529/КЛ.Транш - 1</v>
          </cell>
          <cell r="D1034" t="str">
            <v>Kydrin11786@yanbex.ru</v>
          </cell>
        </row>
        <row r="1035">
          <cell r="A1035" t="str">
            <v>Кудрявцев Геннадий Владимирович</v>
          </cell>
          <cell r="B1035" t="str">
            <v>В-12548/КЛ.Транш - 2_В-20211230/Ц</v>
          </cell>
          <cell r="C1035" t="str">
            <v>wanadiu35@rambler.ru</v>
          </cell>
          <cell r="D1035" t="str">
            <v>wanadiu35@rambler.ru</v>
          </cell>
        </row>
        <row r="1036">
          <cell r="A1036" t="str">
            <v>Кудряшов Савва Романович</v>
          </cell>
          <cell r="B1036" t="str">
            <v>В-25573/КЛ.Транш - 1</v>
          </cell>
        </row>
        <row r="1037">
          <cell r="A1037" t="str">
            <v>Кудряшов Савва Романович</v>
          </cell>
          <cell r="B1037" t="str">
            <v>В-25573/КЛ.Транш - 2</v>
          </cell>
        </row>
        <row r="1038">
          <cell r="A1038" t="str">
            <v>Кузнецов Алексей Анатольевич</v>
          </cell>
          <cell r="B1038" t="str">
            <v>В-22048/КЛ.Транш - 1</v>
          </cell>
          <cell r="D1038" t="str">
            <v>aleksej19770312@mail.ru</v>
          </cell>
        </row>
        <row r="1039">
          <cell r="A1039" t="str">
            <v>Кузнецов Иван Михайлович</v>
          </cell>
          <cell r="B1039" t="str">
            <v>В-16516/КЛ.Транш - 1</v>
          </cell>
          <cell r="C1039" t="str">
            <v>ivan@ikuznetsov.com</v>
          </cell>
        </row>
        <row r="1040">
          <cell r="A1040" t="str">
            <v>Кузнецов Иван Михайлович</v>
          </cell>
          <cell r="B1040" t="str">
            <v>В-16516/КЛ.Транш - 2</v>
          </cell>
          <cell r="C1040" t="str">
            <v>ivan@ikuznetsov.com</v>
          </cell>
        </row>
        <row r="1041">
          <cell r="A1041" t="str">
            <v>Кузнецов Иван Михайлович</v>
          </cell>
          <cell r="B1041" t="str">
            <v>В-16516/КЛ.Транш - 3</v>
          </cell>
          <cell r="C1041" t="str">
            <v>ivan@ikuznetsov.com</v>
          </cell>
        </row>
        <row r="1042">
          <cell r="A1042" t="str">
            <v>Кузнецов Иван Михайлович</v>
          </cell>
          <cell r="B1042" t="str">
            <v>В-16516/КЛ.Транш - 4</v>
          </cell>
          <cell r="C1042" t="str">
            <v>ivan@ikuznetsov.com</v>
          </cell>
        </row>
        <row r="1043">
          <cell r="A1043" t="str">
            <v>Кузнецов Иван Михайлович</v>
          </cell>
          <cell r="B1043" t="str">
            <v>В-16516/КЛ.Транш - 5</v>
          </cell>
          <cell r="C1043" t="str">
            <v>ivan@ikuznetsov.com</v>
          </cell>
        </row>
        <row r="1044">
          <cell r="A1044" t="str">
            <v>Кузнецов Иван Михайлович</v>
          </cell>
          <cell r="B1044" t="str">
            <v>В-16516/КЛ.Транш - 6</v>
          </cell>
          <cell r="C1044" t="str">
            <v>ivan@ikuznetsov.com</v>
          </cell>
        </row>
        <row r="1045">
          <cell r="A1045" t="str">
            <v>Кузнецов Иван Михайлович</v>
          </cell>
          <cell r="B1045" t="str">
            <v>В-16516/КЛ.Транш - 7</v>
          </cell>
          <cell r="C1045" t="str">
            <v>ivan@ikuznetsov.com</v>
          </cell>
        </row>
        <row r="1046">
          <cell r="A1046" t="str">
            <v>Кузнецова Александра Николаевна</v>
          </cell>
          <cell r="B1046" t="str">
            <v>В-22683/КЛ.Транш - 1</v>
          </cell>
          <cell r="C1046" t="str">
            <v>alexandra1999@inbox.ru</v>
          </cell>
          <cell r="D1046" t="str">
            <v>alexandra1999@inbox.ru</v>
          </cell>
        </row>
        <row r="1047">
          <cell r="A1047" t="str">
            <v>Кузнецова Екатерина Владиславовна</v>
          </cell>
          <cell r="B1047" t="str">
            <v>В-18929/КЛ.Транш - 1</v>
          </cell>
          <cell r="D1047" t="str">
            <v>kotic91@mail.ru</v>
          </cell>
        </row>
        <row r="1048">
          <cell r="A1048" t="str">
            <v>Кузнецова Елена Витальевна</v>
          </cell>
          <cell r="B1048" t="str">
            <v>А-10026/БЭ</v>
          </cell>
          <cell r="C1048" t="str">
            <v>helena218@mail.ru</v>
          </cell>
          <cell r="D1048" t="str">
            <v>helena218@mail.ru</v>
          </cell>
        </row>
        <row r="1049">
          <cell r="A1049" t="str">
            <v>Кузнецова Ирина Геннадьевна</v>
          </cell>
          <cell r="B1049" t="str">
            <v>В-04395/КЛ.Транш - 4</v>
          </cell>
          <cell r="C1049" t="str">
            <v>irinakuznetsova1963@gmail.com</v>
          </cell>
        </row>
        <row r="1050">
          <cell r="A1050" t="str">
            <v>Кузнецова Юлия Сергеевна</v>
          </cell>
          <cell r="B1050" t="str">
            <v>В-06920/КЛ.Транш - 1</v>
          </cell>
          <cell r="C1050" t="str">
            <v>kuznetsova.logistik@gmail.com</v>
          </cell>
        </row>
        <row r="1051">
          <cell r="A1051" t="str">
            <v>Кузнецова Юлия Сергеевна</v>
          </cell>
          <cell r="B1051" t="str">
            <v>В-06920/КЛ.Транш - 2</v>
          </cell>
          <cell r="C1051" t="str">
            <v>kuznetsova.logistik@gmail.com</v>
          </cell>
        </row>
        <row r="1052">
          <cell r="A1052" t="str">
            <v>Кузнецова Юлия Сергеевна</v>
          </cell>
          <cell r="B1052" t="str">
            <v>В-06920/КЛ.Транш - 3</v>
          </cell>
          <cell r="C1052" t="str">
            <v>kuznetsova.logistik@gmail.com</v>
          </cell>
        </row>
        <row r="1053">
          <cell r="A1053" t="str">
            <v>Кузьменко Антон Алексеевич</v>
          </cell>
          <cell r="B1053" t="str">
            <v>В-22010/КЛ.Транш - 1</v>
          </cell>
          <cell r="D1053" t="str">
            <v>ank79.79@mail.ru</v>
          </cell>
        </row>
        <row r="1054">
          <cell r="A1054" t="str">
            <v>Кузьмин Михаил Юрьевич</v>
          </cell>
          <cell r="B1054" t="str">
            <v>В-12113/КЛ.Транш - 1</v>
          </cell>
        </row>
        <row r="1055">
          <cell r="A1055" t="str">
            <v>Кузьмичев Иван Сергеевич</v>
          </cell>
          <cell r="B1055" t="str">
            <v>В-20731/КЛ.Транш - 1</v>
          </cell>
          <cell r="D1055" t="str">
            <v>Kuznichev_ivan@mail.ru</v>
          </cell>
        </row>
        <row r="1056">
          <cell r="A1056" t="str">
            <v>Кузьмичев Иван Сергеевич</v>
          </cell>
          <cell r="B1056" t="str">
            <v>В-20731/КЛ.Транш - 2</v>
          </cell>
          <cell r="D1056" t="str">
            <v>Kuznichev_ivan@mail.ru</v>
          </cell>
        </row>
        <row r="1057">
          <cell r="A1057" t="str">
            <v>Кузьмичев Иван Сергеевич</v>
          </cell>
          <cell r="B1057" t="str">
            <v>В-20731/КЛ.Транш - 3</v>
          </cell>
          <cell r="D1057" t="str">
            <v>Kuznichev_ivan@mail.ru</v>
          </cell>
        </row>
        <row r="1058">
          <cell r="A1058" t="str">
            <v>Кузьмичев Иван Сергеевич</v>
          </cell>
          <cell r="B1058" t="str">
            <v>В-20731/КЛ.Транш - 4</v>
          </cell>
          <cell r="D1058" t="str">
            <v>Kuznichev_ivan@mail.ru</v>
          </cell>
        </row>
        <row r="1059">
          <cell r="A1059" t="str">
            <v>Кузьмичев Иван Сергеевич</v>
          </cell>
          <cell r="B1059" t="str">
            <v>В-20731/КЛ.Транш - 5</v>
          </cell>
          <cell r="D1059" t="str">
            <v>Kuznichev_ivan@mail.ru</v>
          </cell>
        </row>
        <row r="1060">
          <cell r="A1060" t="str">
            <v>Куканов Максим Владимирович</v>
          </cell>
          <cell r="B1060" t="str">
            <v>В-25914/КЛ.Транш - 1</v>
          </cell>
          <cell r="C1060" t="str">
            <v>kukanov_maksim@mail.ru</v>
          </cell>
          <cell r="D1060" t="str">
            <v>kukanov_maksim@mail.ru</v>
          </cell>
        </row>
        <row r="1061">
          <cell r="A1061" t="str">
            <v>Куксова Елена Юрьевна</v>
          </cell>
          <cell r="B1061" t="str">
            <v>В-12163/КЛ.Транш - 1</v>
          </cell>
          <cell r="D1061" t="str">
            <v>vanillakuks@mail.ru</v>
          </cell>
        </row>
        <row r="1062">
          <cell r="A1062" t="str">
            <v>Куксова Елена Юрьевна</v>
          </cell>
          <cell r="B1062" t="str">
            <v>В-12163/КЛ.Транш - 2</v>
          </cell>
          <cell r="D1062" t="str">
            <v>vanillakuks@mail.ru</v>
          </cell>
        </row>
        <row r="1063">
          <cell r="A1063" t="str">
            <v>Кукушкин Сергей Петрович</v>
          </cell>
          <cell r="B1063" t="str">
            <v>В-03460/КЛ.Транш - 1</v>
          </cell>
          <cell r="C1063" t="str">
            <v>skukuskin054@gmail.com</v>
          </cell>
        </row>
        <row r="1064">
          <cell r="A1064" t="str">
            <v>Купряков Алексей Игоревич</v>
          </cell>
          <cell r="B1064" t="str">
            <v>В-01210/АЗ</v>
          </cell>
          <cell r="C1064" t="str">
            <v>Joker-design@mail.ru</v>
          </cell>
        </row>
        <row r="1065">
          <cell r="A1065" t="str">
            <v>Куразян Гарий Рафаэлович</v>
          </cell>
          <cell r="B1065" t="str">
            <v>В-20384/КЛ.Транш - 1</v>
          </cell>
          <cell r="D1065" t="str">
            <v>garoamge@icloud.com</v>
          </cell>
        </row>
        <row r="1066">
          <cell r="A1066" t="str">
            <v>Куренкова Марина Анатольевна</v>
          </cell>
          <cell r="B1066" t="str">
            <v>В-08270/КЛ.Транш - 1</v>
          </cell>
          <cell r="C1066" t="str">
            <v>olgasorokina67@bk.ru</v>
          </cell>
        </row>
        <row r="1067">
          <cell r="A1067" t="str">
            <v>Курехян Жорж Эдуардович</v>
          </cell>
          <cell r="B1067" t="str">
            <v>В-24366/КЛ.Транш - 1</v>
          </cell>
        </row>
        <row r="1068">
          <cell r="A1068" t="str">
            <v>Курмаев Виталий Юрьевич</v>
          </cell>
          <cell r="B1068" t="str">
            <v>В-11882/КЛ.Транш - 1</v>
          </cell>
          <cell r="C1068" t="str">
            <v>qzorky@mail.ru</v>
          </cell>
        </row>
        <row r="1069">
          <cell r="A1069" t="str">
            <v>Курмаев Виталий Юрьевич</v>
          </cell>
          <cell r="B1069" t="str">
            <v>В-11882/КЛ.Транш - 2</v>
          </cell>
          <cell r="C1069" t="str">
            <v>qzorky@mail.ru</v>
          </cell>
        </row>
        <row r="1070">
          <cell r="A1070" t="str">
            <v>Курмаев Виталий Юрьевич</v>
          </cell>
          <cell r="B1070" t="str">
            <v>В-11882/КЛ.Транш - 3</v>
          </cell>
          <cell r="C1070" t="str">
            <v>qzorky@mail.ru</v>
          </cell>
        </row>
        <row r="1071">
          <cell r="A1071" t="str">
            <v>Курнакова Надежда Александровна</v>
          </cell>
          <cell r="B1071" t="str">
            <v>В-23897/КЛ.Транш - 1</v>
          </cell>
          <cell r="C1071" t="str">
            <v>kurnakova.n@mail.ru</v>
          </cell>
          <cell r="D1071" t="str">
            <v>kurnakova.n@mail.ru</v>
          </cell>
        </row>
        <row r="1072">
          <cell r="A1072" t="str">
            <v>Куров Владимир Грацианович</v>
          </cell>
          <cell r="B1072" t="str">
            <v>В-26742/КЛ.Транш - 1</v>
          </cell>
          <cell r="C1072" t="str">
            <v>amdnew@mail.ru</v>
          </cell>
        </row>
        <row r="1073">
          <cell r="A1073" t="str">
            <v>Куров Владимир Грацианович</v>
          </cell>
          <cell r="B1073" t="str">
            <v>В-26742/КЛ.Транш - 2</v>
          </cell>
          <cell r="C1073" t="str">
            <v>amdnew@mail.ru</v>
          </cell>
        </row>
        <row r="1074">
          <cell r="A1074" t="str">
            <v>Курышев Дмитрий Александрович</v>
          </cell>
          <cell r="B1074" t="str">
            <v>А-04827/АЗ</v>
          </cell>
          <cell r="C1074" t="str">
            <v>dkurishev@mail.ru</v>
          </cell>
          <cell r="D1074" t="str">
            <v>dkurishev@mail.ru</v>
          </cell>
        </row>
        <row r="1075">
          <cell r="A1075" t="str">
            <v>Кутанов Егор Сергеевич</v>
          </cell>
          <cell r="B1075" t="str">
            <v>В-15451/КЛ.Транш - 1</v>
          </cell>
        </row>
        <row r="1076">
          <cell r="A1076" t="str">
            <v>Кутепов Виктор Николаевич</v>
          </cell>
          <cell r="B1076" t="str">
            <v>В-21933/КЛ.Транш - 1</v>
          </cell>
        </row>
        <row r="1077">
          <cell r="A1077" t="str">
            <v>Кутлуахметов Руслан Зауилович</v>
          </cell>
          <cell r="B1077" t="str">
            <v>В-19791/КЛ.Транш - 1</v>
          </cell>
          <cell r="D1077" t="str">
            <v>Kutluahmetov91@mail.ru</v>
          </cell>
        </row>
        <row r="1078">
          <cell r="A1078" t="str">
            <v>Кучевский Сергей Геннадьевич</v>
          </cell>
          <cell r="B1078" t="str">
            <v>В-00103/КЛ.Транш - 1_В-20211230/Ц</v>
          </cell>
          <cell r="C1078" t="str">
            <v>drive08@mail.ru</v>
          </cell>
        </row>
        <row r="1079">
          <cell r="A1079" t="str">
            <v>Кушнер Сергей Сергеевич</v>
          </cell>
          <cell r="B1079" t="str">
            <v>В-00999/АЗ</v>
          </cell>
          <cell r="C1079" t="str">
            <v>kushner@mail.ru</v>
          </cell>
        </row>
        <row r="1080">
          <cell r="A1080" t="str">
            <v>ЛАВиК ООО</v>
          </cell>
          <cell r="B1080" t="str">
            <v>А-00395/КЭ.Транш - 2</v>
          </cell>
          <cell r="C1080" t="str">
            <v>lavik-2011@mail.ru</v>
          </cell>
        </row>
        <row r="1081">
          <cell r="A1081" t="str">
            <v>ЛАВиК ООО</v>
          </cell>
          <cell r="B1081" t="str">
            <v>А-00395/КЭ.Транш - 3</v>
          </cell>
          <cell r="C1081" t="str">
            <v>lavik-2011@mail.ru</v>
          </cell>
        </row>
        <row r="1082">
          <cell r="A1082" t="str">
            <v>Лаврухин Сергей Валентинович</v>
          </cell>
          <cell r="B1082" t="str">
            <v>В-15251/КЛ.Транш - 1</v>
          </cell>
          <cell r="C1082" t="str">
            <v>9973271@gmail.com</v>
          </cell>
        </row>
        <row r="1083">
          <cell r="A1083" t="str">
            <v>Лаврухин Сергей Валентинович</v>
          </cell>
          <cell r="B1083" t="str">
            <v>В-15251/КЛ.Транш - 2</v>
          </cell>
          <cell r="C1083" t="str">
            <v>9973271@gmail.com</v>
          </cell>
        </row>
        <row r="1084">
          <cell r="A1084" t="str">
            <v>Лаврухин Сергей Валентинович</v>
          </cell>
          <cell r="B1084" t="str">
            <v>В-15251/КЛ.Транш - 3</v>
          </cell>
          <cell r="C1084" t="str">
            <v>9973271@gmail.com</v>
          </cell>
        </row>
        <row r="1085">
          <cell r="A1085" t="str">
            <v>Лазарева Ирина Михайловна</v>
          </cell>
          <cell r="B1085" t="str">
            <v>В-04536/КЛ.Транш - 3</v>
          </cell>
          <cell r="C1085" t="str">
            <v>2730146@mail.ru</v>
          </cell>
          <cell r="D1085" t="str">
            <v>2730146@mail.ru</v>
          </cell>
        </row>
        <row r="1086">
          <cell r="A1086" t="str">
            <v>Лазарева Ирина Михайловна</v>
          </cell>
          <cell r="B1086" t="str">
            <v>В-04536/КЛ.Транш - 4</v>
          </cell>
          <cell r="C1086" t="str">
            <v>2730146@mail.ru</v>
          </cell>
          <cell r="D1086" t="str">
            <v>2730146@mail.ru</v>
          </cell>
        </row>
        <row r="1087">
          <cell r="A1087" t="str">
            <v>Лазарян Давид Игоревич</v>
          </cell>
          <cell r="B1087" t="str">
            <v>В-20200/КЛ.Транш - 1</v>
          </cell>
          <cell r="D1087" t="str">
            <v>lazaryn.david.@bk.ru</v>
          </cell>
        </row>
        <row r="1088">
          <cell r="A1088" t="str">
            <v>Лазарян Давид Игоревич</v>
          </cell>
          <cell r="B1088" t="str">
            <v>В-20200/КЛ.Транш - 2</v>
          </cell>
          <cell r="D1088" t="str">
            <v>lazaryn.david.@bk.ru</v>
          </cell>
        </row>
        <row r="1089">
          <cell r="A1089" t="str">
            <v>Лапенков Дмитрий Владимирович</v>
          </cell>
          <cell r="B1089" t="str">
            <v>В-22082/КЛ.Транш - 1</v>
          </cell>
          <cell r="D1089" t="str">
            <v>dimitry.lapenkov@yandex.ru</v>
          </cell>
        </row>
        <row r="1090">
          <cell r="A1090" t="str">
            <v>Лапин Дмитрий Геннадьевич</v>
          </cell>
          <cell r="B1090" t="str">
            <v>В-17724/КЛ.Транш - 1</v>
          </cell>
          <cell r="D1090" t="str">
            <v>Lapind001@rambler.ru</v>
          </cell>
        </row>
        <row r="1091">
          <cell r="A1091" t="str">
            <v>Лапкин Руслан Евгеньевич</v>
          </cell>
          <cell r="B1091" t="str">
            <v>В-23930/АЗ</v>
          </cell>
          <cell r="C1091" t="str">
            <v>ruslapkin@mail.ru</v>
          </cell>
          <cell r="D1091" t="str">
            <v>ruslapkin@mail.ru</v>
          </cell>
        </row>
        <row r="1092">
          <cell r="A1092" t="str">
            <v>Лапшин Владимир Николаевич</v>
          </cell>
          <cell r="B1092" t="str">
            <v>В-13202/КЛ.Транш - 2</v>
          </cell>
          <cell r="D1092" t="str">
            <v>Lapshinvova@rambler.ru</v>
          </cell>
        </row>
        <row r="1093">
          <cell r="A1093" t="str">
            <v>Лапшин Владимир Николаевич</v>
          </cell>
          <cell r="B1093" t="str">
            <v>В-13202/КЛ.Транш - 3</v>
          </cell>
          <cell r="D1093" t="str">
            <v>Lapshinvova@rambler.ru</v>
          </cell>
        </row>
        <row r="1094">
          <cell r="A1094" t="str">
            <v>Ларина Анна Ильинична</v>
          </cell>
          <cell r="B1094" t="str">
            <v>В-10050/КЛ.Транш - 1</v>
          </cell>
          <cell r="C1094" t="str">
            <v>laarchgroup@gmail.com</v>
          </cell>
        </row>
        <row r="1095">
          <cell r="A1095" t="str">
            <v>Ларичева Ольга Ивановна</v>
          </cell>
          <cell r="B1095" t="str">
            <v>В-25217/КЛ.Транш - 1</v>
          </cell>
          <cell r="D1095" t="str">
            <v>altaytur@bk.ru</v>
          </cell>
        </row>
        <row r="1096">
          <cell r="A1096" t="str">
            <v>Ларчик Денис Владимирович</v>
          </cell>
          <cell r="B1096" t="str">
            <v>В-12033/КЛ.Транш - 1</v>
          </cell>
          <cell r="C1096" t="str">
            <v>zavodmorozova@mail.ru</v>
          </cell>
        </row>
        <row r="1097">
          <cell r="A1097" t="str">
            <v>Лебедев Мирон Робертович</v>
          </cell>
          <cell r="B1097" t="str">
            <v>В-01120/АЗ_А-20210929/Ц</v>
          </cell>
        </row>
        <row r="1098">
          <cell r="A1098" t="str">
            <v>Лебедева Евгения Александровна</v>
          </cell>
          <cell r="B1098" t="str">
            <v>В-20855/КЛ.Транш - 1</v>
          </cell>
          <cell r="D1098" t="str">
            <v>ea_manina@mail.ru</v>
          </cell>
        </row>
        <row r="1099">
          <cell r="A1099" t="str">
            <v>Лебедовский Максим Юрьевич</v>
          </cell>
          <cell r="B1099" t="str">
            <v>В-20046/КЛ.Транш - 1</v>
          </cell>
          <cell r="D1099" t="str">
            <v>makslebnik@gmail.com</v>
          </cell>
        </row>
        <row r="1100">
          <cell r="A1100" t="str">
            <v>Левин Сергей Владимирович</v>
          </cell>
          <cell r="B1100" t="str">
            <v>В-18367/КЛ.Транш - 1</v>
          </cell>
          <cell r="D1100" t="str">
            <v>zurab389@gmail.com</v>
          </cell>
        </row>
        <row r="1101">
          <cell r="A1101" t="str">
            <v>Левин Сергей Сергеевич</v>
          </cell>
          <cell r="B1101" t="str">
            <v>В-11967/КЛ.Транш - 1</v>
          </cell>
          <cell r="C1101" t="str">
            <v>luytyj-88@mail.ru</v>
          </cell>
        </row>
        <row r="1102">
          <cell r="A1102" t="str">
            <v>Левин Сергей Сергеевич</v>
          </cell>
          <cell r="B1102" t="str">
            <v>В-11967/КЛ.Транш - 2</v>
          </cell>
          <cell r="C1102" t="str">
            <v>luytyj-88@mail.ru</v>
          </cell>
        </row>
        <row r="1103">
          <cell r="A1103" t="str">
            <v>Левченков Георгий Михайлович</v>
          </cell>
          <cell r="B1103" t="str">
            <v>В-28436/АЗ</v>
          </cell>
          <cell r="D1103" t="str">
            <v>Levaenkovgeorguy@gmail.com</v>
          </cell>
        </row>
        <row r="1104">
          <cell r="A1104" t="str">
            <v>Леднев Алексей Иванович</v>
          </cell>
          <cell r="B1104" t="str">
            <v>В-13264/КЛ.Транш - 1</v>
          </cell>
          <cell r="D1104" t="str">
            <v>Lednev.79@bk.ru</v>
          </cell>
        </row>
        <row r="1105">
          <cell r="A1105" t="str">
            <v>Леднев Алексей Иванович</v>
          </cell>
          <cell r="B1105" t="str">
            <v>В-13264/КЛ.Транш - 2</v>
          </cell>
          <cell r="D1105" t="str">
            <v>Lednev.79@bk.ru</v>
          </cell>
        </row>
        <row r="1106">
          <cell r="A1106" t="str">
            <v>Леднев Алексей Иванович</v>
          </cell>
          <cell r="B1106" t="str">
            <v>В-13264/КЛ.Транш - 3</v>
          </cell>
          <cell r="D1106" t="str">
            <v>Lednev.79@bk.ru</v>
          </cell>
        </row>
        <row r="1107">
          <cell r="A1107" t="str">
            <v>Леднева Елена Владимировна</v>
          </cell>
          <cell r="B1107" t="str">
            <v>В-04294/КЛ.Транш - 2</v>
          </cell>
          <cell r="C1107" t="str">
            <v>lednewae@mail.ru</v>
          </cell>
        </row>
        <row r="1108">
          <cell r="A1108" t="str">
            <v>Леднева Елена Владимировна</v>
          </cell>
          <cell r="B1108" t="str">
            <v>В-04294/КЛ.Транш - 3</v>
          </cell>
          <cell r="C1108" t="str">
            <v>lednewae@mail.ru</v>
          </cell>
        </row>
        <row r="1109">
          <cell r="A1109" t="str">
            <v>Лекторова Екатерина Николаевна</v>
          </cell>
          <cell r="B1109" t="str">
            <v>В-12098/КЛ.Транш - 1</v>
          </cell>
          <cell r="C1109" t="str">
            <v>katerinka-nikolaevna@mail.ru</v>
          </cell>
        </row>
        <row r="1110">
          <cell r="A1110" t="str">
            <v>Лекторова Екатерина Николаевна</v>
          </cell>
          <cell r="B1110" t="str">
            <v>В-12098/КЛ.Транш - 2</v>
          </cell>
          <cell r="C1110" t="str">
            <v>katerinka-nikolaevna@mail.ru</v>
          </cell>
        </row>
        <row r="1111">
          <cell r="A1111" t="str">
            <v>Лемкин Николай Иванович</v>
          </cell>
          <cell r="B1111" t="str">
            <v>В-26664/КЛ.Транш - 1</v>
          </cell>
          <cell r="D1111" t="str">
            <v>nikolaylemkin0771@gmail.com</v>
          </cell>
        </row>
        <row r="1112">
          <cell r="A1112" t="str">
            <v>Леонова Юлия Вячеславовна</v>
          </cell>
          <cell r="B1112" t="str">
            <v>В-27287/КЛ.Транш - 1</v>
          </cell>
          <cell r="D1112" t="str">
            <v>leonova89.89@inbox.ru</v>
          </cell>
        </row>
        <row r="1113">
          <cell r="A1113" t="str">
            <v>Лещев Андрей Николаевич</v>
          </cell>
          <cell r="B1113" t="str">
            <v>В-15085/КЛ.Транш - 1</v>
          </cell>
          <cell r="C1113" t="str">
            <v>5202008@mail.ru</v>
          </cell>
        </row>
        <row r="1114">
          <cell r="A1114" t="str">
            <v>Лещинский Михаил Дмитриевич</v>
          </cell>
          <cell r="B1114" t="str">
            <v>В-01107/АЗ</v>
          </cell>
          <cell r="C1114" t="str">
            <v>3080743@mail.ru</v>
          </cell>
          <cell r="D1114" t="str">
            <v>3080743@mail.ru</v>
          </cell>
        </row>
        <row r="1115">
          <cell r="A1115" t="str">
            <v>Ли Юлия Олеговна</v>
          </cell>
          <cell r="B1115" t="str">
            <v>В-17171/КЛ.Транш - 2</v>
          </cell>
          <cell r="D1115" t="str">
            <v>rea1477@yandex.ru</v>
          </cell>
        </row>
        <row r="1116">
          <cell r="A1116" t="str">
            <v>Ливанов Игорь Викторович</v>
          </cell>
          <cell r="B1116" t="str">
            <v>В-20381/КЛ.Транш - 1</v>
          </cell>
          <cell r="C1116" t="str">
            <v>appletreeshop@yandex.ru</v>
          </cell>
          <cell r="D1116" t="str">
            <v>appletreeshop@yandex.ru</v>
          </cell>
        </row>
        <row r="1117">
          <cell r="A1117" t="str">
            <v>ЛИДЕР ГРУПП ООО</v>
          </cell>
          <cell r="B1117" t="str">
            <v>В-00011/КЭ.Транш - 1_А-20210929/Ц</v>
          </cell>
          <cell r="C1117" t="str">
            <v>buh@leader-groupp.ru</v>
          </cell>
        </row>
        <row r="1118">
          <cell r="A1118" t="str">
            <v>Линник Борис Владимирович</v>
          </cell>
          <cell r="B1118" t="str">
            <v>В-26761/АЗ</v>
          </cell>
          <cell r="C1118" t="str">
            <v>borismockva79@mail.ru</v>
          </cell>
          <cell r="D1118" t="str">
            <v>borismockva79@mail.ru</v>
          </cell>
        </row>
        <row r="1119">
          <cell r="A1119" t="str">
            <v>Линючев Дмитрий Владимирович</v>
          </cell>
          <cell r="B1119" t="str">
            <v>В-27442/АЗ</v>
          </cell>
          <cell r="D1119" t="str">
            <v>Dmitry.linyuchev@mail.ru</v>
          </cell>
        </row>
        <row r="1120">
          <cell r="A1120" t="str">
            <v>Липатова Марина Александровна</v>
          </cell>
          <cell r="B1120" t="str">
            <v>В-26233/КЛ.Транш - 1</v>
          </cell>
          <cell r="D1120" t="str">
            <v>lipatovama@mail.ru</v>
          </cell>
        </row>
        <row r="1121">
          <cell r="A1121" t="str">
            <v>Липницкая Калерия Алексеевна</v>
          </cell>
          <cell r="B1121" t="str">
            <v>В-14310/КЛ.Транш - 1</v>
          </cell>
          <cell r="D1121" t="str">
            <v>pichugina.kalia@yandex.ru</v>
          </cell>
        </row>
        <row r="1122">
          <cell r="A1122" t="str">
            <v>Лисичкина Елена Александровна</v>
          </cell>
          <cell r="B1122" t="str">
            <v>В-00044/КЛ.Транш - 1</v>
          </cell>
          <cell r="C1122" t="str">
            <v>e.mvk2013@yandex.ru</v>
          </cell>
        </row>
        <row r="1123">
          <cell r="A1123" t="str">
            <v>Литвинов Дмитрий Геннадьевич</v>
          </cell>
          <cell r="B1123" t="str">
            <v>В-11277/КЛ.Транш - 1</v>
          </cell>
          <cell r="C1123" t="str">
            <v>dimalit@rambler.ru</v>
          </cell>
        </row>
        <row r="1124">
          <cell r="A1124" t="str">
            <v>Литвинов Дмитрий Геннадьевич</v>
          </cell>
          <cell r="B1124" t="str">
            <v>В-11277/КЛ.Транш - 2</v>
          </cell>
          <cell r="C1124" t="str">
            <v>dimalit@rambler.ru</v>
          </cell>
        </row>
        <row r="1125">
          <cell r="A1125" t="str">
            <v>Литвинова Екатерина Викторовна</v>
          </cell>
          <cell r="B1125" t="str">
            <v>В-05260/КЛ.Транш - 3</v>
          </cell>
          <cell r="C1125" t="str">
            <v>6107599@mail.ru</v>
          </cell>
        </row>
        <row r="1126">
          <cell r="A1126" t="str">
            <v>Лихачева Мария Николаевна</v>
          </cell>
          <cell r="B1126" t="str">
            <v>В-22057/КЛ.Транш - 1</v>
          </cell>
          <cell r="D1126" t="str">
            <v>9144493888@mail.ru</v>
          </cell>
        </row>
        <row r="1127">
          <cell r="A1127" t="str">
            <v>Лихачева Мария Николаевна</v>
          </cell>
          <cell r="B1127" t="str">
            <v>В-22057/КЛ.Транш - 2</v>
          </cell>
          <cell r="D1127" t="str">
            <v>9144493888@mail.ru</v>
          </cell>
        </row>
        <row r="1128">
          <cell r="A1128" t="str">
            <v>Лобачев Дмитрий Анатольевич</v>
          </cell>
          <cell r="B1128" t="str">
            <v>А-05212/АЗ</v>
          </cell>
          <cell r="C1128" t="str">
            <v>studio4d@yandex.ru</v>
          </cell>
          <cell r="D1128" t="str">
            <v>studio4d@yandex.ru</v>
          </cell>
        </row>
        <row r="1129">
          <cell r="A1129" t="str">
            <v>Логачева Светлана Юрьевна</v>
          </cell>
          <cell r="B1129" t="str">
            <v>А-03766/АЗ</v>
          </cell>
          <cell r="C1129" t="str">
            <v>LANA77785@MAIL.RU</v>
          </cell>
          <cell r="D1129" t="str">
            <v>LANA77785@MAIL.RU</v>
          </cell>
        </row>
        <row r="1130">
          <cell r="A1130" t="str">
            <v>Логвинчук Василий Святославович</v>
          </cell>
          <cell r="B1130" t="str">
            <v>В-18366/КЛ.Транш - 1</v>
          </cell>
          <cell r="D1130" t="str">
            <v>svyatoslavovih@icloud.com</v>
          </cell>
        </row>
        <row r="1131">
          <cell r="A1131" t="str">
            <v>Логинова Татьяна Анатольевна</v>
          </cell>
          <cell r="B1131" t="str">
            <v>В-24967/АЗ</v>
          </cell>
          <cell r="D1131" t="str">
            <v>Serejke70ru@gmail.com</v>
          </cell>
        </row>
        <row r="1132">
          <cell r="A1132" t="str">
            <v>Лого-Трейд ООО</v>
          </cell>
          <cell r="B1132" t="str">
            <v>В-00036/КЭ.Транш - 2</v>
          </cell>
        </row>
        <row r="1133">
          <cell r="A1133" t="str">
            <v>Лого-Трейд Смоленск ООО</v>
          </cell>
          <cell r="B1133" t="str">
            <v>В-00078/КЭ.Транш - 1</v>
          </cell>
        </row>
        <row r="1134">
          <cell r="A1134" t="str">
            <v>Ложкин Денис Юрьевич</v>
          </cell>
          <cell r="B1134" t="str">
            <v>В-22642/КЛ.Транш - 1</v>
          </cell>
          <cell r="C1134" t="str">
            <v>denis.simsim0315@yandex.ru</v>
          </cell>
          <cell r="D1134" t="str">
            <v>denis.simsim0315@yandex.ru</v>
          </cell>
        </row>
        <row r="1135">
          <cell r="A1135" t="str">
            <v>Локшина Ольга Владимировна</v>
          </cell>
          <cell r="B1135" t="str">
            <v>В-23919/КЛ.Транш - 1</v>
          </cell>
          <cell r="D1135" t="str">
            <v>olga.lokshina@list.ru</v>
          </cell>
        </row>
        <row r="1136">
          <cell r="A1136" t="str">
            <v>Ломакин Александр Валерьевич</v>
          </cell>
          <cell r="B1136" t="str">
            <v>В-26357/АЗ</v>
          </cell>
          <cell r="C1136" t="str">
            <v>alexlomak@mail.ru</v>
          </cell>
        </row>
        <row r="1137">
          <cell r="A1137" t="str">
            <v>Ломакин Алексей Алексеевич</v>
          </cell>
          <cell r="B1137" t="str">
            <v>В-20546/КЛ.Транш - 1</v>
          </cell>
          <cell r="D1137" t="str">
            <v>lomaleks825@gmail.com</v>
          </cell>
        </row>
        <row r="1138">
          <cell r="A1138" t="str">
            <v>Ломакина Людмила Викторовна</v>
          </cell>
          <cell r="B1138" t="str">
            <v>В-26394/АЗ</v>
          </cell>
          <cell r="C1138" t="str">
            <v>miss-liudmila@mail.ru</v>
          </cell>
          <cell r="D1138" t="str">
            <v>miss-liudmila@mail.ru</v>
          </cell>
        </row>
        <row r="1139">
          <cell r="A1139" t="str">
            <v>Лотонин Александр Олегович</v>
          </cell>
          <cell r="B1139" t="str">
            <v>В-19585/КЛ.Транш - 1</v>
          </cell>
        </row>
        <row r="1140">
          <cell r="A1140" t="str">
            <v>Луковкин Владимир Федорович</v>
          </cell>
          <cell r="B1140" t="str">
            <v>В-08391/КЛ.Транш - 1_В-20211230/Ц</v>
          </cell>
          <cell r="C1140" t="str">
            <v>vector377@mail.ru</v>
          </cell>
        </row>
        <row r="1141">
          <cell r="A1141" t="str">
            <v>Лукьяненко Руслан Сергеевич</v>
          </cell>
          <cell r="B1141" t="str">
            <v>В-16100/КЛ.Транш - 1</v>
          </cell>
          <cell r="D1141" t="str">
            <v>нет</v>
          </cell>
        </row>
        <row r="1142">
          <cell r="A1142" t="str">
            <v>Лыжин Андрей Анатольевич</v>
          </cell>
          <cell r="B1142" t="str">
            <v>В-14415/КЛ.Транш - 1</v>
          </cell>
          <cell r="C1142" t="str">
            <v>lizhin@rambler.ru</v>
          </cell>
          <cell r="D1142" t="str">
            <v>lizhin@rambler.ru</v>
          </cell>
        </row>
        <row r="1143">
          <cell r="A1143" t="str">
            <v>Лысак Екатерина Дмитриевна</v>
          </cell>
          <cell r="B1143" t="str">
            <v>В-23066/КЛ.Транш - 1</v>
          </cell>
          <cell r="D1143" t="str">
            <v>katyalysak@icloud.com</v>
          </cell>
        </row>
        <row r="1144">
          <cell r="A1144" t="str">
            <v>Лысенкова Инна Ивановна</v>
          </cell>
          <cell r="B1144" t="str">
            <v>В-10123/КЛ.Транш - 6</v>
          </cell>
          <cell r="C1144" t="str">
            <v>innaiff1@yandex.ru</v>
          </cell>
        </row>
        <row r="1145">
          <cell r="A1145" t="str">
            <v>Лысенкова Инна Ивановна</v>
          </cell>
          <cell r="B1145" t="str">
            <v>В-10123/КЛ.Транш - 8</v>
          </cell>
          <cell r="C1145" t="str">
            <v>innaiff1@yandex.ru</v>
          </cell>
        </row>
        <row r="1146">
          <cell r="A1146" t="str">
            <v>Лысенкова Инна Ивановна</v>
          </cell>
          <cell r="B1146" t="str">
            <v>В-10123/КЛ.Транш - 9</v>
          </cell>
          <cell r="C1146" t="str">
            <v>innaiff1@yandex.ru</v>
          </cell>
        </row>
        <row r="1147">
          <cell r="A1147" t="str">
            <v>Лысяк Яна Вадимовна</v>
          </cell>
          <cell r="B1147" t="str">
            <v>В-00175/АЗ_Т-20211028/Ц</v>
          </cell>
        </row>
        <row r="1148">
          <cell r="A1148" t="str">
            <v>Любушкин Сергей Васильевич</v>
          </cell>
          <cell r="B1148" t="str">
            <v>В-02961/КЛ.Транш - 1</v>
          </cell>
        </row>
        <row r="1149">
          <cell r="A1149" t="str">
            <v>Лютов Станислав Анатольевич</v>
          </cell>
          <cell r="B1149" t="str">
            <v>В-16037/КЛ.Транш - 1</v>
          </cell>
          <cell r="C1149" t="str">
            <v>stas.ljutov@gmail.com</v>
          </cell>
          <cell r="D1149" t="str">
            <v>stas.ljutov@gmail.com</v>
          </cell>
        </row>
        <row r="1150">
          <cell r="A1150" t="str">
            <v>Лютов Станислав Анатольевич</v>
          </cell>
          <cell r="B1150" t="str">
            <v>В-16037/КЛ.Транш - 2</v>
          </cell>
          <cell r="C1150" t="str">
            <v>stas.ljutov@gmail.com</v>
          </cell>
          <cell r="D1150" t="str">
            <v>stas.ljutov@gmail.com</v>
          </cell>
        </row>
        <row r="1151">
          <cell r="A1151" t="str">
            <v>Люшняк Владислав Анатольевич</v>
          </cell>
          <cell r="B1151" t="str">
            <v>В-12000/КЛ.Транш - 1</v>
          </cell>
        </row>
        <row r="1152">
          <cell r="A1152" t="str">
            <v>Лякишев Павел Александрович</v>
          </cell>
          <cell r="B1152" t="str">
            <v>В-16242/КЛ.Транш - 2</v>
          </cell>
          <cell r="C1152" t="str">
            <v>Lyakishevpavel@yandex.ru</v>
          </cell>
        </row>
        <row r="1153">
          <cell r="A1153" t="str">
            <v>Лялин Анатолий Геннадьевич</v>
          </cell>
          <cell r="B1153" t="str">
            <v>В-19025/КЛ.Транш - 1</v>
          </cell>
          <cell r="D1153" t="str">
            <v>anatollyalin@yandex.ru</v>
          </cell>
        </row>
        <row r="1154">
          <cell r="A1154" t="str">
            <v>Лямин Сергей Александрович</v>
          </cell>
          <cell r="B1154" t="str">
            <v>В-00814/АЗ</v>
          </cell>
        </row>
        <row r="1155">
          <cell r="A1155" t="str">
            <v>Лянгасова Светлана Юрьевна</v>
          </cell>
          <cell r="B1155" t="str">
            <v>А-04950/АЗ</v>
          </cell>
          <cell r="C1155" t="str">
            <v>koptelovaeleni@yandex.ru</v>
          </cell>
          <cell r="D1155" t="str">
            <v>koptelovaeleni@yandex.ru</v>
          </cell>
        </row>
        <row r="1156">
          <cell r="A1156" t="str">
            <v>Ляхович Александр Александрович</v>
          </cell>
          <cell r="B1156" t="str">
            <v>В-14837/КЛ.Транш - 1</v>
          </cell>
          <cell r="D1156" t="str">
            <v>laa163@icloud.com</v>
          </cell>
        </row>
        <row r="1157">
          <cell r="A1157" t="str">
            <v>Магомедов Ахмед Багаутдинович</v>
          </cell>
          <cell r="B1157" t="str">
            <v>В-18163/КЛ.Транш - 1</v>
          </cell>
          <cell r="C1157" t="str">
            <v>ahmed48975@gmail.com</v>
          </cell>
        </row>
        <row r="1158">
          <cell r="A1158" t="str">
            <v>Магомедов Саид Магомедрасулович</v>
          </cell>
          <cell r="B1158" t="str">
            <v>В-26170/КЛ.Транш - 1</v>
          </cell>
        </row>
        <row r="1159">
          <cell r="A1159" t="str">
            <v>Магомедтагиров Ибрахим Мухамадович</v>
          </cell>
          <cell r="B1159" t="str">
            <v>В-22426/КЛ.Транш - 1</v>
          </cell>
          <cell r="C1159" t="str">
            <v>mmagomedtagirov@internet.ru</v>
          </cell>
          <cell r="D1159" t="str">
            <v>mmagomedtagirov@internet.ru</v>
          </cell>
        </row>
        <row r="1160">
          <cell r="A1160" t="str">
            <v>Мазаев Вадим Викторович</v>
          </cell>
          <cell r="B1160" t="str">
            <v>А-04910/АЗ_А-20200626/Ц</v>
          </cell>
          <cell r="C1160" t="str">
            <v>mazaev-vadim@mail.ru</v>
          </cell>
          <cell r="D1160" t="str">
            <v>mazaev-vadim@mail.ru</v>
          </cell>
        </row>
        <row r="1161">
          <cell r="A1161" t="str">
            <v>Мазнев Алексей Николаевич</v>
          </cell>
          <cell r="B1161" t="str">
            <v>В-08820/КЛ.Транш - 1</v>
          </cell>
          <cell r="C1161" t="str">
            <v>alexey.maznev@gmail.com</v>
          </cell>
        </row>
        <row r="1162">
          <cell r="A1162" t="str">
            <v>Мазориев Рахматуло Саидович</v>
          </cell>
          <cell r="B1162" t="str">
            <v>В-13528/КЛ.Транш - 1</v>
          </cell>
          <cell r="C1162" t="str">
            <v>saidovizh87@gmail.com</v>
          </cell>
          <cell r="D1162" t="str">
            <v>saidovizh87@gmail.com</v>
          </cell>
        </row>
        <row r="1163">
          <cell r="A1163" t="str">
            <v>Мазориев Рахматуло Саидович</v>
          </cell>
          <cell r="B1163" t="str">
            <v>В-13528/КЛ.Транш - 2</v>
          </cell>
          <cell r="C1163" t="str">
            <v>saidovizh87@gmail.com</v>
          </cell>
          <cell r="D1163" t="str">
            <v>saidovizh87@gmail.com</v>
          </cell>
        </row>
        <row r="1164">
          <cell r="A1164" t="str">
            <v>Мазориев Рахматуло Саидович</v>
          </cell>
          <cell r="B1164" t="str">
            <v>В-13528/КЛ.Транш - 3</v>
          </cell>
          <cell r="C1164" t="str">
            <v>saidovizh87@gmail.com</v>
          </cell>
          <cell r="D1164" t="str">
            <v>saidovizh87@gmail.com</v>
          </cell>
        </row>
        <row r="1165">
          <cell r="A1165" t="str">
            <v>Мазуренко Наталья Владимировна</v>
          </cell>
          <cell r="B1165" t="str">
            <v>В-01099/АЗ</v>
          </cell>
          <cell r="C1165" t="str">
            <v>irishka19020@gmail.com</v>
          </cell>
          <cell r="D1165" t="str">
            <v>irishka19020@gmail.com</v>
          </cell>
        </row>
        <row r="1166">
          <cell r="A1166" t="str">
            <v>Мазуренко Наталья Владимировна</v>
          </cell>
          <cell r="B1166" t="str">
            <v>В-01109/АЗ</v>
          </cell>
          <cell r="C1166" t="str">
            <v>irishka19020@gmail.com</v>
          </cell>
          <cell r="D1166" t="str">
            <v>irishka19020@gmail.com</v>
          </cell>
        </row>
        <row r="1167">
          <cell r="A1167" t="str">
            <v>Мазурин Николай Анатольевич</v>
          </cell>
          <cell r="B1167" t="str">
            <v>В-07072/КЛ.Транш - 1</v>
          </cell>
          <cell r="C1167" t="str">
            <v>mazurin.1974@gmail.ru</v>
          </cell>
        </row>
        <row r="1168">
          <cell r="A1168" t="str">
            <v>Мазурин Николай Анатольевич</v>
          </cell>
          <cell r="B1168" t="str">
            <v>В-07072/КЛ.Транш - 2</v>
          </cell>
          <cell r="C1168" t="str">
            <v>mazurin.1974@gmail.ru</v>
          </cell>
        </row>
        <row r="1169">
          <cell r="A1169" t="str">
            <v>Мазурин Николай Анатольевич</v>
          </cell>
          <cell r="B1169" t="str">
            <v>В-07072/КЛ.Транш - 3</v>
          </cell>
          <cell r="C1169" t="str">
            <v>mazurin.1974@gmail.ru</v>
          </cell>
        </row>
        <row r="1170">
          <cell r="A1170" t="str">
            <v>Майоров Олег Владимирович</v>
          </cell>
          <cell r="B1170" t="str">
            <v>В-21219/КЛ.Транш - 1_В-20211230/Ц</v>
          </cell>
        </row>
        <row r="1171">
          <cell r="A1171" t="str">
            <v>Майорова Наталья Вениаминовна</v>
          </cell>
          <cell r="B1171" t="str">
            <v>В-18237/КЛ.Транш - 1_В-20211230/Ц</v>
          </cell>
          <cell r="D1171" t="str">
            <v>Matwej1507@icloud.com</v>
          </cell>
        </row>
        <row r="1172">
          <cell r="A1172" t="str">
            <v>Макаренко Екатерина Васильевна</v>
          </cell>
          <cell r="B1172" t="str">
            <v>В-26950/КЛ.Транш - 1</v>
          </cell>
          <cell r="D1172" t="str">
            <v>makarenko11katia@gmail.com</v>
          </cell>
        </row>
        <row r="1173">
          <cell r="A1173" t="str">
            <v>Макаренко Инна Сергеевна</v>
          </cell>
          <cell r="B1173" t="str">
            <v>В-24037/КЛ.Транш - 1</v>
          </cell>
          <cell r="D1173" t="str">
            <v>inna/makarenko.88@internet.ru</v>
          </cell>
        </row>
        <row r="1174">
          <cell r="A1174" t="str">
            <v>Макаров Алексей Александрович</v>
          </cell>
          <cell r="B1174" t="str">
            <v>В-12294/КЛ.Транш - 1</v>
          </cell>
        </row>
        <row r="1175">
          <cell r="A1175" t="str">
            <v>Макаров Алексей Александрович1</v>
          </cell>
          <cell r="B1175" t="str">
            <v>В-00766/АЗ</v>
          </cell>
          <cell r="C1175" t="str">
            <v>Alexmakarov83@mail.ru</v>
          </cell>
        </row>
        <row r="1176">
          <cell r="A1176" t="str">
            <v>Макаров Станислав Васильевич</v>
          </cell>
          <cell r="B1176" t="str">
            <v>В-01196/АЗ</v>
          </cell>
          <cell r="C1176" t="str">
            <v>shum0506@yandex.ru</v>
          </cell>
          <cell r="D1176" t="str">
            <v>shum0506@yandex.ru</v>
          </cell>
        </row>
        <row r="1177">
          <cell r="A1177" t="str">
            <v>Макарова Ирина Сергеевна</v>
          </cell>
          <cell r="B1177" t="str">
            <v>В-01174/КЛ.Транш - 1</v>
          </cell>
          <cell r="C1177" t="str">
            <v>bogestvo82@yandex.ru</v>
          </cell>
        </row>
        <row r="1178">
          <cell r="A1178" t="str">
            <v>Макс Технолоджис ООО</v>
          </cell>
          <cell r="B1178" t="str">
            <v>В-10027/КЭ.Транш - 1</v>
          </cell>
          <cell r="C1178" t="str">
            <v>Maksimilian.mt@gmail.com</v>
          </cell>
        </row>
        <row r="1179">
          <cell r="A1179" t="str">
            <v>Макси-Строй ООО</v>
          </cell>
          <cell r="B1179" t="str">
            <v>В-00030/КЭ.Транш - 1</v>
          </cell>
          <cell r="C1179" t="str">
            <v>maksi-stroy2018@mail.ru</v>
          </cell>
        </row>
        <row r="1180">
          <cell r="A1180" t="str">
            <v>Малашкин Алексей Игоревич</v>
          </cell>
          <cell r="B1180" t="str">
            <v>В-18924/КЛ.Транш - 1</v>
          </cell>
        </row>
        <row r="1181">
          <cell r="A1181" t="str">
            <v>Малашкин Алексей Игоревич</v>
          </cell>
          <cell r="B1181" t="str">
            <v>В-18924/КЛ.Транш - 2</v>
          </cell>
        </row>
        <row r="1182">
          <cell r="A1182" t="str">
            <v>Малашкин Алексей Игоревич</v>
          </cell>
          <cell r="B1182" t="str">
            <v>В-18924/КЛ.Транш - 3</v>
          </cell>
        </row>
        <row r="1183">
          <cell r="A1183" t="str">
            <v>Малашкин Алексей Игоревич</v>
          </cell>
          <cell r="B1183" t="str">
            <v>В-18924/КЛ.Транш - 4</v>
          </cell>
        </row>
        <row r="1184">
          <cell r="A1184" t="str">
            <v>Малашкин Алексей Игоревич</v>
          </cell>
          <cell r="B1184" t="str">
            <v>В-18924/КЛ.Транш - 5</v>
          </cell>
        </row>
        <row r="1185">
          <cell r="A1185" t="str">
            <v>Маликов Константин Евгеньевич</v>
          </cell>
          <cell r="B1185" t="str">
            <v>В-27544/КЛ.Транш - 1</v>
          </cell>
          <cell r="C1185" t="str">
            <v>dsa_205@mail.ru</v>
          </cell>
        </row>
        <row r="1186">
          <cell r="A1186" t="str">
            <v>Маликов Константин Евгеньевич</v>
          </cell>
          <cell r="B1186" t="str">
            <v>В-27544/КЛ.Транш - 2</v>
          </cell>
          <cell r="C1186" t="str">
            <v>dsa_205@mail.ru</v>
          </cell>
        </row>
        <row r="1187">
          <cell r="A1187" t="str">
            <v>Малинина Оксана Александровна</v>
          </cell>
          <cell r="B1187" t="str">
            <v>В-16432/КЛ.Транш - 1</v>
          </cell>
          <cell r="C1187" t="str">
            <v>Mollii@mail.ru</v>
          </cell>
        </row>
        <row r="1188">
          <cell r="A1188" t="str">
            <v>Малхасян Арарат Балабекович</v>
          </cell>
          <cell r="B1188" t="str">
            <v>В-15138/КЛ.Транш - 1</v>
          </cell>
          <cell r="C1188" t="str">
            <v>ararat2008@gmail.com</v>
          </cell>
          <cell r="D1188" t="str">
            <v>ararat2008@gmail.com</v>
          </cell>
        </row>
        <row r="1189">
          <cell r="A1189" t="str">
            <v>Мамалюк Алексей Михайлович</v>
          </cell>
          <cell r="B1189" t="str">
            <v>В-27434/КЛ.Транш - 1</v>
          </cell>
          <cell r="D1189" t="str">
            <v>alexey@mamaluk.ru</v>
          </cell>
        </row>
        <row r="1190">
          <cell r="A1190" t="str">
            <v>Мамбетов Менглибий Курманбиевич</v>
          </cell>
          <cell r="B1190" t="str">
            <v>В-00355/АЗ</v>
          </cell>
          <cell r="C1190" t="str">
            <v>89312169844@mail.ru</v>
          </cell>
        </row>
        <row r="1191">
          <cell r="A1191" t="str">
            <v>Мамедов Динар Рашид Оглы</v>
          </cell>
          <cell r="B1191" t="str">
            <v>В-05253/КЛ.Транш - 3</v>
          </cell>
        </row>
        <row r="1192">
          <cell r="A1192" t="str">
            <v>Мамедов Динар Рашид Оглы</v>
          </cell>
          <cell r="B1192" t="str">
            <v>В-05253/КЛ.Транш - 4</v>
          </cell>
        </row>
        <row r="1193">
          <cell r="A1193" t="str">
            <v>Мамедов Рамин Алим Оглы</v>
          </cell>
          <cell r="B1193" t="str">
            <v>В-15391/КЛ.Транш - 2</v>
          </cell>
          <cell r="C1193" t="str">
            <v>mamedov749@icloud.com</v>
          </cell>
        </row>
        <row r="1194">
          <cell r="A1194" t="str">
            <v>Мамедов Рамин Алим Оглы</v>
          </cell>
          <cell r="B1194" t="str">
            <v>В-15391/КЛ.Транш - 3</v>
          </cell>
          <cell r="C1194" t="str">
            <v>mamedov749@icloud.com</v>
          </cell>
        </row>
        <row r="1195">
          <cell r="A1195" t="str">
            <v>Мамедов Рамин Алим Оглы</v>
          </cell>
          <cell r="B1195" t="str">
            <v>В-15391/КЛ.Транш - 4</v>
          </cell>
          <cell r="C1195" t="str">
            <v>mamedov749@icloud.com</v>
          </cell>
        </row>
        <row r="1196">
          <cell r="A1196" t="str">
            <v>Мамедов Рамин Алим Оглы</v>
          </cell>
          <cell r="B1196" t="str">
            <v>В-15391/КЛ.Транш - 5</v>
          </cell>
          <cell r="C1196" t="str">
            <v>mamedov749@icloud.com</v>
          </cell>
        </row>
        <row r="1197">
          <cell r="A1197" t="str">
            <v>Мамедов Рамин Алим Оглы</v>
          </cell>
          <cell r="B1197" t="str">
            <v>В-15391/КЛ.Транш - 6</v>
          </cell>
          <cell r="C1197" t="str">
            <v>mamedov749@icloud.com</v>
          </cell>
        </row>
        <row r="1198">
          <cell r="A1198" t="str">
            <v>Мамедова Рагиба Алескер Кызы</v>
          </cell>
          <cell r="B1198" t="str">
            <v>В-27421/КЛ.Транш - 1</v>
          </cell>
          <cell r="D1198" t="str">
            <v>ragiba.mamedova@bk.ru</v>
          </cell>
        </row>
        <row r="1199">
          <cell r="A1199" t="str">
            <v>Мамлина Наталия Андреевна</v>
          </cell>
          <cell r="B1199" t="str">
            <v>В-11605/КЛ.Транш - 1</v>
          </cell>
          <cell r="C1199" t="str">
            <v>2295626@mail.ru</v>
          </cell>
        </row>
        <row r="1200">
          <cell r="A1200" t="str">
            <v>Манаенко Ольга Владимировна</v>
          </cell>
          <cell r="B1200" t="str">
            <v>В-19464/КЛ.Транш - 1</v>
          </cell>
        </row>
        <row r="1201">
          <cell r="A1201" t="str">
            <v>Манасян Ашот Сергеевич</v>
          </cell>
          <cell r="B1201" t="str">
            <v>В-19504/КЛ.Транш - 1</v>
          </cell>
          <cell r="C1201" t="str">
            <v>manasyan.Liza@bk.ru</v>
          </cell>
          <cell r="D1201" t="str">
            <v>manasyan.Liza@bk.ru</v>
          </cell>
        </row>
        <row r="1202">
          <cell r="A1202" t="str">
            <v>Мандров Вячеслав Александрович</v>
          </cell>
          <cell r="B1202" t="str">
            <v>В-24841/КЛ.Транш - 1</v>
          </cell>
          <cell r="D1202" t="str">
            <v>slavik637@yandex.ru</v>
          </cell>
        </row>
        <row r="1203">
          <cell r="A1203" t="str">
            <v>Манин Сергей Викторович</v>
          </cell>
          <cell r="B1203" t="str">
            <v>В-04293/КЛ.Транш - 1</v>
          </cell>
          <cell r="C1203" t="str">
            <v>maninsv2014@yandex.ru</v>
          </cell>
        </row>
        <row r="1204">
          <cell r="A1204" t="str">
            <v>Манукян Артур Агасиевич</v>
          </cell>
          <cell r="B1204" t="str">
            <v>В-15280/КЛ.Транш - 1</v>
          </cell>
          <cell r="D1204" t="str">
            <v>arturman80@gmail.com</v>
          </cell>
        </row>
        <row r="1205">
          <cell r="A1205" t="str">
            <v>Манукян Вардан Эмильевич</v>
          </cell>
          <cell r="B1205" t="str">
            <v>В-00622/АЗ_Т-20211028/Ц</v>
          </cell>
        </row>
        <row r="1206">
          <cell r="A1206" t="str">
            <v>Маренич Иван Евгеньевич</v>
          </cell>
          <cell r="B1206" t="str">
            <v>В-01176/АЗ_В-20211230/Ц</v>
          </cell>
          <cell r="C1206" t="str">
            <v>marenich@teorsez.ru</v>
          </cell>
          <cell r="D1206" t="str">
            <v>marenich@teorsez.ru</v>
          </cell>
        </row>
        <row r="1207">
          <cell r="A1207" t="str">
            <v>Марецкий Андрей Юрьевич</v>
          </cell>
          <cell r="B1207" t="str">
            <v>В-07093/КЛ.Транш - 5</v>
          </cell>
          <cell r="C1207" t="str">
            <v>maretelena@yandex.ru</v>
          </cell>
        </row>
        <row r="1208">
          <cell r="A1208" t="str">
            <v>Марецкий Андрей Юрьевич</v>
          </cell>
          <cell r="B1208" t="str">
            <v>В-07093/КЛ.Транш - 6</v>
          </cell>
          <cell r="C1208" t="str">
            <v>maretelena@yandex.ru</v>
          </cell>
        </row>
        <row r="1209">
          <cell r="A1209" t="str">
            <v>Марков Владислав Владимирович</v>
          </cell>
          <cell r="B1209" t="str">
            <v>В-26247/КЛ.Транш - 1</v>
          </cell>
        </row>
        <row r="1210">
          <cell r="A1210" t="str">
            <v>Маркова Екатерина Викторовна</v>
          </cell>
          <cell r="B1210" t="str">
            <v>В-03615/КЛ.Транш - 1</v>
          </cell>
          <cell r="C1210" t="str">
            <v>katmarkova@yandex.ru</v>
          </cell>
        </row>
        <row r="1211">
          <cell r="A1211" t="str">
            <v>МАРО АРТ ГРУПП ООО</v>
          </cell>
          <cell r="B1211" t="str">
            <v>А-00466/КЭ.Транш - 1</v>
          </cell>
        </row>
        <row r="1212">
          <cell r="A1212" t="str">
            <v>Марочканич Василий Иванович</v>
          </cell>
          <cell r="B1212" t="str">
            <v>В-22386/КЛ.Транш - 1</v>
          </cell>
          <cell r="D1212" t="str">
            <v>metops@lenta.ru</v>
          </cell>
        </row>
        <row r="1213">
          <cell r="A1213" t="str">
            <v>Марочканич Василий Иванович</v>
          </cell>
          <cell r="B1213" t="str">
            <v>В-22386/КЛ.Транш - 2</v>
          </cell>
          <cell r="D1213" t="str">
            <v>metops@lenta.ru</v>
          </cell>
        </row>
        <row r="1214">
          <cell r="A1214" t="str">
            <v>Марочканич Василий Иванович</v>
          </cell>
          <cell r="B1214" t="str">
            <v>В-22386/КЛ.Транш - 3</v>
          </cell>
          <cell r="D1214" t="str">
            <v>metops@lenta.ru</v>
          </cell>
        </row>
        <row r="1215">
          <cell r="A1215" t="str">
            <v>Марочканич Василий Иванович</v>
          </cell>
          <cell r="B1215" t="str">
            <v>В-22386/КЛ.Транш - 4</v>
          </cell>
          <cell r="D1215" t="str">
            <v>metops@lenta.ru</v>
          </cell>
        </row>
        <row r="1216">
          <cell r="A1216" t="str">
            <v>Марочканич Василий Иванович</v>
          </cell>
          <cell r="B1216" t="str">
            <v>В-22386/КЛ.Транш - 5</v>
          </cell>
          <cell r="D1216" t="str">
            <v>metops@lenta.ru</v>
          </cell>
        </row>
        <row r="1217">
          <cell r="A1217" t="str">
            <v>Мартазов Вадим Алексеевич</v>
          </cell>
          <cell r="B1217" t="str">
            <v>В-20497/КЛ.Транш - 1</v>
          </cell>
          <cell r="D1217" t="str">
            <v>martazov1974@mail.ru</v>
          </cell>
        </row>
        <row r="1218">
          <cell r="A1218" t="str">
            <v>Мартазов Вадим Алексеевич</v>
          </cell>
          <cell r="B1218" t="str">
            <v>В-20497/КЛ.Транш - 2</v>
          </cell>
          <cell r="D1218" t="str">
            <v>martazov1974@mail.ru</v>
          </cell>
        </row>
        <row r="1219">
          <cell r="A1219" t="str">
            <v>Мартынко Александра Андреевна</v>
          </cell>
          <cell r="B1219" t="str">
            <v>В-26816/КЛ.Транш - 1</v>
          </cell>
          <cell r="D1219" t="str">
            <v>martynko97@list.ru</v>
          </cell>
        </row>
        <row r="1220">
          <cell r="A1220" t="str">
            <v>Мартынов Максим Анатольевич</v>
          </cell>
          <cell r="B1220" t="str">
            <v>В-25098/КЛ.Транш - 1</v>
          </cell>
          <cell r="D1220" t="str">
            <v>martynov.88@bk.ru</v>
          </cell>
        </row>
        <row r="1221">
          <cell r="A1221" t="str">
            <v>Масальский Александр Михайлович</v>
          </cell>
          <cell r="B1221" t="str">
            <v>В-19475/КЛ.Транш - 1</v>
          </cell>
          <cell r="D1221" t="str">
            <v>masalskiy1955@mail.ru</v>
          </cell>
        </row>
        <row r="1222">
          <cell r="A1222" t="str">
            <v>Масальский Руслан Иванович</v>
          </cell>
          <cell r="B1222" t="str">
            <v>В-12368/КЛ.Транш - 1</v>
          </cell>
          <cell r="D1222" t="str">
            <v>luwoman1775@yandex.ru</v>
          </cell>
        </row>
        <row r="1223">
          <cell r="A1223" t="str">
            <v>Масленникова Екатерина Игоревна</v>
          </cell>
          <cell r="B1223" t="str">
            <v>В-22875/КЛ.Транш - 1</v>
          </cell>
        </row>
        <row r="1224">
          <cell r="A1224" t="str">
            <v>Маслов Андрей Алексеевич</v>
          </cell>
          <cell r="B1224" t="str">
            <v>В-12525/КЛ.Транш - 1</v>
          </cell>
          <cell r="C1224" t="str">
            <v>Maslovaa12345@gmail.com</v>
          </cell>
          <cell r="D1224" t="str">
            <v>Maslovaa12345@gmail.com</v>
          </cell>
        </row>
        <row r="1225">
          <cell r="A1225" t="str">
            <v>Матарыко Александр Валерьевич</v>
          </cell>
          <cell r="B1225" t="str">
            <v>В-21737/КЛ.Транш - 1</v>
          </cell>
        </row>
        <row r="1226">
          <cell r="A1226" t="str">
            <v>Матвеев Александр Иванович</v>
          </cell>
          <cell r="B1226" t="str">
            <v>А-03822/АЗ</v>
          </cell>
        </row>
        <row r="1227">
          <cell r="A1227" t="str">
            <v>Матвеев Алексей Геннадьевич</v>
          </cell>
          <cell r="B1227" t="str">
            <v>В-28329/КЛ.Транш - 1</v>
          </cell>
          <cell r="C1227" t="str">
            <v>Lecaa-matveev@mail.ru</v>
          </cell>
          <cell r="D1227" t="str">
            <v>Lecaa-matveev@mail.ru</v>
          </cell>
        </row>
        <row r="1228">
          <cell r="A1228" t="str">
            <v>Матвеев Андрей Александрович</v>
          </cell>
          <cell r="B1228" t="str">
            <v>В-09795/КЛ.Транш - 1</v>
          </cell>
          <cell r="C1228" t="str">
            <v>andrei.0505@mail.ru</v>
          </cell>
        </row>
        <row r="1229">
          <cell r="A1229" t="str">
            <v>Матвеева Дарья Вячеславовна</v>
          </cell>
          <cell r="B1229" t="str">
            <v>В-13828/КЛ.Транш - 1</v>
          </cell>
          <cell r="C1229" t="str">
            <v>dasha_matveeva111@mail.ru</v>
          </cell>
          <cell r="D1229" t="str">
            <v>dasha_matveeva111@mail.ru</v>
          </cell>
        </row>
        <row r="1230">
          <cell r="A1230" t="str">
            <v>Матиев Шодмон Эргашевич</v>
          </cell>
          <cell r="B1230" t="str">
            <v>А-04352/АЗ</v>
          </cell>
          <cell r="C1230" t="str">
            <v>shodmon74@mail.ru</v>
          </cell>
          <cell r="D1230" t="str">
            <v>shodmon74@mail.ru</v>
          </cell>
        </row>
        <row r="1231">
          <cell r="A1231" t="str">
            <v>Матренин Сергей Викторович</v>
          </cell>
          <cell r="B1231" t="str">
            <v>В-24883/КЛ.Транш - 1</v>
          </cell>
          <cell r="C1231" t="str">
            <v>s.trial2000@yandex.ru</v>
          </cell>
          <cell r="D1231" t="str">
            <v>s.trial2000@yandex.ru</v>
          </cell>
        </row>
        <row r="1232">
          <cell r="A1232" t="str">
            <v>Матренин Сергей Викторович</v>
          </cell>
          <cell r="B1232" t="str">
            <v>В-24883/КЛ.Транш - 2</v>
          </cell>
          <cell r="C1232" t="str">
            <v>s.trial2000@yandex.ru</v>
          </cell>
          <cell r="D1232" t="str">
            <v>s.trial2000@yandex.ru</v>
          </cell>
        </row>
        <row r="1233">
          <cell r="A1233" t="str">
            <v>Матросов Дмитрий Сергеевич</v>
          </cell>
          <cell r="B1233" t="str">
            <v>В-04229/КЛ.Транш - 1</v>
          </cell>
          <cell r="C1233" t="str">
            <v>mds@isnes.ru</v>
          </cell>
        </row>
        <row r="1234">
          <cell r="A1234" t="str">
            <v>Матузов Алексей Викторович</v>
          </cell>
          <cell r="B1234" t="str">
            <v>В-21048/КЛ.Транш - 1</v>
          </cell>
        </row>
        <row r="1235">
          <cell r="A1235" t="str">
            <v>Матченко Олеся Александровна</v>
          </cell>
          <cell r="B1235" t="str">
            <v>В-08204/КЛ.Транш - 1</v>
          </cell>
          <cell r="C1235" t="str">
            <v>kohka1516@gmail.com</v>
          </cell>
        </row>
        <row r="1236">
          <cell r="A1236" t="str">
            <v>Матюнин Алексей Владимирович</v>
          </cell>
          <cell r="B1236" t="str">
            <v>В-01119/АЗ_А-20210929/Ц</v>
          </cell>
          <cell r="C1236" t="str">
            <v>alexbckhimki@mail.ru</v>
          </cell>
        </row>
        <row r="1237">
          <cell r="A1237" t="str">
            <v>Махадибиров Шамиль Магомедханович</v>
          </cell>
          <cell r="B1237" t="str">
            <v>В-27407/КЛ.Транш - 1</v>
          </cell>
          <cell r="D1237" t="str">
            <v>mahadibirov@list.ru</v>
          </cell>
        </row>
        <row r="1238">
          <cell r="A1238" t="str">
            <v>Махмудов Денис Мамедшарифович</v>
          </cell>
          <cell r="B1238" t="str">
            <v>В-25593/КЛ.Транш - 1</v>
          </cell>
          <cell r="D1238" t="str">
            <v>denis.makhmudov@gmail.com</v>
          </cell>
        </row>
        <row r="1239">
          <cell r="A1239" t="str">
            <v>Мацола Артём Иванович</v>
          </cell>
          <cell r="B1239" t="str">
            <v>В-17062/КЛ.Транш - 1</v>
          </cell>
          <cell r="D1239" t="str">
            <v>matsola191285@mail.com</v>
          </cell>
        </row>
        <row r="1240">
          <cell r="A1240" t="str">
            <v>Мацола Артём Иванович</v>
          </cell>
          <cell r="B1240" t="str">
            <v>В-17062/КЛ.Транш - 2</v>
          </cell>
          <cell r="D1240" t="str">
            <v>matsola191285@mail.com</v>
          </cell>
        </row>
        <row r="1241">
          <cell r="A1241" t="str">
            <v>Мацола Артём Иванович</v>
          </cell>
          <cell r="B1241" t="str">
            <v>В-17062/КЛ.Транш - 3</v>
          </cell>
          <cell r="D1241" t="str">
            <v>matsola191285@mail.com</v>
          </cell>
        </row>
        <row r="1242">
          <cell r="A1242" t="str">
            <v>Мачкалян Оганнес Саргисович</v>
          </cell>
          <cell r="B1242" t="str">
            <v>В-00469/АЗ_В-20211230/Ц</v>
          </cell>
          <cell r="C1242" t="str">
            <v>hovhannes.machkalyan@mail.ru</v>
          </cell>
        </row>
        <row r="1243">
          <cell r="A1243" t="str">
            <v>Мачнева Галина Петровна</v>
          </cell>
          <cell r="B1243" t="str">
            <v>В-13104/КЛ.Транш - 1</v>
          </cell>
        </row>
        <row r="1244">
          <cell r="A1244" t="str">
            <v>Машковцев Алексей Валерьевич</v>
          </cell>
          <cell r="B1244" t="str">
            <v>В-18757/КЛ.Транш - 1</v>
          </cell>
          <cell r="D1244" t="str">
            <v>alexey148192007@yandex.ru</v>
          </cell>
        </row>
        <row r="1245">
          <cell r="A1245" t="str">
            <v>Меликян Нона Арменовна</v>
          </cell>
          <cell r="B1245" t="str">
            <v>В-23728/КЛ.Транш - 1</v>
          </cell>
        </row>
        <row r="1246">
          <cell r="A1246" t="str">
            <v>Мелитонян Саят Араевич</v>
          </cell>
          <cell r="B1246" t="str">
            <v>А-04022/АЗ</v>
          </cell>
        </row>
        <row r="1247">
          <cell r="A1247" t="str">
            <v>Мелкумян Масис Владимирович</v>
          </cell>
          <cell r="B1247" t="str">
            <v>В-05425/КЛ.Транш - 1</v>
          </cell>
          <cell r="C1247" t="str">
            <v>masis.masis.mv84@mail.ru</v>
          </cell>
        </row>
        <row r="1248">
          <cell r="A1248" t="str">
            <v>Мелкумян Масис Владимирович</v>
          </cell>
          <cell r="B1248" t="str">
            <v>В-05425/КЛ.Транш - 2</v>
          </cell>
          <cell r="C1248" t="str">
            <v>masis.masis.mv84@mail.ru</v>
          </cell>
        </row>
        <row r="1249">
          <cell r="A1249" t="str">
            <v>Мелоян Вардан Айкович</v>
          </cell>
          <cell r="B1249" t="str">
            <v>В-27878/АЗ</v>
          </cell>
        </row>
        <row r="1250">
          <cell r="A1250" t="str">
            <v>Мельник Дмитрий Петрович</v>
          </cell>
          <cell r="B1250" t="str">
            <v>В-20205/КЛ.Транш - 1</v>
          </cell>
          <cell r="D1250" t="str">
            <v>melay19771471@gmail.com</v>
          </cell>
        </row>
        <row r="1251">
          <cell r="A1251" t="str">
            <v>Мельников Денис Александрович</v>
          </cell>
          <cell r="B1251" t="str">
            <v>В-15682/КЛ.Транш - 1</v>
          </cell>
          <cell r="D1251" t="str">
            <v>mister.denis-melnikov201788@yandex.ru</v>
          </cell>
        </row>
        <row r="1252">
          <cell r="A1252" t="str">
            <v>Мемешев Шабан Юсуфович</v>
          </cell>
          <cell r="B1252" t="str">
            <v>В-17910/КЛ.Транш - 1</v>
          </cell>
          <cell r="D1252" t="str">
            <v>memesevsaban@gmail.com</v>
          </cell>
        </row>
        <row r="1253">
          <cell r="A1253" t="str">
            <v>Меремьянина Мария Николаевна</v>
          </cell>
          <cell r="B1253" t="str">
            <v>В-20342/КЛ.Транш - 3</v>
          </cell>
          <cell r="D1253" t="str">
            <v>modermasha@yandex.ru</v>
          </cell>
        </row>
        <row r="1254">
          <cell r="A1254" t="str">
            <v>Меремьянина Мария Николаевна</v>
          </cell>
          <cell r="B1254" t="str">
            <v>В-20342/КЛ.Транш - 5</v>
          </cell>
          <cell r="D1254" t="str">
            <v>modermasha@yandex.ru</v>
          </cell>
        </row>
        <row r="1255">
          <cell r="A1255" t="str">
            <v>Мерцалов Константин Вадимович</v>
          </cell>
          <cell r="B1255" t="str">
            <v>В-24521/КЛ.Транш - 1</v>
          </cell>
          <cell r="D1255" t="str">
            <v>19mk84@mail.ru</v>
          </cell>
        </row>
        <row r="1256">
          <cell r="A1256" t="str">
            <v>Месропян Аревик Орбеловна</v>
          </cell>
          <cell r="B1256" t="str">
            <v>Т-01885/АЗ_Т-20211028/Ц</v>
          </cell>
          <cell r="C1256" t="str">
            <v>1969arevik@mail.ru</v>
          </cell>
        </row>
        <row r="1257">
          <cell r="A1257" t="str">
            <v>Метлин Семён Петрович</v>
          </cell>
          <cell r="B1257" t="str">
            <v>В-06379/КЛ.Транш - 1</v>
          </cell>
          <cell r="C1257" t="str">
            <v>semen.metlin.88@mail.ru</v>
          </cell>
        </row>
        <row r="1258">
          <cell r="A1258" t="str">
            <v>Мжавия Гела Ленгизович</v>
          </cell>
          <cell r="B1258" t="str">
            <v>В-23424/КЛ.Транш - 1</v>
          </cell>
          <cell r="C1258" t="str">
            <v>g.l.m@mail.ru</v>
          </cell>
          <cell r="D1258" t="str">
            <v>g.l.m@mail.ru</v>
          </cell>
        </row>
        <row r="1259">
          <cell r="A1259" t="str">
            <v>Микаелян Ваге Беникович</v>
          </cell>
          <cell r="B1259" t="str">
            <v>В-12226/КЛ.Транш - 2</v>
          </cell>
          <cell r="D1259" t="str">
            <v>9688230000@mail.ru</v>
          </cell>
        </row>
        <row r="1260">
          <cell r="A1260" t="str">
            <v>Минаев Николай Тамазович</v>
          </cell>
          <cell r="B1260" t="str">
            <v>В-12276/КЛ.Транш - 2</v>
          </cell>
        </row>
        <row r="1261">
          <cell r="A1261" t="str">
            <v>Минаева Елена Викторовна</v>
          </cell>
          <cell r="B1261" t="str">
            <v>В-19326/КЛ.Транш - 1</v>
          </cell>
          <cell r="C1261" t="str">
            <v>lenmin@rambler.ru</v>
          </cell>
        </row>
        <row r="1262">
          <cell r="A1262" t="str">
            <v>Минаева Наталия Анатольевна</v>
          </cell>
          <cell r="B1262" t="str">
            <v>В-17417/КЛ.Транш - 1</v>
          </cell>
          <cell r="D1262" t="str">
            <v>Kutenkovan@mail.ru</v>
          </cell>
        </row>
        <row r="1263">
          <cell r="A1263" t="str">
            <v>Минашвили Юрий Мишаевич</v>
          </cell>
          <cell r="B1263" t="str">
            <v>В-26452/КЛ.Транш - 1</v>
          </cell>
          <cell r="D1263" t="str">
            <v>m_yuriy@internet.ru</v>
          </cell>
        </row>
        <row r="1264">
          <cell r="A1264" t="str">
            <v>Минин Сергей Александрович</v>
          </cell>
          <cell r="B1264" t="str">
            <v>В-20437/КЛ.Транш - 1</v>
          </cell>
          <cell r="D1264" t="str">
            <v>mini2517@bk.ru</v>
          </cell>
        </row>
        <row r="1265">
          <cell r="A1265" t="str">
            <v>Мироненко Вадим Викторович</v>
          </cell>
          <cell r="B1265" t="str">
            <v>В-01061/АЗ</v>
          </cell>
          <cell r="C1265" t="str">
            <v>mironenkovadim1965@yandex.ru</v>
          </cell>
        </row>
        <row r="1266">
          <cell r="A1266" t="str">
            <v>Миронов Александр Александрович</v>
          </cell>
          <cell r="B1266" t="str">
            <v>В-00147/АЗ_Т-20211028/Ц</v>
          </cell>
        </row>
        <row r="1267">
          <cell r="A1267" t="str">
            <v>Мирошниченко Евгений Константинович</v>
          </cell>
          <cell r="B1267" t="str">
            <v>В-16457/КЛ.Транш - 1</v>
          </cell>
          <cell r="C1267" t="str">
            <v>Jekades11@yandex.ru</v>
          </cell>
          <cell r="D1267" t="str">
            <v>Jekades11@yandex.ru</v>
          </cell>
        </row>
        <row r="1268">
          <cell r="A1268" t="str">
            <v>Мисюк Георгий Анатольевич</v>
          </cell>
          <cell r="B1268" t="str">
            <v>В-22309/АЗ</v>
          </cell>
          <cell r="C1268" t="str">
            <v>georgiy.misyuk@mail.ru</v>
          </cell>
        </row>
        <row r="1269">
          <cell r="A1269" t="str">
            <v>Митясов Вячеслав Владимирович</v>
          </cell>
          <cell r="B1269" t="str">
            <v>В-11892/КЛ.Транш - 1_А-20210929/Ц</v>
          </cell>
          <cell r="C1269" t="str">
            <v>KAMAZEO@gmail.com</v>
          </cell>
        </row>
        <row r="1270">
          <cell r="A1270" t="str">
            <v>Михайлик Василий Александрович</v>
          </cell>
          <cell r="B1270" t="str">
            <v>В-23085/КЛ.Транш - 1</v>
          </cell>
          <cell r="D1270" t="str">
            <v>stroisib3@gmail.com</v>
          </cell>
        </row>
        <row r="1271">
          <cell r="A1271" t="str">
            <v>Михалевский Александр Михайлович</v>
          </cell>
          <cell r="B1271" t="str">
            <v>А-05130/АЗ</v>
          </cell>
          <cell r="C1271" t="str">
            <v>virtusalex@yandex.ru</v>
          </cell>
          <cell r="D1271" t="str">
            <v>virtusalex@yandex.ru</v>
          </cell>
        </row>
        <row r="1272">
          <cell r="A1272" t="str">
            <v>Михальчук Анна Евгеньевна</v>
          </cell>
          <cell r="B1272" t="str">
            <v>В-19949/КЛ.Транш - 1</v>
          </cell>
          <cell r="D1272" t="str">
            <v>amikhaluk@mail.ru</v>
          </cell>
        </row>
        <row r="1273">
          <cell r="A1273" t="str">
            <v>Михеев Александр Павлович</v>
          </cell>
          <cell r="B1273" t="str">
            <v>В-21967/КЛ.Транш - 2</v>
          </cell>
          <cell r="D1273" t="str">
            <v>cool.226601@yandex.ru</v>
          </cell>
        </row>
        <row r="1274">
          <cell r="A1274" t="str">
            <v>Михеев Александр Павлович</v>
          </cell>
          <cell r="B1274" t="str">
            <v>В-21967/КЛ.Транш - 3</v>
          </cell>
          <cell r="D1274" t="str">
            <v>cool.226601@yandex.ru</v>
          </cell>
        </row>
        <row r="1275">
          <cell r="A1275" t="str">
            <v>Михеев Александр Павлович</v>
          </cell>
          <cell r="B1275" t="str">
            <v>В-21967/КЛ.Транш - 4</v>
          </cell>
          <cell r="D1275" t="str">
            <v>cool.226601@yandex.ru</v>
          </cell>
        </row>
        <row r="1276">
          <cell r="A1276" t="str">
            <v>Михеев Александр Павлович</v>
          </cell>
          <cell r="B1276" t="str">
            <v>В-21967/КЛ.Транш - 5</v>
          </cell>
          <cell r="D1276" t="str">
            <v>cool.226601@yandex.ru</v>
          </cell>
        </row>
        <row r="1277">
          <cell r="A1277" t="str">
            <v>Мичурин Евгений Алексеевич</v>
          </cell>
          <cell r="B1277" t="str">
            <v>В-09649/КЛ.Транш - 1</v>
          </cell>
        </row>
        <row r="1278">
          <cell r="A1278" t="str">
            <v>Мишин Александр Александрович</v>
          </cell>
          <cell r="B1278" t="str">
            <v>В-07520/КЛ.Транш - 2</v>
          </cell>
        </row>
        <row r="1279">
          <cell r="A1279" t="str">
            <v>Мкртчян Григор Рубикович</v>
          </cell>
          <cell r="B1279" t="str">
            <v>В-07559/КЛ.Транш - 1</v>
          </cell>
          <cell r="C1279" t="str">
            <v>mgr36@mail.ru</v>
          </cell>
        </row>
        <row r="1280">
          <cell r="A1280" t="str">
            <v>Мкртчян Григор Рубикович</v>
          </cell>
          <cell r="B1280" t="str">
            <v>В-07559/КЛ.Транш - 3</v>
          </cell>
          <cell r="C1280" t="str">
            <v>mgr36@mail.ru</v>
          </cell>
        </row>
        <row r="1281">
          <cell r="A1281" t="str">
            <v>Мкртчян Григор Рубикович</v>
          </cell>
          <cell r="B1281" t="str">
            <v>В-07559/КЛ.Транш - 4</v>
          </cell>
          <cell r="C1281" t="str">
            <v>mgr36@mail.ru</v>
          </cell>
        </row>
        <row r="1282">
          <cell r="A1282" t="str">
            <v>Мкртчян Григор Рубикович</v>
          </cell>
          <cell r="B1282" t="str">
            <v>В-07559/КЛ.Транш - 5</v>
          </cell>
          <cell r="C1282" t="str">
            <v>mgr36@mail.ru</v>
          </cell>
        </row>
        <row r="1283">
          <cell r="A1283" t="str">
            <v>Мнацаканян Карен Аракелович</v>
          </cell>
          <cell r="B1283" t="str">
            <v>В-13742/КЛ.Транш - 1</v>
          </cell>
          <cell r="D1283" t="str">
            <v>petrol-k@mail.ru</v>
          </cell>
        </row>
        <row r="1284">
          <cell r="A1284" t="str">
            <v>Мовсесян Гарик Вагифович</v>
          </cell>
          <cell r="B1284" t="str">
            <v>В-24878/КЛ.Транш - 1</v>
          </cell>
          <cell r="D1284" t="str">
            <v>mgv1180@bk.ru</v>
          </cell>
        </row>
        <row r="1285">
          <cell r="A1285" t="str">
            <v>Моисеев Михаил Исаевич</v>
          </cell>
          <cell r="B1285" t="str">
            <v>В-01875/КЛ.Транш - 1</v>
          </cell>
          <cell r="C1285" t="str">
            <v>emvs@list.ru</v>
          </cell>
        </row>
        <row r="1286">
          <cell r="A1286" t="str">
            <v>Моисеев Павел Викторович</v>
          </cell>
          <cell r="B1286" t="str">
            <v>В-01165/АЗ</v>
          </cell>
        </row>
        <row r="1287">
          <cell r="A1287" t="str">
            <v>Моисеев Сергей Алексеевич</v>
          </cell>
          <cell r="B1287" t="str">
            <v>В-13185/КЛ.Транш - 1</v>
          </cell>
        </row>
        <row r="1288">
          <cell r="A1288" t="str">
            <v>Моисеенков Дмитрий Владимирович</v>
          </cell>
          <cell r="B1288" t="str">
            <v>В-15091/КЛ.Транш - 3</v>
          </cell>
          <cell r="C1288" t="str">
            <v>dimois26@mail.ru</v>
          </cell>
        </row>
        <row r="1289">
          <cell r="A1289" t="str">
            <v>Мокрицкий Константин Александрович</v>
          </cell>
          <cell r="B1289" t="str">
            <v>В-22052/КЛ.Транш - 1</v>
          </cell>
          <cell r="C1289" t="str">
            <v>ilistratov@mail.ru</v>
          </cell>
        </row>
        <row r="1290">
          <cell r="A1290" t="str">
            <v>Мокрицкий Константин Александрович</v>
          </cell>
          <cell r="B1290" t="str">
            <v>В-22052/КЛ.Транш - 2</v>
          </cell>
          <cell r="C1290" t="str">
            <v>ilistratov@mail.ru</v>
          </cell>
        </row>
        <row r="1291">
          <cell r="A1291" t="str">
            <v>Молчанов Дмитрий Викторович</v>
          </cell>
          <cell r="B1291" t="str">
            <v>В-19425/КЛ.Транш - 1</v>
          </cell>
          <cell r="D1291" t="str">
            <v>dimakajddj@gmail.com</v>
          </cell>
        </row>
        <row r="1292">
          <cell r="A1292" t="str">
            <v>Мордвинцева Елена Александровна</v>
          </cell>
          <cell r="B1292" t="str">
            <v>В-27065/АЗ</v>
          </cell>
        </row>
        <row r="1293">
          <cell r="A1293" t="str">
            <v>Морин Владимир Александрович</v>
          </cell>
          <cell r="B1293" t="str">
            <v>В-17785/КЛ.Транш - 1</v>
          </cell>
          <cell r="D1293" t="str">
            <v>m1v1a1@yandex.ru</v>
          </cell>
        </row>
        <row r="1294">
          <cell r="A1294" t="str">
            <v>Морозкина Наталья Сергеевна</v>
          </cell>
          <cell r="B1294" t="str">
            <v>В-00239/КЛ.Транш - 1</v>
          </cell>
          <cell r="C1294" t="str">
            <v>morozkina.tata@yandex.ru</v>
          </cell>
        </row>
        <row r="1295">
          <cell r="A1295" t="str">
            <v>Морозов Владимир Владимирович</v>
          </cell>
          <cell r="B1295" t="str">
            <v>А-03942/АЗ</v>
          </cell>
        </row>
        <row r="1296">
          <cell r="A1296" t="str">
            <v>Морозов Владимир Павлович</v>
          </cell>
          <cell r="B1296" t="str">
            <v>В-03585/КЛ.Транш - 1</v>
          </cell>
          <cell r="C1296" t="str">
            <v>morozovvlad85@yandex.ru</v>
          </cell>
        </row>
        <row r="1297">
          <cell r="A1297" t="str">
            <v>Морозов Евгений Станиславович</v>
          </cell>
          <cell r="B1297" t="str">
            <v>А-05463/АЗ_А-20210920/Ц</v>
          </cell>
          <cell r="C1297" t="str">
            <v>jsmorozov@mail.ru</v>
          </cell>
        </row>
        <row r="1298">
          <cell r="A1298" t="str">
            <v>Морозов Евгений Станиславович</v>
          </cell>
          <cell r="B1298" t="str">
            <v>В-00963/АЗ</v>
          </cell>
          <cell r="C1298" t="str">
            <v>jsmorozov@mail.ru</v>
          </cell>
        </row>
        <row r="1299">
          <cell r="A1299" t="str">
            <v>Морозов Евгений Станиславович</v>
          </cell>
          <cell r="B1299" t="str">
            <v>Т-01935/АЗ_Т-20210920/Ц</v>
          </cell>
          <cell r="C1299" t="str">
            <v>jsmorozov@mail.ru</v>
          </cell>
        </row>
        <row r="1300">
          <cell r="A1300" t="str">
            <v>Морозов Олег Валерьевич</v>
          </cell>
          <cell r="B1300" t="str">
            <v>В-15532/КЛ.Транш - 1</v>
          </cell>
          <cell r="D1300" t="str">
            <v>Mmsin.morozov0@gmail.com</v>
          </cell>
        </row>
        <row r="1301">
          <cell r="A1301" t="str">
            <v>Москалев Ярослав Вячеславович</v>
          </cell>
          <cell r="B1301" t="str">
            <v>В-00557/АЗ</v>
          </cell>
          <cell r="C1301" t="str">
            <v>yar.moskalev@gmail.com</v>
          </cell>
        </row>
        <row r="1302">
          <cell r="A1302" t="str">
            <v>Мотыка Андрей Павлович</v>
          </cell>
          <cell r="B1302" t="str">
            <v>В-16934/КЛ.Транш - 1</v>
          </cell>
          <cell r="D1302" t="str">
            <v>apm1@bk.ru</v>
          </cell>
        </row>
        <row r="1303">
          <cell r="A1303" t="str">
            <v>Мотыка Андрей Павлович</v>
          </cell>
          <cell r="B1303" t="str">
            <v>В-16934/КЛ.Транш - 3</v>
          </cell>
          <cell r="D1303" t="str">
            <v>apm1@bk.ru</v>
          </cell>
        </row>
        <row r="1304">
          <cell r="A1304" t="str">
            <v>Мотыка Андрей Павлович</v>
          </cell>
          <cell r="B1304" t="str">
            <v>В-16934/КЛ.Транш - 4</v>
          </cell>
          <cell r="D1304" t="str">
            <v>apm1@bk.ru</v>
          </cell>
        </row>
        <row r="1305">
          <cell r="A1305" t="str">
            <v>Мотыка Андрей Павлович</v>
          </cell>
          <cell r="B1305" t="str">
            <v>В-16934/КЛ.Транш - 5</v>
          </cell>
          <cell r="D1305" t="str">
            <v>apm1@bk.ru</v>
          </cell>
        </row>
        <row r="1306">
          <cell r="A1306" t="str">
            <v>Мошкин Андрей Викторович</v>
          </cell>
          <cell r="B1306" t="str">
            <v>В-00508/АЗ</v>
          </cell>
          <cell r="C1306" t="str">
            <v>bizzzon81@mail.ru</v>
          </cell>
        </row>
        <row r="1307">
          <cell r="A1307" t="str">
            <v>Мощинская Елена Николаевна</v>
          </cell>
          <cell r="B1307" t="str">
            <v>В-19227/КЛ.Транш - 1</v>
          </cell>
          <cell r="D1307" t="str">
            <v>elena19812706@gmail.com</v>
          </cell>
        </row>
        <row r="1308">
          <cell r="A1308" t="str">
            <v>Мощинская Елена Николаевна</v>
          </cell>
          <cell r="B1308" t="str">
            <v>В-19227/КЛ.Транш - 2</v>
          </cell>
          <cell r="D1308" t="str">
            <v>elena19812706@gmail.com</v>
          </cell>
        </row>
        <row r="1309">
          <cell r="A1309" t="str">
            <v>МСККОРП ООО</v>
          </cell>
          <cell r="B1309" t="str">
            <v>А-00084/КЭ.Транш - 3</v>
          </cell>
        </row>
        <row r="1310">
          <cell r="A1310" t="str">
            <v>МСКСТРОЙ ООО</v>
          </cell>
          <cell r="B1310" t="str">
            <v>В-00075/КЭ.Транш - 1</v>
          </cell>
          <cell r="C1310" t="str">
            <v>Mskstroyooo@yandex.ru</v>
          </cell>
        </row>
        <row r="1311">
          <cell r="A1311" t="str">
            <v>Музыка Евгений Александрович</v>
          </cell>
          <cell r="B1311" t="str">
            <v>В-20458/КЛ.Транш - 1</v>
          </cell>
          <cell r="D1311" t="str">
            <v>1993sevastopol2015@mail.ru</v>
          </cell>
        </row>
        <row r="1312">
          <cell r="A1312" t="str">
            <v>Музыка Марина Александровна</v>
          </cell>
          <cell r="B1312" t="str">
            <v>В-24612/АЗ</v>
          </cell>
        </row>
        <row r="1313">
          <cell r="A1313" t="str">
            <v>Муллоев Хошимчон Пулотович</v>
          </cell>
          <cell r="B1313" t="str">
            <v>В-01023/КЛ.Транш - 1</v>
          </cell>
          <cell r="C1313" t="str">
            <v>hoshimm77@mail.ru</v>
          </cell>
        </row>
        <row r="1314">
          <cell r="A1314" t="str">
            <v>Муминов Фирдавс Юсуфович</v>
          </cell>
          <cell r="B1314" t="str">
            <v>В-01147/АЗ</v>
          </cell>
        </row>
        <row r="1315">
          <cell r="A1315" t="str">
            <v>Муравьев Сергей Сергеевич</v>
          </cell>
          <cell r="B1315" t="str">
            <v>В-20490/КЛ.Транш - 1</v>
          </cell>
          <cell r="D1315" t="str">
            <v>info@netkonstryct.com</v>
          </cell>
        </row>
        <row r="1316">
          <cell r="A1316" t="str">
            <v>Мурадян Грачья Юрикович</v>
          </cell>
          <cell r="B1316" t="str">
            <v>В-26102/АЗ</v>
          </cell>
        </row>
        <row r="1317">
          <cell r="A1317" t="str">
            <v>Мурадян Севак Норикович</v>
          </cell>
          <cell r="B1317" t="str">
            <v>В-07133/КЛ.Транш - 1</v>
          </cell>
          <cell r="C1317" t="str">
            <v>muradiansevak@mail.ru</v>
          </cell>
        </row>
        <row r="1318">
          <cell r="A1318" t="str">
            <v>Мурадян Севак Норикович</v>
          </cell>
          <cell r="B1318" t="str">
            <v>В-07133/КЛ.Транш - 4</v>
          </cell>
          <cell r="C1318" t="str">
            <v>muradiansevak@mail.ru</v>
          </cell>
        </row>
        <row r="1319">
          <cell r="A1319" t="str">
            <v>Мурадян Эдгар Рафаелович</v>
          </cell>
          <cell r="B1319" t="str">
            <v>В-08077/КЛ.Транш - 1</v>
          </cell>
          <cell r="C1319" t="str">
            <v>muradyan.edgarlist@gmail.com</v>
          </cell>
        </row>
        <row r="1320">
          <cell r="A1320" t="str">
            <v>Муратов Альмурат Муратович</v>
          </cell>
          <cell r="B1320" t="str">
            <v>В-01216/КЛ.Транш - 4</v>
          </cell>
          <cell r="C1320" t="str">
            <v>muratov0112almurat1996@yandex.ru</v>
          </cell>
        </row>
        <row r="1321">
          <cell r="A1321" t="str">
            <v>Муратов Альмурат Муратович</v>
          </cell>
          <cell r="B1321" t="str">
            <v>В-01216/КЛ.Транш - 5</v>
          </cell>
          <cell r="C1321" t="str">
            <v>muratov0112almurat1996@yandex.ru</v>
          </cell>
        </row>
        <row r="1322">
          <cell r="A1322" t="str">
            <v>Мурашова Наталья Николаевна</v>
          </cell>
          <cell r="B1322" t="str">
            <v>В-06411/КЛ.Транш - 1</v>
          </cell>
          <cell r="C1322" t="str">
            <v>nmurasova472@gmail.com</v>
          </cell>
        </row>
        <row r="1323">
          <cell r="A1323" t="str">
            <v>Мурина Оксана Викторовна</v>
          </cell>
          <cell r="B1323" t="str">
            <v>В-12483/КЛ.Транш - 1</v>
          </cell>
        </row>
        <row r="1324">
          <cell r="A1324" t="str">
            <v>Муродов Шерзод Пулотхонович</v>
          </cell>
          <cell r="B1324" t="str">
            <v>В-00102/АЗ</v>
          </cell>
          <cell r="C1324" t="str">
            <v>vm-52@bk.ru</v>
          </cell>
        </row>
        <row r="1325">
          <cell r="A1325" t="str">
            <v>Муршудзаде Ягуб Эльхан Оглы</v>
          </cell>
          <cell r="B1325" t="str">
            <v>В-04596/КЛ.Транш - 2</v>
          </cell>
          <cell r="C1325" t="str">
            <v>yaqub1980@mail.ru</v>
          </cell>
        </row>
        <row r="1326">
          <cell r="A1326" t="str">
            <v>Мусаев Заурбек Хадживелиевич</v>
          </cell>
          <cell r="B1326" t="str">
            <v>В-24350/КЛ.Транш - 1</v>
          </cell>
          <cell r="D1326" t="str">
            <v>zaurbekmusaew@mail.ru</v>
          </cell>
        </row>
        <row r="1327">
          <cell r="A1327" t="str">
            <v>Мусаев Натиг Байрам Оглы</v>
          </cell>
          <cell r="B1327" t="str">
            <v>В-25627/КЛ.Транш - 1</v>
          </cell>
          <cell r="C1327" t="str">
            <v>watig100692@mail.ru</v>
          </cell>
        </row>
        <row r="1328">
          <cell r="A1328" t="str">
            <v>Мусаев Рустам Камилжонович</v>
          </cell>
          <cell r="B1328" t="str">
            <v>А-04412/АЗ</v>
          </cell>
        </row>
        <row r="1329">
          <cell r="A1329" t="str">
            <v>Мусаев Саид Рамазанович</v>
          </cell>
          <cell r="B1329" t="str">
            <v>В-17687/КЛ.Транш - 1</v>
          </cell>
        </row>
        <row r="1330">
          <cell r="A1330" t="str">
            <v>Мусаев Саид Рамазанович</v>
          </cell>
          <cell r="B1330" t="str">
            <v>В-17687/КЛ.Транш - 2</v>
          </cell>
        </row>
        <row r="1331">
          <cell r="A1331" t="str">
            <v>Мусаелян Вилен Карленович</v>
          </cell>
          <cell r="B1331" t="str">
            <v>В-12167/КЛ.Транш - 1_А-20210929/Ц</v>
          </cell>
          <cell r="D1331" t="str">
            <v>villimuso@gmail.com</v>
          </cell>
        </row>
        <row r="1332">
          <cell r="A1332" t="str">
            <v>Мустафин Ринад Исмаилович</v>
          </cell>
          <cell r="B1332" t="str">
            <v>В-17199/КЛ.Транш - 1</v>
          </cell>
          <cell r="D1332" t="str">
            <v>нет</v>
          </cell>
        </row>
        <row r="1333">
          <cell r="A1333" t="str">
            <v>Мустафин Ринад Исмаилович</v>
          </cell>
          <cell r="B1333" t="str">
            <v>В-17199/КЛ.Транш - 2</v>
          </cell>
          <cell r="D1333" t="str">
            <v>нет</v>
          </cell>
        </row>
        <row r="1334">
          <cell r="A1334" t="str">
            <v>Мустафин Ринад Исмаилович</v>
          </cell>
          <cell r="B1334" t="str">
            <v>В-17199/КЛ.Транш - 3</v>
          </cell>
          <cell r="D1334" t="str">
            <v>нет</v>
          </cell>
        </row>
        <row r="1335">
          <cell r="A1335" t="str">
            <v>Мустафьева Айтан Таджединовна</v>
          </cell>
          <cell r="B1335" t="str">
            <v>В-24261/КЛ.Транш - 1</v>
          </cell>
          <cell r="C1335" t="str">
            <v>ya500999@yandex.ru</v>
          </cell>
          <cell r="D1335" t="str">
            <v>ya500999@yandex.ru</v>
          </cell>
        </row>
        <row r="1336">
          <cell r="A1336" t="str">
            <v>Мухаев Андрей Игоревич</v>
          </cell>
          <cell r="B1336" t="str">
            <v>В-22912/КЛ.Транш - 1</v>
          </cell>
          <cell r="C1336" t="str">
            <v>muxaeff@gmail.com</v>
          </cell>
          <cell r="D1336" t="str">
            <v>muxaeff@gmail.com</v>
          </cell>
        </row>
        <row r="1337">
          <cell r="A1337" t="str">
            <v>Мылов Сергей Геннадьевич</v>
          </cell>
          <cell r="B1337" t="str">
            <v>В-05402/КЛ.Транш - 3</v>
          </cell>
          <cell r="C1337" t="str">
            <v>sergeimylov@gmail.com</v>
          </cell>
          <cell r="D1337" t="str">
            <v>sergeimylov@gmail.com</v>
          </cell>
        </row>
        <row r="1338">
          <cell r="A1338" t="str">
            <v>Мылов Сергей Геннадьевич</v>
          </cell>
          <cell r="B1338" t="str">
            <v>В-05402/КЛ.Транш - 4</v>
          </cell>
          <cell r="C1338" t="str">
            <v>sergeimylov@gmail.com</v>
          </cell>
          <cell r="D1338" t="str">
            <v>sergeimylov@gmail.com</v>
          </cell>
        </row>
        <row r="1339">
          <cell r="A1339" t="str">
            <v>Мырзалиев Абдырасул Израилович</v>
          </cell>
          <cell r="B1339" t="str">
            <v>В-13640/КЛ.Транш - 1</v>
          </cell>
          <cell r="D1339" t="str">
            <v>myrzalievabdyrasul@gmail.com</v>
          </cell>
        </row>
        <row r="1340">
          <cell r="A1340" t="str">
            <v>Набойченко Юлия Александровна</v>
          </cell>
          <cell r="B1340" t="str">
            <v>В-25865/КЛ.Транш - 1</v>
          </cell>
          <cell r="D1340" t="str">
            <v>yuliya-nabojchenko@yandex.ru</v>
          </cell>
        </row>
        <row r="1341">
          <cell r="A1341" t="str">
            <v>Навасардян Алёна Евгеньевна</v>
          </cell>
          <cell r="B1341" t="str">
            <v>В-14818/КЛ.Транш - 1</v>
          </cell>
          <cell r="D1341" t="str">
            <v>awetik.n@yandex.ru</v>
          </cell>
        </row>
        <row r="1342">
          <cell r="A1342" t="str">
            <v>Навоян Георг Анатолевич</v>
          </cell>
          <cell r="B1342" t="str">
            <v>В-27848/АЗ</v>
          </cell>
        </row>
        <row r="1343">
          <cell r="A1343" t="str">
            <v>Нагаева Елена Александровна</v>
          </cell>
          <cell r="B1343" t="str">
            <v>В-25671/АЗ</v>
          </cell>
          <cell r="D1343" t="str">
            <v>elena8608@inmox.ru</v>
          </cell>
        </row>
        <row r="1344">
          <cell r="A1344" t="str">
            <v>Надеев Алексей Александрович</v>
          </cell>
          <cell r="B1344" t="str">
            <v>В-21321/КЛ.Транш - 1</v>
          </cell>
          <cell r="D1344" t="str">
            <v>anadeev86@mail.ru</v>
          </cell>
        </row>
        <row r="1345">
          <cell r="A1345" t="str">
            <v>Назаров Всеволод Владимирович</v>
          </cell>
          <cell r="B1345" t="str">
            <v>В-19740/КЛ.Транш - 5</v>
          </cell>
          <cell r="C1345" t="str">
            <v>nazvs@rambler.ru</v>
          </cell>
        </row>
        <row r="1346">
          <cell r="A1346" t="str">
            <v>Назаров Всеволод Владимирович</v>
          </cell>
          <cell r="B1346" t="str">
            <v>В-19740/КЛ.Транш - 6</v>
          </cell>
          <cell r="C1346" t="str">
            <v>nazvs@rambler.ru</v>
          </cell>
        </row>
        <row r="1347">
          <cell r="A1347" t="str">
            <v>Назаров Всеволод Владимирович</v>
          </cell>
          <cell r="B1347" t="str">
            <v>В-19740/КЛ.Транш - 7</v>
          </cell>
          <cell r="C1347" t="str">
            <v>nazvs@rambler.ru</v>
          </cell>
        </row>
        <row r="1348">
          <cell r="A1348" t="str">
            <v>Назаров Всеволод Владимирович</v>
          </cell>
          <cell r="B1348" t="str">
            <v>В-19740/КЛ.Транш - 8</v>
          </cell>
          <cell r="C1348" t="str">
            <v>nazvs@rambler.ru</v>
          </cell>
        </row>
        <row r="1349">
          <cell r="A1349" t="str">
            <v>Насибов Баходур Юсуфджонович</v>
          </cell>
          <cell r="B1349" t="str">
            <v>В-19679/КЛ.Транш - 2</v>
          </cell>
          <cell r="C1349" t="str">
            <v>bakhodurnasibov0@gmail.com</v>
          </cell>
        </row>
        <row r="1350">
          <cell r="A1350" t="str">
            <v>Насибуллин Илья Назипович</v>
          </cell>
          <cell r="B1350" t="str">
            <v>В-21451/КЛ.Транш - 1</v>
          </cell>
          <cell r="D1350" t="str">
            <v>ilya.fun@mail.ru</v>
          </cell>
        </row>
        <row r="1351">
          <cell r="A1351" t="str">
            <v>Насонов Александр Александрович</v>
          </cell>
          <cell r="B1351" t="str">
            <v>В-22201/КЛ.Транш - 1_В-20211230/Ц</v>
          </cell>
          <cell r="C1351" t="str">
            <v>alexandrnasonow@yandex.ru</v>
          </cell>
          <cell r="D1351" t="str">
            <v>alexandrnasonow@yandex.ru</v>
          </cell>
        </row>
        <row r="1352">
          <cell r="A1352" t="str">
            <v>Насырова Шахлохон Раимжановна</v>
          </cell>
          <cell r="B1352" t="str">
            <v>В-19286/КЛ.Транш - 1</v>
          </cell>
          <cell r="D1352" t="str">
            <v>ayana_nasyrova94@icloud.com</v>
          </cell>
        </row>
        <row r="1353">
          <cell r="A1353" t="str">
            <v>Натаров Владимир Валерьевич</v>
          </cell>
          <cell r="B1353" t="str">
            <v>В-27641/КЛ.Транш - 1</v>
          </cell>
          <cell r="D1353" t="str">
            <v>natarov1965@mail.ru</v>
          </cell>
        </row>
        <row r="1354">
          <cell r="A1354" t="str">
            <v>Науменко Андрей Николаевич</v>
          </cell>
          <cell r="B1354" t="str">
            <v>В-25370/АЗ</v>
          </cell>
        </row>
        <row r="1355">
          <cell r="A1355" t="str">
            <v>Наумик Екатерина Андреевна</v>
          </cell>
          <cell r="B1355" t="str">
            <v>В-14074/КЛ.Транш - 1</v>
          </cell>
          <cell r="D1355" t="str">
            <v>krupinae@yandex.ru</v>
          </cell>
        </row>
        <row r="1356">
          <cell r="A1356" t="str">
            <v>Наумик Екатерина Андреевна</v>
          </cell>
          <cell r="B1356" t="str">
            <v>В-14074/КЛ.Транш - 2</v>
          </cell>
          <cell r="D1356" t="str">
            <v>krupinae@yandex.ru</v>
          </cell>
        </row>
        <row r="1357">
          <cell r="A1357" t="str">
            <v>Наумов Олег Владимирович</v>
          </cell>
          <cell r="B1357" t="str">
            <v>В-12790/КЛ.Транш - 1</v>
          </cell>
        </row>
        <row r="1358">
          <cell r="A1358" t="str">
            <v>Нахапетов Артур Валерьевич</v>
          </cell>
          <cell r="B1358" t="str">
            <v>В-01203/АЗ</v>
          </cell>
        </row>
        <row r="1359">
          <cell r="A1359" t="str">
            <v>Неборский Андрей Валерьевич</v>
          </cell>
          <cell r="B1359" t="str">
            <v>А-05344/АЗ</v>
          </cell>
          <cell r="C1359" t="str">
            <v>andrey.valerich88@gmail.com</v>
          </cell>
          <cell r="D1359" t="str">
            <v>andrey.valerich88@gmail.com</v>
          </cell>
        </row>
        <row r="1360">
          <cell r="A1360" t="str">
            <v>Невешкин Роман Викторович</v>
          </cell>
          <cell r="B1360" t="str">
            <v>В-02026/КЛ.Транш - 1</v>
          </cell>
          <cell r="C1360" t="str">
            <v>r2auto@mail.ru</v>
          </cell>
        </row>
        <row r="1361">
          <cell r="A1361" t="str">
            <v>Невкипелый Дмитрий Валерьевич</v>
          </cell>
          <cell r="B1361" t="str">
            <v>В-27521/КЛ.Транш - 1</v>
          </cell>
          <cell r="D1361" t="str">
            <v>lehyi666@gmail.com</v>
          </cell>
        </row>
        <row r="1362">
          <cell r="A1362" t="str">
            <v>Недялков Алексей Иванович</v>
          </cell>
          <cell r="B1362" t="str">
            <v>В-00598/АЗ_В-20211230/Ц</v>
          </cell>
          <cell r="C1362" t="str">
            <v>anedjalkov@rambler.ru</v>
          </cell>
        </row>
        <row r="1363">
          <cell r="A1363" t="str">
            <v>Некрасов Алексей Сергеевич</v>
          </cell>
          <cell r="B1363" t="str">
            <v>В-03114/КЛ.Транш - 1_В-20211230/Ц</v>
          </cell>
          <cell r="C1363" t="str">
            <v>BANKIR010203@MAIL.RU</v>
          </cell>
        </row>
        <row r="1364">
          <cell r="A1364" t="str">
            <v>Нефедова Елена Викторовна</v>
          </cell>
          <cell r="B1364" t="str">
            <v>В-24081/АЗ</v>
          </cell>
          <cell r="C1364" t="str">
            <v>NEFEDOVA_E@INCOM.RU</v>
          </cell>
        </row>
        <row r="1365">
          <cell r="A1365" t="str">
            <v>Нигметов Ренат Ерсаинович</v>
          </cell>
          <cell r="B1365" t="str">
            <v>В-14706/КЛ.Транш - 1</v>
          </cell>
          <cell r="D1365" t="str">
            <v>renat88ik@gmail.com</v>
          </cell>
        </row>
        <row r="1366">
          <cell r="A1366" t="str">
            <v>Никитенко Роман Владимирович</v>
          </cell>
          <cell r="B1366" t="str">
            <v>Т-01897/АЗ_Т-20211028/Ц</v>
          </cell>
        </row>
        <row r="1367">
          <cell r="A1367" t="str">
            <v>Никитенков Владислав Анатольевич</v>
          </cell>
          <cell r="B1367" t="str">
            <v>В-00855/АЗ</v>
          </cell>
          <cell r="C1367" t="str">
            <v>taxi110484@gmail.com</v>
          </cell>
        </row>
        <row r="1368">
          <cell r="A1368" t="str">
            <v>Никитина Анастасия Витальевна</v>
          </cell>
          <cell r="B1368" t="str">
            <v>В-00839/КЛ.Транш - 1</v>
          </cell>
          <cell r="C1368" t="str">
            <v>miha20101111@yandex.ru</v>
          </cell>
        </row>
        <row r="1369">
          <cell r="A1369" t="str">
            <v>Никитина Елена Сергеевна</v>
          </cell>
          <cell r="B1369" t="str">
            <v>В-05768/КЛ.Транш - 1</v>
          </cell>
          <cell r="C1369" t="str">
            <v>nikitinaelenas@mail.ru</v>
          </cell>
        </row>
        <row r="1370">
          <cell r="A1370" t="str">
            <v>Никифоров Александр Андреевич</v>
          </cell>
          <cell r="B1370" t="str">
            <v>В-11307/КЛ.Транш - 1</v>
          </cell>
          <cell r="C1370" t="str">
            <v>aleksandr-nikiforov@yandex.ru</v>
          </cell>
        </row>
        <row r="1371">
          <cell r="A1371" t="str">
            <v>Николаев Дмитрий Васильевич</v>
          </cell>
          <cell r="B1371" t="str">
            <v>В-28471/КЛ.Транш - 1</v>
          </cell>
          <cell r="C1371" t="str">
            <v>nikolaev.dm13@mail.ru</v>
          </cell>
          <cell r="D1371" t="str">
            <v>nikolaev.dm13@mail.ru</v>
          </cell>
        </row>
        <row r="1372">
          <cell r="A1372" t="str">
            <v>Николаева Юлия Викторовна</v>
          </cell>
          <cell r="B1372" t="str">
            <v>В-17924/КЛ.Транш - 1</v>
          </cell>
          <cell r="D1372" t="str">
            <v>Jun-2005@yandex.ru</v>
          </cell>
        </row>
        <row r="1373">
          <cell r="A1373" t="str">
            <v>Никонов Андрей Георгиевич</v>
          </cell>
          <cell r="B1373" t="str">
            <v>В-02690/КЛ.Транш - 1</v>
          </cell>
          <cell r="C1373" t="str">
            <v>prezident.n123@yandex.ru</v>
          </cell>
        </row>
        <row r="1374">
          <cell r="A1374" t="str">
            <v>Никоноров Александр Владимирович</v>
          </cell>
          <cell r="B1374" t="str">
            <v>В-03414/КЛ.Транш - 1</v>
          </cell>
          <cell r="C1374" t="str">
            <v>NIKONOROVHONOR@GMAIL.COM</v>
          </cell>
        </row>
        <row r="1375">
          <cell r="A1375" t="str">
            <v>Никулкин Андрей Викторович</v>
          </cell>
          <cell r="B1375" t="str">
            <v>В-24247/КЛ.Транш - 1</v>
          </cell>
          <cell r="D1375" t="str">
            <v>Andrey.nikylki@inbox.ru</v>
          </cell>
        </row>
        <row r="1376">
          <cell r="A1376" t="str">
            <v>Никульченков Сергей Анатольевич</v>
          </cell>
          <cell r="B1376" t="str">
            <v>В-25093/КЛ.Транш - 1</v>
          </cell>
          <cell r="D1376" t="str">
            <v>sergejnikulcenkov767@gmail.com</v>
          </cell>
        </row>
        <row r="1377">
          <cell r="A1377" t="str">
            <v>НОВАЯ СПАРТА ООО</v>
          </cell>
          <cell r="B1377" t="str">
            <v>А-00433/КЭ.Транш - 1</v>
          </cell>
          <cell r="C1377" t="str">
            <v>maxz1405@mail.ru</v>
          </cell>
        </row>
        <row r="1378">
          <cell r="A1378" t="str">
            <v>Новиков Артем Дмитриевич</v>
          </cell>
          <cell r="B1378" t="str">
            <v>В-24137/КЛ.Транш - 1</v>
          </cell>
          <cell r="D1378" t="str">
            <v>Artem-dmitrich@mail.ru</v>
          </cell>
        </row>
        <row r="1379">
          <cell r="A1379" t="str">
            <v>Новиков Артем Дмитриевич</v>
          </cell>
          <cell r="B1379" t="str">
            <v>В-24137/КЛ.Транш - 2</v>
          </cell>
          <cell r="D1379" t="str">
            <v>Artem-dmitrich@mail.ru</v>
          </cell>
        </row>
        <row r="1380">
          <cell r="A1380" t="str">
            <v>Новиков Артем Дмитриевич</v>
          </cell>
          <cell r="B1380" t="str">
            <v>В-24137/КЛ.Транш - 3</v>
          </cell>
          <cell r="D1380" t="str">
            <v>Artem-dmitrich@mail.ru</v>
          </cell>
        </row>
        <row r="1381">
          <cell r="A1381" t="str">
            <v>Новиков Егор Викторович</v>
          </cell>
          <cell r="B1381" t="str">
            <v>В-03811/КЛ.Транш - 1</v>
          </cell>
          <cell r="C1381" t="str">
            <v>dm-don80@mail.ru</v>
          </cell>
        </row>
        <row r="1382">
          <cell r="A1382" t="str">
            <v>Новоселов Евгений Михайлович</v>
          </cell>
          <cell r="B1382" t="str">
            <v>А-02772/АЗ</v>
          </cell>
          <cell r="C1382" t="str">
            <v>9902529@MAIL.RU</v>
          </cell>
          <cell r="D1382" t="str">
            <v>3803344@mail.ru</v>
          </cell>
        </row>
        <row r="1383">
          <cell r="A1383" t="str">
            <v>Новоселов Сергей Владимирович</v>
          </cell>
          <cell r="B1383" t="str">
            <v>В-19548/КЛ.Транш - 1</v>
          </cell>
          <cell r="D1383" t="str">
            <v>parshakov75@internet.ru</v>
          </cell>
        </row>
        <row r="1384">
          <cell r="A1384" t="str">
            <v>Новрузов Марат Абильфас Оглы</v>
          </cell>
          <cell r="B1384" t="str">
            <v>В-24983/КЛ.Транш - 1_В-20211230/Ц</v>
          </cell>
        </row>
        <row r="1385">
          <cell r="A1385" t="str">
            <v>НОРДИНВЕСТ ООО</v>
          </cell>
          <cell r="B1385" t="str">
            <v>А-10096/КЭ.Транш - 1</v>
          </cell>
        </row>
        <row r="1386">
          <cell r="A1386" t="str">
            <v>НПО ПРОЕКТСТРОЙ ООО</v>
          </cell>
          <cell r="B1386" t="str">
            <v>В-00038/КЭ.Транш - 1</v>
          </cell>
          <cell r="C1386" t="str">
            <v>npoprojectstroy@gmail.com</v>
          </cell>
        </row>
        <row r="1387">
          <cell r="A1387" t="str">
            <v>Нуждина Юлия Вадимовна</v>
          </cell>
          <cell r="B1387" t="str">
            <v>В-19988/КЛ.Транш - 1</v>
          </cell>
          <cell r="D1387" t="str">
            <v>305kabinet@mail.ru</v>
          </cell>
        </row>
        <row r="1388">
          <cell r="A1388" t="str">
            <v>Нургушиев Нуридин Эдильбийевич</v>
          </cell>
          <cell r="B1388" t="str">
            <v>В-11333/КЛ.Транш - 1</v>
          </cell>
        </row>
        <row r="1389">
          <cell r="A1389" t="str">
            <v>Нурмагомедов Тимурлан Алиевич</v>
          </cell>
          <cell r="B1389" t="str">
            <v>В-06587/КЛ.Транш - 4</v>
          </cell>
          <cell r="C1389" t="str">
            <v>timurlan.nurmagomedov.92@mail.ru</v>
          </cell>
        </row>
        <row r="1390">
          <cell r="A1390" t="str">
            <v>Нурмагомедов Тимурлан Алиевич</v>
          </cell>
          <cell r="B1390" t="str">
            <v>В-06587/КЛ.Транш - 5</v>
          </cell>
          <cell r="C1390" t="str">
            <v>timurlan.nurmagomedov.92@mail.ru</v>
          </cell>
        </row>
        <row r="1391">
          <cell r="A1391" t="str">
            <v>Нурмагомедов Тимурлан Алиевич</v>
          </cell>
          <cell r="B1391" t="str">
            <v>В-06587/КЛ.Транш - 6</v>
          </cell>
          <cell r="C1391" t="str">
            <v>timurlan.nurmagomedov.92@mail.ru</v>
          </cell>
        </row>
        <row r="1392">
          <cell r="A1392" t="str">
            <v>Нюхов Руслан Нюхович</v>
          </cell>
          <cell r="B1392" t="str">
            <v>Т-01910/АЗ_Т-20211028/Ц</v>
          </cell>
          <cell r="C1392" t="str">
            <v>ruslan.niukhov@gmail.com</v>
          </cell>
        </row>
        <row r="1393">
          <cell r="A1393" t="str">
            <v>Обозина Любовь Сергеевна</v>
          </cell>
          <cell r="B1393" t="str">
            <v>В-00913/АЗ</v>
          </cell>
          <cell r="C1393" t="str">
            <v>OBOZINA.LUB@yandex.ru</v>
          </cell>
        </row>
        <row r="1394">
          <cell r="A1394" t="str">
            <v>Оверченко Виктория Владимировна</v>
          </cell>
          <cell r="B1394" t="str">
            <v>В-09421/КЛ.Транш - 1_А-20210929/Ц</v>
          </cell>
          <cell r="C1394" t="str">
            <v>vikulya.overchenko@mail.ru</v>
          </cell>
        </row>
        <row r="1395">
          <cell r="A1395" t="str">
            <v>Овсепян Жирайр Араевич</v>
          </cell>
          <cell r="B1395" t="str">
            <v>В-20786/КЛ.Транш - 1</v>
          </cell>
          <cell r="D1395" t="str">
            <v>zhirik.ovsepyan@bk.ru</v>
          </cell>
        </row>
        <row r="1396">
          <cell r="A1396" t="str">
            <v>Овчинников Виталий Сергеевич</v>
          </cell>
          <cell r="B1396" t="str">
            <v>В-00634/АЗ</v>
          </cell>
        </row>
        <row r="1397">
          <cell r="A1397" t="str">
            <v>Оганесян Асмик Самвеловна</v>
          </cell>
          <cell r="B1397" t="str">
            <v>В-28424/АЗ</v>
          </cell>
          <cell r="C1397" t="str">
            <v>dinulik2003@mail.ru</v>
          </cell>
          <cell r="D1397" t="str">
            <v>dinulik2003@mail.ru</v>
          </cell>
        </row>
        <row r="1398">
          <cell r="A1398" t="str">
            <v>Оганесян Ваге Наириович</v>
          </cell>
          <cell r="B1398" t="str">
            <v>В-26005/АЗ</v>
          </cell>
          <cell r="C1398" t="str">
            <v>V-a-g-e@yandex.ru</v>
          </cell>
          <cell r="D1398" t="str">
            <v>V-a-g-e@yandex.ru</v>
          </cell>
        </row>
        <row r="1399">
          <cell r="A1399" t="str">
            <v>Оганесян Наири Миранович</v>
          </cell>
          <cell r="B1399" t="str">
            <v>В-20921/КЛ.Транш - 1</v>
          </cell>
          <cell r="C1399" t="str">
            <v>nair5415690@yandex.ru</v>
          </cell>
        </row>
        <row r="1400">
          <cell r="A1400" t="str">
            <v>Огурцова Людмила Михайловна</v>
          </cell>
          <cell r="B1400" t="str">
            <v>В-21075/КЛ.Транш - 1</v>
          </cell>
          <cell r="D1400" t="str">
            <v>ogurtsova-lyudmila@bk.ru</v>
          </cell>
        </row>
        <row r="1401">
          <cell r="A1401" t="str">
            <v>Одинцова Ирина Вячеславовна</v>
          </cell>
          <cell r="B1401" t="str">
            <v>В-01388/КЛ.Транш - 1</v>
          </cell>
          <cell r="C1401" t="str">
            <v>zina984@gmail.com</v>
          </cell>
        </row>
        <row r="1402">
          <cell r="A1402" t="str">
            <v>Одинцова Ирина Вячеславовна</v>
          </cell>
          <cell r="B1402" t="str">
            <v>В-01388/КЛ.Транш - 2</v>
          </cell>
          <cell r="C1402" t="str">
            <v>zina984@gmail.com</v>
          </cell>
        </row>
        <row r="1403">
          <cell r="A1403" t="str">
            <v>Ожован Андриан Васильевич</v>
          </cell>
          <cell r="B1403" t="str">
            <v>В-00610/АЗ</v>
          </cell>
          <cell r="C1403" t="str">
            <v>ojovan777@mail.ru</v>
          </cell>
        </row>
        <row r="1404">
          <cell r="A1404" t="str">
            <v>Ожован Андриан Васильевич</v>
          </cell>
          <cell r="B1404" t="str">
            <v>В-00847/АЗ</v>
          </cell>
          <cell r="C1404" t="str">
            <v>ojovan777@mail.ru</v>
          </cell>
        </row>
        <row r="1405">
          <cell r="A1405" t="str">
            <v>Озарян Сергей Васильевич</v>
          </cell>
          <cell r="B1405" t="str">
            <v>В-01104/АЗ</v>
          </cell>
          <cell r="D1405" t="str">
            <v>angelinavarvara9611@gmail.com</v>
          </cell>
        </row>
        <row r="1406">
          <cell r="A1406" t="str">
            <v>Озёрская Дарья Семеновна</v>
          </cell>
          <cell r="B1406" t="str">
            <v>В-00317/АЗ</v>
          </cell>
          <cell r="C1406" t="str">
            <v>ozerskaya.d@yandex.ru</v>
          </cell>
        </row>
        <row r="1407">
          <cell r="A1407" t="str">
            <v>Ок Мехмет Салим</v>
          </cell>
          <cell r="B1407" t="str">
            <v>В-27256/КЛ.Транш - 1</v>
          </cell>
          <cell r="C1407" t="str">
            <v>salimok.rostov@gmail.com</v>
          </cell>
          <cell r="D1407" t="str">
            <v>salimok.rostov@gmail.com</v>
          </cell>
        </row>
        <row r="1408">
          <cell r="A1408" t="str">
            <v>Омаров Расул Казибекович</v>
          </cell>
          <cell r="B1408" t="str">
            <v>В-12919/КЛ.Транш - 1</v>
          </cell>
        </row>
        <row r="1409">
          <cell r="A1409" t="str">
            <v>Омарова Луиза Багамаевна</v>
          </cell>
          <cell r="B1409" t="str">
            <v>В-23265/КЛ.Транш - 1</v>
          </cell>
          <cell r="C1409" t="str">
            <v>luiza.omarova.95@bk.ru</v>
          </cell>
          <cell r="D1409" t="str">
            <v>luiza.omarova.95@bk.ru</v>
          </cell>
        </row>
        <row r="1410">
          <cell r="A1410" t="str">
            <v>ООО "МФК "ВЗАИМНО"</v>
          </cell>
          <cell r="B1410" t="str">
            <v>В-01/АТЛ/12</v>
          </cell>
        </row>
        <row r="1411">
          <cell r="A1411" t="str">
            <v>ООО "МФК "ВЗАИМНО"</v>
          </cell>
          <cell r="B1411" t="str">
            <v>В-01/АТЛ/13</v>
          </cell>
        </row>
        <row r="1412">
          <cell r="A1412" t="str">
            <v>ООО "МФК "ВЗАИМНО"</v>
          </cell>
          <cell r="B1412" t="str">
            <v>В-01/АТЛ/14</v>
          </cell>
        </row>
        <row r="1413">
          <cell r="A1413" t="str">
            <v>ООО "МФК "ВЗАИМНО"</v>
          </cell>
          <cell r="B1413" t="str">
            <v>В-01/АТЛ/16</v>
          </cell>
        </row>
        <row r="1414">
          <cell r="A1414" t="str">
            <v>ООО "МФК "ВЗАИМНО"</v>
          </cell>
          <cell r="B1414" t="str">
            <v>В-01/АЭК/19</v>
          </cell>
        </row>
        <row r="1415">
          <cell r="A1415" t="str">
            <v>ООО "МФК "ВЗАИМНО"</v>
          </cell>
          <cell r="B1415" t="str">
            <v>В-01/АЭК/21</v>
          </cell>
        </row>
        <row r="1416">
          <cell r="A1416" t="str">
            <v>ООО "МФК "ВЗАИМНО"</v>
          </cell>
          <cell r="B1416" t="str">
            <v>В-01/АЭК/22</v>
          </cell>
        </row>
        <row r="1417">
          <cell r="A1417" t="str">
            <v>ООО "МФК "ВЗАИМНО"</v>
          </cell>
          <cell r="B1417" t="str">
            <v>В-01/АЭК/25</v>
          </cell>
        </row>
        <row r="1418">
          <cell r="A1418" t="str">
            <v>ООО "МФК "ВЗАИМНО"</v>
          </cell>
          <cell r="B1418" t="str">
            <v>В-01/АЭК/26</v>
          </cell>
        </row>
        <row r="1419">
          <cell r="A1419" t="str">
            <v>ООО СК ЭВЕРЕСТ</v>
          </cell>
          <cell r="B1419" t="str">
            <v>В-00062/КЭ.Транш - 1</v>
          </cell>
        </row>
        <row r="1420">
          <cell r="A1420" t="str">
            <v>ООО СК ЭВЕРЕСТ</v>
          </cell>
          <cell r="B1420" t="str">
            <v>В-00062/КЭ.Транш - 2</v>
          </cell>
        </row>
        <row r="1421">
          <cell r="A1421" t="str">
            <v>ОРБИТА ООО</v>
          </cell>
          <cell r="B1421" t="str">
            <v>В-00055/КЭ.Транш - 1</v>
          </cell>
          <cell r="C1421" t="str">
            <v>oorbitamos@yandex.ru</v>
          </cell>
        </row>
        <row r="1422">
          <cell r="A1422" t="str">
            <v>Орехов Александр Викторович</v>
          </cell>
          <cell r="B1422" t="str">
            <v>В-11932/КЛ.Транш - 1</v>
          </cell>
        </row>
        <row r="1423">
          <cell r="A1423" t="str">
            <v>Орехова Екатерина Юрьевна</v>
          </cell>
          <cell r="B1423" t="str">
            <v>В-01509/КЛ.Транш - 1</v>
          </cell>
          <cell r="C1423" t="str">
            <v>frau.orehova@yandex.ru</v>
          </cell>
        </row>
        <row r="1424">
          <cell r="A1424" t="str">
            <v>Ореховский Евгений Валериевич</v>
          </cell>
          <cell r="B1424" t="str">
            <v>В-01135/АЗ</v>
          </cell>
          <cell r="C1424" t="str">
            <v>orehovskiy82@mail.ru</v>
          </cell>
        </row>
        <row r="1425">
          <cell r="A1425" t="str">
            <v>Ореховский Евгений Валериевич</v>
          </cell>
          <cell r="B1425" t="str">
            <v>В-23643/АЗ</v>
          </cell>
          <cell r="C1425" t="str">
            <v>orehovskiy82@mail.ru</v>
          </cell>
        </row>
        <row r="1426">
          <cell r="A1426" t="str">
            <v>Оруджов Намаддин Новрузович</v>
          </cell>
          <cell r="B1426" t="str">
            <v>В-28299/КЛ.Транш - 1</v>
          </cell>
          <cell r="D1426" t="str">
            <v>onamaddin@bk.ru</v>
          </cell>
        </row>
        <row r="1427">
          <cell r="A1427" t="str">
            <v>Осадчий Сергей Александрович</v>
          </cell>
          <cell r="B1427" t="str">
            <v>В-20087/КЛ.Транш - 1</v>
          </cell>
          <cell r="D1427" t="str">
            <v>Sergeiosadchij1968@gmail.com</v>
          </cell>
        </row>
        <row r="1428">
          <cell r="A1428" t="str">
            <v>Осетров Олег Андреевич</v>
          </cell>
          <cell r="B1428" t="str">
            <v>А-05349/АЗ_В-20211230/Ц</v>
          </cell>
        </row>
        <row r="1429">
          <cell r="A1429" t="str">
            <v>Оскомова Инна Анатольевна</v>
          </cell>
          <cell r="B1429" t="str">
            <v>В-13545/КЛ.Транш - 1</v>
          </cell>
          <cell r="D1429" t="str">
            <v>Oskomova@mail.ru</v>
          </cell>
        </row>
        <row r="1430">
          <cell r="A1430" t="str">
            <v>Осмаев Абдул-Латиф Исламович</v>
          </cell>
          <cell r="B1430" t="str">
            <v>В-26125/АЗ</v>
          </cell>
          <cell r="D1430" t="str">
            <v>abdullatif.osmaev@mail.ru</v>
          </cell>
        </row>
        <row r="1431">
          <cell r="A1431" t="str">
            <v>Осмаев Джабраил Исламович</v>
          </cell>
          <cell r="B1431" t="str">
            <v>В-26172/АЗ</v>
          </cell>
        </row>
        <row r="1432">
          <cell r="A1432" t="str">
            <v>Осмаев Ибрагим Исламович</v>
          </cell>
          <cell r="B1432" t="str">
            <v>В-01023/АЗ</v>
          </cell>
        </row>
        <row r="1433">
          <cell r="A1433" t="str">
            <v>Осмаева Зулихан Авхадовна</v>
          </cell>
          <cell r="B1433" t="str">
            <v>В-01022/АЗ</v>
          </cell>
          <cell r="C1433" t="str">
            <v>2.L-73@MAIL.RU</v>
          </cell>
        </row>
        <row r="1434">
          <cell r="A1434" t="str">
            <v>Османов Расул Магомедович</v>
          </cell>
          <cell r="B1434" t="str">
            <v>В-13055/КЛ.Транш - 1</v>
          </cell>
        </row>
        <row r="1435">
          <cell r="A1435" t="str">
            <v>Островский Кирилл Эдуардович</v>
          </cell>
          <cell r="B1435" t="str">
            <v>В-00232/КЛ.Транш - 1_Т-20211028/Ц</v>
          </cell>
          <cell r="C1435" t="str">
            <v>kirilloe.80@mail.ru</v>
          </cell>
        </row>
        <row r="1436">
          <cell r="A1436" t="str">
            <v>ОФИС КРАФТ ООО</v>
          </cell>
          <cell r="B1436" t="str">
            <v>В-00035/КЭ.Транш - 3</v>
          </cell>
          <cell r="C1436" t="str">
            <v>info@officecraft.ru</v>
          </cell>
        </row>
        <row r="1437">
          <cell r="A1437" t="str">
            <v>ОФИС КРАФТ ООО</v>
          </cell>
          <cell r="B1437" t="str">
            <v>В-00035/КЭ.Транш - 7</v>
          </cell>
          <cell r="C1437" t="str">
            <v>info@officecraft.ru</v>
          </cell>
        </row>
        <row r="1438">
          <cell r="A1438" t="str">
            <v>ОФИС КРАФТ ООО</v>
          </cell>
          <cell r="B1438" t="str">
            <v>В-00035/КЭ.Транш - 8</v>
          </cell>
          <cell r="C1438" t="str">
            <v>info@officecraft.ru</v>
          </cell>
        </row>
        <row r="1439">
          <cell r="A1439" t="str">
            <v>Павленко Александр Викторович</v>
          </cell>
          <cell r="B1439" t="str">
            <v>В-26352/АЗ</v>
          </cell>
        </row>
        <row r="1440">
          <cell r="A1440" t="str">
            <v>Павликивский Владимир Васильевич</v>
          </cell>
          <cell r="B1440" t="str">
            <v>В-19097/КЛ.Транш - 1</v>
          </cell>
          <cell r="D1440" t="str">
            <v>pavlikivsckie@gmail.com</v>
          </cell>
        </row>
        <row r="1441">
          <cell r="A1441" t="str">
            <v>Павлов Алексей Георгиевич</v>
          </cell>
          <cell r="B1441" t="str">
            <v>В-12523/КЛ.Транш - 2</v>
          </cell>
          <cell r="D1441" t="str">
            <v>pavlovag83@mail.ru</v>
          </cell>
        </row>
        <row r="1442">
          <cell r="A1442" t="str">
            <v>Павлов Владимир Геннадьевич</v>
          </cell>
          <cell r="B1442" t="str">
            <v>В-00600/АЗ</v>
          </cell>
        </row>
        <row r="1443">
          <cell r="A1443" t="str">
            <v>Павлов Вячеслав Игоревич</v>
          </cell>
          <cell r="B1443" t="str">
            <v>В-12574/КЛ.Транш - 1</v>
          </cell>
          <cell r="D1443" t="str">
            <v>def_buron2@mail.ru</v>
          </cell>
        </row>
        <row r="1444">
          <cell r="A1444" t="str">
            <v>Павлов Вячеслав Игоревич</v>
          </cell>
          <cell r="B1444" t="str">
            <v>В-12574/КЛ.Транш - 2</v>
          </cell>
          <cell r="D1444" t="str">
            <v>def_buron2@mail.ru</v>
          </cell>
        </row>
        <row r="1445">
          <cell r="A1445" t="str">
            <v>Павлов Вячеслав Игоревич</v>
          </cell>
          <cell r="B1445" t="str">
            <v>В-12574/КЛ.Транш - 3</v>
          </cell>
          <cell r="D1445" t="str">
            <v>def_buron2@mail.ru</v>
          </cell>
        </row>
        <row r="1446">
          <cell r="A1446" t="str">
            <v>Павлов Денис Витальевич</v>
          </cell>
          <cell r="B1446" t="str">
            <v>В-03672/КЛ.Транш - 1_В-20211230/Ц</v>
          </cell>
          <cell r="C1446" t="str">
            <v>deniska1.81@mail.ru</v>
          </cell>
        </row>
        <row r="1447">
          <cell r="A1447" t="str">
            <v>Павлов Максим Андреевич</v>
          </cell>
          <cell r="B1447" t="str">
            <v>В-12013/КЛ.Транш - 1</v>
          </cell>
          <cell r="D1447" t="str">
            <v>pavlov-m@inbox.ru</v>
          </cell>
        </row>
        <row r="1448">
          <cell r="A1448" t="str">
            <v>Павлов Максим Андреевич</v>
          </cell>
          <cell r="B1448" t="str">
            <v>В-12013/КЛ.Транш - 2</v>
          </cell>
          <cell r="D1448" t="str">
            <v>pavlov-m@inbox.ru</v>
          </cell>
        </row>
        <row r="1449">
          <cell r="A1449" t="str">
            <v>Павлов Максим Андреевич</v>
          </cell>
          <cell r="B1449" t="str">
            <v>В-12013/КЛ.Транш - 3</v>
          </cell>
          <cell r="D1449" t="str">
            <v>pavlov-m@inbox.ru</v>
          </cell>
        </row>
        <row r="1450">
          <cell r="A1450" t="str">
            <v>Павлова Светлана Юрьевна</v>
          </cell>
          <cell r="B1450" t="str">
            <v>А-04614/АЗ</v>
          </cell>
          <cell r="C1450" t="str">
            <v>S.PAVLOVA@RPLAY.RU</v>
          </cell>
          <cell r="D1450" t="str">
            <v>S.PAVLOVA@RPLAY.RU</v>
          </cell>
        </row>
        <row r="1451">
          <cell r="A1451" t="str">
            <v>Павлюк Татьяна Николаевна</v>
          </cell>
          <cell r="B1451" t="str">
            <v>В-17747/КЛ.Транш - 1</v>
          </cell>
          <cell r="D1451" t="str">
            <v>20tatyana@mail.ru</v>
          </cell>
        </row>
        <row r="1452">
          <cell r="A1452" t="str">
            <v>Павлюк Татьяна Николаевна</v>
          </cell>
          <cell r="B1452" t="str">
            <v>В-17747/КЛ.Транш - 2</v>
          </cell>
          <cell r="D1452" t="str">
            <v>20tatyana@mail.ru</v>
          </cell>
        </row>
        <row r="1453">
          <cell r="A1453" t="str">
            <v>Павлюченко Михаил Михайлович</v>
          </cell>
          <cell r="B1453" t="str">
            <v>В-03197/КЛ.Транш - 2</v>
          </cell>
          <cell r="C1453" t="str">
            <v>mihailpavlucenko5@gmail.com</v>
          </cell>
        </row>
        <row r="1454">
          <cell r="A1454" t="str">
            <v>Паладе Иван Петрович</v>
          </cell>
          <cell r="B1454" t="str">
            <v>Т-01895/АЗ_Т-20211028/Ц</v>
          </cell>
          <cell r="C1454" t="str">
            <v>IVANPALADE@MAIL.RU</v>
          </cell>
          <cell r="D1454" t="str">
            <v>IVANPALADE@MAIL.RU</v>
          </cell>
        </row>
        <row r="1455">
          <cell r="A1455" t="str">
            <v>Палакян Ваге Гарникович</v>
          </cell>
          <cell r="B1455" t="str">
            <v>В-01160/АЗ</v>
          </cell>
          <cell r="C1455" t="str">
            <v>stroisiti17@mail.ru</v>
          </cell>
          <cell r="D1455" t="str">
            <v>stroisiti17@mail.ru</v>
          </cell>
        </row>
        <row r="1456">
          <cell r="A1456" t="str">
            <v>Палоян Самвел Максимович</v>
          </cell>
          <cell r="B1456" t="str">
            <v>В-21632/КЛ.Транш - 1</v>
          </cell>
          <cell r="D1456" t="str">
            <v>Samo.palo.19@gmail.com</v>
          </cell>
        </row>
        <row r="1457">
          <cell r="A1457" t="str">
            <v>Панина Ирина Валентиновна</v>
          </cell>
          <cell r="B1457" t="str">
            <v>В-09260/КЛ.Транш - 2</v>
          </cell>
          <cell r="C1457" t="str">
            <v>izoldovna@gmail.com</v>
          </cell>
        </row>
        <row r="1458">
          <cell r="A1458" t="str">
            <v>Панков Петр Владимирович</v>
          </cell>
          <cell r="B1458" t="str">
            <v>В-10611/КЛ.Транш - 1</v>
          </cell>
          <cell r="C1458" t="str">
            <v>pankovstroy@yandex.ru</v>
          </cell>
        </row>
        <row r="1459">
          <cell r="A1459" t="str">
            <v>Панов Дмитрий Евгеньевич</v>
          </cell>
          <cell r="B1459" t="str">
            <v>В-15405/КЛ.Транш - 1</v>
          </cell>
          <cell r="C1459" t="str">
            <v>dpanov_73@mail.ru</v>
          </cell>
        </row>
        <row r="1460">
          <cell r="A1460" t="str">
            <v>Панова Наталья Анатольевна</v>
          </cell>
          <cell r="B1460" t="str">
            <v>В-23354/АЗ</v>
          </cell>
          <cell r="C1460" t="str">
            <v>natashapano@mail.ru</v>
          </cell>
          <cell r="D1460" t="str">
            <v>natashapano@mail.ru</v>
          </cell>
        </row>
        <row r="1461">
          <cell r="A1461" t="str">
            <v>Панова Наталья Анатольевна</v>
          </cell>
          <cell r="B1461" t="str">
            <v>В-23813/АЗ</v>
          </cell>
          <cell r="C1461" t="str">
            <v>natashapano@mail.ru</v>
          </cell>
          <cell r="D1461" t="str">
            <v>natashapano@mail.ru</v>
          </cell>
        </row>
        <row r="1462">
          <cell r="A1462" t="str">
            <v>Паносян Эдуард Айрапетович</v>
          </cell>
          <cell r="B1462" t="str">
            <v>В-21416/КЛ.Транш - 1</v>
          </cell>
          <cell r="C1462" t="str">
            <v>panedo@mail.ru</v>
          </cell>
        </row>
        <row r="1463">
          <cell r="A1463" t="str">
            <v>Паносян Эдуард Айрапетович</v>
          </cell>
          <cell r="B1463" t="str">
            <v>В-21416/КЛ.Транш - 2</v>
          </cell>
          <cell r="C1463" t="str">
            <v>panedo@mail.ru</v>
          </cell>
        </row>
        <row r="1464">
          <cell r="A1464" t="str">
            <v>Паносян Эдуард Айрапетович</v>
          </cell>
          <cell r="B1464" t="str">
            <v>В-21416/КЛ.Транш - 3</v>
          </cell>
          <cell r="C1464" t="str">
            <v>panedo@mail.ru</v>
          </cell>
        </row>
        <row r="1465">
          <cell r="A1465" t="str">
            <v>Пантелеев Антон Дмитриевич</v>
          </cell>
          <cell r="B1465" t="str">
            <v>В-25657/КЛ.Транш - 1</v>
          </cell>
          <cell r="D1465" t="str">
            <v>79169343410@yandex.ru</v>
          </cell>
        </row>
        <row r="1466">
          <cell r="A1466" t="str">
            <v>Пантелеев Даниил Александрович</v>
          </cell>
          <cell r="B1466" t="str">
            <v>В-21847/КЛ.Транш - 1</v>
          </cell>
          <cell r="D1466" t="str">
            <v>Stek0105@mail.ru</v>
          </cell>
        </row>
        <row r="1467">
          <cell r="A1467" t="str">
            <v>Папикян Андраник Климентович</v>
          </cell>
          <cell r="B1467" t="str">
            <v>В-29072/КЛ.Транш - 1</v>
          </cell>
          <cell r="C1467" t="str">
            <v>antanpapikyan81@gmail.com</v>
          </cell>
          <cell r="D1467" t="str">
            <v>antanpapikyan81@gmail.com</v>
          </cell>
        </row>
        <row r="1468">
          <cell r="A1468" t="str">
            <v>Паронян Егор Каренович</v>
          </cell>
          <cell r="B1468" t="str">
            <v>В-24687/КЛ.Транш - 1</v>
          </cell>
          <cell r="C1468" t="str">
            <v>egor.paron9n@gmail.com</v>
          </cell>
        </row>
        <row r="1469">
          <cell r="A1469" t="str">
            <v>Парфенов Дмитрий Юрьевич</v>
          </cell>
          <cell r="B1469" t="str">
            <v>В-01082/АЗ</v>
          </cell>
          <cell r="C1469" t="str">
            <v>dp@bureau18.com</v>
          </cell>
        </row>
        <row r="1470">
          <cell r="A1470" t="str">
            <v>Парфенов Дмитрий Юрьевич</v>
          </cell>
          <cell r="B1470" t="str">
            <v>В-27151/АЗ</v>
          </cell>
          <cell r="C1470" t="str">
            <v>dp@bureau18.com</v>
          </cell>
        </row>
        <row r="1471">
          <cell r="A1471" t="str">
            <v>Парфёнова Наталья Николаевна</v>
          </cell>
          <cell r="B1471" t="str">
            <v>В-28323/КЛ.Транш - 1</v>
          </cell>
          <cell r="C1471" t="str">
            <v>n.parfenova80@mail.ru</v>
          </cell>
          <cell r="D1471" t="str">
            <v>n.parfenova80@mail.ru</v>
          </cell>
        </row>
        <row r="1472">
          <cell r="A1472" t="str">
            <v>Пархоменко Вячеслав Юрьевич</v>
          </cell>
          <cell r="B1472" t="str">
            <v>В-01180/АЗ</v>
          </cell>
          <cell r="C1472" t="str">
            <v>p.slavamen@mail.ru</v>
          </cell>
        </row>
        <row r="1473">
          <cell r="A1473" t="str">
            <v>Пахомов Михаил Юрьевич</v>
          </cell>
          <cell r="B1473" t="str">
            <v>В-13136/КЛ.Транш - 1_В-20211230/Ц</v>
          </cell>
          <cell r="D1473" t="str">
            <v>Pahom-mih.2910@mail.ru</v>
          </cell>
        </row>
        <row r="1474">
          <cell r="A1474" t="str">
            <v>Пашков Андрей Александрович</v>
          </cell>
          <cell r="B1474" t="str">
            <v>В-00793/АЗ</v>
          </cell>
          <cell r="C1474" t="str">
            <v>9161085064@mail.ru</v>
          </cell>
          <cell r="D1474" t="str">
            <v>9161085064@mail.ru</v>
          </cell>
        </row>
        <row r="1475">
          <cell r="A1475" t="str">
            <v>Пашнин Дмитрий Александрович</v>
          </cell>
          <cell r="B1475" t="str">
            <v>В-20948/КЛ.Транш - 1</v>
          </cell>
          <cell r="D1475" t="str">
            <v>detroytkopy@mail.ru</v>
          </cell>
        </row>
        <row r="1476">
          <cell r="A1476" t="str">
            <v>Певзнер Сергей Ефимович</v>
          </cell>
          <cell r="B1476" t="str">
            <v>В-23004/КЛ.Транш - 2</v>
          </cell>
          <cell r="C1476" t="str">
            <v>a17061968@mail.ru</v>
          </cell>
          <cell r="D1476" t="str">
            <v>a17061968@mail.ru</v>
          </cell>
        </row>
        <row r="1477">
          <cell r="A1477" t="str">
            <v>Певзнер Сергей Ефимович</v>
          </cell>
          <cell r="B1477" t="str">
            <v>В-23004/КЛ.Транш - 3</v>
          </cell>
          <cell r="C1477" t="str">
            <v>a17061968@mail.ru</v>
          </cell>
          <cell r="D1477" t="str">
            <v>a17061968@mail.ru</v>
          </cell>
        </row>
        <row r="1478">
          <cell r="A1478" t="str">
            <v>Пелипенко Алексей Николаевич</v>
          </cell>
          <cell r="B1478" t="str">
            <v>В-23585/КЛ.Транш - 1</v>
          </cell>
          <cell r="C1478" t="str">
            <v>1985aleksej1985@rambler.ru</v>
          </cell>
          <cell r="D1478" t="str">
            <v>1985aleksej1985@rambler.ru</v>
          </cell>
        </row>
        <row r="1479">
          <cell r="A1479" t="str">
            <v>Пеньков Алексей Александрович</v>
          </cell>
          <cell r="B1479" t="str">
            <v>В-25302/КЛ.Транш - 1</v>
          </cell>
          <cell r="D1479" t="str">
            <v>Aleksey.penkov.2011@mail.ru</v>
          </cell>
        </row>
        <row r="1480">
          <cell r="A1480" t="str">
            <v>Первушина Юлия Владимировна</v>
          </cell>
          <cell r="B1480" t="str">
            <v>В-15165/КЛ.Транш - 1</v>
          </cell>
          <cell r="D1480" t="str">
            <v>bvk2_43@mail.ru</v>
          </cell>
        </row>
        <row r="1481">
          <cell r="A1481" t="str">
            <v>Перевалов Артём Владимирович</v>
          </cell>
          <cell r="B1481" t="str">
            <v>В-07717/КЛ.Транш - 1</v>
          </cell>
        </row>
        <row r="1482">
          <cell r="A1482" t="str">
            <v>Перевалов Артём Владимирович</v>
          </cell>
          <cell r="B1482" t="str">
            <v>В-07717/КЛ.Транш - 2</v>
          </cell>
        </row>
        <row r="1483">
          <cell r="A1483" t="str">
            <v>Перевалов Артём Владимирович</v>
          </cell>
          <cell r="B1483" t="str">
            <v>В-07717/КЛ.Транш - 3</v>
          </cell>
        </row>
        <row r="1484">
          <cell r="A1484" t="str">
            <v>Перевалов Артём Владимирович</v>
          </cell>
          <cell r="B1484" t="str">
            <v>В-07717/КЛ.Транш - 4</v>
          </cell>
        </row>
        <row r="1485">
          <cell r="A1485" t="str">
            <v>Перевалов Артём Владимирович</v>
          </cell>
          <cell r="B1485" t="str">
            <v>В-07717/КЛ.Транш - 5</v>
          </cell>
        </row>
        <row r="1486">
          <cell r="A1486" t="str">
            <v>Перевозников Андрей Анатольевич</v>
          </cell>
          <cell r="B1486" t="str">
            <v>В-16877/КЛ.Транш - 1_В-20211230/Ц</v>
          </cell>
          <cell r="D1486" t="str">
            <v>perevosnikov@mail.ru</v>
          </cell>
        </row>
        <row r="1487">
          <cell r="A1487" t="str">
            <v>Пестерев Андрей Николаевич</v>
          </cell>
          <cell r="B1487" t="str">
            <v>В-26806/АЗ</v>
          </cell>
          <cell r="C1487" t="str">
            <v>a_pesterev@mail.ru</v>
          </cell>
          <cell r="D1487" t="str">
            <v>a_pesterev@mail.ru</v>
          </cell>
        </row>
        <row r="1488">
          <cell r="A1488" t="str">
            <v>Петку Сергей Владимирович</v>
          </cell>
          <cell r="B1488" t="str">
            <v>В-04809/КЛ.Транш - 1</v>
          </cell>
          <cell r="C1488" t="str">
            <v>ivan.qwerti2008@yandex.ru</v>
          </cell>
        </row>
        <row r="1489">
          <cell r="A1489" t="str">
            <v>Петров Александр Владимирович</v>
          </cell>
          <cell r="B1489" t="str">
            <v>А-04641/АЗ</v>
          </cell>
          <cell r="C1489" t="str">
            <v>2222@mail.ru</v>
          </cell>
          <cell r="D1489" t="str">
            <v>2222@mail.ru</v>
          </cell>
        </row>
        <row r="1490">
          <cell r="A1490" t="str">
            <v>Петров Артём Валериевич</v>
          </cell>
          <cell r="B1490" t="str">
            <v>В-21987/КЛ.Транш - 1</v>
          </cell>
          <cell r="D1490" t="str">
            <v>borec-grb@mail.ru</v>
          </cell>
        </row>
        <row r="1491">
          <cell r="A1491" t="str">
            <v>Петров Денис Александрович</v>
          </cell>
          <cell r="B1491" t="str">
            <v>В-01113/АЗ</v>
          </cell>
        </row>
        <row r="1492">
          <cell r="A1492" t="str">
            <v>Петров Николай Анатольевич</v>
          </cell>
          <cell r="B1492" t="str">
            <v>В-28393/КЛ.Транш - 1</v>
          </cell>
          <cell r="D1492" t="str">
            <v>petrow.ros@yandex.ru</v>
          </cell>
        </row>
        <row r="1493">
          <cell r="A1493" t="str">
            <v>Петров Сергей Анатольевич</v>
          </cell>
          <cell r="B1493" t="str">
            <v>В-17043/КЛ.Транш - 1</v>
          </cell>
          <cell r="D1493" t="str">
            <v>ageres.msk@gmail.com</v>
          </cell>
        </row>
        <row r="1494">
          <cell r="A1494" t="str">
            <v>Петров Сергей Владимирович</v>
          </cell>
          <cell r="B1494" t="str">
            <v>В-18167/КЛ.Транш - 1</v>
          </cell>
        </row>
        <row r="1495">
          <cell r="A1495" t="str">
            <v>Петров Юрий Викторович</v>
          </cell>
          <cell r="B1495" t="str">
            <v>В-26450/АЗ</v>
          </cell>
          <cell r="C1495" t="str">
            <v>pe4ka3x@gmail.com</v>
          </cell>
        </row>
        <row r="1496">
          <cell r="A1496" t="str">
            <v>Петрова Елена Владимировна</v>
          </cell>
          <cell r="B1496" t="str">
            <v>В-03974/КЛ.Транш - 3</v>
          </cell>
          <cell r="C1496" t="str">
            <v>epetrovav@mail.ru</v>
          </cell>
        </row>
        <row r="1497">
          <cell r="A1497" t="str">
            <v>Петрова Ирина Валентиновна</v>
          </cell>
          <cell r="B1497" t="str">
            <v>В-18215/КЛ.Транш - 1</v>
          </cell>
          <cell r="D1497" t="str">
            <v>p64irina@gmail.com</v>
          </cell>
        </row>
        <row r="1498">
          <cell r="A1498" t="str">
            <v>Петросян Анаит Ервандовна</v>
          </cell>
          <cell r="B1498" t="str">
            <v>В-28753/КЛ.Транш - 1</v>
          </cell>
          <cell r="C1498" t="str">
            <v>petrosyan-anait@internet.ru</v>
          </cell>
          <cell r="D1498" t="str">
            <v>petrosyan-anait@internet.ru</v>
          </cell>
        </row>
        <row r="1499">
          <cell r="A1499" t="str">
            <v>Петросян Карен Грайрович</v>
          </cell>
          <cell r="B1499" t="str">
            <v>В-27978/КЛ.Транш - 1</v>
          </cell>
          <cell r="D1499" t="str">
            <v>kareshka5775@gmail.com</v>
          </cell>
        </row>
        <row r="1500">
          <cell r="A1500" t="str">
            <v>Петрухин Анатолий Васильевич</v>
          </cell>
          <cell r="B1500" t="str">
            <v>В-00850/АЗ</v>
          </cell>
          <cell r="C1500" t="str">
            <v>a.petruhin81@rambler.ru</v>
          </cell>
        </row>
        <row r="1501">
          <cell r="A1501" t="str">
            <v>Петрухин Анатолий Васильевич</v>
          </cell>
          <cell r="B1501" t="str">
            <v>В-01015/АЗ</v>
          </cell>
          <cell r="C1501" t="str">
            <v>a.petruhin81@rambler.ru</v>
          </cell>
        </row>
        <row r="1502">
          <cell r="A1502" t="str">
            <v>Петрухин Анатолий Васильевич</v>
          </cell>
          <cell r="B1502" t="str">
            <v>В-01125/АЗ</v>
          </cell>
          <cell r="C1502" t="str">
            <v>a.petruhin81@rambler.ru</v>
          </cell>
        </row>
        <row r="1503">
          <cell r="A1503" t="str">
            <v>Петухов Евгений Владимирович</v>
          </cell>
          <cell r="B1503" t="str">
            <v>В-00473/КЛ.Транш - 3</v>
          </cell>
          <cell r="C1503" t="str">
            <v>petukhov-1980@mail.ru</v>
          </cell>
        </row>
        <row r="1504">
          <cell r="A1504" t="str">
            <v>Петухов Евгений Владимирович</v>
          </cell>
          <cell r="B1504" t="str">
            <v>В-00473/КЛ.Транш - 4</v>
          </cell>
          <cell r="C1504" t="str">
            <v>petukhov-1980@mail.ru</v>
          </cell>
        </row>
        <row r="1505">
          <cell r="A1505" t="str">
            <v>Петухов Евгений Владимирович</v>
          </cell>
          <cell r="B1505" t="str">
            <v>В-23712/КЛ.Транш - 1</v>
          </cell>
          <cell r="C1505" t="str">
            <v>petukhov-1980@mail.ru</v>
          </cell>
        </row>
        <row r="1506">
          <cell r="A1506" t="str">
            <v>Петухов Евгений Владимирович</v>
          </cell>
          <cell r="B1506" t="str">
            <v>В-23712/КЛ.Транш - 2</v>
          </cell>
          <cell r="C1506" t="str">
            <v>petukhov-1980@mail.ru</v>
          </cell>
        </row>
        <row r="1507">
          <cell r="A1507" t="str">
            <v>Петухов Евгений Владимирович</v>
          </cell>
          <cell r="B1507" t="str">
            <v>В-23712/КЛ.Транш - 3</v>
          </cell>
          <cell r="C1507" t="str">
            <v>petukhov-1980@mail.ru</v>
          </cell>
        </row>
        <row r="1508">
          <cell r="A1508" t="str">
            <v>Петухов Евгений Владимирович</v>
          </cell>
          <cell r="B1508" t="str">
            <v>В-23712/КЛ.Транш - 4</v>
          </cell>
          <cell r="C1508" t="str">
            <v>petukhov-1980@mail.ru</v>
          </cell>
        </row>
        <row r="1509">
          <cell r="A1509" t="str">
            <v>Печеников Александр Иванович</v>
          </cell>
          <cell r="B1509" t="str">
            <v>В-01085/АЗ</v>
          </cell>
          <cell r="D1509" t="str">
            <v>pechenikoff@gmail.com</v>
          </cell>
        </row>
        <row r="1510">
          <cell r="A1510" t="str">
            <v>Печеникова Оксана Александровна</v>
          </cell>
          <cell r="B1510" t="str">
            <v>В-01084/АЗ</v>
          </cell>
          <cell r="C1510" t="str">
            <v>ksupech@rambler.ru</v>
          </cell>
          <cell r="D1510" t="str">
            <v>ksupech@rambler.ru</v>
          </cell>
        </row>
        <row r="1511">
          <cell r="A1511" t="str">
            <v>Печников Алексей Олегович</v>
          </cell>
          <cell r="B1511" t="str">
            <v>А-05166/АЗ_А-20201019/Ц</v>
          </cell>
          <cell r="C1511" t="str">
            <v>pechkin75@mail.ru</v>
          </cell>
          <cell r="D1511" t="str">
            <v>pechkin75@mail.ru</v>
          </cell>
        </row>
        <row r="1512">
          <cell r="A1512" t="str">
            <v>Печников Алексей Олегович</v>
          </cell>
          <cell r="B1512" t="str">
            <v>В-00573/АЗ</v>
          </cell>
          <cell r="C1512" t="str">
            <v>pechkin75@mail.ru</v>
          </cell>
          <cell r="D1512" t="str">
            <v>pechkin75@mail.ru</v>
          </cell>
        </row>
        <row r="1513">
          <cell r="A1513" t="str">
            <v>Пешков Владимир Сергеевич</v>
          </cell>
          <cell r="B1513" t="str">
            <v>В-25852/КЛ.Транш - 1</v>
          </cell>
          <cell r="D1513" t="str">
            <v>Pehho@ya.ru</v>
          </cell>
        </row>
        <row r="1514">
          <cell r="A1514" t="str">
            <v>Пивченкова Наталья Александровна</v>
          </cell>
          <cell r="B1514" t="str">
            <v>В-25950/КЛ.Транш - 1</v>
          </cell>
          <cell r="D1514" t="str">
            <v>1982a11a05@gmail.com</v>
          </cell>
        </row>
        <row r="1515">
          <cell r="A1515" t="str">
            <v>Пилосов Павел Петрович</v>
          </cell>
          <cell r="B1515" t="str">
            <v>В-02944/КЛ.Транш - 1</v>
          </cell>
          <cell r="C1515" t="str">
            <v>ppplogistic@gmail.com</v>
          </cell>
        </row>
        <row r="1516">
          <cell r="A1516" t="str">
            <v>Пилюгин Олег Васильевич</v>
          </cell>
          <cell r="B1516" t="str">
            <v>В-21175/КЛ.Транш - 1</v>
          </cell>
          <cell r="D1516" t="str">
            <v>pilyugtn@bk.ru</v>
          </cell>
        </row>
        <row r="1517">
          <cell r="A1517" t="str">
            <v>Пинясов Александр Степанович</v>
          </cell>
          <cell r="B1517" t="str">
            <v>Т-01876/АЗ_Т-20211028/Ц</v>
          </cell>
          <cell r="C1517" t="str">
            <v>a.p.19921992@mail.ru</v>
          </cell>
        </row>
        <row r="1518">
          <cell r="A1518" t="str">
            <v>ПКБ НТТ ООО</v>
          </cell>
          <cell r="B1518" t="str">
            <v>В-00045/КЭ.Транш - 1</v>
          </cell>
          <cell r="C1518" t="str">
            <v>info@gksom.com</v>
          </cell>
        </row>
        <row r="1519">
          <cell r="A1519" t="str">
            <v>Платонов Николай Владимирович</v>
          </cell>
          <cell r="B1519" t="str">
            <v>В-25807/АЗ</v>
          </cell>
          <cell r="C1519" t="str">
            <v>Pastor07@yandex.ru</v>
          </cell>
          <cell r="D1519" t="str">
            <v>Pastor07@yandex.ru</v>
          </cell>
        </row>
        <row r="1520">
          <cell r="A1520" t="str">
            <v>Платунова Жанна Александровна</v>
          </cell>
          <cell r="B1520" t="str">
            <v>А-04384/АЗ</v>
          </cell>
          <cell r="C1520" t="str">
            <v>ZHANNA KOJUHOWA@YANDEX.RU</v>
          </cell>
          <cell r="D1520" t="str">
            <v>ZHANNA KOJUHOWA@YANDEX.RU</v>
          </cell>
        </row>
        <row r="1521">
          <cell r="A1521" t="str">
            <v>Плотников Николай Алексеевич</v>
          </cell>
          <cell r="B1521" t="str">
            <v>В-12696/КЛ.Транш - 3</v>
          </cell>
          <cell r="C1521" t="str">
            <v>plotnikov.tn@mail.ru</v>
          </cell>
          <cell r="D1521" t="str">
            <v>plotnikov.tn@mail.ru</v>
          </cell>
        </row>
        <row r="1522">
          <cell r="A1522" t="str">
            <v>Плющ Татьяна Владимировна</v>
          </cell>
          <cell r="B1522" t="str">
            <v>В-13516/КЛ.Транш - 2</v>
          </cell>
        </row>
        <row r="1523">
          <cell r="A1523" t="str">
            <v>Плющ Татьяна Владимировна</v>
          </cell>
          <cell r="B1523" t="str">
            <v>В-13516/КЛ.Транш - 3</v>
          </cell>
        </row>
        <row r="1524">
          <cell r="A1524" t="str">
            <v>Плющ Татьяна Владимировна</v>
          </cell>
          <cell r="B1524" t="str">
            <v>В-13516/КЛ.Транш - 4</v>
          </cell>
        </row>
        <row r="1525">
          <cell r="A1525" t="str">
            <v>Погосян Араик Акобович</v>
          </cell>
          <cell r="B1525" t="str">
            <v>В-28057/АЗ</v>
          </cell>
        </row>
        <row r="1526">
          <cell r="A1526" t="str">
            <v>Погосян Давид Грачьяевич</v>
          </cell>
          <cell r="B1526" t="str">
            <v>В-21708/КЛ.Транш - 4</v>
          </cell>
          <cell r="C1526" t="str">
            <v>ip.pogosyan89@mail.ru</v>
          </cell>
          <cell r="D1526" t="str">
            <v>ip.pogosyan89@mail.ru</v>
          </cell>
        </row>
        <row r="1527">
          <cell r="A1527" t="str">
            <v>Погосян Давид Грачьяевич</v>
          </cell>
          <cell r="B1527" t="str">
            <v>В-21708/КЛ.Транш - 5</v>
          </cell>
          <cell r="C1527" t="str">
            <v>ip.pogosyan89@mail.ru</v>
          </cell>
          <cell r="D1527" t="str">
            <v>ip.pogosyan89@mail.ru</v>
          </cell>
        </row>
        <row r="1528">
          <cell r="A1528" t="str">
            <v>Погосян Мелания Гарниковна</v>
          </cell>
          <cell r="B1528" t="str">
            <v>В-01151/АЗ</v>
          </cell>
          <cell r="C1528" t="str">
            <v>011298mk@rambler.ru</v>
          </cell>
        </row>
        <row r="1529">
          <cell r="A1529" t="str">
            <v>Погребняк Константин Николаевич</v>
          </cell>
          <cell r="B1529" t="str">
            <v>Т-01915/АЗ_Т-20211028/Ц</v>
          </cell>
        </row>
        <row r="1530">
          <cell r="A1530" t="str">
            <v>Погребняк Федор Олегович</v>
          </cell>
          <cell r="B1530" t="str">
            <v>В-07005/КЛ.Транш - 1</v>
          </cell>
          <cell r="C1530" t="str">
            <v>FEDOR_POGREBNYAK@MAIL.RU</v>
          </cell>
        </row>
        <row r="1531">
          <cell r="A1531" t="str">
            <v>Погребняк Федор Олегович</v>
          </cell>
          <cell r="B1531" t="str">
            <v>В-07005/КЛ.Транш - 2</v>
          </cell>
          <cell r="C1531" t="str">
            <v>FEDOR_POGREBNYAK@MAIL.RU</v>
          </cell>
        </row>
        <row r="1532">
          <cell r="A1532" t="str">
            <v>Погребняк Федор Олегович</v>
          </cell>
          <cell r="B1532" t="str">
            <v>В-07005/КЛ.Транш - 3</v>
          </cell>
          <cell r="C1532" t="str">
            <v>FEDOR_POGREBNYAK@MAIL.RU</v>
          </cell>
        </row>
        <row r="1533">
          <cell r="A1533" t="str">
            <v>Погудин Вячеслав Сергеевич</v>
          </cell>
          <cell r="B1533" t="str">
            <v>В-27716/КЛ.Транш - 1</v>
          </cell>
          <cell r="D1533" t="str">
            <v>pogudin550@gmail.com</v>
          </cell>
        </row>
        <row r="1534">
          <cell r="A1534" t="str">
            <v>Поддубный Николай Станиславович</v>
          </cell>
          <cell r="B1534" t="str">
            <v>В-00612/АЗ</v>
          </cell>
        </row>
        <row r="1535">
          <cell r="A1535" t="str">
            <v>Подтуркин Алексей Сергеевич</v>
          </cell>
          <cell r="B1535" t="str">
            <v>В-28274/КЛ.Транш - 1</v>
          </cell>
          <cell r="C1535" t="str">
            <v>podturkin1@mail.ru</v>
          </cell>
          <cell r="D1535" t="str">
            <v>podturkin1@mail.ru</v>
          </cell>
        </row>
        <row r="1536">
          <cell r="A1536" t="str">
            <v>Подчуфарова Лариса Николаевна</v>
          </cell>
          <cell r="B1536" t="str">
            <v>В-22449/КЛ.Транш - 1</v>
          </cell>
          <cell r="C1536" t="str">
            <v>larisanikolaevna_2013@yandex.ru</v>
          </cell>
          <cell r="D1536" t="str">
            <v>larisanikolaevna_2013@yandex.ru</v>
          </cell>
        </row>
        <row r="1537">
          <cell r="A1537" t="str">
            <v>Покатаев Андрей Борисович</v>
          </cell>
          <cell r="B1537" t="str">
            <v>В-13405/КЛ.Транш - 1</v>
          </cell>
          <cell r="C1537" t="str">
            <v>andrej.pokataev@mail.ru</v>
          </cell>
          <cell r="D1537" t="str">
            <v>andrej.pokataev@mail.ru</v>
          </cell>
        </row>
        <row r="1538">
          <cell r="A1538" t="str">
            <v>Полханов Владимир Николаевич</v>
          </cell>
          <cell r="B1538" t="str">
            <v>В-21053/КЛ.Транш - 1</v>
          </cell>
          <cell r="D1538" t="str">
            <v>eurolevel@mail.ru</v>
          </cell>
        </row>
        <row r="1539">
          <cell r="A1539" t="str">
            <v>Полханов Владимир Николаевич</v>
          </cell>
          <cell r="B1539" t="str">
            <v>В-21053/КЛ.Транш - 4</v>
          </cell>
          <cell r="D1539" t="str">
            <v>eurolevel@mail.ru</v>
          </cell>
        </row>
        <row r="1540">
          <cell r="A1540" t="str">
            <v>Поляков Евгений Сергеевич</v>
          </cell>
          <cell r="B1540" t="str">
            <v>В-20060/КЛ.Транш - 1</v>
          </cell>
          <cell r="D1540" t="str">
            <v>evgenijpolakov6385@gmail.com</v>
          </cell>
        </row>
        <row r="1541">
          <cell r="A1541" t="str">
            <v>Полякова Дарья Евгеньевна</v>
          </cell>
          <cell r="B1541" t="str">
            <v>В-12897/КЛ.Транш - 1</v>
          </cell>
          <cell r="D1541" t="str">
            <v>darja19911405@yandex.ru</v>
          </cell>
        </row>
        <row r="1542">
          <cell r="A1542" t="str">
            <v>Поляруш Ирина Валерьевна</v>
          </cell>
          <cell r="B1542" t="str">
            <v>В-01046/АЗ</v>
          </cell>
        </row>
        <row r="1543">
          <cell r="A1543" t="str">
            <v>Понкратьев Александр Алексеевич</v>
          </cell>
          <cell r="B1543" t="str">
            <v>В-21224/КЛ.Транш - 1</v>
          </cell>
          <cell r="D1543" t="str">
            <v>a.g.ent@yandeх.ru</v>
          </cell>
        </row>
        <row r="1544">
          <cell r="A1544" t="str">
            <v>Пономарчук Андрей Борисович</v>
          </cell>
          <cell r="B1544" t="str">
            <v>В-07595/КЛ.Транш - 1</v>
          </cell>
          <cell r="C1544" t="str">
            <v>ponand@mail.ru</v>
          </cell>
        </row>
        <row r="1545">
          <cell r="A1545" t="str">
            <v>Попков Вадим Борисович</v>
          </cell>
          <cell r="B1545" t="str">
            <v>В-01078/АЗ</v>
          </cell>
          <cell r="C1545" t="str">
            <v>vadimpopkov@yandex.ru</v>
          </cell>
        </row>
        <row r="1546">
          <cell r="A1546" t="str">
            <v>Поплавков Александр Петрович</v>
          </cell>
          <cell r="B1546" t="str">
            <v>В-26604/КЛ.Транш - 1</v>
          </cell>
          <cell r="D1546" t="str">
            <v>aleksandr.rds@mail.ru</v>
          </cell>
        </row>
        <row r="1547">
          <cell r="A1547" t="str">
            <v>Попов Виктор Вячеславович</v>
          </cell>
          <cell r="B1547" t="str">
            <v>В-21306/КЛ.Транш - 1</v>
          </cell>
          <cell r="D1547" t="str">
            <v>dragon80@bk.ru</v>
          </cell>
        </row>
        <row r="1548">
          <cell r="A1548" t="str">
            <v>Попов Григорий Сергеевич</v>
          </cell>
          <cell r="B1548" t="str">
            <v>В-22423/КЛ.Транш - 1</v>
          </cell>
        </row>
        <row r="1549">
          <cell r="A1549" t="str">
            <v>Попов Михаил Александрович</v>
          </cell>
          <cell r="B1549" t="str">
            <v>В-25810/АЗ</v>
          </cell>
        </row>
        <row r="1550">
          <cell r="A1550" t="str">
            <v>Попов Роман Николаевич</v>
          </cell>
          <cell r="B1550" t="str">
            <v>В-11946/КЛ.Транш - 2</v>
          </cell>
          <cell r="C1550" t="str">
            <v>mr.romanpopov@ya.ru</v>
          </cell>
        </row>
        <row r="1551">
          <cell r="A1551" t="str">
            <v>Попов Роман Николаевич</v>
          </cell>
          <cell r="B1551" t="str">
            <v>В-11946/КЛ.Транш - 3</v>
          </cell>
          <cell r="C1551" t="str">
            <v>mr.romanpopov@ya.ru</v>
          </cell>
        </row>
        <row r="1552">
          <cell r="A1552" t="str">
            <v>Попова Марина Альбертовна</v>
          </cell>
          <cell r="B1552" t="str">
            <v>А-05354/АЗ</v>
          </cell>
          <cell r="C1552" t="str">
            <v>mollien83@mail.ru</v>
          </cell>
          <cell r="D1552" t="str">
            <v>mollien83@mail.ru</v>
          </cell>
        </row>
        <row r="1553">
          <cell r="A1553" t="str">
            <v>Попова Марина Альбертовна</v>
          </cell>
          <cell r="B1553" t="str">
            <v>Т-01811/АЗ_Т-20211028/Ц</v>
          </cell>
          <cell r="C1553" t="str">
            <v>mollien83@mail.ru</v>
          </cell>
          <cell r="D1553" t="str">
            <v>mollien83@mail.ru</v>
          </cell>
        </row>
        <row r="1554">
          <cell r="A1554" t="str">
            <v>Попова Мария Спиридоновна</v>
          </cell>
          <cell r="B1554" t="str">
            <v>В-27435/КЛ.Транш - 1</v>
          </cell>
          <cell r="D1554" t="str">
            <v>stanislav_popoff@inbox.ru</v>
          </cell>
        </row>
        <row r="1555">
          <cell r="A1555" t="str">
            <v>Посвенчук Владислав Андреевич</v>
          </cell>
          <cell r="B1555" t="str">
            <v>В-05187/КЛ.Транш - 1</v>
          </cell>
          <cell r="C1555" t="str">
            <v>vladya8555@gmail.com</v>
          </cell>
        </row>
        <row r="1556">
          <cell r="A1556" t="str">
            <v>Потапов Виталий Борисович</v>
          </cell>
          <cell r="B1556" t="str">
            <v>В-00884/АЗ</v>
          </cell>
        </row>
        <row r="1557">
          <cell r="A1557" t="str">
            <v>Потёмкина Юлия Сергеевна</v>
          </cell>
          <cell r="B1557" t="str">
            <v>В-08822/КЛ.Транш - 1</v>
          </cell>
          <cell r="C1557" t="str">
            <v>iulchik.potemkina@yandex.ru</v>
          </cell>
        </row>
        <row r="1558">
          <cell r="A1558" t="str">
            <v>Потороченков Игорь Сергеевич</v>
          </cell>
          <cell r="B1558" t="str">
            <v>А-00049/БЭ</v>
          </cell>
          <cell r="C1558" t="str">
            <v>admin@joinit.ru</v>
          </cell>
          <cell r="D1558" t="str">
            <v>admin@joinit.ru</v>
          </cell>
        </row>
        <row r="1559">
          <cell r="A1559" t="str">
            <v>Почапский Антон Вячеславович</v>
          </cell>
          <cell r="B1559" t="str">
            <v>В-13669/КЛ.Транш - 2</v>
          </cell>
          <cell r="D1559" t="str">
            <v>rdm-mag@mail.ru</v>
          </cell>
        </row>
        <row r="1560">
          <cell r="A1560" t="str">
            <v>Почапский Антон Вячеславович</v>
          </cell>
          <cell r="B1560" t="str">
            <v>В-13669/КЛ.Транш - 3</v>
          </cell>
          <cell r="D1560" t="str">
            <v>rdm-mag@mail.ru</v>
          </cell>
        </row>
        <row r="1561">
          <cell r="A1561" t="str">
            <v>Почапский Антон Вячеславович</v>
          </cell>
          <cell r="B1561" t="str">
            <v>В-13669/КЛ.Транш - 4</v>
          </cell>
          <cell r="D1561" t="str">
            <v>rdm-mag@mail.ru</v>
          </cell>
        </row>
        <row r="1562">
          <cell r="A1562" t="str">
            <v>Почапский Антон Вячеславович</v>
          </cell>
          <cell r="B1562" t="str">
            <v>В-13669/КЛ.Транш - 5</v>
          </cell>
          <cell r="D1562" t="str">
            <v>rdm-mag@mail.ru</v>
          </cell>
        </row>
        <row r="1563">
          <cell r="A1563" t="str">
            <v>Почапский Антон Вячеславович</v>
          </cell>
          <cell r="B1563" t="str">
            <v>В-13669/КЛ.Транш - 6</v>
          </cell>
          <cell r="D1563" t="str">
            <v>rdm-mag@mail.ru</v>
          </cell>
        </row>
        <row r="1564">
          <cell r="A1564" t="str">
            <v>Правдивцева Наталья Владимировна</v>
          </cell>
          <cell r="B1564" t="str">
            <v>В-08745/КЛ.Транш - 1</v>
          </cell>
        </row>
        <row r="1565">
          <cell r="A1565" t="str">
            <v>Преснецов Андрей Владимирович</v>
          </cell>
          <cell r="B1565" t="str">
            <v>В-14029/КЛ.Транш - 1</v>
          </cell>
        </row>
        <row r="1566">
          <cell r="A1566" t="str">
            <v>Проклов Игорь Петрович</v>
          </cell>
          <cell r="B1566" t="str">
            <v>В-20218/КЛ.Транш - 1</v>
          </cell>
          <cell r="D1566" t="str">
            <v>labazinasn@mail.ru</v>
          </cell>
        </row>
        <row r="1567">
          <cell r="A1567" t="str">
            <v>ПРОМХИМ-ВЭД ООО</v>
          </cell>
          <cell r="B1567" t="str">
            <v>В-00072/КЭ.Транш - 1</v>
          </cell>
          <cell r="C1567" t="str">
            <v>promhim@inbox.ru</v>
          </cell>
        </row>
        <row r="1568">
          <cell r="A1568" t="str">
            <v>Пронина Кристина Яковлевна</v>
          </cell>
          <cell r="B1568" t="str">
            <v>В-20140/КЛ.Транш - 1</v>
          </cell>
          <cell r="D1568" t="str">
            <v>krispro@inbox.ru</v>
          </cell>
        </row>
        <row r="1569">
          <cell r="A1569" t="str">
            <v>Пронина Кристина Яковлевна</v>
          </cell>
          <cell r="B1569" t="str">
            <v>В-20140/КЛ.Транш - 2</v>
          </cell>
          <cell r="D1569" t="str">
            <v>krispro@inbox.ru</v>
          </cell>
        </row>
        <row r="1570">
          <cell r="A1570" t="str">
            <v>Пронина Кристина Яковлевна</v>
          </cell>
          <cell r="B1570" t="str">
            <v>В-20140/КЛ.Транш - 3</v>
          </cell>
          <cell r="D1570" t="str">
            <v>krispro@inbox.ru</v>
          </cell>
        </row>
        <row r="1571">
          <cell r="A1571" t="str">
            <v>Пронина Кристина Яковлевна</v>
          </cell>
          <cell r="B1571" t="str">
            <v>В-20140/КЛ.Транш - 4</v>
          </cell>
          <cell r="D1571" t="str">
            <v>krispro@inbox.ru</v>
          </cell>
        </row>
        <row r="1572">
          <cell r="A1572" t="str">
            <v>Пронина Кристина Яковлевна</v>
          </cell>
          <cell r="B1572" t="str">
            <v>В-20140/КЛ.Транш - 5</v>
          </cell>
          <cell r="D1572" t="str">
            <v>krispro@inbox.ru</v>
          </cell>
        </row>
        <row r="1573">
          <cell r="A1573" t="str">
            <v>Пронина Кристина Яковлевна</v>
          </cell>
          <cell r="B1573" t="str">
            <v>В-20140/КЛ.Транш - 6</v>
          </cell>
          <cell r="D1573" t="str">
            <v>krispro@inbox.ru</v>
          </cell>
        </row>
        <row r="1574">
          <cell r="A1574" t="str">
            <v>ПРОСТРАНСТВО РАЗВИТИЯ ЛЕРНЕР ООО</v>
          </cell>
          <cell r="B1574" t="str">
            <v>А-00419/КЭ.Транш - 2</v>
          </cell>
          <cell r="C1574" t="str">
            <v>popova@ler-ner.ru</v>
          </cell>
        </row>
        <row r="1575">
          <cell r="A1575" t="str">
            <v>Протасов Александр Николаевич</v>
          </cell>
          <cell r="B1575" t="str">
            <v>В-00321/АЗ</v>
          </cell>
        </row>
        <row r="1576">
          <cell r="A1576" t="str">
            <v>Прохоров Александр Владимирович</v>
          </cell>
          <cell r="B1576" t="str">
            <v>В-11009/КЛ.Транш - 1</v>
          </cell>
          <cell r="C1576" t="str">
            <v>proaleksand@gmail.com</v>
          </cell>
        </row>
        <row r="1577">
          <cell r="A1577" t="str">
            <v>Прохорова Лариса Александровна</v>
          </cell>
          <cell r="B1577" t="str">
            <v>В-25278/КЛ.Транш - 1</v>
          </cell>
          <cell r="D1577" t="str">
            <v>larapro44@mail.ru</v>
          </cell>
        </row>
        <row r="1578">
          <cell r="A1578" t="str">
            <v>Прохорова Наталья Васильевна</v>
          </cell>
          <cell r="B1578" t="str">
            <v>А-03947/АЗ_А-20210517/Ц</v>
          </cell>
        </row>
        <row r="1579">
          <cell r="A1579" t="str">
            <v>Прохорова Наталья Васильевна</v>
          </cell>
          <cell r="B1579" t="str">
            <v>Т-01497/АЗ_Т-20210517/Ц</v>
          </cell>
        </row>
        <row r="1580">
          <cell r="A1580" t="str">
            <v>Прусаков Максим Владимирович</v>
          </cell>
          <cell r="B1580" t="str">
            <v>В-16261/КЛ.Транш - 1</v>
          </cell>
          <cell r="D1580" t="str">
            <v>prusakov.mak@yandex.ru</v>
          </cell>
        </row>
        <row r="1581">
          <cell r="A1581" t="str">
            <v>Пугин Дмитрий Михайлович</v>
          </cell>
          <cell r="B1581" t="str">
            <v>В-00489/АЗ</v>
          </cell>
          <cell r="C1581" t="str">
            <v>Perfectmymail7@gmail.com</v>
          </cell>
          <cell r="D1581" t="str">
            <v>Perfectmymail7@gmail.com</v>
          </cell>
        </row>
        <row r="1582">
          <cell r="A1582" t="str">
            <v>Пудлич Ульяна Петровна</v>
          </cell>
          <cell r="B1582" t="str">
            <v>В-21019/КЛ.Транш - 1</v>
          </cell>
          <cell r="D1582" t="str">
            <v>ulyana.pudlich.97@mail.ru</v>
          </cell>
        </row>
        <row r="1583">
          <cell r="A1583" t="str">
            <v>Пустовойтов Сергей Николаевич</v>
          </cell>
          <cell r="B1583" t="str">
            <v>В-21454/КЛ.Транш - 1</v>
          </cell>
          <cell r="D1583" t="str">
            <v>pustovoytov@mail.ru</v>
          </cell>
        </row>
        <row r="1584">
          <cell r="A1584" t="str">
            <v>Пушкарев Александр Борисович</v>
          </cell>
          <cell r="B1584" t="str">
            <v>В-15954/КЛ.Транш - 1</v>
          </cell>
          <cell r="C1584" t="str">
            <v>biksbit2017@mail.ru</v>
          </cell>
        </row>
        <row r="1585">
          <cell r="A1585" t="str">
            <v>Пушкарев Александр Юрьевич</v>
          </cell>
          <cell r="B1585" t="str">
            <v>В-11679/КЛ.Транш - 1</v>
          </cell>
          <cell r="C1585" t="str">
            <v>alpuschkarev.79@mail.ru</v>
          </cell>
        </row>
        <row r="1586">
          <cell r="A1586" t="str">
            <v>Пушкарева Виолетта Алексеевна</v>
          </cell>
          <cell r="B1586" t="str">
            <v>В-22864/КЛ.Транш - 1</v>
          </cell>
        </row>
        <row r="1587">
          <cell r="A1587" t="str">
            <v>Пшеничников Дмитрий Станиславович</v>
          </cell>
          <cell r="B1587" t="str">
            <v>В-22538/КЛ.Транш - 1</v>
          </cell>
          <cell r="D1587" t="str">
            <v>89222155131@yandex.ru</v>
          </cell>
        </row>
        <row r="1588">
          <cell r="A1588" t="str">
            <v>Пшеничников Дмитрий Станиславович</v>
          </cell>
          <cell r="B1588" t="str">
            <v>В-22538/КЛ.Транш - 3</v>
          </cell>
          <cell r="D1588" t="str">
            <v>89222155131@yandex.ru</v>
          </cell>
        </row>
        <row r="1589">
          <cell r="A1589" t="str">
            <v>Пыдык Сергей Васильевич</v>
          </cell>
          <cell r="B1589" t="str">
            <v>В-19595/КЛ.Транш - 1</v>
          </cell>
          <cell r="D1589" t="str">
            <v>energybotenergy@gmail.com</v>
          </cell>
        </row>
        <row r="1590">
          <cell r="A1590" t="str">
            <v>Пыдык Сергей Васильевич</v>
          </cell>
          <cell r="B1590" t="str">
            <v>В-19595/КЛ.Транш - 2</v>
          </cell>
          <cell r="D1590" t="str">
            <v>energybotenergy@gmail.com</v>
          </cell>
        </row>
        <row r="1591">
          <cell r="A1591" t="str">
            <v>Пыдык Сергей Васильевич</v>
          </cell>
          <cell r="B1591" t="str">
            <v>В-19595/КЛ.Транш - 3</v>
          </cell>
          <cell r="D1591" t="str">
            <v>energybotenergy@gmail.com</v>
          </cell>
        </row>
        <row r="1592">
          <cell r="A1592" t="str">
            <v>Рагимов Рафик Балайевич</v>
          </cell>
          <cell r="B1592" t="str">
            <v>В-17315/КЛ.Транш - 1</v>
          </cell>
          <cell r="D1592" t="str">
            <v>rafikragimovv@gmail.com</v>
          </cell>
        </row>
        <row r="1593">
          <cell r="A1593" t="str">
            <v>Радев Николай Васильевич</v>
          </cell>
          <cell r="B1593" t="str">
            <v>В-02777/КЛ.Транш - 1</v>
          </cell>
          <cell r="C1593" t="str">
            <v>RadevNik@gmail.com</v>
          </cell>
        </row>
        <row r="1594">
          <cell r="A1594" t="str">
            <v>Радев Николай Васильевич</v>
          </cell>
          <cell r="B1594" t="str">
            <v>В-02777/КЛ.Транш - 2</v>
          </cell>
          <cell r="C1594" t="str">
            <v>RadevNik@gmail.com</v>
          </cell>
        </row>
        <row r="1595">
          <cell r="A1595" t="str">
            <v>Раджабалиева Саният Рамазановна</v>
          </cell>
          <cell r="B1595" t="str">
            <v>В-04527/КЛ.Транш - 8</v>
          </cell>
          <cell r="C1595" t="str">
            <v>saniyat.isakowa@yandex.ru</v>
          </cell>
        </row>
        <row r="1596">
          <cell r="A1596" t="str">
            <v>Раджабалиева Саният Рамазановна</v>
          </cell>
          <cell r="B1596" t="str">
            <v>В-04527/КЛ.Транш - 9</v>
          </cell>
          <cell r="C1596" t="str">
            <v>saniyat.isakowa@yandex.ru</v>
          </cell>
        </row>
        <row r="1597">
          <cell r="A1597" t="str">
            <v>Раджабов Рахматулло Хакимович</v>
          </cell>
          <cell r="B1597" t="str">
            <v>В-02125/КЛ.Транш - 2</v>
          </cell>
          <cell r="C1597" t="str">
            <v>radzabovrahmatullo109@gmail.com</v>
          </cell>
        </row>
        <row r="1598">
          <cell r="A1598" t="str">
            <v>Радыш Сергей Романович</v>
          </cell>
          <cell r="B1598" t="str">
            <v>В-16861/КЛ.Транш - 1</v>
          </cell>
          <cell r="D1598" t="str">
            <v>radysh.serg@yandex.ru</v>
          </cell>
        </row>
        <row r="1599">
          <cell r="A1599" t="str">
            <v>Райков Дмитрий Васильевич</v>
          </cell>
          <cell r="B1599" t="str">
            <v>В-18532/КЛ.Транш - 1</v>
          </cell>
          <cell r="C1599" t="str">
            <v>raikov.d@yandex.ru</v>
          </cell>
        </row>
        <row r="1600">
          <cell r="A1600" t="str">
            <v>Райков Дмитрий Васильевич</v>
          </cell>
          <cell r="B1600" t="str">
            <v>В-18532/КЛ.Транш - 2</v>
          </cell>
          <cell r="C1600" t="str">
            <v>raikov.d@yandex.ru</v>
          </cell>
        </row>
        <row r="1601">
          <cell r="A1601" t="str">
            <v>Ракитенко Николай Сергеевич</v>
          </cell>
          <cell r="B1601" t="str">
            <v>В-09640/КЛ.Транш - 1</v>
          </cell>
          <cell r="C1601" t="str">
            <v>rakitenko1992@mail.ru</v>
          </cell>
        </row>
        <row r="1602">
          <cell r="A1602" t="str">
            <v>Рамазанов Абакар Рамазанович</v>
          </cell>
          <cell r="B1602" t="str">
            <v>В-17916/КЛ.Транш - 1</v>
          </cell>
          <cell r="D1602" t="str">
            <v>7995@ro.ru</v>
          </cell>
        </row>
        <row r="1603">
          <cell r="A1603" t="str">
            <v>Рамишвили Марина Зурабовна</v>
          </cell>
          <cell r="B1603" t="str">
            <v>В-08609/КЛ.Транш - 1</v>
          </cell>
          <cell r="C1603" t="str">
            <v>geolama@mail.ru</v>
          </cell>
        </row>
        <row r="1604">
          <cell r="A1604" t="str">
            <v>Рамишвили Марина Зурабовна</v>
          </cell>
          <cell r="B1604" t="str">
            <v>В-08609/КЛ.Транш - 2</v>
          </cell>
          <cell r="C1604" t="str">
            <v>geolama@mail.ru</v>
          </cell>
        </row>
        <row r="1605">
          <cell r="A1605" t="str">
            <v>Рассказов Максим Владимирович</v>
          </cell>
          <cell r="B1605" t="str">
            <v>В-21040/КЛ.Транш - 1</v>
          </cell>
          <cell r="D1605" t="str">
            <v>rasskazovmaksim942@gmail.com</v>
          </cell>
        </row>
        <row r="1606">
          <cell r="A1606" t="str">
            <v>Расулов Ахмедхан Саидбекович</v>
          </cell>
          <cell r="B1606" t="str">
            <v>В-14168/КЛ.Транш - 3</v>
          </cell>
        </row>
        <row r="1607">
          <cell r="A1607" t="str">
            <v>Расулов Ахмедхан Саидбекович</v>
          </cell>
          <cell r="B1607" t="str">
            <v>В-14168/КЛ.Транш - 4</v>
          </cell>
        </row>
        <row r="1608">
          <cell r="A1608" t="str">
            <v>Ратчина Эльвира Олеговна</v>
          </cell>
          <cell r="B1608" t="str">
            <v>В-25924/АЗ</v>
          </cell>
          <cell r="C1608" t="str">
            <v>retcninaelli@gmail.com</v>
          </cell>
          <cell r="D1608" t="str">
            <v>retcninaelli@gmail.com</v>
          </cell>
        </row>
        <row r="1609">
          <cell r="A1609" t="str">
            <v>Рафиев Агалар Сейдага-оглы</v>
          </cell>
          <cell r="B1609" t="str">
            <v>А-04236/АЗ</v>
          </cell>
          <cell r="C1609" t="str">
            <v>dabunov@bk.ru</v>
          </cell>
          <cell r="D1609" t="str">
            <v>dabunov@bk.ru</v>
          </cell>
        </row>
        <row r="1610">
          <cell r="A1610" t="str">
            <v>Рахимов Фарход Каримович</v>
          </cell>
          <cell r="B1610" t="str">
            <v>В-26114/КЛ.Транш - 1</v>
          </cell>
          <cell r="D1610" t="str">
            <v>zalina.farhod@yandex.ru</v>
          </cell>
        </row>
        <row r="1611">
          <cell r="A1611" t="str">
            <v>Рахманов Данил Алексеевич</v>
          </cell>
          <cell r="B1611" t="str">
            <v>В-15698/КЛ.Транш - 1</v>
          </cell>
          <cell r="C1611" t="str">
            <v>danni_rakhmanov.ru@bk.ru</v>
          </cell>
        </row>
        <row r="1612">
          <cell r="A1612" t="str">
            <v>Рева Анастасия Владимировна</v>
          </cell>
          <cell r="B1612" t="str">
            <v>В-16959/КЛ.Транш - 1</v>
          </cell>
          <cell r="D1612" t="str">
            <v>revaav2896@gmail.com</v>
          </cell>
        </row>
        <row r="1613">
          <cell r="A1613" t="str">
            <v>Рева Анастасия Владимировна</v>
          </cell>
          <cell r="B1613" t="str">
            <v>В-16959/КЛ.Транш - 2</v>
          </cell>
          <cell r="D1613" t="str">
            <v>revaav2896@gmail.com</v>
          </cell>
        </row>
        <row r="1614">
          <cell r="A1614" t="str">
            <v>Резников Сергей Владимирович</v>
          </cell>
          <cell r="B1614" t="str">
            <v>В-09247/КЛ.Транш - 1_А-20210929/Ц</v>
          </cell>
          <cell r="C1614" t="str">
            <v>n6773@yandex.ru</v>
          </cell>
        </row>
        <row r="1615">
          <cell r="A1615" t="str">
            <v>РЖДК ООО</v>
          </cell>
          <cell r="B1615" t="str">
            <v>А-00416/КЭ.Транш - 2</v>
          </cell>
          <cell r="C1615" t="str">
            <v>rgdk@yandex.ru</v>
          </cell>
        </row>
        <row r="1616">
          <cell r="A1616" t="str">
            <v>Рикшпун Татьяна Александровна</v>
          </cell>
          <cell r="B1616" t="str">
            <v>В-03329/КЛ.Транш - 11</v>
          </cell>
          <cell r="C1616" t="str">
            <v>tatianarikshpun@gmail.com</v>
          </cell>
          <cell r="D1616" t="str">
            <v>tatianarikshpun@gmail.com</v>
          </cell>
        </row>
        <row r="1617">
          <cell r="A1617" t="str">
            <v>Рикшпун Татьяна Александровна</v>
          </cell>
          <cell r="B1617" t="str">
            <v>В-03329/КЛ.Транш - 12</v>
          </cell>
          <cell r="C1617" t="str">
            <v>tatianarikshpun@gmail.com</v>
          </cell>
          <cell r="D1617" t="str">
            <v>tatianarikshpun@gmail.com</v>
          </cell>
        </row>
        <row r="1618">
          <cell r="A1618" t="str">
            <v>Рикшпун Татьяна Александровна</v>
          </cell>
          <cell r="B1618" t="str">
            <v>В-03329/КЛ.Транш - 13</v>
          </cell>
          <cell r="C1618" t="str">
            <v>tatianarikshpun@gmail.com</v>
          </cell>
          <cell r="D1618" t="str">
            <v>tatianarikshpun@gmail.com</v>
          </cell>
        </row>
        <row r="1619">
          <cell r="A1619" t="str">
            <v>Рикшпун Татьяна Александровна</v>
          </cell>
          <cell r="B1619" t="str">
            <v>В-03329/КЛ.Транш - 14</v>
          </cell>
          <cell r="C1619" t="str">
            <v>tatianarikshpun@gmail.com</v>
          </cell>
          <cell r="D1619" t="str">
            <v>tatianarikshpun@gmail.com</v>
          </cell>
        </row>
        <row r="1620">
          <cell r="A1620" t="str">
            <v>Ришко Василий Васильевич</v>
          </cell>
          <cell r="B1620" t="str">
            <v>В-15509/КЛ.Транш - 2</v>
          </cell>
          <cell r="D1620" t="str">
            <v>veyze17@yandex.ru</v>
          </cell>
        </row>
        <row r="1621">
          <cell r="A1621" t="str">
            <v>Рогава Ольга Евгеньевна</v>
          </cell>
          <cell r="B1621" t="str">
            <v>В-13603/КЛ.Транш - 1</v>
          </cell>
          <cell r="C1621" t="str">
            <v>olga.ro@bk.ru</v>
          </cell>
          <cell r="D1621" t="str">
            <v>olga.ro@bk.ru</v>
          </cell>
        </row>
        <row r="1622">
          <cell r="A1622" t="str">
            <v>Рогава Ольга Евгеньевна</v>
          </cell>
          <cell r="B1622" t="str">
            <v>В-13603/КЛ.Транш - 4</v>
          </cell>
          <cell r="C1622" t="str">
            <v>olga.ro@bk.ru</v>
          </cell>
          <cell r="D1622" t="str">
            <v>olga.ro@bk.ru</v>
          </cell>
        </row>
        <row r="1623">
          <cell r="A1623" t="str">
            <v>Рогава Ольга Евгеньевна</v>
          </cell>
          <cell r="B1623" t="str">
            <v>В-13603/КЛ.Транш - 5</v>
          </cell>
          <cell r="C1623" t="str">
            <v>olga.ro@bk.ru</v>
          </cell>
          <cell r="D1623" t="str">
            <v>olga.ro@bk.ru</v>
          </cell>
        </row>
        <row r="1624">
          <cell r="A1624" t="str">
            <v>Рогава Ольга Евгеньевна</v>
          </cell>
          <cell r="B1624" t="str">
            <v>В-13603/КЛ.Транш - 6</v>
          </cell>
          <cell r="C1624" t="str">
            <v>olga.ro@bk.ru</v>
          </cell>
          <cell r="D1624" t="str">
            <v>olga.ro@bk.ru</v>
          </cell>
        </row>
        <row r="1625">
          <cell r="A1625" t="str">
            <v>Рогава Ольга Евгеньевна</v>
          </cell>
          <cell r="B1625" t="str">
            <v>В-13603/КЛ.Транш - 7</v>
          </cell>
          <cell r="C1625" t="str">
            <v>olga.ro@bk.ru</v>
          </cell>
          <cell r="D1625" t="str">
            <v>olga.ro@bk.ru</v>
          </cell>
        </row>
        <row r="1626">
          <cell r="A1626" t="str">
            <v>Рогальская Нина Ивановна</v>
          </cell>
          <cell r="B1626" t="str">
            <v>В-09891/КЛ.Транш - 1</v>
          </cell>
        </row>
        <row r="1627">
          <cell r="A1627" t="str">
            <v>Рогальский Алексей Станиславович</v>
          </cell>
          <cell r="B1627" t="str">
            <v>В-01009/АЗ</v>
          </cell>
          <cell r="C1627" t="str">
            <v>vep.2017@yandex.ru</v>
          </cell>
        </row>
        <row r="1628">
          <cell r="A1628" t="str">
            <v>Рогозин Андрей Иванович</v>
          </cell>
          <cell r="B1628" t="str">
            <v>Т-01722/АЗ_Т-20211028/Ц</v>
          </cell>
        </row>
        <row r="1629">
          <cell r="A1629" t="str">
            <v>Рогозина Диана Александровна</v>
          </cell>
          <cell r="B1629" t="str">
            <v>В-21094/КЛ.Транш - 1</v>
          </cell>
          <cell r="D1629" t="str">
            <v>drogozina780@gmail.com</v>
          </cell>
        </row>
        <row r="1630">
          <cell r="A1630" t="str">
            <v>Рожкова Наталья Петровна</v>
          </cell>
          <cell r="B1630" t="str">
            <v>В-11595/КЛ.Транш - 1</v>
          </cell>
          <cell r="C1630" t="str">
            <v>nataprigarina@mail.ru</v>
          </cell>
        </row>
        <row r="1631">
          <cell r="A1631" t="str">
            <v>Розанов Сергей Александрович</v>
          </cell>
          <cell r="B1631" t="str">
            <v>В-12813/КЛ.Транш - 1</v>
          </cell>
          <cell r="D1631" t="str">
            <v>rozanovsergey@yahoo.com</v>
          </cell>
        </row>
        <row r="1632">
          <cell r="A1632" t="str">
            <v>Ромайкина Анна Андреевна</v>
          </cell>
          <cell r="B1632" t="str">
            <v>В-00854/АЗ</v>
          </cell>
          <cell r="C1632" t="str">
            <v>annyshka1557@mail.ru</v>
          </cell>
        </row>
        <row r="1633">
          <cell r="A1633" t="str">
            <v>Романенко Антон Алексеевич</v>
          </cell>
          <cell r="B1633" t="str">
            <v>В-28368/АЗ</v>
          </cell>
        </row>
        <row r="1634">
          <cell r="A1634" t="str">
            <v>Романов Алексей Викторович</v>
          </cell>
          <cell r="B1634" t="str">
            <v>В-11948/КЛ.Транш - 1</v>
          </cell>
          <cell r="C1634" t="str">
            <v>holod2020odin@mail.ru</v>
          </cell>
        </row>
        <row r="1635">
          <cell r="A1635" t="str">
            <v>Романов Евгений Юрьевич</v>
          </cell>
          <cell r="B1635" t="str">
            <v>В-00955/АЗ</v>
          </cell>
          <cell r="C1635" t="str">
            <v>89161111516@mail.ru</v>
          </cell>
        </row>
        <row r="1636">
          <cell r="A1636" t="str">
            <v>Романова Анна Григорьевна</v>
          </cell>
          <cell r="B1636" t="str">
            <v>В-27661/КЛ.Транш - 2</v>
          </cell>
          <cell r="C1636" t="str">
            <v>annfromanova02011982@mail.ru</v>
          </cell>
        </row>
        <row r="1637">
          <cell r="A1637" t="str">
            <v>Романюк Александр Михайлович</v>
          </cell>
          <cell r="B1637" t="str">
            <v>В-20206/КЛ.Транш - 2</v>
          </cell>
        </row>
        <row r="1638">
          <cell r="A1638" t="str">
            <v>Росляков Артем Владимирович</v>
          </cell>
          <cell r="B1638" t="str">
            <v>В-18538/КЛ.Транш - 1</v>
          </cell>
          <cell r="D1638" t="str">
            <v>artemroslyakov@yandex.ru</v>
          </cell>
        </row>
        <row r="1639">
          <cell r="A1639" t="str">
            <v>Росляков Олег Николаевич</v>
          </cell>
          <cell r="B1639" t="str">
            <v>В-24554/КЛ.Транш - 1</v>
          </cell>
          <cell r="D1639" t="str">
            <v>rosliakov68@mail.ru</v>
          </cell>
        </row>
        <row r="1640">
          <cell r="A1640" t="str">
            <v>Ростовцев Александр Петрович</v>
          </cell>
          <cell r="B1640" t="str">
            <v>Т-01868/АЗ_Т-20211028/Ц</v>
          </cell>
          <cell r="C1640" t="str">
            <v>taracan1988@mail.ru</v>
          </cell>
          <cell r="D1640" t="str">
            <v>taracan1988@mail.ru</v>
          </cell>
        </row>
        <row r="1641">
          <cell r="A1641" t="str">
            <v>Рубайло Андрей Евгеньевич</v>
          </cell>
          <cell r="B1641" t="str">
            <v>В-00892/АЗ</v>
          </cell>
          <cell r="C1641" t="str">
            <v>r.64@list.ru</v>
          </cell>
        </row>
        <row r="1642">
          <cell r="A1642" t="str">
            <v>Руднев Николай Игоревич</v>
          </cell>
          <cell r="B1642" t="str">
            <v>В-07103/КЛ.Транш - 8</v>
          </cell>
          <cell r="C1642" t="str">
            <v>rudnev07@mail.ru</v>
          </cell>
        </row>
        <row r="1643">
          <cell r="A1643" t="str">
            <v>Руднев Николай Игоревич</v>
          </cell>
          <cell r="B1643" t="str">
            <v>В-07103/КЛ.Транш - 9</v>
          </cell>
          <cell r="C1643" t="str">
            <v>rudnev07@mail.ru</v>
          </cell>
        </row>
        <row r="1644">
          <cell r="A1644" t="str">
            <v>Рузавина Наталья Викторовна</v>
          </cell>
          <cell r="B1644" t="str">
            <v>В-21245/КЛ.Транш - 1</v>
          </cell>
          <cell r="D1644" t="str">
            <v>kachankina92@bk.ru</v>
          </cell>
        </row>
        <row r="1645">
          <cell r="A1645" t="str">
            <v>Рузавина Наталья Викторовна</v>
          </cell>
          <cell r="B1645" t="str">
            <v>В-21245/КЛ.Транш - 2</v>
          </cell>
          <cell r="D1645" t="str">
            <v>kachankina92@bk.ru</v>
          </cell>
        </row>
        <row r="1646">
          <cell r="A1646" t="str">
            <v>Рузавина Наталья Викторовна</v>
          </cell>
          <cell r="B1646" t="str">
            <v>В-21245/КЛ.Транш - 3</v>
          </cell>
          <cell r="D1646" t="str">
            <v>kachankina92@bk.ru</v>
          </cell>
        </row>
        <row r="1647">
          <cell r="A1647" t="str">
            <v>Рыбаков Виктор Васильевич</v>
          </cell>
          <cell r="B1647" t="str">
            <v>В-01425/КЛ.Транш - 1</v>
          </cell>
          <cell r="C1647" t="str">
            <v>v89778192293@yandex.ru</v>
          </cell>
        </row>
        <row r="1648">
          <cell r="A1648" t="str">
            <v>Рыбникова Ольга Ивановна</v>
          </cell>
          <cell r="B1648" t="str">
            <v>В-13638/КЛ.Транш - 1</v>
          </cell>
          <cell r="C1648" t="str">
            <v>ribka-lelik@bk.ru</v>
          </cell>
          <cell r="D1648" t="str">
            <v>ribka-lelik@bk.ru</v>
          </cell>
        </row>
        <row r="1649">
          <cell r="A1649" t="str">
            <v>Рыжков Вячеслав Николаевич</v>
          </cell>
          <cell r="B1649" t="str">
            <v>В-28083/КЛ.Транш - 1</v>
          </cell>
          <cell r="C1649" t="str">
            <v>winner.12323@gmail.com</v>
          </cell>
        </row>
        <row r="1650">
          <cell r="A1650" t="str">
            <v>Рыжкова Ирина Владимировна</v>
          </cell>
          <cell r="B1650" t="str">
            <v>В-14870/КЛ.Транш - 1</v>
          </cell>
          <cell r="D1650" t="str">
            <v>korm.7878@mail.ru</v>
          </cell>
        </row>
        <row r="1651">
          <cell r="A1651" t="str">
            <v>Рыцарева Анжелика Витальевна</v>
          </cell>
          <cell r="B1651" t="str">
            <v>В-20360/КЛ.Транш - 1</v>
          </cell>
          <cell r="D1651" t="str">
            <v>Anzelikastecenko3@gmail.com</v>
          </cell>
        </row>
        <row r="1652">
          <cell r="A1652" t="str">
            <v>Рыченков Александр Николаевич</v>
          </cell>
          <cell r="B1652" t="str">
            <v>В-01422/КЛ.Транш - 1</v>
          </cell>
          <cell r="C1652" t="str">
            <v>5046788@mail.ru</v>
          </cell>
        </row>
        <row r="1653">
          <cell r="A1653" t="str">
            <v>Рябов Игорь Владимирович</v>
          </cell>
          <cell r="B1653" t="str">
            <v>В-21911/КЛ.Транш - 1</v>
          </cell>
          <cell r="D1653" t="str">
            <v>ivliarbov@rambler.ru</v>
          </cell>
        </row>
        <row r="1654">
          <cell r="A1654" t="str">
            <v>Рябоконов Алексей Викторович</v>
          </cell>
          <cell r="B1654" t="str">
            <v>В-03450/КЛ.Транш - 1</v>
          </cell>
          <cell r="C1654" t="str">
            <v>alexeyryabokonov@yandex.ru</v>
          </cell>
        </row>
        <row r="1655">
          <cell r="A1655" t="str">
            <v>Рязанцев Дмитрий Тимурович</v>
          </cell>
          <cell r="B1655" t="str">
            <v>В-06852/КЛ.Транш - 1</v>
          </cell>
          <cell r="C1655" t="str">
            <v>R9205222976@YANDEX.RU</v>
          </cell>
        </row>
        <row r="1656">
          <cell r="A1656" t="str">
            <v>Рязанцев Дмитрий Тимурович</v>
          </cell>
          <cell r="B1656" t="str">
            <v>В-06852/КЛ.Транш - 2</v>
          </cell>
          <cell r="C1656" t="str">
            <v>R9205222976@YANDEX.RU</v>
          </cell>
        </row>
        <row r="1657">
          <cell r="A1657" t="str">
            <v>Рязанцев Дмитрий Тимурович</v>
          </cell>
          <cell r="B1657" t="str">
            <v>В-06852/КЛ.Транш - 3</v>
          </cell>
          <cell r="C1657" t="str">
            <v>R9205222976@YANDEX.RU</v>
          </cell>
        </row>
        <row r="1658">
          <cell r="A1658" t="str">
            <v>Саакян Людвик Геворгович</v>
          </cell>
          <cell r="B1658" t="str">
            <v>В-06992/КЛ.Транш - 1</v>
          </cell>
          <cell r="C1658" t="str">
            <v>Lyudvig.juvelir@mail.ru</v>
          </cell>
        </row>
        <row r="1659">
          <cell r="A1659" t="str">
            <v>Саакян Оганнес Мнацаканович</v>
          </cell>
          <cell r="B1659" t="str">
            <v>В-18654/КЛ.Транш - 1</v>
          </cell>
          <cell r="D1659" t="str">
            <v>kivo19900903@mail.ru</v>
          </cell>
        </row>
        <row r="1660">
          <cell r="A1660" t="str">
            <v>Саакян Рафик Самвелович</v>
          </cell>
          <cell r="B1660" t="str">
            <v>В-13625/КЛ.Транш - 1</v>
          </cell>
          <cell r="D1660" t="str">
            <v>Saakanrafik5@gmail.com</v>
          </cell>
        </row>
        <row r="1661">
          <cell r="A1661" t="str">
            <v>Саблинский Владимир Иванович</v>
          </cell>
          <cell r="B1661" t="str">
            <v>В-27438/АЗ</v>
          </cell>
          <cell r="D1661" t="str">
            <v>graf2805@list.ru</v>
          </cell>
        </row>
        <row r="1662">
          <cell r="A1662" t="str">
            <v>Савельев Александр Владимирович</v>
          </cell>
          <cell r="B1662" t="str">
            <v>В-17853/КЛ.Транш - 1</v>
          </cell>
          <cell r="D1662" t="str">
            <v>sava04061977@mail.ru</v>
          </cell>
        </row>
        <row r="1663">
          <cell r="A1663" t="str">
            <v>Савельев Александр Владимирович</v>
          </cell>
          <cell r="B1663" t="str">
            <v>В-17853/КЛ.Транш - 2</v>
          </cell>
          <cell r="D1663" t="str">
            <v>sava04061977@mail.ru</v>
          </cell>
        </row>
        <row r="1664">
          <cell r="A1664" t="str">
            <v>Савельев Александр Владимирович</v>
          </cell>
          <cell r="B1664" t="str">
            <v>В-17853/КЛ.Транш - 3</v>
          </cell>
          <cell r="D1664" t="str">
            <v>sava04061977@mail.ru</v>
          </cell>
        </row>
        <row r="1665">
          <cell r="A1665" t="str">
            <v>Савельев Александр Владимирович</v>
          </cell>
          <cell r="B1665" t="str">
            <v>В-17853/КЛ.Транш - 4</v>
          </cell>
          <cell r="D1665" t="str">
            <v>sava04061977@mail.ru</v>
          </cell>
        </row>
        <row r="1666">
          <cell r="A1666" t="str">
            <v>Савельев Александр Владимирович</v>
          </cell>
          <cell r="B1666" t="str">
            <v>В-17853/КЛ.Транш - 5</v>
          </cell>
          <cell r="D1666" t="str">
            <v>sava04061977@mail.ru</v>
          </cell>
        </row>
        <row r="1667">
          <cell r="A1667" t="str">
            <v>Савельев Александр Владимирович</v>
          </cell>
          <cell r="B1667" t="str">
            <v>В-17853/КЛ.Транш - 6</v>
          </cell>
          <cell r="D1667" t="str">
            <v>sava04061977@mail.ru</v>
          </cell>
        </row>
        <row r="1668">
          <cell r="A1668" t="str">
            <v>Савельев Александр Владимирович</v>
          </cell>
          <cell r="B1668" t="str">
            <v>В-17853/КЛ.Транш - 7</v>
          </cell>
          <cell r="D1668" t="str">
            <v>sava04061977@mail.ru</v>
          </cell>
        </row>
        <row r="1669">
          <cell r="A1669" t="str">
            <v>Савельев Григорий Алексеевич</v>
          </cell>
          <cell r="B1669" t="str">
            <v>В-03738/КЛ.Транш - 1</v>
          </cell>
          <cell r="C1669" t="str">
            <v>grifka96@yandex.ru</v>
          </cell>
        </row>
        <row r="1670">
          <cell r="A1670" t="str">
            <v>Савельев Станислав Валентинович</v>
          </cell>
          <cell r="B1670" t="str">
            <v>В-08454/КЛ.Транш - 1</v>
          </cell>
          <cell r="C1670" t="str">
            <v>SaveLievJR@yandex.ru</v>
          </cell>
        </row>
        <row r="1671">
          <cell r="A1671" t="str">
            <v>Савин Евгений Иванович</v>
          </cell>
          <cell r="B1671" t="str">
            <v>В-19891/КЛ.Транш - 1</v>
          </cell>
          <cell r="D1671" t="str">
            <v>evgg77@mail.ru</v>
          </cell>
        </row>
        <row r="1672">
          <cell r="A1672" t="str">
            <v>Савиных Татьяна Николаевна</v>
          </cell>
          <cell r="B1672" t="str">
            <v>В-21184/КЛ.Транш - 1</v>
          </cell>
          <cell r="D1672" t="str">
            <v>tatyana.savinykh67@mail.ru</v>
          </cell>
        </row>
        <row r="1673">
          <cell r="A1673" t="str">
            <v>Савостьянов Илья Сергеевич</v>
          </cell>
          <cell r="B1673" t="str">
            <v>В-25966/КЛ.Транш - 1</v>
          </cell>
          <cell r="D1673" t="str">
            <v>mngilya@gmail.com</v>
          </cell>
        </row>
        <row r="1674">
          <cell r="A1674" t="str">
            <v>Савостьянов Илья Сергеевич</v>
          </cell>
          <cell r="B1674" t="str">
            <v>В-25966/КЛ.Транш - 2</v>
          </cell>
          <cell r="D1674" t="str">
            <v>mngilya@gmail.com</v>
          </cell>
        </row>
        <row r="1675">
          <cell r="A1675" t="str">
            <v>Савчук Елена Александровна</v>
          </cell>
          <cell r="B1675" t="str">
            <v>В-21872/КЛ.Транш - 1</v>
          </cell>
          <cell r="D1675" t="str">
            <v>etitova.77@mail.ru</v>
          </cell>
        </row>
        <row r="1676">
          <cell r="A1676" t="str">
            <v>Садигов Нарман Адждар Оглы</v>
          </cell>
          <cell r="B1676" t="str">
            <v>В-11050/КЛ.Транш - 1</v>
          </cell>
        </row>
        <row r="1677">
          <cell r="A1677" t="str">
            <v>Садкеев Игорь Евгеньевич</v>
          </cell>
          <cell r="B1677" t="str">
            <v>В-00690/АЗ_В-20211230/Ц</v>
          </cell>
        </row>
        <row r="1678">
          <cell r="A1678" t="str">
            <v>Садырбекова Дамира Маматовна</v>
          </cell>
          <cell r="B1678" t="str">
            <v>В-09292/КЛ.Транш - 1</v>
          </cell>
        </row>
        <row r="1679">
          <cell r="A1679" t="str">
            <v>Сазанова Екатерина Владимировна</v>
          </cell>
          <cell r="B1679" t="str">
            <v>В-01215/АЗ</v>
          </cell>
          <cell r="C1679" t="str">
            <v>mrtour@mrtour.ru</v>
          </cell>
        </row>
        <row r="1680">
          <cell r="A1680" t="str">
            <v>Сайдалиева Наталия Владимировна</v>
          </cell>
          <cell r="B1680" t="str">
            <v>В-12662/КЛ.Транш - 1</v>
          </cell>
          <cell r="D1680" t="str">
            <v>saydalieva.84@mail.ru</v>
          </cell>
        </row>
        <row r="1681">
          <cell r="A1681" t="str">
            <v>Сайфуллин Айнур Чулпанович</v>
          </cell>
          <cell r="B1681" t="str">
            <v>В-22889/КЛ.Транш - 1</v>
          </cell>
          <cell r="D1681" t="str">
            <v>raul1910@mail.ru</v>
          </cell>
        </row>
        <row r="1682">
          <cell r="A1682" t="str">
            <v>Сайфуллин Айнур Чулпанович</v>
          </cell>
          <cell r="B1682" t="str">
            <v>В-22889/КЛ.Транш - 2</v>
          </cell>
          <cell r="D1682" t="str">
            <v>raul1910@mail.ru</v>
          </cell>
        </row>
        <row r="1683">
          <cell r="A1683" t="str">
            <v>Сайфуллин Айнур Чулпанович</v>
          </cell>
          <cell r="B1683" t="str">
            <v>В-22889/КЛ.Транш - 3</v>
          </cell>
          <cell r="D1683" t="str">
            <v>raul1910@mail.ru</v>
          </cell>
        </row>
        <row r="1684">
          <cell r="A1684" t="str">
            <v>Сайфуллин Рауль Чулпанович</v>
          </cell>
          <cell r="B1684" t="str">
            <v>В-27250/КЛ.Транш - 1</v>
          </cell>
          <cell r="D1684" t="str">
            <v>aynurrka1910@gmail.com</v>
          </cell>
        </row>
        <row r="1685">
          <cell r="A1685" t="str">
            <v>Сайфуллин Рауль Чулпанович</v>
          </cell>
          <cell r="B1685" t="str">
            <v>В-27250/КЛ.Транш - 2</v>
          </cell>
          <cell r="D1685" t="str">
            <v>aynurrka1910@gmail.com</v>
          </cell>
        </row>
        <row r="1686">
          <cell r="A1686" t="str">
            <v>Саламатин Максим Витальевич</v>
          </cell>
          <cell r="B1686" t="str">
            <v>В-05256/КЛ.Транш - 3</v>
          </cell>
          <cell r="C1686" t="str">
            <v>n-salamatina@list.ru</v>
          </cell>
        </row>
        <row r="1687">
          <cell r="A1687" t="str">
            <v>Саламатин Максим Витальевич</v>
          </cell>
          <cell r="B1687" t="str">
            <v>В-05256/КЛ.Транш - 4</v>
          </cell>
          <cell r="C1687" t="str">
            <v>n-salamatina@list.ru</v>
          </cell>
        </row>
        <row r="1688">
          <cell r="A1688" t="str">
            <v>Саликов Альберт Якубович</v>
          </cell>
          <cell r="B1688" t="str">
            <v>В-02110/КЛ.Транш - 1</v>
          </cell>
          <cell r="C1688" t="str">
            <v>SALIKOV14@MAIL.RU</v>
          </cell>
        </row>
        <row r="1689">
          <cell r="A1689" t="str">
            <v>Салимов Шерзод Тохирович</v>
          </cell>
          <cell r="B1689" t="str">
            <v>В-20442/КЛ.Транш - 1</v>
          </cell>
          <cell r="D1689" t="str">
            <v>salimovserzod96@gmail.com</v>
          </cell>
        </row>
        <row r="1690">
          <cell r="A1690" t="str">
            <v>Салихов Нурмагамед Гусенович</v>
          </cell>
          <cell r="B1690" t="str">
            <v>В-00182/КЛ.Транш - 1</v>
          </cell>
          <cell r="C1690" t="str">
            <v>galaxys221015@gmail.com</v>
          </cell>
        </row>
        <row r="1691">
          <cell r="A1691" t="str">
            <v>Салихов Нурмагамед Гусенович</v>
          </cell>
          <cell r="B1691" t="str">
            <v>В-00182/КЛ.Транш - 2</v>
          </cell>
          <cell r="C1691" t="str">
            <v>galaxys221015@gmail.com</v>
          </cell>
        </row>
        <row r="1692">
          <cell r="A1692" t="str">
            <v>Сальников Вячеслав Витальевич</v>
          </cell>
          <cell r="B1692" t="str">
            <v>В-00314/КЛ.Транш - 84</v>
          </cell>
          <cell r="C1692" t="str">
            <v>v.salnikov.1977@ya.ru</v>
          </cell>
        </row>
        <row r="1693">
          <cell r="A1693" t="str">
            <v>Сальников Вячеслав Витальевич</v>
          </cell>
          <cell r="B1693" t="str">
            <v>В-00314/КЛ.Транш - 85</v>
          </cell>
          <cell r="C1693" t="str">
            <v>v.salnikov.1977@ya.ru</v>
          </cell>
        </row>
        <row r="1694">
          <cell r="A1694" t="str">
            <v>Сальников Вячеслав Витальевич</v>
          </cell>
          <cell r="B1694" t="str">
            <v>В-00314/КЛ.Транш - 86</v>
          </cell>
          <cell r="C1694" t="str">
            <v>v.salnikov.1977@ya.ru</v>
          </cell>
        </row>
        <row r="1695">
          <cell r="A1695" t="str">
            <v>Самарина Наталья Александровна</v>
          </cell>
          <cell r="B1695" t="str">
            <v>В-11287/КЛ.Транш - 2</v>
          </cell>
          <cell r="C1695" t="str">
            <v>samnat1974@gmail.com</v>
          </cell>
        </row>
        <row r="1696">
          <cell r="A1696" t="str">
            <v>Самедов Эльдар Абилевич</v>
          </cell>
          <cell r="B1696" t="str">
            <v>В-18631/КЛ.Транш - 1</v>
          </cell>
          <cell r="D1696" t="str">
            <v>bbsooqa@rambler.ru</v>
          </cell>
        </row>
        <row r="1697">
          <cell r="A1697" t="str">
            <v>Самойленко Ирина Геннадьевна</v>
          </cell>
          <cell r="B1697" t="str">
            <v>В-15750/КЛ.Транш - 1</v>
          </cell>
          <cell r="D1697" t="str">
            <v>lady.samoylenko@gmail.com</v>
          </cell>
        </row>
        <row r="1698">
          <cell r="A1698" t="str">
            <v>Самойленко Ирина Геннадьевна</v>
          </cell>
          <cell r="B1698" t="str">
            <v>В-15750/КЛ.Транш - 2</v>
          </cell>
          <cell r="D1698" t="str">
            <v>lady.samoylenko@gmail.com</v>
          </cell>
        </row>
        <row r="1699">
          <cell r="A1699" t="str">
            <v>Самойленко Ирина Геннадьевна</v>
          </cell>
          <cell r="B1699" t="str">
            <v>В-15750/КЛ.Транш - 3</v>
          </cell>
          <cell r="D1699" t="str">
            <v>lady.samoylenko@gmail.com</v>
          </cell>
        </row>
        <row r="1700">
          <cell r="A1700" t="str">
            <v>Самойленко Роман Владимирович</v>
          </cell>
          <cell r="B1700" t="str">
            <v>В-01200/АЗ</v>
          </cell>
          <cell r="C1700" t="str">
            <v>RVS.981@yandex.ru</v>
          </cell>
          <cell r="D1700" t="str">
            <v>RVS.981@yandex.ru</v>
          </cell>
        </row>
        <row r="1701">
          <cell r="A1701" t="str">
            <v>Самойлов Дмитрий Анатольевич</v>
          </cell>
          <cell r="B1701" t="str">
            <v>В-03206/КЛ.Транш - 1</v>
          </cell>
          <cell r="C1701" t="str">
            <v>samtrek@mail.ru</v>
          </cell>
        </row>
        <row r="1702">
          <cell r="A1702" t="str">
            <v>Самохин Алексей Владимирович</v>
          </cell>
          <cell r="B1702" t="str">
            <v>А-05231/АЗ</v>
          </cell>
          <cell r="C1702" t="str">
            <v>aleks-samokhin@yandex.ru</v>
          </cell>
          <cell r="D1702" t="str">
            <v>aleks-samokhin@yandex.ru</v>
          </cell>
        </row>
        <row r="1703">
          <cell r="A1703" t="str">
            <v>Самохин Николай Александрович</v>
          </cell>
          <cell r="B1703" t="str">
            <v>В-25466/АЗ</v>
          </cell>
          <cell r="D1703" t="str">
            <v>SAMOXIN_@mail.ru</v>
          </cell>
        </row>
        <row r="1704">
          <cell r="A1704" t="str">
            <v>Самошин Дмитрий Сергеевич</v>
          </cell>
          <cell r="B1704" t="str">
            <v>В-23923/КЛ.Транш - 1</v>
          </cell>
          <cell r="C1704" t="str">
            <v>79778016312@yandex.ru</v>
          </cell>
          <cell r="D1704" t="str">
            <v>79778016312@yandex.ru</v>
          </cell>
        </row>
        <row r="1705">
          <cell r="A1705" t="str">
            <v>Сапельников Юрий Александрович</v>
          </cell>
          <cell r="B1705" t="str">
            <v>В-02975/КЛ.Транш - 1</v>
          </cell>
          <cell r="C1705" t="str">
            <v>KRASNODAR26.05@GMAIL.COM</v>
          </cell>
        </row>
        <row r="1706">
          <cell r="A1706" t="str">
            <v>Сапиева Суанда Анчоковна</v>
          </cell>
          <cell r="B1706" t="str">
            <v>В-24524/КЛ.Транш - 1</v>
          </cell>
          <cell r="D1706" t="str">
            <v>sapsuanda@mail.ru</v>
          </cell>
        </row>
        <row r="1707">
          <cell r="A1707" t="str">
            <v>Саповский Олег Владимирович</v>
          </cell>
          <cell r="B1707" t="str">
            <v>А-00029/БЭ</v>
          </cell>
        </row>
        <row r="1708">
          <cell r="A1708" t="str">
            <v>Сапожников Станислав Михайлович</v>
          </cell>
          <cell r="B1708" t="str">
            <v>В-26827/КЛ.Транш - 1</v>
          </cell>
          <cell r="D1708" t="str">
            <v>stas.atletov@mail.ru</v>
          </cell>
        </row>
        <row r="1709">
          <cell r="A1709" t="str">
            <v>Сапрыкин Сергей Владимирович</v>
          </cell>
          <cell r="B1709" t="str">
            <v>В-00638/АЗ</v>
          </cell>
        </row>
        <row r="1710">
          <cell r="A1710" t="str">
            <v>Сапунов Дмитрий Владимирович</v>
          </cell>
          <cell r="B1710" t="str">
            <v>В-01188/АЗ</v>
          </cell>
          <cell r="C1710" t="str">
            <v>sapunov2009@mail.list.ru</v>
          </cell>
          <cell r="D1710" t="str">
            <v>sapunov2009@mail.list.ru</v>
          </cell>
        </row>
        <row r="1711">
          <cell r="A1711" t="str">
            <v>Сараева Елена Юрьевна</v>
          </cell>
          <cell r="B1711" t="str">
            <v>В-20075/КЛ.Транш - 2</v>
          </cell>
          <cell r="D1711" t="str">
            <v>eakstyna@mail.ru</v>
          </cell>
        </row>
        <row r="1712">
          <cell r="A1712" t="str">
            <v>Сарибаева Эльнара Исмаиловна</v>
          </cell>
          <cell r="B1712" t="str">
            <v>В-00395/АЗ_В-20211230/Ц</v>
          </cell>
        </row>
        <row r="1713">
          <cell r="A1713" t="str">
            <v>Сариди Михаил Арсенович</v>
          </cell>
          <cell r="B1713" t="str">
            <v>В-24169/АЗ</v>
          </cell>
          <cell r="C1713" t="str">
            <v>MAXIMM60663@gmail.com</v>
          </cell>
          <cell r="D1713" t="str">
            <v>MAXIMM60663@gmail.com</v>
          </cell>
        </row>
        <row r="1714">
          <cell r="A1714" t="str">
            <v>Саркисов Никита Витальевич</v>
          </cell>
          <cell r="B1714" t="str">
            <v>В-25425/КЛ.Транш - 1</v>
          </cell>
          <cell r="C1714" t="str">
            <v>89892648701@mail.ru</v>
          </cell>
          <cell r="D1714" t="str">
            <v>89892648701@mail.ru</v>
          </cell>
        </row>
        <row r="1715">
          <cell r="A1715" t="str">
            <v>Саркисян Ваган Вартанович</v>
          </cell>
          <cell r="B1715" t="str">
            <v>В-28224/КЛ.Транш - 1</v>
          </cell>
          <cell r="D1715" t="str">
            <v>v2157777@gmail.com</v>
          </cell>
        </row>
        <row r="1716">
          <cell r="A1716" t="str">
            <v>Саркисян Геворк Александрович</v>
          </cell>
          <cell r="B1716" t="str">
            <v>В-00051/КЛ.Транш - 1</v>
          </cell>
        </row>
        <row r="1717">
          <cell r="A1717" t="str">
            <v>Саркисян Геворк Александрович</v>
          </cell>
          <cell r="B1717" t="str">
            <v>В-00051/КЛ.Транш - 2</v>
          </cell>
        </row>
        <row r="1718">
          <cell r="A1718" t="str">
            <v>Сатаров Андрей Викторович</v>
          </cell>
          <cell r="B1718" t="str">
            <v>В-05377/КЛ.Транш - 2</v>
          </cell>
          <cell r="C1718" t="str">
            <v>golovaneva.galya@yandex.ru</v>
          </cell>
          <cell r="D1718" t="str">
            <v>golovaneva.galya@yandex.ru</v>
          </cell>
        </row>
        <row r="1719">
          <cell r="A1719" t="str">
            <v>Саутин Александр Юрьевич</v>
          </cell>
          <cell r="B1719" t="str">
            <v>В-12391/КЛ.Транш - 1</v>
          </cell>
        </row>
        <row r="1720">
          <cell r="A1720" t="str">
            <v>Саутин Александр Юрьевич</v>
          </cell>
          <cell r="B1720" t="str">
            <v>В-12391/КЛ.Транш - 2</v>
          </cell>
        </row>
        <row r="1721">
          <cell r="A1721" t="str">
            <v>Сафаралиев Ровшан Гиняз Оглы</v>
          </cell>
          <cell r="B1721" t="str">
            <v>В-28680/КЛ.Транш - 1</v>
          </cell>
          <cell r="C1721" t="str">
            <v>rs9037459060@mail.ru</v>
          </cell>
          <cell r="D1721" t="str">
            <v>rs9037459060@mail.ru</v>
          </cell>
        </row>
        <row r="1722">
          <cell r="A1722" t="str">
            <v>Сафронова Кристина Руслановна</v>
          </cell>
          <cell r="B1722" t="str">
            <v>В-05772/КЛ.Транш - 1</v>
          </cell>
          <cell r="C1722" t="str">
            <v>kristishka93@mail.ru</v>
          </cell>
        </row>
        <row r="1723">
          <cell r="A1723" t="str">
            <v>Сахимова Анна Владимировна</v>
          </cell>
          <cell r="B1723" t="str">
            <v>В-19329/КЛ.Транш - 1_В-20211230/Ц</v>
          </cell>
          <cell r="D1723" t="str">
            <v>sakhianna@mail.ru</v>
          </cell>
        </row>
        <row r="1724">
          <cell r="A1724" t="str">
            <v>Сбоев Виктор Юрьевич</v>
          </cell>
          <cell r="B1724" t="str">
            <v>В-22246/КЛ.Транш - 3</v>
          </cell>
          <cell r="D1724" t="str">
            <v>9015999000@mail.ru</v>
          </cell>
        </row>
        <row r="1725">
          <cell r="A1725" t="str">
            <v>Свентковский Анатолий Владимирович</v>
          </cell>
          <cell r="B1725" t="str">
            <v>В-28643/АЗ</v>
          </cell>
        </row>
        <row r="1726">
          <cell r="A1726" t="str">
            <v>Светлов Виталий Анатольевич</v>
          </cell>
          <cell r="B1726" t="str">
            <v>В-26449/АЗ</v>
          </cell>
          <cell r="C1726" t="str">
            <v>s_vit.85@mail.ru</v>
          </cell>
        </row>
        <row r="1727">
          <cell r="A1727" t="str">
            <v>Свинцов Александр Владиславович</v>
          </cell>
          <cell r="B1727" t="str">
            <v>В-09719/КЛ.Транш - 1</v>
          </cell>
          <cell r="C1727" t="str">
            <v>taxik701no@gmail.com</v>
          </cell>
        </row>
        <row r="1728">
          <cell r="A1728" t="str">
            <v>Свищёва Елена Владимировна</v>
          </cell>
          <cell r="B1728" t="str">
            <v>В-12222/КЛ.Транш - 7</v>
          </cell>
          <cell r="C1728" t="str">
            <v>georgijkukuskin2@gmail.com</v>
          </cell>
        </row>
        <row r="1729">
          <cell r="A1729" t="str">
            <v>Свищёва Елена Владимировна</v>
          </cell>
          <cell r="B1729" t="str">
            <v>В-12222/КЛ.Транш - 8</v>
          </cell>
          <cell r="C1729" t="str">
            <v>georgijkukuskin2@gmail.com</v>
          </cell>
        </row>
        <row r="1730">
          <cell r="A1730" t="str">
            <v>СЕВЕРНЫЙ ФЛОТ ООО</v>
          </cell>
          <cell r="B1730" t="str">
            <v>А-10090/КЭ.Транш - 2</v>
          </cell>
          <cell r="C1730" t="str">
            <v>Severnyi-flot@bk.ru</v>
          </cell>
        </row>
        <row r="1731">
          <cell r="A1731" t="str">
            <v>СЕЙЛМЕД ООО</v>
          </cell>
          <cell r="B1731" t="str">
            <v>В-00003/КЭ.Транш - 1_А-20210929/Ц</v>
          </cell>
          <cell r="C1731" t="str">
            <v>salemed2018@gmail.com</v>
          </cell>
        </row>
        <row r="1732">
          <cell r="A1732" t="str">
            <v>Секриеру Вячеслав Андреевич</v>
          </cell>
          <cell r="B1732" t="str">
            <v>В-00449/КЛ.Транш - 1</v>
          </cell>
          <cell r="C1732" t="str">
            <v>stroidor09@mail.ru</v>
          </cell>
        </row>
        <row r="1733">
          <cell r="A1733" t="str">
            <v>Селеверстов Михаил Васильевич</v>
          </cell>
          <cell r="B1733" t="str">
            <v>В-18414/КЛ.Транш - 1</v>
          </cell>
          <cell r="D1733" t="str">
            <v>seleverstov-ilya@mail.ru</v>
          </cell>
        </row>
        <row r="1734">
          <cell r="A1734" t="str">
            <v>Селеверстов Михаил Васильевич</v>
          </cell>
          <cell r="B1734" t="str">
            <v>В-18414/КЛ.Транш - 2</v>
          </cell>
          <cell r="D1734" t="str">
            <v>seleverstov-ilya@mail.ru</v>
          </cell>
        </row>
        <row r="1735">
          <cell r="A1735" t="str">
            <v>Селиверстова Евгения Владимировна</v>
          </cell>
          <cell r="B1735" t="str">
            <v>В-19285/КЛ.Транш - 1</v>
          </cell>
          <cell r="D1735" t="str">
            <v>eva.seliverstova.89@bk.ru</v>
          </cell>
        </row>
        <row r="1736">
          <cell r="A1736" t="str">
            <v>Сельцова Наталья Юрьевна</v>
          </cell>
          <cell r="B1736" t="str">
            <v>В-00439/КЛ.Транш - 1</v>
          </cell>
          <cell r="C1736" t="str">
            <v>seltsova1979@gmail.com</v>
          </cell>
        </row>
        <row r="1737">
          <cell r="A1737" t="str">
            <v>Сельцова Наталья Юрьевна</v>
          </cell>
          <cell r="B1737" t="str">
            <v>В-00439/КЛ.Транш - 2</v>
          </cell>
          <cell r="C1737" t="str">
            <v>seltsova1979@gmail.com</v>
          </cell>
        </row>
        <row r="1738">
          <cell r="A1738" t="str">
            <v>Селютин Петр Петрович</v>
          </cell>
          <cell r="B1738" t="str">
            <v>А-04028/АЗ</v>
          </cell>
          <cell r="C1738" t="str">
            <v>sbppetr12@mail.ru</v>
          </cell>
          <cell r="D1738" t="str">
            <v>sbppetr12@mail.ru</v>
          </cell>
        </row>
        <row r="1739">
          <cell r="A1739" t="str">
            <v>Семененко Трофим Игоревич</v>
          </cell>
          <cell r="B1739" t="str">
            <v>В-14913/КЛ.Транш - 1</v>
          </cell>
          <cell r="D1739" t="str">
            <v>semenenko_ti@mail.ru</v>
          </cell>
        </row>
        <row r="1740">
          <cell r="A1740" t="str">
            <v>Семенов Андрей Сергеевич</v>
          </cell>
          <cell r="B1740" t="str">
            <v>В-13740/КЛ.Транш - 1</v>
          </cell>
          <cell r="C1740" t="str">
            <v>bigandrews@mail.ru</v>
          </cell>
          <cell r="D1740" t="str">
            <v>bigandrews@mail.ru</v>
          </cell>
        </row>
        <row r="1741">
          <cell r="A1741" t="str">
            <v>Семенов Евгений Александрович</v>
          </cell>
          <cell r="B1741" t="str">
            <v>В-15171/КЛ.Транш - 1</v>
          </cell>
          <cell r="C1741" t="str">
            <v>19490491977@mail.ru</v>
          </cell>
          <cell r="D1741" t="str">
            <v>19490491977@mail.ru</v>
          </cell>
        </row>
        <row r="1742">
          <cell r="A1742" t="str">
            <v>Семенов Николай Юрьевич</v>
          </cell>
          <cell r="B1742" t="str">
            <v>А-05271/АЗ</v>
          </cell>
          <cell r="C1742" t="str">
            <v>nikolai.semenov2017@yandex.ru</v>
          </cell>
          <cell r="D1742" t="str">
            <v>nikolai.semenov2017@yandex.ru</v>
          </cell>
        </row>
        <row r="1743">
          <cell r="A1743" t="str">
            <v>Семенов Сергей Юрьевич</v>
          </cell>
          <cell r="B1743" t="str">
            <v>В-20623/КЛ.Транш - 1</v>
          </cell>
          <cell r="D1743" t="str">
            <v>egor_id76@icloud.com</v>
          </cell>
        </row>
        <row r="1744">
          <cell r="A1744" t="str">
            <v>Семенченко Денис Алексеевич</v>
          </cell>
          <cell r="B1744" t="str">
            <v>В-17423/КЛ.Транш - 1</v>
          </cell>
          <cell r="D1744" t="str">
            <v>dfn.bookong@gmail.com</v>
          </cell>
        </row>
        <row r="1745">
          <cell r="A1745" t="str">
            <v>Семенчукова Яна Олеговна</v>
          </cell>
          <cell r="B1745" t="str">
            <v>В-28889/КЛ.Транш - 1</v>
          </cell>
          <cell r="D1745" t="str">
            <v>semenchukova96@list.ru</v>
          </cell>
        </row>
        <row r="1746">
          <cell r="A1746" t="str">
            <v>Семочкин Владимир Владимирович</v>
          </cell>
          <cell r="B1746" t="str">
            <v>В-00291/АЗ</v>
          </cell>
          <cell r="C1746" t="str">
            <v>vladimirbadrov220480@gmail.com</v>
          </cell>
        </row>
        <row r="1747">
          <cell r="A1747" t="str">
            <v>Семочкин Владимир Владимирович</v>
          </cell>
          <cell r="B1747" t="str">
            <v>В-00726/АЗ</v>
          </cell>
          <cell r="C1747" t="str">
            <v>vladimirbadrov220480@gmail.com</v>
          </cell>
        </row>
        <row r="1748">
          <cell r="A1748" t="str">
            <v>Сенченко Анна Станиславовна</v>
          </cell>
          <cell r="B1748" t="str">
            <v>В-12540/КЛ.Транш - 1</v>
          </cell>
          <cell r="C1748" t="str">
            <v>alinochka_senchenko@yandex.ru</v>
          </cell>
          <cell r="D1748" t="str">
            <v>alinochka_senchenko@yandex.ru</v>
          </cell>
        </row>
        <row r="1749">
          <cell r="A1749" t="str">
            <v>Сервис-Запчасть ООО</v>
          </cell>
          <cell r="B1749" t="str">
            <v>А-00403/КЭ.Транш - 1</v>
          </cell>
          <cell r="C1749" t="str">
            <v>szauto@yandex.ru</v>
          </cell>
        </row>
        <row r="1750">
          <cell r="A1750" t="str">
            <v>Сергеев Даниил Борисович</v>
          </cell>
          <cell r="B1750" t="str">
            <v>В-25211/АЗ</v>
          </cell>
          <cell r="C1750" t="str">
            <v>la-mint@live.com</v>
          </cell>
          <cell r="D1750" t="str">
            <v>la-mint@live.com</v>
          </cell>
        </row>
        <row r="1751">
          <cell r="A1751" t="str">
            <v>Сергеева Светлана Викторовна</v>
          </cell>
          <cell r="B1751" t="str">
            <v>В-00463/КЛ.Транш - 1</v>
          </cell>
          <cell r="C1751" t="str">
            <v>WER.1313W@BK.RU</v>
          </cell>
        </row>
        <row r="1752">
          <cell r="A1752" t="str">
            <v>Сергушкин Александр Николаевич</v>
          </cell>
          <cell r="B1752" t="str">
            <v>В-12791/КЛ.Транш - 3</v>
          </cell>
          <cell r="D1752" t="str">
            <v>sergushkin_2013@gmail.ru</v>
          </cell>
        </row>
        <row r="1753">
          <cell r="A1753" t="str">
            <v>Сергушкин Александр Николаевич</v>
          </cell>
          <cell r="B1753" t="str">
            <v>В-12791/КЛ.Транш - 4</v>
          </cell>
          <cell r="D1753" t="str">
            <v>sergushkin_2013@gmail.ru</v>
          </cell>
        </row>
        <row r="1754">
          <cell r="A1754" t="str">
            <v>Сердюк Вероника Владимировна</v>
          </cell>
          <cell r="B1754" t="str">
            <v>В-08065/КЛ.Транш - 1</v>
          </cell>
          <cell r="C1754" t="str">
            <v>svv98@list.ru</v>
          </cell>
        </row>
        <row r="1755">
          <cell r="A1755" t="str">
            <v>Сердюк Лидия Мянсуровна</v>
          </cell>
          <cell r="B1755" t="str">
            <v>А-03756/АЗ</v>
          </cell>
          <cell r="C1755" t="str">
            <v>5819805@gmail.com</v>
          </cell>
          <cell r="D1755" t="str">
            <v>5819805@gmail.com</v>
          </cell>
        </row>
        <row r="1756">
          <cell r="A1756" t="str">
            <v>Серегола Дмитрий Михайлович</v>
          </cell>
          <cell r="B1756" t="str">
            <v>В-24909/АЗ</v>
          </cell>
        </row>
        <row r="1757">
          <cell r="A1757" t="str">
            <v>Серов Лев Николаевич</v>
          </cell>
          <cell r="B1757" t="str">
            <v>В-00608/АЗ</v>
          </cell>
          <cell r="C1757" t="str">
            <v>voron7776@ya.ru</v>
          </cell>
        </row>
        <row r="1758">
          <cell r="A1758" t="str">
            <v>Серов Лев Николаевич</v>
          </cell>
          <cell r="B1758" t="str">
            <v>В-00932/АЗ</v>
          </cell>
          <cell r="C1758" t="str">
            <v>voron7776@ya.ru</v>
          </cell>
        </row>
        <row r="1759">
          <cell r="A1759" t="str">
            <v>Серопян Айк Мгерович</v>
          </cell>
          <cell r="B1759" t="str">
            <v>В-10466/КЛ.Транш - 1</v>
          </cell>
          <cell r="C1759" t="str">
            <v>Aikwanger@yandex.ru</v>
          </cell>
        </row>
        <row r="1760">
          <cell r="A1760" t="str">
            <v>Сеферян Галина Андрониковна</v>
          </cell>
          <cell r="B1760" t="str">
            <v>В-12693/КЛ.Транш - 2</v>
          </cell>
        </row>
        <row r="1761">
          <cell r="A1761" t="str">
            <v>Сеферян Галина Андрониковна</v>
          </cell>
          <cell r="B1761" t="str">
            <v>В-12693/КЛ.Транш - 3</v>
          </cell>
        </row>
        <row r="1762">
          <cell r="A1762" t="str">
            <v>Сеферян Галина Андрониковна</v>
          </cell>
          <cell r="B1762" t="str">
            <v>В-12693/КЛ.Транш - 4</v>
          </cell>
        </row>
        <row r="1763">
          <cell r="A1763" t="str">
            <v>Сеченова Вера Валерьевна</v>
          </cell>
          <cell r="B1763" t="str">
            <v>В-07912/КЛ.Транш - 3</v>
          </cell>
          <cell r="C1763" t="str">
            <v>vera-sechenova@mail.ru</v>
          </cell>
        </row>
        <row r="1764">
          <cell r="A1764" t="str">
            <v>Сеченова Вера Валерьевна</v>
          </cell>
          <cell r="B1764" t="str">
            <v>В-07912/КЛ.Транш - 4</v>
          </cell>
          <cell r="C1764" t="str">
            <v>vera-sechenova@mail.ru</v>
          </cell>
        </row>
        <row r="1765">
          <cell r="A1765" t="str">
            <v>Сеченова Вера Валерьевна</v>
          </cell>
          <cell r="B1765" t="str">
            <v>В-07912/КЛ.Транш - 5</v>
          </cell>
          <cell r="C1765" t="str">
            <v>vera-sechenova@mail.ru</v>
          </cell>
        </row>
        <row r="1766">
          <cell r="A1766" t="str">
            <v>Сеченова Вера Валерьевна</v>
          </cell>
          <cell r="B1766" t="str">
            <v>В-07912/КЛ.Транш - 6</v>
          </cell>
          <cell r="C1766" t="str">
            <v>vera-sechenova@mail.ru</v>
          </cell>
        </row>
        <row r="1767">
          <cell r="A1767" t="str">
            <v>СиБи Групп Рус ООО</v>
          </cell>
          <cell r="B1767" t="str">
            <v>А-00446/КЭ.Транш - 1</v>
          </cell>
          <cell r="C1767" t="str">
            <v>info@cb-group.ru</v>
          </cell>
        </row>
        <row r="1768">
          <cell r="A1768" t="str">
            <v>СиБи Групп Рус ООО</v>
          </cell>
          <cell r="B1768" t="str">
            <v>А-00446/КЭ.Транш - 2</v>
          </cell>
          <cell r="C1768" t="str">
            <v>info@cb-group.ru</v>
          </cell>
        </row>
        <row r="1769">
          <cell r="A1769" t="str">
            <v>Сиденко Ольга Викторовна</v>
          </cell>
          <cell r="B1769" t="str">
            <v>В-21972/КЛ.Транш - 2</v>
          </cell>
          <cell r="C1769" t="str">
            <v>S-olga-76@mail.ru</v>
          </cell>
          <cell r="D1769" t="str">
            <v>S-olga-76@mail.ru</v>
          </cell>
        </row>
        <row r="1770">
          <cell r="A1770" t="str">
            <v>Сиденко Роман Викторович</v>
          </cell>
          <cell r="B1770" t="str">
            <v>В-26592/КЛ.Транш - 1</v>
          </cell>
          <cell r="D1770" t="str">
            <v>fuel-47@mail.ru</v>
          </cell>
        </row>
        <row r="1771">
          <cell r="A1771" t="str">
            <v>Сидоренко Надежда Алексеевна</v>
          </cell>
          <cell r="B1771" t="str">
            <v>В-25306/КЛ.Транш - 1</v>
          </cell>
          <cell r="D1771" t="str">
            <v>89184037119@mail.ru</v>
          </cell>
        </row>
        <row r="1772">
          <cell r="A1772" t="str">
            <v>Сидоров Александр Владимирович</v>
          </cell>
          <cell r="B1772" t="str">
            <v>В-19355/КЛ.Транш - 1</v>
          </cell>
          <cell r="D1772" t="str">
            <v>ssidorov_09@mail.ru</v>
          </cell>
        </row>
        <row r="1773">
          <cell r="A1773" t="str">
            <v>Сидорович Дмитрий Владимирович</v>
          </cell>
          <cell r="B1773" t="str">
            <v>В-20449/КЛ.Транш - 1</v>
          </cell>
          <cell r="D1773" t="str">
            <v>moovit80@mail.ru</v>
          </cell>
        </row>
        <row r="1774">
          <cell r="A1774" t="str">
            <v>Силкин Максим Алексеевич</v>
          </cell>
          <cell r="B1774" t="str">
            <v>В-24172/АЗ</v>
          </cell>
          <cell r="C1774" t="str">
            <v>maximm60663@gmail.com</v>
          </cell>
        </row>
        <row r="1775">
          <cell r="A1775" t="str">
            <v>Силуков Александр Андреевич</v>
          </cell>
          <cell r="B1775" t="str">
            <v>В-24158/КЛ.Транш - 1</v>
          </cell>
          <cell r="D1775" t="str">
            <v>s79002057600@yandex.ru</v>
          </cell>
        </row>
        <row r="1776">
          <cell r="A1776" t="str">
            <v>Симонов Станислав Валерьевич</v>
          </cell>
          <cell r="B1776" t="str">
            <v>В-17752/КЛ.Транш - 1</v>
          </cell>
          <cell r="D1776" t="str">
            <v>vitimstroylitovko@mail.ru</v>
          </cell>
        </row>
        <row r="1777">
          <cell r="A1777" t="str">
            <v>Симонов Станислав Валерьевич</v>
          </cell>
          <cell r="B1777" t="str">
            <v>В-17752/КЛ.Транш - 2</v>
          </cell>
          <cell r="D1777" t="str">
            <v>vitimstroylitovko@mail.ru</v>
          </cell>
        </row>
        <row r="1778">
          <cell r="A1778" t="str">
            <v>Симонова Дарья Павловна</v>
          </cell>
          <cell r="B1778" t="str">
            <v>В-28376/КЛ.Транш - 1</v>
          </cell>
          <cell r="D1778" t="str">
            <v>dsi25a@yandex.ru</v>
          </cell>
        </row>
        <row r="1779">
          <cell r="A1779" t="str">
            <v>Сироткин Олег Георгиевич</v>
          </cell>
          <cell r="B1779" t="str">
            <v>В-03365/КЛ.Транш - 2</v>
          </cell>
          <cell r="C1779" t="str">
            <v>olegsirotkin72@gmail.com</v>
          </cell>
          <cell r="D1779" t="str">
            <v>olegsirotkin72@gmail.com</v>
          </cell>
        </row>
        <row r="1780">
          <cell r="A1780" t="str">
            <v>Сироткин Олег Георгиевич</v>
          </cell>
          <cell r="B1780" t="str">
            <v>В-03365/КЛ.Транш - 3</v>
          </cell>
          <cell r="C1780" t="str">
            <v>olegsirotkin72@gmail.com</v>
          </cell>
          <cell r="D1780" t="str">
            <v>olegsirotkin72@gmail.com</v>
          </cell>
        </row>
        <row r="1781">
          <cell r="A1781" t="str">
            <v>Сироткин Олег Георгиевич</v>
          </cell>
          <cell r="B1781" t="str">
            <v>В-03365/КЛ.Транш - 4</v>
          </cell>
          <cell r="C1781" t="str">
            <v>olegsirotkin72@gmail.com</v>
          </cell>
          <cell r="D1781" t="str">
            <v>olegsirotkin72@gmail.com</v>
          </cell>
        </row>
        <row r="1782">
          <cell r="A1782" t="str">
            <v>Сироткин Олег Георгиевич</v>
          </cell>
          <cell r="B1782" t="str">
            <v>В-03365/КЛ.Транш - 5</v>
          </cell>
          <cell r="C1782" t="str">
            <v>olegsirotkin72@gmail.com</v>
          </cell>
          <cell r="D1782" t="str">
            <v>olegsirotkin72@gmail.com</v>
          </cell>
        </row>
        <row r="1783">
          <cell r="A1783" t="str">
            <v>Ситников Сергей Алексеевич</v>
          </cell>
          <cell r="B1783" t="str">
            <v>В-20528/КЛ.Транш - 1</v>
          </cell>
          <cell r="D1783" t="str">
            <v>shmos@mail.ru</v>
          </cell>
        </row>
        <row r="1784">
          <cell r="A1784" t="str">
            <v>Ситников Сергей Алексеевич</v>
          </cell>
          <cell r="B1784" t="str">
            <v>В-20528/КЛ.Транш - 2</v>
          </cell>
          <cell r="D1784" t="str">
            <v>shmos@mail.ru</v>
          </cell>
        </row>
        <row r="1785">
          <cell r="A1785" t="str">
            <v>Ситников Сергей Алексеевич</v>
          </cell>
          <cell r="B1785" t="str">
            <v>В-20528/КЛ.Транш - 3</v>
          </cell>
          <cell r="D1785" t="str">
            <v>shmos@mail.ru</v>
          </cell>
        </row>
        <row r="1786">
          <cell r="A1786" t="str">
            <v>Ситников Сергей Алексеевич</v>
          </cell>
          <cell r="B1786" t="str">
            <v>В-20528/КЛ.Транш - 4</v>
          </cell>
          <cell r="D1786" t="str">
            <v>shmos@mail.ru</v>
          </cell>
        </row>
        <row r="1787">
          <cell r="A1787" t="str">
            <v>СК ОЛИМП ООО</v>
          </cell>
          <cell r="B1787" t="str">
            <v>В-10026/КЭ.Транш - 1</v>
          </cell>
          <cell r="C1787" t="str">
            <v>olimp.sk.spb@yandex.ru</v>
          </cell>
        </row>
        <row r="1788">
          <cell r="A1788" t="str">
            <v>Скляр Николай Николаевич</v>
          </cell>
          <cell r="B1788" t="str">
            <v>В-20931/КЛ.Транш - 1</v>
          </cell>
          <cell r="C1788" t="str">
            <v>logistic-city@bk.ru</v>
          </cell>
          <cell r="D1788" t="str">
            <v>89211899999@mail.ru</v>
          </cell>
        </row>
        <row r="1789">
          <cell r="A1789" t="str">
            <v>Скляр Николай Николаевич</v>
          </cell>
          <cell r="B1789" t="str">
            <v>В-20931/КЛ.Транш - 2</v>
          </cell>
          <cell r="C1789" t="str">
            <v>logistic-city@bk.ru</v>
          </cell>
          <cell r="D1789" t="str">
            <v>89211899999@mail.ru</v>
          </cell>
        </row>
        <row r="1790">
          <cell r="A1790" t="str">
            <v>Скоморохов Максим Дмитриевич</v>
          </cell>
          <cell r="B1790" t="str">
            <v>В-19518/КЛ.Транш - 1</v>
          </cell>
          <cell r="D1790" t="str">
            <v>smackmybeatch@gmail.com</v>
          </cell>
        </row>
        <row r="1791">
          <cell r="A1791" t="str">
            <v>Скопинов Иван Алексеевич</v>
          </cell>
          <cell r="B1791" t="str">
            <v>В-00178/КЛ.Транш - 1</v>
          </cell>
          <cell r="C1791" t="str">
            <v>ivanskopinov@yandex.ru</v>
          </cell>
        </row>
        <row r="1792">
          <cell r="A1792" t="str">
            <v>Скоробогатов Анатолий Николаевич</v>
          </cell>
          <cell r="B1792" t="str">
            <v>В-11830/КЛ.Транш - 1</v>
          </cell>
          <cell r="C1792" t="str">
            <v>Skbog@yandex.ru</v>
          </cell>
        </row>
        <row r="1793">
          <cell r="A1793" t="str">
            <v>Скрипичников Егор Сергеевич</v>
          </cell>
          <cell r="B1793" t="str">
            <v>В-09174/КЛ.Транш - 10</v>
          </cell>
          <cell r="C1793" t="str">
            <v>egormoya@yandex.ru</v>
          </cell>
        </row>
        <row r="1794">
          <cell r="A1794" t="str">
            <v>Скрипичников Егор Сергеевич</v>
          </cell>
          <cell r="B1794" t="str">
            <v>В-09174/КЛ.Транш - 7</v>
          </cell>
          <cell r="C1794" t="str">
            <v>egormoya@yandex.ru</v>
          </cell>
        </row>
        <row r="1795">
          <cell r="A1795" t="str">
            <v>Скрипичников Егор Сергеевич</v>
          </cell>
          <cell r="B1795" t="str">
            <v>В-09174/КЛ.Транш - 8</v>
          </cell>
          <cell r="C1795" t="str">
            <v>egormoya@yandex.ru</v>
          </cell>
        </row>
        <row r="1796">
          <cell r="A1796" t="str">
            <v>Скрипичников Егор Сергеевич</v>
          </cell>
          <cell r="B1796" t="str">
            <v>В-09174/КЛ.Транш - 9</v>
          </cell>
          <cell r="C1796" t="str">
            <v>egormoya@yandex.ru</v>
          </cell>
        </row>
        <row r="1797">
          <cell r="A1797" t="str">
            <v>Скрябин Сергей Харитонович</v>
          </cell>
          <cell r="B1797" t="str">
            <v>В-27905/КЛ.Транш - 1</v>
          </cell>
        </row>
        <row r="1798">
          <cell r="A1798" t="str">
            <v>Слепнев Иван Викторович</v>
          </cell>
          <cell r="B1798" t="str">
            <v>В-20251/КЛ.Транш - 2</v>
          </cell>
          <cell r="D1798" t="str">
            <v>sleivan@yandex.ru</v>
          </cell>
        </row>
        <row r="1799">
          <cell r="A1799" t="str">
            <v>Слепцова Маргарита Олеговна</v>
          </cell>
          <cell r="B1799" t="str">
            <v>В-01017/АЗ</v>
          </cell>
        </row>
        <row r="1800">
          <cell r="A1800" t="str">
            <v>Слепцова Маргарита Олеговна</v>
          </cell>
          <cell r="B1800" t="str">
            <v>В-01035/АЗ</v>
          </cell>
        </row>
        <row r="1801">
          <cell r="A1801" t="str">
            <v>Смирнов Андрей Евгеньевич</v>
          </cell>
          <cell r="B1801" t="str">
            <v>В-26242/КЛ.Транш - 1</v>
          </cell>
          <cell r="D1801" t="str">
            <v>andrey.smirnow82@mail.ru</v>
          </cell>
        </row>
        <row r="1802">
          <cell r="A1802" t="str">
            <v>Смирнов Игорь Александрович</v>
          </cell>
          <cell r="B1802" t="str">
            <v>В-24580/КЛ.Транш - 1</v>
          </cell>
          <cell r="C1802" t="str">
            <v>igorsmi@list.ru</v>
          </cell>
          <cell r="D1802" t="str">
            <v>igorsmi@list.ru</v>
          </cell>
        </row>
        <row r="1803">
          <cell r="A1803" t="str">
            <v>Смирнов Михаил Львович</v>
          </cell>
          <cell r="B1803" t="str">
            <v>В-18317/КЛ.Транш - 1</v>
          </cell>
          <cell r="C1803" t="str">
            <v>s_ml@mail.ru</v>
          </cell>
        </row>
        <row r="1804">
          <cell r="A1804" t="str">
            <v>Смирнова Наталия Васильевна</v>
          </cell>
          <cell r="B1804" t="str">
            <v>В-26237/КЛ.Транш - 1</v>
          </cell>
          <cell r="C1804" t="str">
            <v>tata021963@gmail.com</v>
          </cell>
        </row>
        <row r="1805">
          <cell r="A1805" t="str">
            <v>Смолин Виктор Иванович</v>
          </cell>
          <cell r="B1805" t="str">
            <v>В-27788/КЛ.Транш - 1</v>
          </cell>
          <cell r="D1805" t="str">
            <v>viktorsmolin932@mail.com</v>
          </cell>
        </row>
        <row r="1806">
          <cell r="A1806" t="str">
            <v>Снегирёв Сергей Викторович</v>
          </cell>
          <cell r="B1806" t="str">
            <v>В-00271/АЗ_Т-20211028/Ц</v>
          </cell>
          <cell r="C1806" t="str">
            <v>ssnegir1307@mail.ru</v>
          </cell>
        </row>
        <row r="1807">
          <cell r="A1807" t="str">
            <v>Собиров Раджабали Карахужаевич</v>
          </cell>
          <cell r="B1807" t="str">
            <v>В-06818/КЛ.Транш - 1</v>
          </cell>
          <cell r="C1807" t="str">
            <v>ruslan.362mr@gmail.com</v>
          </cell>
        </row>
        <row r="1808">
          <cell r="A1808" t="str">
            <v>Соболев Владимир Александрович</v>
          </cell>
          <cell r="B1808" t="str">
            <v>В-12152/КЛ.Транш - 1</v>
          </cell>
          <cell r="D1808" t="str">
            <v>sobolev1966va@yandex.ru</v>
          </cell>
        </row>
        <row r="1809">
          <cell r="A1809" t="str">
            <v>Сойников Денис Валерьевич</v>
          </cell>
          <cell r="B1809" t="str">
            <v>В-24754/КЛ.Транш - 1</v>
          </cell>
          <cell r="C1809" t="str">
            <v>denis@davis.ru</v>
          </cell>
        </row>
        <row r="1810">
          <cell r="A1810" t="str">
            <v>Соколов Игорь Васильевич</v>
          </cell>
          <cell r="B1810" t="str">
            <v>В-02902/КЛ.Транш - 1_В-20211230/Ц</v>
          </cell>
          <cell r="C1810" t="str">
            <v>sokolov-igorek@mail.ru</v>
          </cell>
        </row>
        <row r="1811">
          <cell r="A1811" t="str">
            <v>Соколов Константин Валентинович</v>
          </cell>
          <cell r="B1811" t="str">
            <v>В-28433/КЛ.Транш - 1</v>
          </cell>
          <cell r="D1811" t="str">
            <v>SKV-ural@yandex.ru</v>
          </cell>
        </row>
        <row r="1812">
          <cell r="A1812" t="str">
            <v>Соколов Константин Иванович</v>
          </cell>
          <cell r="B1812" t="str">
            <v>В-28906/КЛ.Транш - 1</v>
          </cell>
          <cell r="C1812" t="str">
            <v>zavernyl@mail.ru</v>
          </cell>
          <cell r="D1812" t="str">
            <v>zavernyl@mail.ru</v>
          </cell>
        </row>
        <row r="1813">
          <cell r="A1813" t="str">
            <v>Соколов Сергей Юрьевич</v>
          </cell>
          <cell r="B1813" t="str">
            <v>В-23940/АЗ</v>
          </cell>
          <cell r="C1813" t="str">
            <v>sokolevitchus@gmail.com</v>
          </cell>
          <cell r="D1813" t="str">
            <v>sokolevitchus@gmail.com</v>
          </cell>
        </row>
        <row r="1814">
          <cell r="A1814" t="str">
            <v>Соколова Екатерина Николаевна</v>
          </cell>
          <cell r="B1814" t="str">
            <v>В-25764/КЛ.Транш - 1</v>
          </cell>
          <cell r="C1814" t="str">
            <v>ekaterinasokolova311@gmail.com</v>
          </cell>
        </row>
        <row r="1815">
          <cell r="A1815" t="str">
            <v>Соколова Елена Викторовна</v>
          </cell>
          <cell r="B1815" t="str">
            <v>В-20544/КЛ.Транш - 1</v>
          </cell>
          <cell r="D1815" t="str">
            <v>Helen-sokole@yandex.ru</v>
          </cell>
        </row>
        <row r="1816">
          <cell r="A1816" t="str">
            <v>Солдатенков Алексей Геннадиевич</v>
          </cell>
          <cell r="B1816" t="str">
            <v>В-14544/КЛ.Транш - 1</v>
          </cell>
        </row>
        <row r="1817">
          <cell r="A1817" t="str">
            <v>Солдатенков Алексей Геннадиевич</v>
          </cell>
          <cell r="B1817" t="str">
            <v>В-14544/КЛ.Транш - 2</v>
          </cell>
        </row>
        <row r="1818">
          <cell r="A1818" t="str">
            <v>Соловьёв Владимир Павлович</v>
          </cell>
          <cell r="B1818" t="str">
            <v>В-22238/КЛ.Транш - 1_В20211230/Ц</v>
          </cell>
          <cell r="D1818" t="str">
            <v>solovievvladimir19644@gmail.com</v>
          </cell>
        </row>
        <row r="1819">
          <cell r="A1819" t="str">
            <v>Соловьев Сергей Сергеевич</v>
          </cell>
          <cell r="B1819" t="str">
            <v>В-05365/КЛ.Транш - 2</v>
          </cell>
          <cell r="C1819" t="str">
            <v>solov00@yandex.ru</v>
          </cell>
        </row>
        <row r="1820">
          <cell r="A1820" t="str">
            <v>Соловьев Сергей Сергеевич</v>
          </cell>
          <cell r="B1820" t="str">
            <v>В-05365/КЛ.Транш - 3</v>
          </cell>
          <cell r="C1820" t="str">
            <v>solov00@yandex.ru</v>
          </cell>
        </row>
        <row r="1821">
          <cell r="A1821" t="str">
            <v>Соловьев Сергей Сергеевич</v>
          </cell>
          <cell r="B1821" t="str">
            <v>В-05365/КЛ.Транш - 5</v>
          </cell>
          <cell r="C1821" t="str">
            <v>solov00@yandex.ru</v>
          </cell>
        </row>
        <row r="1822">
          <cell r="A1822" t="str">
            <v>Солодов Михаил Александрович</v>
          </cell>
          <cell r="B1822" t="str">
            <v>В-01319/КЛ.Транш - 1</v>
          </cell>
          <cell r="C1822" t="str">
            <v>solodov1974@mail.ru</v>
          </cell>
        </row>
        <row r="1823">
          <cell r="A1823" t="str">
            <v>Соломатин Алексей Юрьевич</v>
          </cell>
          <cell r="B1823" t="str">
            <v>В-00896/АЗ</v>
          </cell>
          <cell r="C1823" t="str">
            <v>solomatin.alexei@gmail.com</v>
          </cell>
          <cell r="D1823" t="str">
            <v>solomatin.alexei@gmail.com</v>
          </cell>
        </row>
        <row r="1824">
          <cell r="A1824" t="str">
            <v>Солохин Александр Игоревич</v>
          </cell>
          <cell r="B1824" t="str">
            <v>В-00478/КЛ.Транш - 1</v>
          </cell>
          <cell r="C1824" t="str">
            <v>solokhin-2020@mail.ru</v>
          </cell>
        </row>
        <row r="1825">
          <cell r="A1825" t="str">
            <v>Солохин Александр Игоревич</v>
          </cell>
          <cell r="B1825" t="str">
            <v>В-00478/КЛ.Транш - 2</v>
          </cell>
          <cell r="C1825" t="str">
            <v>solokhin-2020@mail.ru</v>
          </cell>
        </row>
        <row r="1826">
          <cell r="A1826" t="str">
            <v>Сомов Денис Валерьевич</v>
          </cell>
          <cell r="B1826" t="str">
            <v>В-13034/КЛ.Транш - 1</v>
          </cell>
          <cell r="D1826" t="str">
            <v>Somov.denis.80@mail.ru</v>
          </cell>
        </row>
        <row r="1827">
          <cell r="A1827" t="str">
            <v>Сомов Денис Валерьевич</v>
          </cell>
          <cell r="B1827" t="str">
            <v>В-13034/КЛ.Транш - 2</v>
          </cell>
          <cell r="D1827" t="str">
            <v>Somov.denis.80@mail.ru</v>
          </cell>
        </row>
        <row r="1828">
          <cell r="A1828" t="str">
            <v>Сомсиков Антон Николаевич</v>
          </cell>
          <cell r="B1828" t="str">
            <v>В-02105/КЛ.Транш - 1</v>
          </cell>
          <cell r="C1828" t="str">
            <v>asomsikov@mail.ru</v>
          </cell>
        </row>
        <row r="1829">
          <cell r="A1829" t="str">
            <v>Сорокин Александр Вадимович</v>
          </cell>
          <cell r="B1829" t="str">
            <v>Т-01799/АЗ_В-20211230/Ц</v>
          </cell>
          <cell r="C1829" t="str">
            <v>skm-opto72@yandex.ru</v>
          </cell>
        </row>
        <row r="1830">
          <cell r="A1830" t="str">
            <v>Сорокин Константин Витальевич</v>
          </cell>
          <cell r="B1830" t="str">
            <v>В-10433/КЛ.Транш - 1</v>
          </cell>
          <cell r="C1830" t="str">
            <v>prinsdemarko1984@gmail.com</v>
          </cell>
        </row>
        <row r="1831">
          <cell r="A1831" t="str">
            <v>Сорокин Константин Витальевич</v>
          </cell>
          <cell r="B1831" t="str">
            <v>В-10433/КЛ.Транш - 2</v>
          </cell>
          <cell r="C1831" t="str">
            <v>prinsdemarko1984@gmail.com</v>
          </cell>
        </row>
        <row r="1832">
          <cell r="A1832" t="str">
            <v>Сорокин Руслан Энриевич</v>
          </cell>
          <cell r="B1832" t="str">
            <v>В-00733/АЗ_В-20211230/Ц</v>
          </cell>
          <cell r="C1832" t="str">
            <v>SOROKINRA@AZURITE.RU</v>
          </cell>
        </row>
        <row r="1833">
          <cell r="A1833" t="str">
            <v>Сорокина Екатерина Васильевна</v>
          </cell>
          <cell r="B1833" t="str">
            <v>В-10701/КЛ.Транш - 1</v>
          </cell>
          <cell r="C1833" t="str">
            <v>molodoihiryrg25@mail.ru</v>
          </cell>
        </row>
        <row r="1834">
          <cell r="A1834" t="str">
            <v>Сорокина Екатерина Васильевна</v>
          </cell>
          <cell r="B1834" t="str">
            <v>В-10701/КЛ.Транш - 2</v>
          </cell>
          <cell r="C1834" t="str">
            <v>molodoihiryrg25@mail.ru</v>
          </cell>
        </row>
        <row r="1835">
          <cell r="A1835" t="str">
            <v>Сорокина Наталья Владимировна</v>
          </cell>
          <cell r="B1835" t="str">
            <v>В-00966/АЗ</v>
          </cell>
          <cell r="C1835" t="str">
            <v>n.v.sorokina-2013@yandex.ru</v>
          </cell>
        </row>
        <row r="1836">
          <cell r="A1836" t="str">
            <v>Сорочкин Сергей Эдуардович</v>
          </cell>
          <cell r="B1836" t="str">
            <v>В-01080/КЛ.Транш - 5</v>
          </cell>
          <cell r="C1836" t="str">
            <v>sori74@mail.ru</v>
          </cell>
        </row>
        <row r="1837">
          <cell r="A1837" t="str">
            <v>Сосков Иван Сергеевич</v>
          </cell>
          <cell r="B1837" t="str">
            <v>В-18022/КЛ.Транш - 1</v>
          </cell>
          <cell r="D1837" t="str">
            <v>moskvaiwan@yandex.ru</v>
          </cell>
        </row>
        <row r="1838">
          <cell r="A1838" t="str">
            <v>Союзметиз ООО</v>
          </cell>
          <cell r="B1838" t="str">
            <v>А-00410/КЭ.Транш - 1</v>
          </cell>
          <cell r="C1838" t="str">
            <v>souzmetiz.comp@yandex.ru</v>
          </cell>
        </row>
        <row r="1839">
          <cell r="A1839" t="str">
            <v>СПЕКТР ООО</v>
          </cell>
          <cell r="B1839" t="str">
            <v>В-30006/КЭ.Транш - 1</v>
          </cell>
        </row>
        <row r="1840">
          <cell r="A1840" t="str">
            <v>СПЕКТР ООО</v>
          </cell>
          <cell r="B1840" t="str">
            <v>В-30006/КЭ.Транш - 2</v>
          </cell>
        </row>
        <row r="1841">
          <cell r="A1841" t="str">
            <v>СПЕЦДОРСТРОЙ ООО</v>
          </cell>
          <cell r="B1841" t="str">
            <v>В-30004/КЭ.Транш - 1</v>
          </cell>
        </row>
        <row r="1842">
          <cell r="A1842" t="str">
            <v>Спиридонов Сергей Владимирович</v>
          </cell>
          <cell r="B1842" t="str">
            <v>В-21946/КЛ.Транш - 1</v>
          </cell>
          <cell r="D1842" t="str">
            <v>abrek_83@mail.ru</v>
          </cell>
        </row>
        <row r="1843">
          <cell r="A1843" t="str">
            <v>Спирина Полина Витальевна</v>
          </cell>
          <cell r="B1843" t="str">
            <v>В-03765/КЛ.Транш - 10</v>
          </cell>
          <cell r="C1843" t="str">
            <v>polina-s1@mail.ru</v>
          </cell>
        </row>
        <row r="1844">
          <cell r="A1844" t="str">
            <v>Спирина Полина Витальевна</v>
          </cell>
          <cell r="B1844" t="str">
            <v>В-03765/КЛ.Транш - 11</v>
          </cell>
          <cell r="C1844" t="str">
            <v>polina-s1@mail.ru</v>
          </cell>
        </row>
        <row r="1845">
          <cell r="A1845" t="str">
            <v>Спирина Полина Витальевна</v>
          </cell>
          <cell r="B1845" t="str">
            <v>В-03765/КЛ.Транш - 12</v>
          </cell>
          <cell r="C1845" t="str">
            <v>polina-s1@mail.ru</v>
          </cell>
        </row>
        <row r="1846">
          <cell r="A1846" t="str">
            <v>Спирина Полина Витальевна</v>
          </cell>
          <cell r="B1846" t="str">
            <v>В-03765/КЛ.Транш - 13</v>
          </cell>
          <cell r="C1846" t="str">
            <v>polina-s1@mail.ru</v>
          </cell>
        </row>
        <row r="1847">
          <cell r="A1847" t="str">
            <v>Спирина Полина Витальевна</v>
          </cell>
          <cell r="B1847" t="str">
            <v>В-03765/КЛ.Транш - 14</v>
          </cell>
          <cell r="C1847" t="str">
            <v>polina-s1@mail.ru</v>
          </cell>
        </row>
        <row r="1848">
          <cell r="A1848" t="str">
            <v>Спирина Полина Витальевна</v>
          </cell>
          <cell r="B1848" t="str">
            <v>В-03765/КЛ.Транш - 9</v>
          </cell>
          <cell r="C1848" t="str">
            <v>polina-s1@mail.ru</v>
          </cell>
        </row>
        <row r="1849">
          <cell r="A1849" t="str">
            <v>Спицын Антон Вадимович</v>
          </cell>
          <cell r="B1849" t="str">
            <v>В-20109/КЛ.Транш - 1</v>
          </cell>
          <cell r="D1849" t="str">
            <v>tipogravia101423@mail.ru</v>
          </cell>
        </row>
        <row r="1850">
          <cell r="A1850" t="str">
            <v>Спичак Вадим Михайлович</v>
          </cell>
          <cell r="B1850" t="str">
            <v>А-05381/АЗ</v>
          </cell>
          <cell r="C1850" t="str">
            <v>arcon@inbox.ru</v>
          </cell>
          <cell r="D1850" t="str">
            <v>arcon@inbox.ru</v>
          </cell>
        </row>
        <row r="1851">
          <cell r="A1851" t="str">
            <v>Спичак Вадим Михайлович</v>
          </cell>
          <cell r="B1851" t="str">
            <v>В-01089/АЗ</v>
          </cell>
          <cell r="C1851" t="str">
            <v>arcon@inbox.ru</v>
          </cell>
          <cell r="D1851" t="str">
            <v>arcon@inbox.ru</v>
          </cell>
        </row>
        <row r="1852">
          <cell r="A1852" t="str">
            <v>Спичак Вадим Михайлович</v>
          </cell>
          <cell r="B1852" t="str">
            <v>Т-01821/АЗ_Т-20211028/Ц</v>
          </cell>
          <cell r="C1852" t="str">
            <v>arcon@inbox.ru</v>
          </cell>
          <cell r="D1852" t="str">
            <v>arcon@inbox.ru</v>
          </cell>
        </row>
        <row r="1853">
          <cell r="A1853" t="str">
            <v>Станкеев Сергей Николаевич</v>
          </cell>
          <cell r="B1853" t="str">
            <v>В-06186/КЛ.Транш - 1_А-20210929/Ц</v>
          </cell>
          <cell r="C1853" t="str">
            <v>stankeev1980@yandex.ru</v>
          </cell>
        </row>
        <row r="1854">
          <cell r="A1854" t="str">
            <v>Станкеев Сергей Николаевич</v>
          </cell>
          <cell r="B1854" t="str">
            <v>В-06186/КЛ.Транш - 2_А-20210929/Ц</v>
          </cell>
          <cell r="C1854" t="str">
            <v>stankeev1980@yandex.ru</v>
          </cell>
        </row>
        <row r="1855">
          <cell r="A1855" t="str">
            <v>Стародубов Виталий Юрьевич</v>
          </cell>
          <cell r="B1855" t="str">
            <v>В-08603/КЛ.Транш - 1</v>
          </cell>
        </row>
        <row r="1856">
          <cell r="A1856" t="str">
            <v>Степанов Алексей Владимирович</v>
          </cell>
          <cell r="B1856" t="str">
            <v>В-00498/КЛ.Транш - 2</v>
          </cell>
          <cell r="C1856" t="str">
            <v>aastepa25@yandex.ru</v>
          </cell>
        </row>
        <row r="1857">
          <cell r="A1857" t="str">
            <v>Степанов Алексей Геннадьевич</v>
          </cell>
          <cell r="B1857" t="str">
            <v>А-04171/АЗ</v>
          </cell>
          <cell r="C1857" t="str">
            <v>s7210801@yandex.ru</v>
          </cell>
          <cell r="D1857" t="str">
            <v>s7210801@yandex.ru</v>
          </cell>
        </row>
        <row r="1858">
          <cell r="A1858" t="str">
            <v>Степанов Андрей Васильевич</v>
          </cell>
          <cell r="B1858" t="str">
            <v>Т-01865/АЗ_Т-20211028/Ц</v>
          </cell>
        </row>
        <row r="1859">
          <cell r="A1859" t="str">
            <v>Степанов Игорь Александрович</v>
          </cell>
          <cell r="B1859" t="str">
            <v>В-12716/КЛ.Транш - 1</v>
          </cell>
          <cell r="C1859" t="str">
            <v>lyuba.stepanova.2007@mail.ru</v>
          </cell>
          <cell r="D1859" t="str">
            <v>lyuba.stepanova.2007@mail.ru</v>
          </cell>
        </row>
        <row r="1860">
          <cell r="A1860" t="str">
            <v>Степанова Анна Олеговна</v>
          </cell>
          <cell r="B1860" t="str">
            <v>В-01252/КЛ.Транш - 1</v>
          </cell>
          <cell r="C1860" t="str">
            <v>Zelenoglazkanna@gmail.com</v>
          </cell>
        </row>
        <row r="1861">
          <cell r="A1861" t="str">
            <v>Степанян Степан Бахтиярович</v>
          </cell>
          <cell r="B1861" t="str">
            <v>В-00818/АЗ</v>
          </cell>
        </row>
        <row r="1862">
          <cell r="A1862" t="str">
            <v>Степанян Тигран Геворгович</v>
          </cell>
          <cell r="B1862" t="str">
            <v>В-19252/КЛ.Транш - 1</v>
          </cell>
          <cell r="C1862" t="str">
            <v>tigran1478@gmail.com</v>
          </cell>
        </row>
        <row r="1863">
          <cell r="A1863" t="str">
            <v>Степенко Александр Сергеевич</v>
          </cell>
          <cell r="B1863" t="str">
            <v>В-12269/КЛ.Транш - 1</v>
          </cell>
          <cell r="D1863" t="str">
            <v>august1975@yandex.ru</v>
          </cell>
        </row>
        <row r="1864">
          <cell r="A1864" t="str">
            <v>Стрельникова Татьяна Владимировна</v>
          </cell>
          <cell r="B1864" t="str">
            <v>В-21352/КЛ.Транш - 1</v>
          </cell>
          <cell r="D1864" t="str">
            <v>tania198009@mail.ru</v>
          </cell>
        </row>
        <row r="1865">
          <cell r="A1865" t="str">
            <v>Стрельникова Татьяна Владимировна</v>
          </cell>
          <cell r="B1865" t="str">
            <v>В-21352/КЛ.Транш - 2</v>
          </cell>
          <cell r="D1865" t="str">
            <v>tania198009@mail.ru</v>
          </cell>
        </row>
        <row r="1866">
          <cell r="A1866" t="str">
            <v>Стрельникова Татьяна Владимировна</v>
          </cell>
          <cell r="B1866" t="str">
            <v>В-21352/КЛ.Транш - 3</v>
          </cell>
          <cell r="D1866" t="str">
            <v>tania198009@mail.ru</v>
          </cell>
        </row>
        <row r="1867">
          <cell r="A1867" t="str">
            <v>Стрельцов Денис Николаевич</v>
          </cell>
          <cell r="B1867" t="str">
            <v>В-09213/КЛ.Транш - 1</v>
          </cell>
          <cell r="C1867" t="str">
            <v>streltsov74@mail.ru</v>
          </cell>
        </row>
        <row r="1868">
          <cell r="A1868" t="str">
            <v>Стрельченкова Мария Владимировна</v>
          </cell>
          <cell r="B1868" t="str">
            <v>В-26644/КЛ.Транш - 1</v>
          </cell>
        </row>
        <row r="1869">
          <cell r="A1869" t="str">
            <v>Строганова Таисия Александровна</v>
          </cell>
          <cell r="B1869" t="str">
            <v>В-28923/КЛ.Транш - 1</v>
          </cell>
          <cell r="C1869" t="str">
            <v>taisiastrogonova555@gmail.com</v>
          </cell>
          <cell r="D1869" t="str">
            <v>taisiastrogonova555@gmail.com</v>
          </cell>
        </row>
        <row r="1870">
          <cell r="A1870" t="str">
            <v>СТРОЙ ПРОТЕК ООО</v>
          </cell>
          <cell r="B1870" t="str">
            <v>А-10037/КЭ.Транш - 1</v>
          </cell>
        </row>
        <row r="1871">
          <cell r="A1871" t="str">
            <v>Строй-Универсал ООО</v>
          </cell>
          <cell r="B1871" t="str">
            <v>А-00366/КЭ.Транш - 3</v>
          </cell>
          <cell r="C1871" t="str">
            <v>9773121320@mail.ru</v>
          </cell>
        </row>
        <row r="1872">
          <cell r="A1872" t="str">
            <v>Строчкин Сергей Иванович</v>
          </cell>
          <cell r="B1872" t="str">
            <v>А-05195/АЗ</v>
          </cell>
        </row>
        <row r="1873">
          <cell r="A1873" t="str">
            <v>Строчкин Сергей Иванович</v>
          </cell>
          <cell r="B1873" t="str">
            <v>Т-01754/АЗ_20190723/Ц</v>
          </cell>
        </row>
        <row r="1874">
          <cell r="A1874" t="str">
            <v>Струнгарь Григорий Васильевич</v>
          </cell>
          <cell r="B1874" t="str">
            <v>В-00547/АЗ</v>
          </cell>
        </row>
        <row r="1875">
          <cell r="A1875" t="str">
            <v>Суванов Элнур Равшан Оглы</v>
          </cell>
          <cell r="B1875" t="str">
            <v>В-13629/КЛ.Транш - 1</v>
          </cell>
        </row>
        <row r="1876">
          <cell r="A1876" t="str">
            <v>Сукач Галина Александровна</v>
          </cell>
          <cell r="B1876" t="str">
            <v>В-07377/КЛ.Транш - 1</v>
          </cell>
          <cell r="C1876" t="str">
            <v>suсach_ga@mail.ru</v>
          </cell>
        </row>
        <row r="1877">
          <cell r="A1877" t="str">
            <v>Сукач Олег Константинович</v>
          </cell>
          <cell r="B1877" t="str">
            <v>Т-01853/АЗ_Т-20211028/Ц</v>
          </cell>
          <cell r="C1877" t="str">
            <v>sukacholeg66@mail.ru</v>
          </cell>
        </row>
        <row r="1878">
          <cell r="A1878" t="str">
            <v>Султанов Салим Исламович</v>
          </cell>
          <cell r="B1878" t="str">
            <v>В-24072/АЗ</v>
          </cell>
          <cell r="D1878" t="str">
            <v>salimow@mail.ru</v>
          </cell>
        </row>
        <row r="1879">
          <cell r="A1879" t="str">
            <v>Султанов Феликс Салаватович</v>
          </cell>
          <cell r="B1879" t="str">
            <v>В-25185/КЛ.Транш - 1</v>
          </cell>
          <cell r="C1879" t="str">
            <v>f.sultanov@ladya-avto.ru</v>
          </cell>
          <cell r="D1879" t="str">
            <v>f.sultanov@ladya-avto.ru</v>
          </cell>
        </row>
        <row r="1880">
          <cell r="A1880" t="str">
            <v>Султанова Анастасия Григорьевна</v>
          </cell>
          <cell r="B1880" t="str">
            <v>В-29007/КЛ.Транш - 1</v>
          </cell>
          <cell r="D1880" t="str">
            <v>89870389445@mail.ru</v>
          </cell>
        </row>
        <row r="1881">
          <cell r="A1881" t="str">
            <v>Султанова Анна Валерьевна</v>
          </cell>
          <cell r="B1881" t="str">
            <v>В-23901/КЛ.Транш - 1</v>
          </cell>
          <cell r="C1881" t="str">
            <v>anuta-solanj@mail.ru</v>
          </cell>
          <cell r="D1881" t="str">
            <v>anuta-solanj@mail.ru</v>
          </cell>
        </row>
        <row r="1882">
          <cell r="A1882" t="str">
            <v>Сундуков Сергей Сергеевич</v>
          </cell>
          <cell r="B1882" t="str">
            <v>В-19457/КЛ.Транш - 1</v>
          </cell>
          <cell r="D1882" t="str">
            <v>sundukov.s@bk.ru</v>
          </cell>
        </row>
        <row r="1883">
          <cell r="A1883" t="str">
            <v>Сурагин Владимир Игоревич</v>
          </cell>
          <cell r="B1883" t="str">
            <v>Т-01835/АЗ_Т-20211028/Ц</v>
          </cell>
          <cell r="C1883" t="str">
            <v>SURAGIN.VOVA@BK.RU</v>
          </cell>
        </row>
        <row r="1884">
          <cell r="A1884" t="str">
            <v>Сурин Георгий Николаевич</v>
          </cell>
          <cell r="B1884" t="str">
            <v>Т-01880/АЗ_Т-20211028/Ц</v>
          </cell>
          <cell r="C1884" t="str">
            <v>mr.sgn2011@mail.ru</v>
          </cell>
        </row>
        <row r="1885">
          <cell r="A1885" t="str">
            <v>Сутько Максим Николаевич</v>
          </cell>
          <cell r="B1885" t="str">
            <v>В-01013/КЛ.Транш - 1</v>
          </cell>
          <cell r="C1885" t="str">
            <v>maxim_sutko@mail.ru</v>
          </cell>
        </row>
        <row r="1886">
          <cell r="A1886" t="str">
            <v>Сухов Алексей Александрович</v>
          </cell>
          <cell r="B1886" t="str">
            <v>В-10627/КЛ.Транш - 1</v>
          </cell>
          <cell r="C1886" t="str">
            <v>SUHOV1702@inbox.ru</v>
          </cell>
        </row>
        <row r="1887">
          <cell r="A1887" t="str">
            <v>Сывороткин Сергей Валентинович</v>
          </cell>
          <cell r="B1887" t="str">
            <v>В-23979/КЛ.Транш - 1</v>
          </cell>
        </row>
        <row r="1888">
          <cell r="A1888" t="str">
            <v>Сырышева Жанна Евгеньевна</v>
          </cell>
          <cell r="B1888" t="str">
            <v>В-18972/КЛ.Транш - 1</v>
          </cell>
          <cell r="D1888" t="str">
            <v>JANESUR@MAIL.RU</v>
          </cell>
        </row>
        <row r="1889">
          <cell r="A1889" t="str">
            <v>Сытник Александр Владимирович</v>
          </cell>
          <cell r="B1889" t="str">
            <v>В-27422/КЛ.Транш - 1</v>
          </cell>
        </row>
        <row r="1890">
          <cell r="A1890" t="str">
            <v>Сычев Станислав Геннадьевич</v>
          </cell>
          <cell r="B1890" t="str">
            <v>А-05334/АЗ_А-20210517/Ц</v>
          </cell>
          <cell r="C1890" t="str">
            <v>sychovsg@yandex.ru</v>
          </cell>
          <cell r="D1890" t="str">
            <v>sychovsg@yandex.ru</v>
          </cell>
        </row>
        <row r="1891">
          <cell r="A1891" t="str">
            <v>Сычев Станислав Геннадьевич</v>
          </cell>
          <cell r="B1891" t="str">
            <v>Т-01798/АЗ_Т-20210517/Ц</v>
          </cell>
          <cell r="C1891" t="str">
            <v>sychovsg@yandex.ru</v>
          </cell>
          <cell r="D1891" t="str">
            <v>sychovsg@yandex.ru</v>
          </cell>
        </row>
        <row r="1892">
          <cell r="A1892" t="str">
            <v>Тагаева Ольга Гиниядовна</v>
          </cell>
          <cell r="B1892" t="str">
            <v>В-20210/КЛ.Транш - 1</v>
          </cell>
          <cell r="D1892" t="str">
            <v>tagaeva.83@mail.ru</v>
          </cell>
        </row>
        <row r="1893">
          <cell r="A1893" t="str">
            <v>Тагаева Ольга Гиниядовна</v>
          </cell>
          <cell r="B1893" t="str">
            <v>В-20210/КЛ.Транш - 2</v>
          </cell>
          <cell r="D1893" t="str">
            <v>tagaeva.83@mail.ru</v>
          </cell>
        </row>
        <row r="1894">
          <cell r="A1894" t="str">
            <v>Тагиев Рафаел Иса Оглы</v>
          </cell>
          <cell r="B1894" t="str">
            <v>В-12007/КЛ.Транш - 2</v>
          </cell>
          <cell r="C1894" t="str">
            <v>tagievrafael8@gmail.com</v>
          </cell>
        </row>
        <row r="1895">
          <cell r="A1895" t="str">
            <v>Талаев Алексей Анатольевич</v>
          </cell>
          <cell r="B1895" t="str">
            <v>В-10890/КЛ.Транш - 1</v>
          </cell>
          <cell r="C1895" t="str">
            <v>atalaev74@mail.ru</v>
          </cell>
        </row>
        <row r="1896">
          <cell r="A1896" t="str">
            <v>Тамбовцев Кирилл Евгеньевич</v>
          </cell>
          <cell r="B1896" t="str">
            <v>В-26454/КЛ.Транш - 1</v>
          </cell>
          <cell r="D1896" t="str">
            <v>kirill9@list.ru</v>
          </cell>
        </row>
        <row r="1897">
          <cell r="A1897" t="str">
            <v>Танишева Ольга Сергеевна</v>
          </cell>
          <cell r="B1897" t="str">
            <v>В-16610/КЛ.Транш - 1</v>
          </cell>
          <cell r="D1897" t="str">
            <v>ole4ka2009.01@mail.ru</v>
          </cell>
        </row>
        <row r="1898">
          <cell r="A1898" t="str">
            <v>Таран Валерий Григорьевич</v>
          </cell>
          <cell r="B1898" t="str">
            <v>В-24713/АЗ</v>
          </cell>
          <cell r="D1898" t="str">
            <v>taran.V64ler@yandex.ru</v>
          </cell>
        </row>
        <row r="1899">
          <cell r="A1899" t="str">
            <v>Тарасов Александр Владимирович</v>
          </cell>
          <cell r="B1899" t="str">
            <v>В-02849/КЛ.Транш - 1</v>
          </cell>
          <cell r="C1899" t="str">
            <v>Powertek-Service@mail.ru</v>
          </cell>
        </row>
        <row r="1900">
          <cell r="A1900" t="str">
            <v>Тарасов Дмитрий Алексеевич</v>
          </cell>
          <cell r="B1900" t="str">
            <v>В-01068/АЗ</v>
          </cell>
          <cell r="C1900" t="str">
            <v>fradis-x@yandex.ru</v>
          </cell>
        </row>
        <row r="1901">
          <cell r="A1901" t="str">
            <v>Тарасов Дмитрий Алексеевич</v>
          </cell>
          <cell r="B1901" t="str">
            <v>В-26432/АЗ</v>
          </cell>
          <cell r="C1901" t="str">
            <v>fradis-x@yandex.ru</v>
          </cell>
        </row>
        <row r="1902">
          <cell r="A1902" t="str">
            <v>Тарасов Олег Васильевич</v>
          </cell>
          <cell r="B1902" t="str">
            <v>В-22205/КЛ.Транш - 1</v>
          </cell>
          <cell r="C1902" t="str">
            <v>tarasov.esm@mail.ru</v>
          </cell>
        </row>
        <row r="1903">
          <cell r="A1903" t="str">
            <v>Тарасов Олег Васильевич</v>
          </cell>
          <cell r="B1903" t="str">
            <v>В-22205/КЛ.Транш - 2</v>
          </cell>
          <cell r="C1903" t="str">
            <v>tarasov.esm@mail.ru</v>
          </cell>
        </row>
        <row r="1904">
          <cell r="A1904" t="str">
            <v>Тарасов Сергей Валерьевич</v>
          </cell>
          <cell r="B1904" t="str">
            <v>В-28154/КЛ.Транш - 1</v>
          </cell>
          <cell r="C1904" t="str">
            <v>Stargrey.77sv@gmail.com</v>
          </cell>
          <cell r="D1904" t="str">
            <v>Stargrey.77sv@gmail.com</v>
          </cell>
        </row>
        <row r="1905">
          <cell r="A1905" t="str">
            <v>Ташланова Юлия Юрьевна</v>
          </cell>
          <cell r="B1905" t="str">
            <v>В-17788/КЛ.Транш - 1</v>
          </cell>
          <cell r="C1905" t="str">
            <v>tashlanova2010@yandex.ru</v>
          </cell>
        </row>
        <row r="1906">
          <cell r="A1906" t="str">
            <v>Ташланова Юлия Юрьевна</v>
          </cell>
          <cell r="B1906" t="str">
            <v>В-17788/КЛ.Транш - 2</v>
          </cell>
          <cell r="C1906" t="str">
            <v>tashlanova2010@yandex.ru</v>
          </cell>
        </row>
        <row r="1907">
          <cell r="A1907" t="str">
            <v>Ташланова Юлия Юрьевна</v>
          </cell>
          <cell r="B1907" t="str">
            <v>В-17788/КЛ.Транш - 3</v>
          </cell>
          <cell r="C1907" t="str">
            <v>tashlanova2010@yandex.ru</v>
          </cell>
        </row>
        <row r="1908">
          <cell r="A1908" t="str">
            <v>Темникова Оксана Дмитриевна</v>
          </cell>
          <cell r="B1908" t="str">
            <v>В-15393/КЛ.Транш - 1</v>
          </cell>
          <cell r="C1908" t="str">
            <v>temnikovaksenia2017@gmail.com</v>
          </cell>
        </row>
        <row r="1909">
          <cell r="A1909" t="str">
            <v>Теплякова Оксана Вячеславовна</v>
          </cell>
          <cell r="B1909" t="str">
            <v>В-22101/КЛ.Транш - 1</v>
          </cell>
          <cell r="D1909" t="str">
            <v>oteplyakova80@gmail.com</v>
          </cell>
        </row>
        <row r="1910">
          <cell r="A1910" t="str">
            <v>Терентьев Антон Николаевич</v>
          </cell>
          <cell r="B1910" t="str">
            <v>В-01193/АЗ</v>
          </cell>
          <cell r="C1910" t="str">
            <v>aterentyev@nglass.ru</v>
          </cell>
        </row>
        <row r="1911">
          <cell r="A1911" t="str">
            <v>Терехов Андрей Анатольевич</v>
          </cell>
          <cell r="B1911" t="str">
            <v>В-20035/КЛ.Транш - 1</v>
          </cell>
          <cell r="D1911" t="str">
            <v>andrey.terehoff2014@yandex.ru</v>
          </cell>
        </row>
        <row r="1912">
          <cell r="A1912" t="str">
            <v>Терещенко Дмитрий Андреевич</v>
          </cell>
          <cell r="B1912" t="str">
            <v>В-05766/КЛ.Транш - 3</v>
          </cell>
          <cell r="C1912" t="str">
            <v>demetrio@livechat.su</v>
          </cell>
          <cell r="D1912" t="str">
            <v>demetrio@livechat.su</v>
          </cell>
        </row>
        <row r="1913">
          <cell r="A1913" t="str">
            <v>Терещенко Дмитрий Андреевич</v>
          </cell>
          <cell r="B1913" t="str">
            <v>В-05766/КЛ.Транш - 4</v>
          </cell>
          <cell r="C1913" t="str">
            <v>demetrio@livechat.su</v>
          </cell>
          <cell r="D1913" t="str">
            <v>demetrio@livechat.su</v>
          </cell>
        </row>
        <row r="1914">
          <cell r="A1914" t="str">
            <v>Терновая Наталия Вячеславовна</v>
          </cell>
          <cell r="B1914" t="str">
            <v>В-26135/КЛ.Транш - 1</v>
          </cell>
          <cell r="C1914" t="str">
            <v>ternovog@icloud.com</v>
          </cell>
        </row>
        <row r="1915">
          <cell r="A1915" t="str">
            <v>Тертерян Артур Арамович</v>
          </cell>
          <cell r="B1915" t="str">
            <v>В-02306/КЛ.Транш - 2</v>
          </cell>
          <cell r="C1915" t="str">
            <v>djandav@yandex.ru</v>
          </cell>
        </row>
        <row r="1916">
          <cell r="A1916" t="str">
            <v>Тертишник Павел Валерьевич</v>
          </cell>
          <cell r="B1916" t="str">
            <v>В-23906/КЛ.Транш - 1</v>
          </cell>
          <cell r="C1916" t="str">
            <v>pavel-kopyt@mail.ru</v>
          </cell>
          <cell r="D1916" t="str">
            <v>pavel-kopyt@mail.ru</v>
          </cell>
        </row>
        <row r="1917">
          <cell r="A1917" t="str">
            <v>Теслюк Игорь Анатольевич</v>
          </cell>
          <cell r="B1917" t="str">
            <v>В-00256/КЛ.Транш - 1_В-20211230/Ц</v>
          </cell>
          <cell r="C1917" t="str">
            <v>barmaley887@mail.ru</v>
          </cell>
        </row>
        <row r="1918">
          <cell r="A1918" t="str">
            <v>Теслюк Игорь Анатольевич</v>
          </cell>
          <cell r="B1918" t="str">
            <v>В-00256/КЛ.Транш - 2_В-20211230/Ц</v>
          </cell>
          <cell r="C1918" t="str">
            <v>barmaley887@mail.ru</v>
          </cell>
        </row>
        <row r="1919">
          <cell r="A1919" t="str">
            <v>Тетерин Владимир Михайлович</v>
          </cell>
          <cell r="B1919" t="str">
            <v>В-08962/КЛ.Транш - 1</v>
          </cell>
          <cell r="C1919" t="str">
            <v>VLABIMIRT.3T@MAIL.RU</v>
          </cell>
        </row>
        <row r="1920">
          <cell r="A1920" t="str">
            <v>ТехТара ООО</v>
          </cell>
          <cell r="B1920" t="str">
            <v>В-00070/КЭ.Транш - 1</v>
          </cell>
          <cell r="C1920" t="str">
            <v>alexhenshi@gmail.com</v>
          </cell>
        </row>
        <row r="1921">
          <cell r="A1921" t="str">
            <v>Тигранян Гор Робертович</v>
          </cell>
          <cell r="B1921" t="str">
            <v>В-27843/КЛ.Транш - 1</v>
          </cell>
          <cell r="C1921" t="str">
            <v>355@inbox.ru</v>
          </cell>
        </row>
        <row r="1922">
          <cell r="A1922" t="str">
            <v>Тимонин Виктор Викторович</v>
          </cell>
          <cell r="B1922" t="str">
            <v>В-01143/АЗ</v>
          </cell>
          <cell r="C1922" t="str">
            <v>timoninviktor9@gmail.com</v>
          </cell>
        </row>
        <row r="1923">
          <cell r="A1923" t="str">
            <v>Тимохин Иван Алексеевич</v>
          </cell>
          <cell r="B1923" t="str">
            <v>В-20329/КЛ.Транш - 1</v>
          </cell>
          <cell r="D1923" t="str">
            <v>reserver@bk.ru</v>
          </cell>
        </row>
        <row r="1924">
          <cell r="A1924" t="str">
            <v>Тимохин Иван Алексеевич</v>
          </cell>
          <cell r="B1924" t="str">
            <v>В-20329/КЛ.Транш - 2</v>
          </cell>
          <cell r="D1924" t="str">
            <v>reserver@bk.ru</v>
          </cell>
        </row>
        <row r="1925">
          <cell r="A1925" t="str">
            <v>Тимошинин Сергей Сергеевич</v>
          </cell>
          <cell r="B1925" t="str">
            <v>В-00553/КЛ.Транш - 5</v>
          </cell>
        </row>
        <row r="1926">
          <cell r="A1926" t="str">
            <v>Тимошинин Сергей Сергеевич</v>
          </cell>
          <cell r="B1926" t="str">
            <v>В-00553/КЛ.Транш - 7</v>
          </cell>
        </row>
        <row r="1927">
          <cell r="A1927" t="str">
            <v>Тимошинин Сергей Сергеевич</v>
          </cell>
          <cell r="B1927" t="str">
            <v>В-00553/КЛ.Транш - 8</v>
          </cell>
        </row>
        <row r="1928">
          <cell r="A1928" t="str">
            <v>Титишин Андрей Геннадьевич</v>
          </cell>
          <cell r="B1928" t="str">
            <v>В-06961/КЛ.Транш - 1</v>
          </cell>
          <cell r="C1928" t="str">
            <v>79andrei1979@mail.ru</v>
          </cell>
        </row>
        <row r="1929">
          <cell r="A1929" t="str">
            <v>Титов Максим Сергеевич</v>
          </cell>
          <cell r="B1929" t="str">
            <v>В-14484/КЛ.Транш - 1</v>
          </cell>
          <cell r="C1929" t="str">
            <v>mack.tit2018@gmail.com</v>
          </cell>
          <cell r="D1929" t="str">
            <v>mack.tit2018@gmail.com</v>
          </cell>
        </row>
        <row r="1930">
          <cell r="A1930" t="str">
            <v>Тихонов Максим Алексеевич</v>
          </cell>
          <cell r="B1930" t="str">
            <v>В-08042/КЛ.Транш - 1_В-20211230/Ц</v>
          </cell>
          <cell r="C1930" t="str">
            <v>1073454@mail.ru</v>
          </cell>
        </row>
        <row r="1931">
          <cell r="A1931" t="str">
            <v>Тихонова Ирина Анатольевна</v>
          </cell>
          <cell r="B1931" t="str">
            <v>В-03300/КЛ.Транш - 1</v>
          </cell>
          <cell r="C1931" t="str">
            <v>irina.3833@mail.ru</v>
          </cell>
        </row>
        <row r="1932">
          <cell r="A1932" t="str">
            <v>ТК МЕЖРЕГИОНСЕРВИС-77 ООО</v>
          </cell>
          <cell r="B1932" t="str">
            <v>В-00034/КЭ.Транш - 1_В20211230/Ц</v>
          </cell>
        </row>
        <row r="1933">
          <cell r="A1933" t="str">
            <v>Токин Юрий Эдуардович</v>
          </cell>
          <cell r="B1933" t="str">
            <v>В-27334/КЛ.Транш - 1</v>
          </cell>
          <cell r="D1933" t="str">
            <v>meatspin2003@gmail.com</v>
          </cell>
        </row>
        <row r="1934">
          <cell r="A1934" t="str">
            <v>Толкачева Елена Владимировна</v>
          </cell>
          <cell r="B1934" t="str">
            <v>В-03761/КЛ.Транш - 1</v>
          </cell>
          <cell r="C1934" t="str">
            <v>alenchik-velo@mail.ru</v>
          </cell>
        </row>
        <row r="1935">
          <cell r="A1935" t="str">
            <v>Толстолугова Ирина Игорьевна</v>
          </cell>
          <cell r="B1935" t="str">
            <v>В-28259/КЛ.Транш - 1</v>
          </cell>
          <cell r="D1935" t="str">
            <v>rina171@mail.ru</v>
          </cell>
        </row>
        <row r="1936">
          <cell r="A1936" t="str">
            <v>Тонконогов Артем Андреевич</v>
          </cell>
          <cell r="B1936" t="str">
            <v>В-21858/КЛ.Транш - 1</v>
          </cell>
          <cell r="D1936" t="str">
            <v>Toby23@yandex.ru</v>
          </cell>
        </row>
        <row r="1937">
          <cell r="A1937" t="str">
            <v>Торокулов Уланбек Талайбекович</v>
          </cell>
          <cell r="B1937" t="str">
            <v>В-06130/КЛ.Транш - 4</v>
          </cell>
          <cell r="C1937" t="str">
            <v>ulantorokulov63@gmail.com</v>
          </cell>
        </row>
        <row r="1938">
          <cell r="A1938" t="str">
            <v>Торокулов Уланбек Талайбекович</v>
          </cell>
          <cell r="B1938" t="str">
            <v>В-06130/КЛ.Транш - 5</v>
          </cell>
          <cell r="C1938" t="str">
            <v>ulantorokulov63@gmail.com</v>
          </cell>
        </row>
        <row r="1939">
          <cell r="A1939" t="str">
            <v>Торокулов Уланбек Талайбекович</v>
          </cell>
          <cell r="B1939" t="str">
            <v>В-06130/КЛ.Транш - 6</v>
          </cell>
          <cell r="C1939" t="str">
            <v>ulantorokulov63@gmail.com</v>
          </cell>
        </row>
        <row r="1940">
          <cell r="A1940" t="str">
            <v>Торокулов Уланбек Талайбекович</v>
          </cell>
          <cell r="B1940" t="str">
            <v>В-06130/КЛ.Транш - 7</v>
          </cell>
          <cell r="C1940" t="str">
            <v>ulantorokulov63@gmail.com</v>
          </cell>
        </row>
        <row r="1941">
          <cell r="A1941" t="str">
            <v>Торосян Ара Вирапович</v>
          </cell>
          <cell r="B1941" t="str">
            <v>В-05654/КЛ.Транш - 1</v>
          </cell>
          <cell r="C1941" t="str">
            <v>torosyanara8529@gmail.com</v>
          </cell>
        </row>
        <row r="1942">
          <cell r="A1942" t="str">
            <v>Травничек Андрей Михайлович</v>
          </cell>
          <cell r="B1942" t="str">
            <v>В-04096/КЛ.Транш - 1</v>
          </cell>
          <cell r="C1942" t="str">
            <v>6028984@mail.ru</v>
          </cell>
        </row>
        <row r="1943">
          <cell r="A1943" t="str">
            <v>Травничек Андрей Михайлович</v>
          </cell>
          <cell r="B1943" t="str">
            <v>В-04096/КЛ.Транш - 2</v>
          </cell>
          <cell r="C1943" t="str">
            <v>6028984@mail.ru</v>
          </cell>
        </row>
        <row r="1944">
          <cell r="A1944" t="str">
            <v>Травничек Андрей Михайлович</v>
          </cell>
          <cell r="B1944" t="str">
            <v>В-04096/КЛ.Транш - 3</v>
          </cell>
          <cell r="C1944" t="str">
            <v>6028984@mail.ru</v>
          </cell>
        </row>
        <row r="1945">
          <cell r="A1945" t="str">
            <v>ТРАНСЛОГ ООО</v>
          </cell>
          <cell r="B1945" t="str">
            <v>А-10118/КЭ.Транш - 1</v>
          </cell>
          <cell r="C1945" t="str">
            <v>translog.jv@mail.ru</v>
          </cell>
        </row>
        <row r="1946">
          <cell r="A1946" t="str">
            <v>ТРАНСЛОГ ООО</v>
          </cell>
          <cell r="B1946" t="str">
            <v>В-10022/КЭ.Транш - 1</v>
          </cell>
          <cell r="C1946" t="str">
            <v>translog.jv@mail.ru</v>
          </cell>
        </row>
        <row r="1947">
          <cell r="A1947" t="str">
            <v>Трахов Заур Шамсудинович</v>
          </cell>
          <cell r="B1947" t="str">
            <v>В-26963/КЛ.Транш - 1</v>
          </cell>
          <cell r="D1947" t="str">
            <v>Zaur_TRakhov@mail.ru</v>
          </cell>
        </row>
        <row r="1948">
          <cell r="A1948" t="str">
            <v>Трененков Александр Николаевич</v>
          </cell>
          <cell r="B1948" t="str">
            <v>В-01207/АЗ</v>
          </cell>
          <cell r="C1948" t="str">
            <v>trenenkov1989@mail.ru</v>
          </cell>
          <cell r="D1948" t="str">
            <v>trenenkov1989@mail.ru</v>
          </cell>
        </row>
        <row r="1949">
          <cell r="A1949" t="str">
            <v>ТРИТОНН ООО</v>
          </cell>
          <cell r="B1949" t="str">
            <v>В-30010/КЭ.Транш - 1</v>
          </cell>
          <cell r="C1949" t="str">
            <v>adam.kunijev@yandex.ru</v>
          </cell>
        </row>
        <row r="1950">
          <cell r="A1950" t="str">
            <v>Трифонов Николай Валентинович</v>
          </cell>
          <cell r="B1950" t="str">
            <v>В-00151/АЗ_В-20211230/Ц</v>
          </cell>
          <cell r="C1950" t="str">
            <v>9150260@mail.ru</v>
          </cell>
        </row>
        <row r="1951">
          <cell r="A1951" t="str">
            <v>Тришина Екатерина Викторовна</v>
          </cell>
          <cell r="B1951" t="str">
            <v>В-21146/КЛ.Транш - 1</v>
          </cell>
          <cell r="D1951" t="str">
            <v>taxi-703e@mail.ru</v>
          </cell>
        </row>
        <row r="1952">
          <cell r="A1952" t="str">
            <v>Трофименко Артем Алексеевич</v>
          </cell>
          <cell r="B1952" t="str">
            <v>В-01228/АЗ</v>
          </cell>
          <cell r="C1952" t="str">
            <v>art-dial@yandex.ru</v>
          </cell>
          <cell r="D1952" t="str">
            <v>art-dial@yandex.ru</v>
          </cell>
        </row>
        <row r="1953">
          <cell r="A1953" t="str">
            <v>Трофимов Олег Владимирович</v>
          </cell>
          <cell r="B1953" t="str">
            <v>В-00714/КЛ.Транш - 1</v>
          </cell>
          <cell r="C1953" t="str">
            <v>Trfoleg@mail.ru</v>
          </cell>
        </row>
        <row r="1954">
          <cell r="A1954" t="str">
            <v>Трошин Владимир Петрович</v>
          </cell>
          <cell r="B1954" t="str">
            <v>В-28355/КЛ.Транш - 1</v>
          </cell>
          <cell r="C1954" t="str">
            <v>voldemar8.8@mail.ru</v>
          </cell>
          <cell r="D1954" t="str">
            <v>voldemar8.8@mail.ru</v>
          </cell>
        </row>
        <row r="1955">
          <cell r="A1955" t="str">
            <v>Трунова Екатерина Юрьевна</v>
          </cell>
          <cell r="B1955" t="str">
            <v>В-14335/КЛ.Транш - 1_В-20211230/Ц</v>
          </cell>
          <cell r="D1955" t="str">
            <v>trunovakaterina@mail.ru</v>
          </cell>
        </row>
        <row r="1956">
          <cell r="A1956" t="str">
            <v>Трунтов Андрей Федорович</v>
          </cell>
          <cell r="B1956" t="str">
            <v>В-17824/КЛ.Транш - 1</v>
          </cell>
        </row>
        <row r="1957">
          <cell r="A1957" t="str">
            <v>Трупиков Дмитрий Станиславович</v>
          </cell>
          <cell r="B1957" t="str">
            <v>В-11533/КЛ.Транш - 1</v>
          </cell>
          <cell r="C1957" t="str">
            <v>vina.tamani@mail.ru</v>
          </cell>
        </row>
        <row r="1958">
          <cell r="A1958" t="str">
            <v>Труханкин Анатолий Васильевич</v>
          </cell>
          <cell r="B1958" t="str">
            <v>В-26928/КЛ.Транш - 1</v>
          </cell>
          <cell r="D1958" t="str">
            <v>atruchankin@mail.ru</v>
          </cell>
        </row>
        <row r="1959">
          <cell r="A1959" t="str">
            <v>Трушникова Инна Олеговна</v>
          </cell>
          <cell r="B1959" t="str">
            <v>В-18261/КЛ.Транш - 1</v>
          </cell>
          <cell r="C1959" t="str">
            <v>1nnarepina@bk.ru</v>
          </cell>
          <cell r="D1959" t="str">
            <v>1nnarepina@bk.ru</v>
          </cell>
        </row>
        <row r="1960">
          <cell r="A1960" t="str">
            <v>Тряпко Владимир Александрович</v>
          </cell>
          <cell r="B1960" t="str">
            <v>В-21574/КЛ.Транш - 1</v>
          </cell>
          <cell r="D1960" t="str">
            <v>vladimirtryabko@gmail.com</v>
          </cell>
        </row>
        <row r="1961">
          <cell r="A1961" t="str">
            <v>Тульнова Ольга Владимировна</v>
          </cell>
          <cell r="B1961" t="str">
            <v>В-12067/КЛ.Транш - 1</v>
          </cell>
        </row>
        <row r="1962">
          <cell r="A1962" t="str">
            <v>Тунбаев Максим Валерович</v>
          </cell>
          <cell r="B1962" t="str">
            <v>В-08148/КЛ.Транш - 2</v>
          </cell>
          <cell r="C1962" t="str">
            <v>tunbaev_m@mail.ru</v>
          </cell>
        </row>
        <row r="1963">
          <cell r="A1963" t="str">
            <v>Турумбекова Темиркан Кадырбековна</v>
          </cell>
          <cell r="B1963" t="str">
            <v>В-27753/КЛ.Транш - 1</v>
          </cell>
          <cell r="C1963" t="str">
            <v>temirkah.turumbekova.82@mail.ru</v>
          </cell>
          <cell r="D1963" t="str">
            <v>temirkah.turumbekova.82@mail.ru</v>
          </cell>
        </row>
        <row r="1964">
          <cell r="A1964" t="str">
            <v>Тутуев Александр Сергеевич</v>
          </cell>
          <cell r="B1964" t="str">
            <v>В-20607/КЛ.Транш - 1</v>
          </cell>
          <cell r="D1964" t="str">
            <v>tytyevalexandr@gmail.com</v>
          </cell>
        </row>
        <row r="1965">
          <cell r="A1965" t="str">
            <v>Тутуев Александр Сергеевич</v>
          </cell>
          <cell r="B1965" t="str">
            <v>В-20607/КЛ.Транш - 2</v>
          </cell>
          <cell r="D1965" t="str">
            <v>tytyevalexandr@gmail.com</v>
          </cell>
        </row>
        <row r="1966">
          <cell r="A1966" t="str">
            <v>Тюменцев Максим Сергеевич</v>
          </cell>
          <cell r="B1966" t="str">
            <v>В-03413/КЛ.Транш - 1</v>
          </cell>
          <cell r="C1966" t="str">
            <v>artmax2014@mail.ru</v>
          </cell>
        </row>
        <row r="1967">
          <cell r="A1967" t="str">
            <v>Тюмин Валерий Александрович</v>
          </cell>
          <cell r="B1967" t="str">
            <v>В-13025/КЛ.Транш - 1_А-20210929/Ц</v>
          </cell>
          <cell r="D1967" t="str">
            <v>BAZILJARIS@MAIL.RU</v>
          </cell>
        </row>
        <row r="1968">
          <cell r="A1968" t="str">
            <v>Тюрин Алексей Викторович</v>
          </cell>
          <cell r="B1968" t="str">
            <v>В-16441/КЛ.Транш - 1_В-20211230/Ц</v>
          </cell>
          <cell r="C1968" t="str">
            <v>tuyi0001@mail.ru</v>
          </cell>
        </row>
        <row r="1969">
          <cell r="A1969" t="str">
            <v>Узаков Пахлавон Муродилович</v>
          </cell>
          <cell r="B1969" t="str">
            <v>В-06143/КЛ.Транш - 1</v>
          </cell>
          <cell r="C1969" t="str">
            <v>pa4avon@mail.ru</v>
          </cell>
        </row>
        <row r="1970">
          <cell r="A1970" t="str">
            <v>Ульбашева Елена Владимировна</v>
          </cell>
          <cell r="B1970" t="str">
            <v>В-28539/КЛ.Транш - 1</v>
          </cell>
          <cell r="C1970" t="str">
            <v>len.ulbasheva@yandex.ru</v>
          </cell>
        </row>
        <row r="1971">
          <cell r="A1971" t="str">
            <v>Унанян Самвел Мартунович</v>
          </cell>
          <cell r="B1971" t="str">
            <v>В-12432/КЛ.Транш - 1</v>
          </cell>
          <cell r="C1971" t="str">
            <v>samvely1981@gmail.com</v>
          </cell>
          <cell r="D1971" t="str">
            <v>samvely1981@gmail.com</v>
          </cell>
        </row>
        <row r="1972">
          <cell r="A1972" t="str">
            <v>Усанова Евгения Георгиевна</v>
          </cell>
          <cell r="B1972" t="str">
            <v>В-28642/АЗ</v>
          </cell>
          <cell r="C1972" t="str">
            <v>janeusanova@gmail.com</v>
          </cell>
          <cell r="D1972" t="str">
            <v>janeusanova@gmail.com</v>
          </cell>
        </row>
        <row r="1973">
          <cell r="A1973" t="str">
            <v>Усанова Екатерина Евгеньевна</v>
          </cell>
          <cell r="B1973" t="str">
            <v>В-28645/АЗ</v>
          </cell>
          <cell r="C1973" t="str">
            <v>catherine434@gmail.com</v>
          </cell>
          <cell r="D1973" t="str">
            <v>catherine434@gmail.com</v>
          </cell>
        </row>
        <row r="1974">
          <cell r="A1974" t="str">
            <v>Усенко Сергей Константинович</v>
          </cell>
          <cell r="B1974" t="str">
            <v>В-24941/КЛ.Транш - 1</v>
          </cell>
          <cell r="D1974" t="str">
            <v>sssbaggio1988@yandex.ru</v>
          </cell>
        </row>
        <row r="1975">
          <cell r="A1975" t="str">
            <v>Усиков Андрей Васильевич</v>
          </cell>
          <cell r="B1975" t="str">
            <v>В-04682/КЛ.Транш - 3</v>
          </cell>
          <cell r="C1975" t="str">
            <v>andrew.usikov@mail.ru</v>
          </cell>
        </row>
        <row r="1976">
          <cell r="A1976" t="str">
            <v>Усиков Андрей Васильевич</v>
          </cell>
          <cell r="B1976" t="str">
            <v>В-04682/КЛ.Транш - 4</v>
          </cell>
          <cell r="C1976" t="str">
            <v>andrew.usikov@mail.ru</v>
          </cell>
        </row>
        <row r="1977">
          <cell r="A1977" t="str">
            <v>Усиков Андрей Васильевич</v>
          </cell>
          <cell r="B1977" t="str">
            <v>В-04682/КЛ.Транш - 5</v>
          </cell>
          <cell r="C1977" t="str">
            <v>andrew.usikov@mail.ru</v>
          </cell>
        </row>
        <row r="1978">
          <cell r="A1978" t="str">
            <v>Усиков Андрей Васильевич</v>
          </cell>
          <cell r="B1978" t="str">
            <v>В-04682/КЛ.Транш - 6</v>
          </cell>
          <cell r="C1978" t="str">
            <v>andrew.usikov@mail.ru</v>
          </cell>
        </row>
        <row r="1979">
          <cell r="A1979" t="str">
            <v>Усиков Андрей Васильевич</v>
          </cell>
          <cell r="B1979" t="str">
            <v>В-04682/КЛ.Транш - 7</v>
          </cell>
          <cell r="C1979" t="str">
            <v>andrew.usikov@mail.ru</v>
          </cell>
        </row>
        <row r="1980">
          <cell r="A1980" t="str">
            <v>Усиков Андрей Васильевич</v>
          </cell>
          <cell r="B1980" t="str">
            <v>В-04682/КЛ.Транш - 8</v>
          </cell>
          <cell r="C1980" t="str">
            <v>andrew.usikov@mail.ru</v>
          </cell>
        </row>
        <row r="1981">
          <cell r="A1981" t="str">
            <v>Ускирева Наталья Владимировна</v>
          </cell>
          <cell r="B1981" t="str">
            <v>В-24454/КЛ.Транш - 1</v>
          </cell>
          <cell r="D1981" t="str">
            <v>usknata@mail.ru</v>
          </cell>
        </row>
        <row r="1982">
          <cell r="A1982" t="str">
            <v>Устинов Максим Викторович</v>
          </cell>
          <cell r="B1982" t="str">
            <v>В-19451/КЛ.Транш - 1</v>
          </cell>
          <cell r="D1982" t="str">
            <v>USTINOV.USTINOV10@YANDEX.RU</v>
          </cell>
        </row>
        <row r="1983">
          <cell r="A1983" t="str">
            <v>Устинов Максим Викторович</v>
          </cell>
          <cell r="B1983" t="str">
            <v>В-19451/КЛ.Транш - 2</v>
          </cell>
          <cell r="D1983" t="str">
            <v>USTINOV.USTINOV10@YANDEX.RU</v>
          </cell>
        </row>
        <row r="1984">
          <cell r="A1984" t="str">
            <v>Устинов Максим Викторович</v>
          </cell>
          <cell r="B1984" t="str">
            <v>В-19451/КЛ.Транш - 3</v>
          </cell>
          <cell r="D1984" t="str">
            <v>USTINOV.USTINOV10@YANDEX.RU</v>
          </cell>
        </row>
        <row r="1985">
          <cell r="A1985" t="str">
            <v>Уткин Алексей Александрович</v>
          </cell>
          <cell r="B1985" t="str">
            <v>В-17940/КЛ.Транш - 1</v>
          </cell>
          <cell r="D1985" t="str">
            <v>alexutk@yandex.ru</v>
          </cell>
        </row>
        <row r="1986">
          <cell r="A1986" t="str">
            <v>Уткин Алексей Александрович</v>
          </cell>
          <cell r="B1986" t="str">
            <v>В-17940/КЛ.Транш - 2</v>
          </cell>
          <cell r="D1986" t="str">
            <v>alexutk@yandex.ru</v>
          </cell>
        </row>
        <row r="1987">
          <cell r="A1987" t="str">
            <v>Уткин Алексей Александрович</v>
          </cell>
          <cell r="B1987" t="str">
            <v>В-17940/КЛ.Транш - 3</v>
          </cell>
          <cell r="D1987" t="str">
            <v>alexutk@yandex.ru</v>
          </cell>
        </row>
        <row r="1988">
          <cell r="A1988" t="str">
            <v>Фадеев Андрей Алексеевич</v>
          </cell>
          <cell r="B1988" t="str">
            <v>В-11549/КЛ.Транш - 2</v>
          </cell>
          <cell r="C1988" t="str">
            <v>fadeev.a.a.1507@yandex.ru</v>
          </cell>
        </row>
        <row r="1989">
          <cell r="A1989" t="str">
            <v>Файзуллин Марат Равильевич</v>
          </cell>
          <cell r="B1989" t="str">
            <v>В-22336/КЛ.Транш - 1</v>
          </cell>
          <cell r="C1989" t="str">
            <v>faizullin_1974@mail.ru</v>
          </cell>
          <cell r="D1989" t="str">
            <v>faizullin_1974@mail.ru</v>
          </cell>
        </row>
        <row r="1990">
          <cell r="A1990" t="str">
            <v>Фатьянов Валерий Михайлович</v>
          </cell>
          <cell r="B1990" t="str">
            <v>В-25978/КЛ.Транш - 1</v>
          </cell>
          <cell r="D1990" t="str">
            <v>fil_18_84@mail.ru</v>
          </cell>
        </row>
        <row r="1991">
          <cell r="A1991" t="str">
            <v>Федоров Александр Николаевич</v>
          </cell>
          <cell r="B1991" t="str">
            <v>В-24198/КЛ.Транш - 1</v>
          </cell>
        </row>
        <row r="1992">
          <cell r="A1992" t="str">
            <v>Федоров Александр Николаевич</v>
          </cell>
          <cell r="B1992" t="str">
            <v>В-24198/КЛ.Транш - 4</v>
          </cell>
        </row>
        <row r="1993">
          <cell r="A1993" t="str">
            <v>Федоров Александр Николаевич</v>
          </cell>
          <cell r="B1993" t="str">
            <v>В-24198/КЛ.Транш - 5</v>
          </cell>
        </row>
        <row r="1994">
          <cell r="A1994" t="str">
            <v>Федоров Александр Николаевич</v>
          </cell>
          <cell r="B1994" t="str">
            <v>В-24198/КЛ.Транш - 6</v>
          </cell>
        </row>
        <row r="1995">
          <cell r="A1995" t="str">
            <v>Федоров Александр Николаевич</v>
          </cell>
          <cell r="B1995" t="str">
            <v>В-24198/КЛ.Транш - 7</v>
          </cell>
        </row>
        <row r="1996">
          <cell r="A1996" t="str">
            <v>Федорченко Любовь Сергеевна</v>
          </cell>
          <cell r="B1996" t="str">
            <v>В-00094/КЛ.Транш - 1</v>
          </cell>
          <cell r="C1996" t="str">
            <v>bslog@list.ru</v>
          </cell>
        </row>
        <row r="1997">
          <cell r="A1997" t="str">
            <v>Федоткин Константин Михайлович</v>
          </cell>
          <cell r="B1997" t="str">
            <v>В-17395/КЛ.Транш - 1</v>
          </cell>
          <cell r="D1997" t="str">
            <v>fedotkin83@yandex.ru</v>
          </cell>
        </row>
        <row r="1998">
          <cell r="A1998" t="str">
            <v>Фейзуллаев Альберт Нефтуллаевич</v>
          </cell>
          <cell r="B1998" t="str">
            <v>В-04210/КЛ.Транш - 1</v>
          </cell>
          <cell r="C1998" t="str">
            <v>al.8988@mail.ru</v>
          </cell>
        </row>
        <row r="1999">
          <cell r="A1999" t="str">
            <v>Фетисов Сергей Владимирович</v>
          </cell>
          <cell r="B1999" t="str">
            <v>В-12631/КЛ.Транш - 1</v>
          </cell>
          <cell r="D1999" t="str">
            <v>fetisovsergey1972@gmail.com</v>
          </cell>
        </row>
        <row r="2000">
          <cell r="A2000" t="str">
            <v>Филатов Сергей Юрьевич</v>
          </cell>
          <cell r="B2000" t="str">
            <v>В-03524/КЛ.Транш - 2</v>
          </cell>
          <cell r="C2000" t="str">
            <v>sergphill@icloud.com</v>
          </cell>
        </row>
        <row r="2001">
          <cell r="A2001" t="str">
            <v>Филатова Юлия Петровна</v>
          </cell>
          <cell r="B2001" t="str">
            <v>В-02583/КЛ.Транш - 5</v>
          </cell>
          <cell r="C2001" t="str">
            <v>filatova-15@yandex.ru</v>
          </cell>
        </row>
        <row r="2002">
          <cell r="A2002" t="str">
            <v>Филатова Юлия Петровна</v>
          </cell>
          <cell r="B2002" t="str">
            <v>В-02583/КЛ.Транш - 6</v>
          </cell>
          <cell r="C2002" t="str">
            <v>filatova-15@yandex.ru</v>
          </cell>
        </row>
        <row r="2003">
          <cell r="A2003" t="str">
            <v>Филатова Юлия Петровна</v>
          </cell>
          <cell r="B2003" t="str">
            <v>В-02583/КЛ.Транш - 7</v>
          </cell>
          <cell r="C2003" t="str">
            <v>filatova-15@yandex.ru</v>
          </cell>
        </row>
        <row r="2004">
          <cell r="A2004" t="str">
            <v>Филатова Юлия Петровна</v>
          </cell>
          <cell r="B2004" t="str">
            <v>В-02583/КЛ.Транш - 8</v>
          </cell>
          <cell r="C2004" t="str">
            <v>filatova-15@yandex.ru</v>
          </cell>
        </row>
        <row r="2005">
          <cell r="A2005" t="str">
            <v>Филатова Юлия Петровна</v>
          </cell>
          <cell r="B2005" t="str">
            <v>В-02583/КЛ.Транш - 9</v>
          </cell>
          <cell r="C2005" t="str">
            <v>filatova-15@yandex.ru</v>
          </cell>
        </row>
        <row r="2006">
          <cell r="A2006" t="str">
            <v>Фоменок Николай Михайлович</v>
          </cell>
          <cell r="B2006" t="str">
            <v>В-02683/КЛ.Транш - 1</v>
          </cell>
          <cell r="C2006" t="str">
            <v>fonimi@bk.ru</v>
          </cell>
        </row>
        <row r="2007">
          <cell r="A2007" t="str">
            <v>Фомин Александр Борисович</v>
          </cell>
          <cell r="B2007" t="str">
            <v>В-05553/КЛ.Транш - 1</v>
          </cell>
          <cell r="C2007" t="str">
            <v>fomin-alexsander-64@yandex.ru</v>
          </cell>
        </row>
        <row r="2008">
          <cell r="A2008" t="str">
            <v>Фомин Александр Борисович</v>
          </cell>
          <cell r="B2008" t="str">
            <v>В-05553/КЛ.Транш - 2</v>
          </cell>
          <cell r="C2008" t="str">
            <v>fomin-alexsander-64@yandex.ru</v>
          </cell>
        </row>
        <row r="2009">
          <cell r="A2009" t="str">
            <v>Фомин Иван Евгеньевич</v>
          </cell>
          <cell r="B2009" t="str">
            <v>В-09100/КЛ.Транш - 1</v>
          </cell>
          <cell r="C2009" t="str">
            <v>fomynwe@yandex.ru</v>
          </cell>
        </row>
        <row r="2010">
          <cell r="A2010" t="str">
            <v>Фомичев Денис Александрович</v>
          </cell>
          <cell r="B2010" t="str">
            <v>В-20064/КЛ.Транш - 1</v>
          </cell>
          <cell r="D2010" t="str">
            <v>mylo2001@mail.ru</v>
          </cell>
        </row>
        <row r="2011">
          <cell r="A2011" t="str">
            <v>Фомичев Павел Петрович</v>
          </cell>
          <cell r="B2011" t="str">
            <v>В-26949/КЛ.Транш - 1</v>
          </cell>
          <cell r="D2011" t="str">
            <v>fomicevpavel12@gmail.com</v>
          </cell>
        </row>
        <row r="2012">
          <cell r="A2012" t="str">
            <v>Фомичев Павел Петрович</v>
          </cell>
          <cell r="B2012" t="str">
            <v>В-26949/КЛ.Транш - 2</v>
          </cell>
          <cell r="D2012" t="str">
            <v>fomicevpavel12@gmail.com</v>
          </cell>
        </row>
        <row r="2013">
          <cell r="A2013" t="str">
            <v>Фомичева Маргарита Витальевна</v>
          </cell>
          <cell r="B2013" t="str">
            <v>В-18029/КЛ.Транш - 1</v>
          </cell>
          <cell r="D2013" t="str">
            <v>margarita.noskova@mail.ru</v>
          </cell>
        </row>
        <row r="2014">
          <cell r="A2014" t="str">
            <v>Фоника Евгений Евгеньевич</v>
          </cell>
          <cell r="B2014" t="str">
            <v>В-19231/КЛ.Транш - 1</v>
          </cell>
          <cell r="D2014" t="str">
            <v>fonikaevgeni@gmail.com</v>
          </cell>
        </row>
        <row r="2015">
          <cell r="A2015" t="str">
            <v>ФОРМУЛА КОМФОРТА ООО</v>
          </cell>
          <cell r="B2015" t="str">
            <v>В-10010/КЭ.Транш - 1_А-20210929/Ц</v>
          </cell>
        </row>
        <row r="2016">
          <cell r="A2016" t="str">
            <v>ФОРСАЙТ ООО</v>
          </cell>
          <cell r="B2016" t="str">
            <v>А-00257/КЭ.Транш - 1</v>
          </cell>
          <cell r="C2016" t="str">
            <v>alisha888@yandex.ru</v>
          </cell>
        </row>
        <row r="2017">
          <cell r="A2017" t="str">
            <v>ФОРСАЙТ ООО</v>
          </cell>
          <cell r="B2017" t="str">
            <v>А-00257/КЭ.Транш - 2</v>
          </cell>
          <cell r="C2017" t="str">
            <v>alisha888@yandex.ru</v>
          </cell>
        </row>
        <row r="2018">
          <cell r="A2018" t="str">
            <v>Фофанов Михаил Михайлович</v>
          </cell>
          <cell r="B2018" t="str">
            <v>В-08918/КЛ.Транш - 1</v>
          </cell>
          <cell r="C2018" t="str">
            <v>maikl1960@mail.ru</v>
          </cell>
        </row>
        <row r="2019">
          <cell r="A2019" t="str">
            <v>Фролов Василий Михайлович</v>
          </cell>
          <cell r="B2019" t="str">
            <v>В-16777/КЛ.Транш - 1</v>
          </cell>
          <cell r="D2019" t="str">
            <v>kpaz34195@gmail.com</v>
          </cell>
        </row>
        <row r="2020">
          <cell r="A2020" t="str">
            <v>Фролов Геннадий Вольдемарович</v>
          </cell>
          <cell r="B2020" t="str">
            <v>В-00958/АЗ</v>
          </cell>
          <cell r="C2020" t="str">
            <v>gennady.frolov@outlook.com</v>
          </cell>
          <cell r="D2020" t="str">
            <v>gennady.frolov@outlook.com</v>
          </cell>
        </row>
        <row r="2021">
          <cell r="A2021" t="str">
            <v>Фролов Геннадий Вольдемарович</v>
          </cell>
          <cell r="B2021" t="str">
            <v>В-01181/АЗ</v>
          </cell>
          <cell r="C2021" t="str">
            <v>gennady.frolov@outlook.com</v>
          </cell>
          <cell r="D2021" t="str">
            <v>gennady.frolov@outlook.com</v>
          </cell>
        </row>
        <row r="2022">
          <cell r="A2022" t="str">
            <v>Фролов Павел Андреевич</v>
          </cell>
          <cell r="B2022" t="str">
            <v>В-20133/КЛ.Транш - 1</v>
          </cell>
          <cell r="D2022" t="str">
            <v>pavelfrolov1999@mail.ru</v>
          </cell>
        </row>
        <row r="2023">
          <cell r="A2023" t="str">
            <v>Фролов Павел Викторович</v>
          </cell>
          <cell r="B2023" t="str">
            <v>А-05087/АЗ</v>
          </cell>
          <cell r="C2023" t="str">
            <v>Pavelmsk89@gmail.com</v>
          </cell>
          <cell r="D2023" t="str">
            <v>Pavelmsk89@gmail.com</v>
          </cell>
        </row>
        <row r="2024">
          <cell r="A2024" t="str">
            <v>Фролов Сергей Владимирович</v>
          </cell>
          <cell r="B2024" t="str">
            <v>В-12741/КЛ.Транш - 1</v>
          </cell>
          <cell r="C2024" t="str">
            <v>sadaswqweqed@mail.ru</v>
          </cell>
          <cell r="D2024" t="str">
            <v>sadaswqweqed@mail.ru</v>
          </cell>
        </row>
        <row r="2025">
          <cell r="A2025" t="str">
            <v>ФСС ООО</v>
          </cell>
          <cell r="B2025" t="str">
            <v>В-00066/КЭ.Транш - 1</v>
          </cell>
          <cell r="C2025" t="str">
            <v>info@zakupki-fss.ru</v>
          </cell>
        </row>
        <row r="2026">
          <cell r="A2026" t="str">
            <v>Футыш Оксана Ярославовна</v>
          </cell>
          <cell r="B2026" t="str">
            <v>В-22627/КЛ.Транш - 1</v>
          </cell>
          <cell r="C2026" t="str">
            <v>Futht@mail.ru</v>
          </cell>
          <cell r="D2026" t="str">
            <v>Futht@mail.ru</v>
          </cell>
        </row>
        <row r="2027">
          <cell r="A2027" t="str">
            <v>Хадж Муса Аладдин</v>
          </cell>
          <cell r="B2027" t="str">
            <v>В-24326/КЛ.Транш - 1</v>
          </cell>
          <cell r="D2027" t="str">
            <v>5176429@gmail.com</v>
          </cell>
        </row>
        <row r="2028">
          <cell r="A2028" t="str">
            <v>Хадиев Фанис Рафисович</v>
          </cell>
          <cell r="B2028" t="str">
            <v>В-14816/КЛ.Транш - 1</v>
          </cell>
          <cell r="D2028" t="str">
            <v>sanis.hadiev.16@gmail.com</v>
          </cell>
        </row>
        <row r="2029">
          <cell r="A2029" t="str">
            <v>Хадиев Фанис Рафисович</v>
          </cell>
          <cell r="B2029" t="str">
            <v>В-14816/КЛ.Транш - 2</v>
          </cell>
          <cell r="D2029" t="str">
            <v>sanis.hadiev.16@gmail.com</v>
          </cell>
        </row>
        <row r="2030">
          <cell r="A2030" t="str">
            <v>Хадиев Фанис Рафисович</v>
          </cell>
          <cell r="B2030" t="str">
            <v>В-14816/КЛ.Транш - 4</v>
          </cell>
          <cell r="D2030" t="str">
            <v>sanis.hadiev.16@gmail.com</v>
          </cell>
        </row>
        <row r="2031">
          <cell r="A2031" t="str">
            <v>Хадиев Фанис Рафисович</v>
          </cell>
          <cell r="B2031" t="str">
            <v>В-14816/КЛ.Транш - 5</v>
          </cell>
          <cell r="D2031" t="str">
            <v>sanis.hadiev.16@gmail.com</v>
          </cell>
        </row>
        <row r="2032">
          <cell r="A2032" t="str">
            <v>Хадиев Фанис Рафисович</v>
          </cell>
          <cell r="B2032" t="str">
            <v>В-14816/КЛ.Транш - 6</v>
          </cell>
          <cell r="D2032" t="str">
            <v>sanis.hadiev.16@gmail.com</v>
          </cell>
        </row>
        <row r="2033">
          <cell r="A2033" t="str">
            <v>Хадиев Фанис Рафисович</v>
          </cell>
          <cell r="B2033" t="str">
            <v>В-14816/КЛ.Транш - 7</v>
          </cell>
          <cell r="D2033" t="str">
            <v>sanis.hadiev.16@gmail.com</v>
          </cell>
        </row>
        <row r="2034">
          <cell r="A2034" t="str">
            <v>Хазиев Рустам Маратович</v>
          </cell>
          <cell r="B2034" t="str">
            <v>В-14627/КЛ.Транш - 3</v>
          </cell>
          <cell r="D2034" t="str">
            <v>khaziev.rustam009@gmail/com</v>
          </cell>
        </row>
        <row r="2035">
          <cell r="A2035" t="str">
            <v>Хайдаров Бехруз Сайдуллоевич</v>
          </cell>
          <cell r="B2035" t="str">
            <v>В-27037/АЗ</v>
          </cell>
          <cell r="D2035" t="str">
            <v>beha1396@mail.ru</v>
          </cell>
        </row>
        <row r="2036">
          <cell r="A2036" t="str">
            <v>Хайдаров Бехруз Сайдуллоевич</v>
          </cell>
          <cell r="B2036" t="str">
            <v>В-27133/АЗ</v>
          </cell>
          <cell r="D2036" t="str">
            <v>beha1396@mail.ru</v>
          </cell>
        </row>
        <row r="2037">
          <cell r="A2037" t="str">
            <v>Хайретдинов Ильгиз Гакилович</v>
          </cell>
          <cell r="B2037" t="str">
            <v>В-28977/КЛ.Транш - 1</v>
          </cell>
        </row>
        <row r="2038">
          <cell r="A2038" t="str">
            <v>Хайретдинова Айгуль Ильгизовна</v>
          </cell>
          <cell r="B2038" t="str">
            <v>В-20811/КЛ.Транш - 1</v>
          </cell>
          <cell r="D2038" t="str">
            <v>aigull15131984@gmail.com</v>
          </cell>
        </row>
        <row r="2039">
          <cell r="A2039" t="str">
            <v>Хайретдинова Айгуль Ильгизовна</v>
          </cell>
          <cell r="B2039" t="str">
            <v>В-20811/КЛ.Транш - 2</v>
          </cell>
          <cell r="D2039" t="str">
            <v>aigull15131984@gmail.com</v>
          </cell>
        </row>
        <row r="2040">
          <cell r="A2040" t="str">
            <v>Хайруллин Алексей Зуфарович</v>
          </cell>
          <cell r="B2040" t="str">
            <v>В-24875/КЛ.Транш - 1</v>
          </cell>
        </row>
        <row r="2041">
          <cell r="A2041" t="str">
            <v>Хайруллин Алексей Зуфарович</v>
          </cell>
          <cell r="B2041" t="str">
            <v>В-24875/КЛ.Транш - 2</v>
          </cell>
        </row>
        <row r="2042">
          <cell r="A2042" t="str">
            <v>Халиуллин Шамиль Камалович</v>
          </cell>
          <cell r="B2042" t="str">
            <v>А-03444/АЗ</v>
          </cell>
        </row>
        <row r="2043">
          <cell r="A2043" t="str">
            <v>Хамидуллов Линар Надырович</v>
          </cell>
          <cell r="B2043" t="str">
            <v>В-11190/КЛ.Транш - 1</v>
          </cell>
          <cell r="C2043" t="str">
            <v>pavlov_alexander93@icloud.com</v>
          </cell>
        </row>
        <row r="2044">
          <cell r="A2044" t="str">
            <v>Ханамиров Ханамир Казахмедович</v>
          </cell>
          <cell r="B2044" t="str">
            <v>В-23459/КЛ.Транш - 1</v>
          </cell>
        </row>
        <row r="2045">
          <cell r="A2045" t="str">
            <v>Ханбеков Валерий Рифатович</v>
          </cell>
          <cell r="B2045" t="str">
            <v>В-17073/КЛ.Транш - 1</v>
          </cell>
          <cell r="D2045" t="str">
            <v>valerakhanbekov@gmail.com</v>
          </cell>
        </row>
        <row r="2046">
          <cell r="A2046" t="str">
            <v>Ханукаев Михаил Гавриилович</v>
          </cell>
          <cell r="B2046" t="str">
            <v>В-05401/КЛ.Транш - 1</v>
          </cell>
          <cell r="C2046" t="str">
            <v>mihan1951@yandex.ru</v>
          </cell>
          <cell r="D2046" t="str">
            <v>mihan1951@yandex.ru</v>
          </cell>
        </row>
        <row r="2047">
          <cell r="A2047" t="str">
            <v>Харагезян Армен Вартересович</v>
          </cell>
          <cell r="B2047" t="str">
            <v>В-19862/КЛ.Транш - 1</v>
          </cell>
          <cell r="D2047" t="str">
            <v>armen.kharagezyan.83@bk.ru</v>
          </cell>
        </row>
        <row r="2048">
          <cell r="A2048" t="str">
            <v>Харатян Гегам Арамаисович</v>
          </cell>
          <cell r="B2048" t="str">
            <v>В-03463/КЛ.Транш - 1</v>
          </cell>
          <cell r="C2048" t="str">
            <v>gegam.xaratyan@bk.ru</v>
          </cell>
        </row>
        <row r="2049">
          <cell r="A2049" t="str">
            <v>Харисов Раниз Мулланурович</v>
          </cell>
          <cell r="B2049" t="str">
            <v>В-23314/КЛ.Транш - 3</v>
          </cell>
          <cell r="D2049" t="str">
            <v>raniz@bk.ru</v>
          </cell>
        </row>
        <row r="2050">
          <cell r="A2050" t="str">
            <v>Харисов Раниз Мулланурович</v>
          </cell>
          <cell r="B2050" t="str">
            <v>В-23314/КЛ.Транш - 4</v>
          </cell>
          <cell r="D2050" t="str">
            <v>raniz@bk.ru</v>
          </cell>
        </row>
        <row r="2051">
          <cell r="A2051" t="str">
            <v>Харисов Раниз Мулланурович</v>
          </cell>
          <cell r="B2051" t="str">
            <v>В-23314/КЛ.Транш - 6</v>
          </cell>
          <cell r="D2051" t="str">
            <v>raniz@bk.ru</v>
          </cell>
        </row>
        <row r="2052">
          <cell r="A2052" t="str">
            <v>Харитонов Александр Васильевич</v>
          </cell>
          <cell r="B2052" t="str">
            <v>В-02376/КЛ.Транш - 1</v>
          </cell>
          <cell r="C2052" t="str">
            <v>vedrus2001@yandex.ru</v>
          </cell>
        </row>
        <row r="2053">
          <cell r="A2053" t="str">
            <v>Харитонова Ирина Александровна</v>
          </cell>
          <cell r="B2053" t="str">
            <v>В-13235/КЛ.Транш - 1</v>
          </cell>
        </row>
        <row r="2054">
          <cell r="A2054" t="str">
            <v>Харламов Артем Сергеевич</v>
          </cell>
          <cell r="B2054" t="str">
            <v>В-00763/КЛ.Транш - 1</v>
          </cell>
          <cell r="C2054" t="str">
            <v>artemharlamov840@gmail.com</v>
          </cell>
        </row>
        <row r="2055">
          <cell r="A2055" t="str">
            <v>Хасанов Жасур Абдурашидович</v>
          </cell>
          <cell r="B2055" t="str">
            <v>В-17153/КЛ.Транш - 1</v>
          </cell>
          <cell r="D2055" t="str">
            <v>jaferka11@gmail.com</v>
          </cell>
        </row>
        <row r="2056">
          <cell r="A2056" t="str">
            <v>Хасанов Жасур Абдурашидович</v>
          </cell>
          <cell r="B2056" t="str">
            <v>В-17153/КЛ.Транш - 2</v>
          </cell>
          <cell r="D2056" t="str">
            <v>jaferka11@gmail.com</v>
          </cell>
        </row>
        <row r="2057">
          <cell r="A2057" t="str">
            <v>Хасанов Рамзан Вахаевич</v>
          </cell>
          <cell r="B2057" t="str">
            <v>В-15200/КЛ.Транш - 1</v>
          </cell>
        </row>
        <row r="2058">
          <cell r="A2058" t="str">
            <v>Хасанханов Абдул Юсупович</v>
          </cell>
          <cell r="B2058" t="str">
            <v>В-00467/АЗ_В-20211230/Ц</v>
          </cell>
          <cell r="C2058" t="str">
            <v>arapxanov2013@mail.ru</v>
          </cell>
        </row>
        <row r="2059">
          <cell r="A2059" t="str">
            <v>Хачатрян Лаврент Юрикович</v>
          </cell>
          <cell r="B2059" t="str">
            <v>В-28872/КЛ.Транш - 1</v>
          </cell>
          <cell r="C2059" t="str">
            <v>khachatryan.lavrent@bk.ru</v>
          </cell>
          <cell r="D2059" t="str">
            <v>khachatryan.lavrent@bk.ru</v>
          </cell>
        </row>
        <row r="2060">
          <cell r="A2060" t="str">
            <v>Хачатрян Сергей Сейранович</v>
          </cell>
          <cell r="B2060" t="str">
            <v>В-00933/АЗ</v>
          </cell>
        </row>
        <row r="2061">
          <cell r="A2061" t="str">
            <v>Хачатрян Хачик Норайрович</v>
          </cell>
          <cell r="B2061" t="str">
            <v>В-12066/КЛ.Транш - 1</v>
          </cell>
        </row>
        <row r="2062">
          <cell r="A2062" t="str">
            <v>Хачикян Давид Алексеевич</v>
          </cell>
          <cell r="B2062" t="str">
            <v>В-11825/КЛ.Транш - 3</v>
          </cell>
        </row>
        <row r="2063">
          <cell r="A2063" t="str">
            <v>Хашидов Имамутдин Салимханович</v>
          </cell>
          <cell r="B2063" t="str">
            <v>В-08121/КЛ.Транш - 3</v>
          </cell>
          <cell r="C2063" t="str">
            <v>imamhashidov@gmail.com</v>
          </cell>
        </row>
        <row r="2064">
          <cell r="A2064" t="str">
            <v>Хашидов Имамутдин Салимханович</v>
          </cell>
          <cell r="B2064" t="str">
            <v>В-08121/КЛ.Транш - 4</v>
          </cell>
          <cell r="C2064" t="str">
            <v>imamhashidov@gmail.com</v>
          </cell>
        </row>
        <row r="2065">
          <cell r="A2065" t="str">
            <v>Хашимов Далерджон Темурович</v>
          </cell>
          <cell r="B2065" t="str">
            <v>В-17075/КЛ.Транш - 1</v>
          </cell>
          <cell r="C2065" t="str">
            <v>karpovdaler@gmail.com</v>
          </cell>
        </row>
        <row r="2066">
          <cell r="A2066" t="str">
            <v>Хечоян Владимир Левонович</v>
          </cell>
          <cell r="B2066" t="str">
            <v>В-14430/КЛ.Транш - 1</v>
          </cell>
        </row>
        <row r="2067">
          <cell r="A2067" t="str">
            <v>Хечоян Владимир Левонович</v>
          </cell>
          <cell r="B2067" t="str">
            <v>В-14430/КЛ.Транш - 2</v>
          </cell>
        </row>
        <row r="2068">
          <cell r="A2068" t="str">
            <v>Хижняк Лада Виталиевна</v>
          </cell>
          <cell r="B2068" t="str">
            <v>В-01020/АЗ</v>
          </cell>
          <cell r="C2068" t="str">
            <v>ladylady64@mail.ru</v>
          </cell>
        </row>
        <row r="2069">
          <cell r="A2069" t="str">
            <v>Хитров Станислав Валерьевич</v>
          </cell>
          <cell r="B2069" t="str">
            <v>В-21099/КЛ.Транш - 2</v>
          </cell>
          <cell r="D2069" t="str">
            <v>Sten_221@mail.ru</v>
          </cell>
        </row>
        <row r="2070">
          <cell r="A2070" t="str">
            <v>Хитров Станислав Валерьевич</v>
          </cell>
          <cell r="B2070" t="str">
            <v>В-21099/КЛ.Транш - 3</v>
          </cell>
          <cell r="D2070" t="str">
            <v>Sten_221@mail.ru</v>
          </cell>
        </row>
        <row r="2071">
          <cell r="A2071" t="str">
            <v>Хлебников Владимир Витальевич</v>
          </cell>
          <cell r="B2071" t="str">
            <v>В-16057/КЛ.Транш - 6</v>
          </cell>
          <cell r="D2071" t="str">
            <v>vvkhlebnikov@mail.ru</v>
          </cell>
        </row>
        <row r="2072">
          <cell r="A2072" t="str">
            <v>Ходжаев Андрей Леонидович</v>
          </cell>
          <cell r="B2072" t="str">
            <v>В-08956/КЛ.Транш - 2</v>
          </cell>
          <cell r="C2072" t="str">
            <v>Khodzai@yandex.ru</v>
          </cell>
        </row>
        <row r="2073">
          <cell r="A2073" t="str">
            <v>Хозова Ольга Николаевна</v>
          </cell>
          <cell r="B2073" t="str">
            <v>В-07959/КЛ.Транш - 2</v>
          </cell>
          <cell r="C2073" t="str">
            <v>hozova@bk.ru</v>
          </cell>
        </row>
        <row r="2074">
          <cell r="A2074" t="str">
            <v>Хозова Ольга Николаевна</v>
          </cell>
          <cell r="B2074" t="str">
            <v>В-07959/КЛ.Транш - 3</v>
          </cell>
          <cell r="C2074" t="str">
            <v>hozova@bk.ru</v>
          </cell>
        </row>
        <row r="2075">
          <cell r="A2075" t="str">
            <v>Хозяинов Сергей Александрович</v>
          </cell>
          <cell r="B2075" t="str">
            <v>В-01647/КЛ.Транш - 1</v>
          </cell>
          <cell r="C2075" t="str">
            <v>diogris1@mail.ru</v>
          </cell>
        </row>
        <row r="2076">
          <cell r="A2076" t="str">
            <v>Холодков Денис Владимирович</v>
          </cell>
          <cell r="B2076" t="str">
            <v>В-27105/КЛ.Транш - 1</v>
          </cell>
          <cell r="D2076" t="str">
            <v>d.holod@yandex.ru</v>
          </cell>
        </row>
        <row r="2077">
          <cell r="A2077" t="str">
            <v>Хоминец Владимир Владимирович</v>
          </cell>
          <cell r="B2077" t="str">
            <v>В-10474/КЛ.Транш - 3</v>
          </cell>
          <cell r="C2077" t="str">
            <v>khominetsvv@yandex.ru</v>
          </cell>
        </row>
        <row r="2078">
          <cell r="A2078" t="str">
            <v>Хоминец Владимир Владимирович</v>
          </cell>
          <cell r="B2078" t="str">
            <v>В-10474/КЛ.Транш - 4</v>
          </cell>
          <cell r="C2078" t="str">
            <v>khominetsvv@yandex.ru</v>
          </cell>
        </row>
        <row r="2079">
          <cell r="A2079" t="str">
            <v>Хоминец Владимир Владимирович</v>
          </cell>
          <cell r="B2079" t="str">
            <v>В-10474/КЛ.Транш - 5</v>
          </cell>
          <cell r="C2079" t="str">
            <v>khominetsvv@yandex.ru</v>
          </cell>
        </row>
        <row r="2080">
          <cell r="A2080" t="str">
            <v>Хоминец Владимир Владимирович</v>
          </cell>
          <cell r="B2080" t="str">
            <v>В-10474/КЛ.Транш - 6</v>
          </cell>
          <cell r="C2080" t="str">
            <v>khominetsvv@yandex.ru</v>
          </cell>
        </row>
        <row r="2081">
          <cell r="A2081" t="str">
            <v>Хомутов Алексей Николаевич</v>
          </cell>
          <cell r="B2081" t="str">
            <v>В-01102/АЗ</v>
          </cell>
        </row>
        <row r="2082">
          <cell r="A2082" t="str">
            <v>Хотенова Елена Витальевна</v>
          </cell>
          <cell r="B2082" t="str">
            <v>В-00249/АЗ</v>
          </cell>
          <cell r="C2082" t="str">
            <v>elena.hotenova@yandex.ru</v>
          </cell>
        </row>
        <row r="2083">
          <cell r="A2083" t="str">
            <v>Хохлова Ирина Игоревна</v>
          </cell>
          <cell r="B2083" t="str">
            <v>В-22833/КЛ.Транш - 1</v>
          </cell>
        </row>
        <row r="2084">
          <cell r="A2084" t="str">
            <v>Храмков Евгений Александрович</v>
          </cell>
          <cell r="B2084" t="str">
            <v>В-02960/КЛ.Транш - 5</v>
          </cell>
          <cell r="C2084" t="str">
            <v>sspol@list.ru</v>
          </cell>
        </row>
        <row r="2085">
          <cell r="A2085" t="str">
            <v>Храмков Евгений Александрович</v>
          </cell>
          <cell r="B2085" t="str">
            <v>В-02960/КЛ.Транш - 7</v>
          </cell>
          <cell r="C2085" t="str">
            <v>sspol@list.ru</v>
          </cell>
        </row>
        <row r="2086">
          <cell r="A2086" t="str">
            <v>Храмков Евгений Александрович</v>
          </cell>
          <cell r="B2086" t="str">
            <v>В-02960/КЛ.Транш - 8</v>
          </cell>
          <cell r="C2086" t="str">
            <v>sspol@list.ru</v>
          </cell>
        </row>
        <row r="2087">
          <cell r="A2087" t="str">
            <v>Храмков Евгений Александрович</v>
          </cell>
          <cell r="B2087" t="str">
            <v>В-28281/КЛ.Транш - 1</v>
          </cell>
          <cell r="C2087" t="str">
            <v>sspol@list.ru</v>
          </cell>
        </row>
        <row r="2088">
          <cell r="A2088" t="str">
            <v>Храмов Антон Иванович</v>
          </cell>
          <cell r="B2088" t="str">
            <v>А-04617/АЗ</v>
          </cell>
          <cell r="C2088" t="str">
            <v>anton-khramov@mail.ru</v>
          </cell>
          <cell r="D2088" t="str">
            <v>anton-khramov@mail.ru</v>
          </cell>
        </row>
        <row r="2089">
          <cell r="A2089" t="str">
            <v>Храмцова Дарья Юрьевна</v>
          </cell>
          <cell r="B2089" t="str">
            <v>В-26093/КЛ.Транш - 1</v>
          </cell>
          <cell r="D2089" t="str">
            <v>dasha_hramcova@mail.ru</v>
          </cell>
        </row>
        <row r="2090">
          <cell r="A2090" t="str">
            <v>Храпов Андрей Анатольевич</v>
          </cell>
          <cell r="B2090" t="str">
            <v>В-00324/АЗ</v>
          </cell>
          <cell r="C2090" t="str">
            <v>khrapov2806@gmail.com</v>
          </cell>
        </row>
        <row r="2091">
          <cell r="A2091" t="str">
            <v>Храпов Андрей Геннадиевич</v>
          </cell>
          <cell r="B2091" t="str">
            <v>В-13924/КЛ.Транш - 1</v>
          </cell>
          <cell r="D2091" t="str">
            <v>andrei48nkmk@yandex.ru</v>
          </cell>
        </row>
        <row r="2092">
          <cell r="A2092" t="str">
            <v>Хрипунов Клим Анатольевич</v>
          </cell>
          <cell r="B2092" t="str">
            <v>В-27634/КЛ.Транш - 1</v>
          </cell>
          <cell r="D2092" t="str">
            <v>klim_777@inbox.ru</v>
          </cell>
        </row>
        <row r="2093">
          <cell r="A2093" t="str">
            <v>Хромцова Надежда Владимировна</v>
          </cell>
          <cell r="B2093" t="str">
            <v>В-22183/КЛ.Транш - 1</v>
          </cell>
          <cell r="D2093" t="str">
            <v>nadiaalexelis@mail.ru</v>
          </cell>
        </row>
        <row r="2094">
          <cell r="A2094" t="str">
            <v>Худин Виктор Васильевич</v>
          </cell>
          <cell r="B2094" t="str">
            <v>В-11181/КЛ.Транш - 2</v>
          </cell>
          <cell r="C2094" t="str">
            <v>viktor2170@mail.ru</v>
          </cell>
          <cell r="D2094" t="str">
            <v>viktor2170@mail.ru</v>
          </cell>
        </row>
        <row r="2095">
          <cell r="A2095" t="str">
            <v>Худомясова Александра Антуановна</v>
          </cell>
          <cell r="B2095" t="str">
            <v>В-16991/КЛ.Транш - 1</v>
          </cell>
          <cell r="D2095" t="str">
            <v>antuanovnakh@yandex.ru</v>
          </cell>
        </row>
        <row r="2096">
          <cell r="A2096" t="str">
            <v>Худорожков Вячеслав Валерьевич</v>
          </cell>
          <cell r="B2096" t="str">
            <v>В-27581/АЗ</v>
          </cell>
          <cell r="C2096" t="str">
            <v>slava.dps@me.com</v>
          </cell>
          <cell r="D2096" t="str">
            <v>slava.dps@me.com</v>
          </cell>
        </row>
        <row r="2097">
          <cell r="A2097" t="str">
            <v>Хулхачиев Очир Васильевич</v>
          </cell>
          <cell r="B2097" t="str">
            <v>В-18569/КЛ.Транш - 1</v>
          </cell>
          <cell r="D2097" t="str">
            <v>khulkhachiev.ochir@yandex.ru</v>
          </cell>
        </row>
        <row r="2098">
          <cell r="A2098" t="str">
            <v>Хуртов Сергей Георгиевич</v>
          </cell>
          <cell r="B2098" t="str">
            <v>В-12427/КЛ.Транш - 1</v>
          </cell>
          <cell r="C2098" t="str">
            <v>xurtov79@mail.ru</v>
          </cell>
          <cell r="D2098" t="str">
            <v>xurtov79@mail.ru</v>
          </cell>
        </row>
        <row r="2099">
          <cell r="A2099" t="str">
            <v>Хуртов Сергей Георгиевич</v>
          </cell>
          <cell r="B2099" t="str">
            <v>В-12427/КЛ.Транш - 2</v>
          </cell>
          <cell r="C2099" t="str">
            <v>xurtov79@mail.ru</v>
          </cell>
          <cell r="D2099" t="str">
            <v>xurtov79@mail.ru</v>
          </cell>
        </row>
        <row r="2100">
          <cell r="A2100" t="str">
            <v>Хуртов Сергей Георгиевич</v>
          </cell>
          <cell r="B2100" t="str">
            <v>В-12427/КЛ.Транш - 3</v>
          </cell>
          <cell r="C2100" t="str">
            <v>xurtov79@mail.ru</v>
          </cell>
          <cell r="D2100" t="str">
            <v>xurtov79@mail.ru</v>
          </cell>
        </row>
        <row r="2101">
          <cell r="A2101" t="str">
            <v>Хусаинов Шухрат Джурабоевич</v>
          </cell>
          <cell r="B2101" t="str">
            <v>В-20742/КЛ.Транш - 1</v>
          </cell>
          <cell r="D2101" t="str">
            <v>shuricx80@mail.ru</v>
          </cell>
        </row>
        <row r="2102">
          <cell r="A2102" t="str">
            <v>Царев Антон Борисович</v>
          </cell>
          <cell r="B2102" t="str">
            <v>В-20032/КЛ.Транш - 1</v>
          </cell>
          <cell r="D2102" t="str">
            <v>89067777090@mail.ru</v>
          </cell>
        </row>
        <row r="2103">
          <cell r="A2103" t="str">
            <v>Царев Кирилл Сергеевич</v>
          </cell>
          <cell r="B2103" t="str">
            <v>В-13051/КЛ.Транш - 1</v>
          </cell>
          <cell r="D2103" t="str">
            <v>TKS.SPB@BK.RU</v>
          </cell>
        </row>
        <row r="2104">
          <cell r="A2104" t="str">
            <v>Царьков Павел Игоревич</v>
          </cell>
          <cell r="B2104" t="str">
            <v>В-18851/КЛ.Транш - 1</v>
          </cell>
          <cell r="D2104" t="str">
            <v>carkov-pa@mail.ru</v>
          </cell>
        </row>
        <row r="2105">
          <cell r="A2105" t="str">
            <v>Цикишев Сергей Николаевич</v>
          </cell>
          <cell r="B2105" t="str">
            <v>В-18008/КЛ.Транш - 1</v>
          </cell>
          <cell r="D2105" t="str">
            <v>SFRGO.RABOTA.KRD@mail.ru</v>
          </cell>
        </row>
        <row r="2106">
          <cell r="A2106" t="str">
            <v>Цилевич Александр Сергеевич</v>
          </cell>
          <cell r="B2106" t="str">
            <v>В-00967/АЗ</v>
          </cell>
        </row>
        <row r="2107">
          <cell r="A2107" t="str">
            <v>Цинская Ольга Игоревна</v>
          </cell>
          <cell r="B2107" t="str">
            <v>В-27049/АЗ</v>
          </cell>
          <cell r="C2107" t="str">
            <v>olga_tsin@bk.ru</v>
          </cell>
          <cell r="D2107" t="str">
            <v>olga_tsin@bk.ru</v>
          </cell>
        </row>
        <row r="2108">
          <cell r="A2108" t="str">
            <v>Ципис Вадим Яковлевич</v>
          </cell>
          <cell r="B2108" t="str">
            <v>В-14216/КЛ.Транш - 1</v>
          </cell>
          <cell r="C2108" t="str">
            <v>Vad-ghost@yandex.ru</v>
          </cell>
          <cell r="D2108" t="str">
            <v>Vad-ghost@yandex.ru</v>
          </cell>
        </row>
        <row r="2109">
          <cell r="A2109" t="str">
            <v>Ципис Вадим Яковлевич</v>
          </cell>
          <cell r="B2109" t="str">
            <v>В-14216/КЛ.Транш - 2</v>
          </cell>
          <cell r="C2109" t="str">
            <v>Vad-ghost@yandex.ru</v>
          </cell>
          <cell r="D2109" t="str">
            <v>Vad-ghost@yandex.ru</v>
          </cell>
        </row>
        <row r="2110">
          <cell r="A2110" t="str">
            <v>Ципис Вадим Яковлевич</v>
          </cell>
          <cell r="B2110" t="str">
            <v>В-14216/КЛ.Транш - 3</v>
          </cell>
          <cell r="C2110" t="str">
            <v>Vad-ghost@yandex.ru</v>
          </cell>
          <cell r="D2110" t="str">
            <v>Vad-ghost@yandex.ru</v>
          </cell>
        </row>
        <row r="2111">
          <cell r="A2111" t="str">
            <v>Ципис Вадим Яковлевич</v>
          </cell>
          <cell r="B2111" t="str">
            <v>В-14216/КЛ.Транш - 4</v>
          </cell>
          <cell r="C2111" t="str">
            <v>Vad-ghost@yandex.ru</v>
          </cell>
          <cell r="D2111" t="str">
            <v>Vad-ghost@yandex.ru</v>
          </cell>
        </row>
        <row r="2112">
          <cell r="A2112" t="str">
            <v>Цирамуа Наталия Наполеоновна</v>
          </cell>
          <cell r="B2112" t="str">
            <v>В-22979/КЛ.Транш - 1</v>
          </cell>
          <cell r="C2112" t="str">
            <v>nat.tziramua@yandex.ru</v>
          </cell>
          <cell r="D2112" t="str">
            <v>nat.tziramua@yandex.ru</v>
          </cell>
        </row>
        <row r="2113">
          <cell r="A2113" t="str">
            <v>Циренов Максим Алексеевич</v>
          </cell>
          <cell r="B2113" t="str">
            <v>В-16444/КЛ.Транш - 3</v>
          </cell>
          <cell r="C2113" t="str">
            <v>Festina100m@mail.ru</v>
          </cell>
        </row>
        <row r="2114">
          <cell r="A2114" t="str">
            <v>Циркунова Юлия Владимировна</v>
          </cell>
          <cell r="B2114" t="str">
            <v>В-01345/КЛ.Транш - 1</v>
          </cell>
          <cell r="C2114" t="str">
            <v>czirkunova80@mail.ru</v>
          </cell>
        </row>
        <row r="2115">
          <cell r="A2115" t="str">
            <v>Цуканов Сергей Владимирович</v>
          </cell>
          <cell r="B2115" t="str">
            <v>Т-01893/АЗ_Т-20211028/Ц</v>
          </cell>
          <cell r="C2115" t="str">
            <v>mctsukan@mail.ru</v>
          </cell>
          <cell r="D2115" t="str">
            <v>mctsukan@mail.ru</v>
          </cell>
        </row>
        <row r="2116">
          <cell r="A2116" t="str">
            <v>Цуриков Яков Владимирович</v>
          </cell>
          <cell r="B2116" t="str">
            <v>В-17030/КЛ.Транш - 1</v>
          </cell>
          <cell r="D2116" t="str">
            <v>нет</v>
          </cell>
        </row>
        <row r="2117">
          <cell r="A2117" t="str">
            <v>Цымбалов Виталий Павлович</v>
          </cell>
          <cell r="B2117" t="str">
            <v>В-01925/КЛ.Транш - 1_В-20211230/Ц</v>
          </cell>
          <cell r="C2117" t="str">
            <v>cool.cymbalov@yandex.ru</v>
          </cell>
        </row>
        <row r="2118">
          <cell r="A2118" t="str">
            <v>Цымбалов Виталий Павлович</v>
          </cell>
          <cell r="B2118" t="str">
            <v>В-01925/КЛ.Транш - 2_В-20211230/Ц</v>
          </cell>
          <cell r="C2118" t="str">
            <v>cool.cymbalov@yandex.ru</v>
          </cell>
        </row>
        <row r="2119">
          <cell r="A2119" t="str">
            <v>Чаплыгина Наталья Владимировна</v>
          </cell>
          <cell r="B2119" t="str">
            <v>В-28789/КЛ.Транш - 1</v>
          </cell>
          <cell r="C2119" t="str">
            <v>LBashkirova@yandex.ru</v>
          </cell>
          <cell r="D2119" t="str">
            <v>LBashkirova@yandex.ru</v>
          </cell>
        </row>
        <row r="2120">
          <cell r="A2120" t="str">
            <v>Чащин Александр Станиславович</v>
          </cell>
          <cell r="B2120" t="str">
            <v>В-12279/КЛ.Транш - 1</v>
          </cell>
        </row>
        <row r="2121">
          <cell r="A2121" t="str">
            <v>Че Александр Кенчанович</v>
          </cell>
          <cell r="B2121" t="str">
            <v>В-09270/КЛ.Транш - 1</v>
          </cell>
          <cell r="C2121" t="str">
            <v>gorodche74@mail.ru</v>
          </cell>
        </row>
        <row r="2122">
          <cell r="A2122" t="str">
            <v>Чеботкова Полина Михайловна</v>
          </cell>
          <cell r="B2122" t="str">
            <v>В-10039/КЛ.Транш - 1</v>
          </cell>
          <cell r="C2122" t="str">
            <v>ms.lubimova88@mail.ru</v>
          </cell>
        </row>
        <row r="2123">
          <cell r="A2123" t="str">
            <v>Чеботкова Полина Михайловна</v>
          </cell>
          <cell r="B2123" t="str">
            <v>В-10039/КЛ.Транш - 2</v>
          </cell>
          <cell r="C2123" t="str">
            <v>ms.lubimova88@mail.ru</v>
          </cell>
        </row>
        <row r="2124">
          <cell r="A2124" t="str">
            <v>Чекалкин Михаил Михайлович</v>
          </cell>
          <cell r="B2124" t="str">
            <v>А-00714/АЗ</v>
          </cell>
        </row>
        <row r="2125">
          <cell r="A2125" t="str">
            <v>Чепрасова Галина Александровна</v>
          </cell>
          <cell r="B2125" t="str">
            <v>В-27914/КЛ.Транш - 1</v>
          </cell>
          <cell r="D2125" t="str">
            <v>fybbet@yandex.ru</v>
          </cell>
        </row>
        <row r="2126">
          <cell r="A2126" t="str">
            <v>Черкасов Евгений Викторович</v>
          </cell>
          <cell r="B2126" t="str">
            <v>В-00132/АЗ</v>
          </cell>
          <cell r="C2126" t="str">
            <v>echerkasov@mail.ru</v>
          </cell>
        </row>
        <row r="2127">
          <cell r="A2127" t="str">
            <v>Черкасов Евгений Викторович</v>
          </cell>
          <cell r="B2127" t="str">
            <v>В-01071/АЗ</v>
          </cell>
          <cell r="C2127" t="str">
            <v>echerkasov@mail.ru</v>
          </cell>
        </row>
        <row r="2128">
          <cell r="A2128" t="str">
            <v>Чернавина Татьяна Дмитриевна</v>
          </cell>
          <cell r="B2128" t="str">
            <v>В-20012/КЛ.Транш - 2</v>
          </cell>
          <cell r="D2128" t="str">
            <v>taniaelis1991@mail.ru</v>
          </cell>
        </row>
        <row r="2129">
          <cell r="A2129" t="str">
            <v>Чернецов Василий Николаевич</v>
          </cell>
          <cell r="B2129" t="str">
            <v>В-16693/КЛ.Транш - 1</v>
          </cell>
          <cell r="D2129" t="str">
            <v>nata0224@yandex.ru</v>
          </cell>
        </row>
        <row r="2130">
          <cell r="A2130" t="str">
            <v>Чернецов Василий Николаевич</v>
          </cell>
          <cell r="B2130" t="str">
            <v>В-16693/КЛ.Транш - 2</v>
          </cell>
          <cell r="D2130" t="str">
            <v>nata0224@yandex.ru</v>
          </cell>
        </row>
        <row r="2131">
          <cell r="A2131" t="str">
            <v>Черников Сергей Сергеевич</v>
          </cell>
          <cell r="B2131" t="str">
            <v>В-00982/АЗ</v>
          </cell>
          <cell r="C2131" t="str">
            <v>sergejcernikov5599@gmail.com</v>
          </cell>
        </row>
        <row r="2132">
          <cell r="A2132" t="str">
            <v>Чернышова Татьяна Николаевна</v>
          </cell>
          <cell r="B2132" t="str">
            <v>В-03631/КЛ.Транш - 1</v>
          </cell>
          <cell r="C2132" t="str">
            <v>taniakrasnikova@mail.ru</v>
          </cell>
        </row>
        <row r="2133">
          <cell r="A2133" t="str">
            <v>Черова Ирина Николаевна</v>
          </cell>
          <cell r="B2133" t="str">
            <v>В-28303/АЗ</v>
          </cell>
          <cell r="D2133" t="str">
            <v>nastyaonew@mail.ru</v>
          </cell>
        </row>
        <row r="2134">
          <cell r="A2134" t="str">
            <v>Чертов Алексей Владимирович</v>
          </cell>
          <cell r="B2134" t="str">
            <v>В-00145/КЛ.Транш - 1</v>
          </cell>
          <cell r="C2134" t="str">
            <v>alex_izi_75@mail.ru</v>
          </cell>
        </row>
        <row r="2135">
          <cell r="A2135" t="str">
            <v>Четверикова Ирина Алексеевна</v>
          </cell>
          <cell r="B2135" t="str">
            <v>А-05335/АЗ_Т-20211028/Ц</v>
          </cell>
          <cell r="C2135" t="str">
            <v>IRINA_KON@MAIL.RU</v>
          </cell>
          <cell r="D2135" t="str">
            <v>IRINA_KON@MAIL.RU</v>
          </cell>
        </row>
        <row r="2136">
          <cell r="A2136" t="str">
            <v>Четверикова Ирина Алексеевна</v>
          </cell>
          <cell r="B2136" t="str">
            <v>В-00243/АЗ_Т-20211028/Ц</v>
          </cell>
          <cell r="C2136" t="str">
            <v>IRINA_KON@MAIL.RU</v>
          </cell>
          <cell r="D2136" t="str">
            <v>IRINA_KON@MAIL.RU</v>
          </cell>
        </row>
        <row r="2137">
          <cell r="A2137" t="str">
            <v>Четырина Марина Юрьевна</v>
          </cell>
          <cell r="B2137" t="str">
            <v>В-02500/КЛ.Транш - 1</v>
          </cell>
          <cell r="C2137" t="str">
            <v>9095808181cosgun@gmail.com</v>
          </cell>
        </row>
        <row r="2138">
          <cell r="A2138" t="str">
            <v>Чибисова Елена Валерьевна</v>
          </cell>
          <cell r="B2138" t="str">
            <v>А-03750/АЗ</v>
          </cell>
          <cell r="C2138" t="str">
            <v>capitel@ya.ru</v>
          </cell>
          <cell r="D2138" t="str">
            <v>capitel@ya.ru</v>
          </cell>
        </row>
        <row r="2139">
          <cell r="A2139" t="str">
            <v>Чикатуева Джульета Аслановна</v>
          </cell>
          <cell r="B2139" t="str">
            <v>В-25884/КЛ.Транш - 1</v>
          </cell>
          <cell r="D2139" t="str">
            <v>Chikatvieva@bk.ru</v>
          </cell>
        </row>
        <row r="2140">
          <cell r="A2140" t="str">
            <v>Чикирёв Олег Викторович</v>
          </cell>
          <cell r="B2140" t="str">
            <v>В-11326/КЛ.Транш - 1</v>
          </cell>
          <cell r="C2140" t="str">
            <v>oleg.chikirev@gmail.com</v>
          </cell>
        </row>
        <row r="2141">
          <cell r="A2141" t="str">
            <v>Чикирёв Олег Викторович</v>
          </cell>
          <cell r="B2141" t="str">
            <v>В-11326/КЛ.Транш - 2</v>
          </cell>
          <cell r="C2141" t="str">
            <v>oleg.chikirev@gmail.com</v>
          </cell>
        </row>
        <row r="2142">
          <cell r="A2142" t="str">
            <v>Чикунов Дмитрий Александрович</v>
          </cell>
          <cell r="B2142" t="str">
            <v>В-00918/АЗ</v>
          </cell>
          <cell r="C2142" t="str">
            <v>chikunov-d@rambler.ru</v>
          </cell>
        </row>
        <row r="2143">
          <cell r="A2143" t="str">
            <v>Чистильников Алексей Вячеславович</v>
          </cell>
          <cell r="B2143" t="str">
            <v>В-16757/КЛ.Транш - 1</v>
          </cell>
          <cell r="D2143" t="str">
            <v>aleksnord1@gmail.com</v>
          </cell>
        </row>
        <row r="2144">
          <cell r="A2144" t="str">
            <v>Члоян Геворк Мамбреович</v>
          </cell>
          <cell r="B2144" t="str">
            <v>В-01039/АЗ</v>
          </cell>
        </row>
        <row r="2145">
          <cell r="A2145" t="str">
            <v>Чокуев Жаркынбек Калыбекович</v>
          </cell>
          <cell r="B2145" t="str">
            <v>В-00865/АЗ</v>
          </cell>
        </row>
        <row r="2146">
          <cell r="A2146" t="str">
            <v>Чумакова Екатерина Александровна</v>
          </cell>
          <cell r="B2146" t="str">
            <v>В-28755/КЛ.Транш - 1</v>
          </cell>
          <cell r="C2146" t="str">
            <v>pushik7@mail.ru</v>
          </cell>
          <cell r="D2146" t="str">
            <v>pushik7@mail.ru</v>
          </cell>
        </row>
        <row r="2147">
          <cell r="A2147" t="str">
            <v>Чупрынина Лилия Леонидовна</v>
          </cell>
          <cell r="B2147" t="str">
            <v>В-18135/КЛ.Транш - 1</v>
          </cell>
          <cell r="D2147" t="str">
            <v>Liliy.sev@mail.ru</v>
          </cell>
        </row>
        <row r="2148">
          <cell r="A2148" t="str">
            <v>Чурсинов Ярослав Александрович</v>
          </cell>
          <cell r="B2148" t="str">
            <v>В-20635/КЛ.Транш - 1</v>
          </cell>
          <cell r="D2148" t="str">
            <v>YAROSLAV.chursinov@bk.ru</v>
          </cell>
        </row>
        <row r="2149">
          <cell r="A2149" t="str">
            <v>Чучаев Адам Аптиевич</v>
          </cell>
          <cell r="B2149" t="str">
            <v>В-08626/КЛ.Транш - 1</v>
          </cell>
          <cell r="C2149" t="str">
            <v>chuchaev72@mail.ru</v>
          </cell>
        </row>
        <row r="2150">
          <cell r="A2150" t="str">
            <v>Шабанова Элвира Назировна</v>
          </cell>
          <cell r="B2150" t="str">
            <v>В-14633/КЛ.Транш - 1</v>
          </cell>
          <cell r="D2150" t="str">
            <v>elvira1124@mail.ru</v>
          </cell>
        </row>
        <row r="2151">
          <cell r="A2151" t="str">
            <v>Шагивалеев Азат Азатович</v>
          </cell>
          <cell r="B2151" t="str">
            <v>В-00675/АЗ</v>
          </cell>
          <cell r="C2151" t="str">
            <v>Azat.TatarinMoscow@yandex.ru</v>
          </cell>
        </row>
        <row r="2152">
          <cell r="A2152" t="str">
            <v>Шагивалеев Азат Азатович</v>
          </cell>
          <cell r="B2152" t="str">
            <v>В-01170/АЗ</v>
          </cell>
          <cell r="C2152" t="str">
            <v>Azat.TatarinMoscow@yandex.ru</v>
          </cell>
        </row>
        <row r="2153">
          <cell r="A2153" t="str">
            <v>Шагинян Геворк Карленович</v>
          </cell>
          <cell r="B2153" t="str">
            <v>В-22457/АЗ</v>
          </cell>
          <cell r="C2153" t="str">
            <v>egiazarov.90@mail.ru</v>
          </cell>
          <cell r="D2153" t="str">
            <v>egiazarov.90@mail.ru</v>
          </cell>
        </row>
        <row r="2154">
          <cell r="A2154" t="str">
            <v>Шаламова Татьяна Андреевна</v>
          </cell>
          <cell r="B2154" t="str">
            <v>В-27929/КЛ.Транш - 1</v>
          </cell>
          <cell r="D2154" t="str">
            <v>SHALAMOVA.T@LIST.RU</v>
          </cell>
        </row>
        <row r="2155">
          <cell r="A2155" t="str">
            <v>Шалдыбин Данил Геннадьевич</v>
          </cell>
          <cell r="B2155" t="str">
            <v>В-23776/КЛ.Транш - 1</v>
          </cell>
          <cell r="C2155" t="str">
            <v>danilsaldybin2@gmail.com</v>
          </cell>
          <cell r="D2155" t="str">
            <v>danilsaldybin2@gmail.com</v>
          </cell>
        </row>
        <row r="2156">
          <cell r="A2156" t="str">
            <v>Шалимов Валерий Михайлович</v>
          </cell>
          <cell r="B2156" t="str">
            <v>В-09619/КЛ.Транш - 1</v>
          </cell>
          <cell r="C2156" t="str">
            <v>Pravovlg@yandex.ru</v>
          </cell>
        </row>
        <row r="2157">
          <cell r="A2157" t="str">
            <v>Шаматава Давид Роиниевич</v>
          </cell>
          <cell r="B2157" t="str">
            <v>В-18705/КЛ.Транш - 1</v>
          </cell>
          <cell r="D2157" t="str">
            <v>Shamatava.david@mail.ru</v>
          </cell>
        </row>
        <row r="2158">
          <cell r="A2158" t="str">
            <v>Шарапов Евгений Вячеславович</v>
          </cell>
          <cell r="B2158" t="str">
            <v>В-03324/КЛ.Транш - 2</v>
          </cell>
          <cell r="C2158" t="str">
            <v>evvegen.li1985@gmail.com</v>
          </cell>
        </row>
        <row r="2159">
          <cell r="A2159" t="str">
            <v>Шарыгин Семен Михайлович</v>
          </cell>
          <cell r="B2159" t="str">
            <v>В-17934/КЛ.Транш - 1</v>
          </cell>
          <cell r="D2159" t="str">
            <v>sema.tmt@rambler.ru</v>
          </cell>
        </row>
        <row r="2160">
          <cell r="A2160" t="str">
            <v>Шаулов Шаул Рамбомович</v>
          </cell>
          <cell r="B2160" t="str">
            <v>В-06345/КЛ.Транш - 1</v>
          </cell>
        </row>
        <row r="2161">
          <cell r="A2161" t="str">
            <v>Шахбазян Овсеп Сурикович</v>
          </cell>
          <cell r="B2161" t="str">
            <v>А-04593/АЗ</v>
          </cell>
          <cell r="C2161" t="str">
            <v>oso77shahbaryan@mail.ru</v>
          </cell>
          <cell r="D2161" t="str">
            <v>oso77shahbaryan@mail.ru</v>
          </cell>
        </row>
        <row r="2162">
          <cell r="A2162" t="str">
            <v>Шашков Константин Вячеславович</v>
          </cell>
          <cell r="B2162" t="str">
            <v>В-06035/КЛ.Транш - 1</v>
          </cell>
          <cell r="C2162" t="str">
            <v>Konstantin.shashkov40@gmail.com</v>
          </cell>
        </row>
        <row r="2163">
          <cell r="A2163" t="str">
            <v>Шевелев Олег Андреевич</v>
          </cell>
          <cell r="B2163" t="str">
            <v>В-17397/КЛ.Транш - 2</v>
          </cell>
          <cell r="D2163" t="str">
            <v>oleshevele@yandex.ru</v>
          </cell>
        </row>
        <row r="2164">
          <cell r="A2164" t="str">
            <v>Шевкунова Елена Михайловна</v>
          </cell>
          <cell r="B2164" t="str">
            <v>В-28148/КЛ.Транш - 1</v>
          </cell>
          <cell r="C2164" t="str">
            <v>elena8000km@mail.ru</v>
          </cell>
          <cell r="D2164" t="str">
            <v>elena8000km@mail.ru</v>
          </cell>
        </row>
        <row r="2165">
          <cell r="A2165" t="str">
            <v>Шевченко Евгений Вячеславович</v>
          </cell>
          <cell r="B2165" t="str">
            <v>В-24267/КЛ.Транш - 1</v>
          </cell>
          <cell r="D2165" t="str">
            <v>yanhikyana7@gmail.com</v>
          </cell>
        </row>
        <row r="2166">
          <cell r="A2166" t="str">
            <v>Шевченко Оксана Анатольевна</v>
          </cell>
          <cell r="B2166" t="str">
            <v>В-21687/КЛ.Транш - 1</v>
          </cell>
          <cell r="D2166" t="str">
            <v>shewchenkco.oksana2016@yandex.ru</v>
          </cell>
        </row>
        <row r="2167">
          <cell r="A2167" t="str">
            <v>Шелин Екатерина Вячеславовна</v>
          </cell>
          <cell r="B2167" t="str">
            <v>Т-01872/АЗ_Т-20211028/Ц</v>
          </cell>
          <cell r="C2167" t="str">
            <v>katerina14_84@mail.ru</v>
          </cell>
        </row>
        <row r="2168">
          <cell r="A2168" t="str">
            <v>Шелуднев Андрей Валерьевич</v>
          </cell>
          <cell r="B2168" t="str">
            <v>В-03938/КЛ.Транш - 2</v>
          </cell>
          <cell r="C2168" t="str">
            <v>andrey.sheludnev@icloud.com</v>
          </cell>
        </row>
        <row r="2169">
          <cell r="A2169" t="str">
            <v>Шелухин Игорь Вадимович</v>
          </cell>
          <cell r="B2169" t="str">
            <v>А-05100/АЗ_А-20200626/Ц</v>
          </cell>
          <cell r="C2169" t="str">
            <v>IV.SS90@MAIL.RU</v>
          </cell>
          <cell r="D2169" t="str">
            <v>IV.SS90@MAIL.RU</v>
          </cell>
        </row>
        <row r="2170">
          <cell r="A2170" t="str">
            <v>Шергин Федор Сергеевич</v>
          </cell>
          <cell r="B2170" t="str">
            <v>В-21470/КЛ.Транш - 1</v>
          </cell>
          <cell r="C2170" t="str">
            <v>fedor20.08.83u@gmail.com</v>
          </cell>
        </row>
        <row r="2171">
          <cell r="A2171" t="str">
            <v>Шереметов Мурат Анатольевич</v>
          </cell>
          <cell r="B2171" t="str">
            <v>В-24989/АЗ</v>
          </cell>
          <cell r="C2171" t="str">
            <v>kaska112@mail.ru</v>
          </cell>
          <cell r="D2171" t="str">
            <v>kaska112@mail.ru</v>
          </cell>
        </row>
        <row r="2172">
          <cell r="A2172" t="str">
            <v>Шерстнев Дмитрий Андреевич</v>
          </cell>
          <cell r="B2172" t="str">
            <v>В-24385/КЛ.Транш - 1</v>
          </cell>
          <cell r="D2172" t="str">
            <v>dmytrosherstniev@gmail.com</v>
          </cell>
        </row>
        <row r="2173">
          <cell r="A2173" t="str">
            <v>Шестаков Евгений Николаевич</v>
          </cell>
          <cell r="B2173" t="str">
            <v>В-21910/КЛ.Транш - 1</v>
          </cell>
          <cell r="D2173" t="str">
            <v>Spryt1976@mail.ru</v>
          </cell>
        </row>
        <row r="2174">
          <cell r="A2174" t="str">
            <v>Шибаев Александр Викторович</v>
          </cell>
          <cell r="B2174" t="str">
            <v>В-28130/КЛ.Транш - 1</v>
          </cell>
          <cell r="C2174" t="str">
            <v>sibaevaleksandr29@gmail.com</v>
          </cell>
          <cell r="D2174" t="str">
            <v>sibaevaleksandr29@gmail.com</v>
          </cell>
        </row>
        <row r="2175">
          <cell r="A2175" t="str">
            <v>Шиганов Денис Юрьевич</v>
          </cell>
          <cell r="B2175" t="str">
            <v>В-11557/КЛ.Транш - 2</v>
          </cell>
          <cell r="C2175" t="str">
            <v>denistotti91@ya.ru</v>
          </cell>
        </row>
        <row r="2176">
          <cell r="A2176" t="str">
            <v>Шиганов Денис Юрьевич</v>
          </cell>
          <cell r="B2176" t="str">
            <v>В-11557/КЛ.Транш - 3</v>
          </cell>
          <cell r="C2176" t="str">
            <v>denistotti91@ya.ru</v>
          </cell>
        </row>
        <row r="2177">
          <cell r="A2177" t="str">
            <v>Шиленков Александр Владимирович</v>
          </cell>
          <cell r="B2177" t="str">
            <v>В-28064/КЛ.Транш - 1</v>
          </cell>
          <cell r="C2177" t="str">
            <v>al.shilenkov@gmail.com</v>
          </cell>
          <cell r="D2177" t="str">
            <v>al.shilenkov@gmail.com</v>
          </cell>
        </row>
        <row r="2178">
          <cell r="A2178" t="str">
            <v>Шилов Владимир Васильевич</v>
          </cell>
          <cell r="B2178" t="str">
            <v>В-21894/КЛ.Транш - 1</v>
          </cell>
          <cell r="C2178" t="str">
            <v>rido-2@mail.ru</v>
          </cell>
        </row>
        <row r="2179">
          <cell r="A2179" t="str">
            <v>Шилов Владимир Васильевич</v>
          </cell>
          <cell r="B2179" t="str">
            <v>В-21894/КЛ.Транш - 2</v>
          </cell>
          <cell r="C2179" t="str">
            <v>rido-2@mail.ru</v>
          </cell>
        </row>
        <row r="2180">
          <cell r="A2180" t="str">
            <v>Шилов Владимир Васильевич</v>
          </cell>
          <cell r="B2180" t="str">
            <v>В-21894/КЛ.Транш - 3</v>
          </cell>
          <cell r="C2180" t="str">
            <v>rido-2@mail.ru</v>
          </cell>
        </row>
        <row r="2181">
          <cell r="A2181" t="str">
            <v>Шилов Владимир Васильевич</v>
          </cell>
          <cell r="B2181" t="str">
            <v>В-21894/КЛ.Транш - 4</v>
          </cell>
          <cell r="C2181" t="str">
            <v>rido-2@mail.ru</v>
          </cell>
        </row>
        <row r="2182">
          <cell r="A2182" t="str">
            <v>Шиляев Алексей Владимирович</v>
          </cell>
          <cell r="B2182" t="str">
            <v>В-17162/КЛ.Транш - 1</v>
          </cell>
          <cell r="D2182" t="str">
            <v>leha.mgtu@gmail.com</v>
          </cell>
        </row>
        <row r="2183">
          <cell r="A2183" t="str">
            <v>Шиляев Алексей Владимирович</v>
          </cell>
          <cell r="B2183" t="str">
            <v>В-17162/КЛ.Транш - 2</v>
          </cell>
          <cell r="D2183" t="str">
            <v>leha.mgtu@gmail.com</v>
          </cell>
        </row>
        <row r="2184">
          <cell r="A2184" t="str">
            <v>Шиляев Алексей Владимирович</v>
          </cell>
          <cell r="B2184" t="str">
            <v>В-17162/КЛ.Транш - 3</v>
          </cell>
          <cell r="D2184" t="str">
            <v>leha.mgtu@gmail.com</v>
          </cell>
        </row>
        <row r="2185">
          <cell r="A2185" t="str">
            <v>Ширманов Никита Александрович</v>
          </cell>
          <cell r="B2185" t="str">
            <v>В-20952/КЛ.Транш - 3</v>
          </cell>
        </row>
        <row r="2186">
          <cell r="A2186" t="str">
            <v>Ширманов Никита Александрович</v>
          </cell>
          <cell r="B2186" t="str">
            <v>В-20952/КЛ.Транш - 4</v>
          </cell>
        </row>
        <row r="2187">
          <cell r="A2187" t="str">
            <v>Ширманов Никита Александрович</v>
          </cell>
          <cell r="B2187" t="str">
            <v>В-20952/КЛ.Транш - 6</v>
          </cell>
        </row>
        <row r="2188">
          <cell r="A2188" t="str">
            <v>Широков Иван Андреевич</v>
          </cell>
          <cell r="B2188" t="str">
            <v>В-10198/КЛ.Транш - 6</v>
          </cell>
          <cell r="C2188" t="str">
            <v>luckeri62@yandex.ru</v>
          </cell>
        </row>
        <row r="2189">
          <cell r="A2189" t="str">
            <v>Шитова Виктория Викторовна</v>
          </cell>
          <cell r="B2189" t="str">
            <v>В-11812/КЛ.Транш - 1</v>
          </cell>
          <cell r="C2189" t="str">
            <v>v_gaide@mail.ru</v>
          </cell>
        </row>
        <row r="2190">
          <cell r="A2190" t="str">
            <v>Шихалев Вячеслав Николаевич</v>
          </cell>
          <cell r="B2190" t="str">
            <v>Т-01869/АЗ_Т-20211028/Ц</v>
          </cell>
        </row>
        <row r="2191">
          <cell r="A2191" t="str">
            <v>Шиховцов Игорь Николаевич</v>
          </cell>
          <cell r="B2191" t="str">
            <v>В-23410/КЛ.Транш - 1</v>
          </cell>
          <cell r="C2191" t="str">
            <v>igor11081966@mail.ru</v>
          </cell>
          <cell r="D2191" t="str">
            <v>igor11081966@mail.ru</v>
          </cell>
        </row>
        <row r="2192">
          <cell r="A2192" t="str">
            <v>Шишкарев Александр Павлович</v>
          </cell>
          <cell r="B2192" t="str">
            <v>А-04160/АЗ_Т-20211028/Ц</v>
          </cell>
          <cell r="C2192" t="str">
            <v>eleke64@mail.ru</v>
          </cell>
          <cell r="D2192" t="str">
            <v>eleke64@mail.ru</v>
          </cell>
        </row>
        <row r="2193">
          <cell r="A2193" t="str">
            <v>Шишкарев Александр Павлович</v>
          </cell>
          <cell r="B2193" t="str">
            <v>Т-01540/АЗ_Т-20211028/Ц</v>
          </cell>
          <cell r="C2193" t="str">
            <v>eleke64@mail.ru</v>
          </cell>
          <cell r="D2193" t="str">
            <v>eleke64@mail.ru</v>
          </cell>
        </row>
        <row r="2194">
          <cell r="A2194" t="str">
            <v>Шквыр Виктор Викторович</v>
          </cell>
          <cell r="B2194" t="str">
            <v>В-09302/КЛ.Транш - 2</v>
          </cell>
          <cell r="C2194" t="str">
            <v>viktorshkvyr@gmail.com</v>
          </cell>
        </row>
        <row r="2195">
          <cell r="A2195" t="str">
            <v>Шквыр Виктор Викторович</v>
          </cell>
          <cell r="B2195" t="str">
            <v>В-09302/КЛ.Транш - 3</v>
          </cell>
          <cell r="C2195" t="str">
            <v>viktorshkvyr@gmail.com</v>
          </cell>
        </row>
        <row r="2196">
          <cell r="A2196" t="str">
            <v>Шквыр Виктор Викторович</v>
          </cell>
          <cell r="B2196" t="str">
            <v>В-09302/КЛ.Транш - 4</v>
          </cell>
          <cell r="C2196" t="str">
            <v>viktorshkvyr@gmail.com</v>
          </cell>
        </row>
        <row r="2197">
          <cell r="A2197" t="str">
            <v>Шквыр Виктор Викторович</v>
          </cell>
          <cell r="B2197" t="str">
            <v>В-09302/КЛ.Транш - 5</v>
          </cell>
          <cell r="C2197" t="str">
            <v>viktorshkvyr@gmail.com</v>
          </cell>
        </row>
        <row r="2198">
          <cell r="A2198" t="str">
            <v>Шодиев Хуснуддин Сулоймонкулович</v>
          </cell>
          <cell r="B2198" t="str">
            <v>А-05291/АЗ</v>
          </cell>
          <cell r="C2198" t="str">
            <v>hase_09@mail.ru</v>
          </cell>
          <cell r="D2198" t="str">
            <v>hase_09@mail.ru</v>
          </cell>
        </row>
        <row r="2199">
          <cell r="A2199" t="str">
            <v>Шопронку Сергей Харитонович</v>
          </cell>
          <cell r="B2199" t="str">
            <v>В-02154/КЛ.Транш - 1</v>
          </cell>
        </row>
        <row r="2200">
          <cell r="A2200" t="str">
            <v>Шубернецкий Андрей Петрович</v>
          </cell>
          <cell r="B2200" t="str">
            <v>В-27310/КЛ.Транш - 1</v>
          </cell>
          <cell r="C2200" t="str">
            <v>andrey007amg@mail.ru</v>
          </cell>
          <cell r="D2200" t="str">
            <v>andrey007amg@mail.ru</v>
          </cell>
        </row>
        <row r="2201">
          <cell r="A2201" t="str">
            <v>Шувалов Александр Вячеславович</v>
          </cell>
          <cell r="B2201" t="str">
            <v>В-09636/КЛ.Транш - 1</v>
          </cell>
          <cell r="C2201" t="str">
            <v>Suvalal@mail.ru</v>
          </cell>
        </row>
        <row r="2202">
          <cell r="A2202" t="str">
            <v>Шумилов Валерий Игоревич</v>
          </cell>
          <cell r="B2202" t="str">
            <v>В-13042/КЛ.Транш - 1</v>
          </cell>
          <cell r="D2202" t="str">
            <v>valeron1.5@yandeх.ru</v>
          </cell>
        </row>
        <row r="2203">
          <cell r="A2203" t="str">
            <v>Шурупова Екатерина Петровна</v>
          </cell>
          <cell r="B2203" t="str">
            <v>В-00993/КЛ.Транш - 1</v>
          </cell>
          <cell r="C2203" t="str">
            <v>shurupova_katya@list.ru</v>
          </cell>
        </row>
        <row r="2204">
          <cell r="A2204" t="str">
            <v>Шустов Иван Сергеевич</v>
          </cell>
          <cell r="B2204" t="str">
            <v>В-07729/КЛ.Транш - 1</v>
          </cell>
          <cell r="C2204" t="str">
            <v>ZASOS87@mail.ru</v>
          </cell>
        </row>
        <row r="2205">
          <cell r="A2205" t="str">
            <v>Шушарин Артем Владимирович</v>
          </cell>
          <cell r="B2205" t="str">
            <v>В-11280/КЛ.Транш - 1</v>
          </cell>
          <cell r="C2205" t="str">
            <v>tema2685@mail.ru</v>
          </cell>
        </row>
        <row r="2206">
          <cell r="A2206" t="str">
            <v>Щеглов Роман Сергеевич</v>
          </cell>
          <cell r="B2206" t="str">
            <v>В-12894/КЛ.Транш - 1</v>
          </cell>
          <cell r="C2206" t="str">
            <v>seglovroman7272@gmail.ru</v>
          </cell>
          <cell r="D2206" t="str">
            <v>seglovroman7272@gmail.ru</v>
          </cell>
        </row>
        <row r="2207">
          <cell r="A2207" t="str">
            <v>Щелков Александр Владимирович</v>
          </cell>
          <cell r="B2207" t="str">
            <v>В-15131/КЛ.Транш - 1</v>
          </cell>
          <cell r="D2207" t="str">
            <v>Schyter12@yandex.ru</v>
          </cell>
        </row>
        <row r="2208">
          <cell r="A2208" t="str">
            <v>Щепин Артём Артурович</v>
          </cell>
          <cell r="B2208" t="str">
            <v>В-26501/КЛ.Транш - 1</v>
          </cell>
          <cell r="D2208" t="str">
            <v>artyom23shc@gmail.com</v>
          </cell>
        </row>
        <row r="2209">
          <cell r="A2209" t="str">
            <v>Щепин Артём Артурович</v>
          </cell>
          <cell r="B2209" t="str">
            <v>В-26501/КЛ.Транш - 2</v>
          </cell>
          <cell r="D2209" t="str">
            <v>artyom23shc@gmail.com</v>
          </cell>
        </row>
        <row r="2210">
          <cell r="A2210" t="str">
            <v>Щепин Артём Артурович</v>
          </cell>
          <cell r="B2210" t="str">
            <v>В-26501/КЛ.Транш - 3</v>
          </cell>
          <cell r="D2210" t="str">
            <v>artyom23shc@gmail.com</v>
          </cell>
        </row>
        <row r="2211">
          <cell r="A2211" t="str">
            <v>Щепин Артём Артурович</v>
          </cell>
          <cell r="B2211" t="str">
            <v>В-26501/КЛ.Транш - 4</v>
          </cell>
          <cell r="D2211" t="str">
            <v>artyom23shc@gmail.com</v>
          </cell>
        </row>
        <row r="2212">
          <cell r="A2212" t="str">
            <v>Щепин Артём Артурович</v>
          </cell>
          <cell r="B2212" t="str">
            <v>В-26501/КЛ.Транш - 5</v>
          </cell>
          <cell r="D2212" t="str">
            <v>artyom23shc@gmail.com</v>
          </cell>
        </row>
        <row r="2213">
          <cell r="A2213" t="str">
            <v>Щепин Артём Артурович</v>
          </cell>
          <cell r="B2213" t="str">
            <v>В-26501/КЛ.Транш - 6</v>
          </cell>
          <cell r="D2213" t="str">
            <v>artyom23shc@gmail.com</v>
          </cell>
        </row>
        <row r="2214">
          <cell r="A2214" t="str">
            <v>Щербаков Владислав Владимирович</v>
          </cell>
          <cell r="B2214" t="str">
            <v>В-23161/КЛ.Транш - 1</v>
          </cell>
          <cell r="D2214" t="str">
            <v>bedro77@rambler.ru</v>
          </cell>
        </row>
        <row r="2215">
          <cell r="A2215" t="str">
            <v>Щербаков Сергей Валерьевич</v>
          </cell>
          <cell r="B2215" t="str">
            <v>В-01371/КЛ.Транш - 1</v>
          </cell>
          <cell r="C2215" t="str">
            <v>6698879@gmail.com</v>
          </cell>
        </row>
        <row r="2216">
          <cell r="A2216" t="str">
            <v>Щербаков Сергей Васильевич</v>
          </cell>
          <cell r="B2216" t="str">
            <v>В-12818/КЛ.Транш - 1</v>
          </cell>
          <cell r="D2216" t="str">
            <v>Sergei-22.05@mail.ru</v>
          </cell>
        </row>
        <row r="2217">
          <cell r="A2217" t="str">
            <v>Щербин Виталий Борисович</v>
          </cell>
          <cell r="B2217" t="str">
            <v>А-01652/АЗ</v>
          </cell>
        </row>
        <row r="2218">
          <cell r="A2218" t="str">
            <v>Щербин Виталий Борисович</v>
          </cell>
          <cell r="B2218" t="str">
            <v>Т-00638/АЗ_Т-20211028/Ц</v>
          </cell>
        </row>
        <row r="2219">
          <cell r="A2219" t="str">
            <v>Щетников Станислав Александрович</v>
          </cell>
          <cell r="B2219" t="str">
            <v>В-24892/АЗ</v>
          </cell>
          <cell r="C2219" t="str">
            <v>shetnikov.tzx@mail.ru</v>
          </cell>
          <cell r="D2219" t="str">
            <v>shetnikov.jzx@mail.ru</v>
          </cell>
        </row>
        <row r="2220">
          <cell r="A2220" t="str">
            <v>Эврика ООО</v>
          </cell>
          <cell r="B2220" t="str">
            <v>В-00065/КЭ.Транш - 1</v>
          </cell>
          <cell r="C2220" t="str">
            <v>KDC-rostov@bk.ru</v>
          </cell>
        </row>
        <row r="2221">
          <cell r="A2221" t="str">
            <v>Эктов Евгений Александрович</v>
          </cell>
          <cell r="B2221" t="str">
            <v>В-00039/АЗ</v>
          </cell>
        </row>
        <row r="2222">
          <cell r="A2222" t="str">
            <v>Элибекян Виген Вагаршакович</v>
          </cell>
          <cell r="B2222" t="str">
            <v>В-26216/АЗ</v>
          </cell>
          <cell r="C2222" t="str">
            <v>vigen.elibelyan@mail.ru</v>
          </cell>
          <cell r="D2222" t="str">
            <v>vigen.elibelyan@mail.ru</v>
          </cell>
        </row>
        <row r="2223">
          <cell r="A2223" t="str">
            <v>ЭЛ-КОМПЛЕКТ ООО</v>
          </cell>
          <cell r="B2223" t="str">
            <v>В-00039/КЭ.Транш - 1</v>
          </cell>
        </row>
        <row r="2224">
          <cell r="A2224" t="str">
            <v>Элоян Артур Гамбарович</v>
          </cell>
          <cell r="B2224" t="str">
            <v>В-18548/КЛ.Транш - 1</v>
          </cell>
          <cell r="D2224" t="str">
            <v>Eloyan-1985@mail.ru</v>
          </cell>
        </row>
        <row r="2225">
          <cell r="A2225" t="str">
            <v>Элоян Артур Гамбарович</v>
          </cell>
          <cell r="B2225" t="str">
            <v>В-18548/КЛ.Транш - 2</v>
          </cell>
          <cell r="D2225" t="str">
            <v>Eloyan-1985@mail.ru</v>
          </cell>
        </row>
        <row r="2226">
          <cell r="A2226" t="str">
            <v>ЭльБрус ООО</v>
          </cell>
          <cell r="B2226" t="str">
            <v>В-00053/КЭ.Транш - 1</v>
          </cell>
          <cell r="C2226" t="str">
            <v>alexborisov72@gmail.com</v>
          </cell>
        </row>
        <row r="2227">
          <cell r="A2227" t="str">
            <v>ЭНБЕРЛИ ООО</v>
          </cell>
          <cell r="B2227" t="str">
            <v>В-10014/КЭ.Транш - 1</v>
          </cell>
          <cell r="C2227" t="str">
            <v>a.tkachenko@ekproxima.ru</v>
          </cell>
        </row>
        <row r="2228">
          <cell r="A2228" t="str">
            <v>ЭНБЕРЛИ ООО</v>
          </cell>
          <cell r="B2228" t="str">
            <v>В-10014/КЭ.Транш - 2</v>
          </cell>
          <cell r="C2228" t="str">
            <v>a.tkachenko@ekproxima.ru</v>
          </cell>
        </row>
        <row r="2229">
          <cell r="A2229" t="str">
            <v>ЭНЕРГИЯ ООО</v>
          </cell>
          <cell r="B2229" t="str">
            <v>А-10098/КЭ.Транш - 1</v>
          </cell>
        </row>
        <row r="2230">
          <cell r="A2230" t="str">
            <v>ЭНЕРГИЯ ООО</v>
          </cell>
          <cell r="B2230" t="str">
            <v>А-10099/КЭ.Транш - 1</v>
          </cell>
        </row>
        <row r="2231">
          <cell r="A2231" t="str">
            <v>ЭНЕРГИЯ ООО</v>
          </cell>
          <cell r="B2231" t="str">
            <v>А-10099/КЭ.Транш - 2</v>
          </cell>
        </row>
        <row r="2232">
          <cell r="A2232" t="str">
            <v>Эргашев Баходир Закирович</v>
          </cell>
          <cell r="B2232" t="str">
            <v>В-08248/КЛ.Транш - 3</v>
          </cell>
          <cell r="C2232" t="str">
            <v>Borise-1974@mail.ru</v>
          </cell>
        </row>
        <row r="2233">
          <cell r="A2233" t="str">
            <v>Эргюн Кристина Николаевна</v>
          </cell>
          <cell r="B2233" t="str">
            <v>В-05868/КЛ.Транш - 1</v>
          </cell>
          <cell r="C2233" t="str">
            <v>kristina-kuzmina@yandex.ru</v>
          </cell>
        </row>
        <row r="2234">
          <cell r="A2234" t="str">
            <v>Эседуллаев Самур Камилович</v>
          </cell>
          <cell r="B2234" t="str">
            <v>В-25743/КЛ.Транш - 1</v>
          </cell>
          <cell r="D2234" t="str">
            <v>semen2011m@mail.ru</v>
          </cell>
        </row>
        <row r="2235">
          <cell r="A2235" t="str">
            <v>Эскеров Агаси Эскерович</v>
          </cell>
          <cell r="B2235" t="str">
            <v>В-14232/КЛ.Транш - 1</v>
          </cell>
          <cell r="D2235" t="str">
            <v>eskerovv05@gmail.com</v>
          </cell>
        </row>
        <row r="2236">
          <cell r="A2236" t="str">
            <v>Юдин Александр Сергеевич</v>
          </cell>
          <cell r="B2236" t="str">
            <v>В-01090/АЗ</v>
          </cell>
          <cell r="C2236" t="str">
            <v>batku987@mail.ru</v>
          </cell>
          <cell r="D2236" t="str">
            <v>batkus87@mail.ru</v>
          </cell>
        </row>
        <row r="2237">
          <cell r="A2237" t="str">
            <v>Юдин Александр Сергеевич</v>
          </cell>
          <cell r="B2237" t="str">
            <v>В-23895/АЗ</v>
          </cell>
          <cell r="C2237" t="str">
            <v>batku987@mail.ru</v>
          </cell>
          <cell r="D2237" t="str">
            <v>batkus87@mail.ru</v>
          </cell>
        </row>
        <row r="2238">
          <cell r="A2238" t="str">
            <v>Юдина Светлана Валерьевна</v>
          </cell>
          <cell r="B2238" t="str">
            <v>В-20899/КЛ.Транш - 1</v>
          </cell>
          <cell r="D2238" t="str">
            <v>kit20073@yandex.ru</v>
          </cell>
        </row>
        <row r="2239">
          <cell r="A2239" t="str">
            <v>Юзбашян Ходедан Зограбович</v>
          </cell>
          <cell r="B2239" t="str">
            <v>В-00088/АЗ</v>
          </cell>
          <cell r="C2239" t="str">
            <v>xodedan@mail.ru</v>
          </cell>
        </row>
        <row r="2240">
          <cell r="A2240" t="str">
            <v>Юн Вадим Вячеславович</v>
          </cell>
          <cell r="B2240" t="str">
            <v>В-24151/КЛ.Транш - 1</v>
          </cell>
          <cell r="D2240" t="str">
            <v>yun.VADIM1979@icloud.com</v>
          </cell>
        </row>
        <row r="2241">
          <cell r="A2241" t="str">
            <v>Юнусов Акмалдин Акрамович</v>
          </cell>
          <cell r="B2241" t="str">
            <v>В-03543/КЛ.Транш - 1</v>
          </cell>
          <cell r="C2241" t="str">
            <v>akmalyunvsov31@gmail.com</v>
          </cell>
        </row>
        <row r="2242">
          <cell r="A2242" t="str">
            <v>Юров Михаил Витальевич</v>
          </cell>
          <cell r="B2242" t="str">
            <v>Т-01906/АЗ_Т-20211028/Ц</v>
          </cell>
          <cell r="C2242" t="str">
            <v>mishail1185@mail.ru</v>
          </cell>
          <cell r="D2242" t="str">
            <v>mishail1185@mail.ru</v>
          </cell>
        </row>
        <row r="2243">
          <cell r="A2243" t="str">
            <v>Юрченко Дмитрий Валерьевич</v>
          </cell>
          <cell r="B2243" t="str">
            <v>В-01642/КЛ.Транш - 1</v>
          </cell>
          <cell r="C2243" t="str">
            <v>domestas29@gmail.com</v>
          </cell>
        </row>
        <row r="2244">
          <cell r="A2244" t="str">
            <v>Юсупов Альберт Гиннатуллаевич</v>
          </cell>
          <cell r="B2244" t="str">
            <v>В-28235/АЗ</v>
          </cell>
          <cell r="C2244" t="str">
            <v>ysupov-1611@mail.ru</v>
          </cell>
          <cell r="D2244" t="str">
            <v>ysupov-1611@mail.ru</v>
          </cell>
        </row>
        <row r="2245">
          <cell r="A2245" t="str">
            <v>Юсупова Екатерина Галимжановна</v>
          </cell>
          <cell r="B2245" t="str">
            <v>В-26423/КЛ.Транш - 1</v>
          </cell>
          <cell r="D2245" t="str">
            <v>www yusupova-katena@bk.ru</v>
          </cell>
        </row>
        <row r="2246">
          <cell r="A2246" t="str">
            <v>Юшков Юрий Валерьевич</v>
          </cell>
          <cell r="B2246" t="str">
            <v>В-15400/КЛ.Транш - 2</v>
          </cell>
          <cell r="D2246" t="str">
            <v>yushkov0713@gmail.com</v>
          </cell>
        </row>
        <row r="2247">
          <cell r="A2247" t="str">
            <v>Ягненков Сергей Васильевич</v>
          </cell>
          <cell r="B2247" t="str">
            <v>В-28216/КЛ.Транш - 1</v>
          </cell>
        </row>
        <row r="2248">
          <cell r="A2248" t="str">
            <v>Яковлев Борис Викторович</v>
          </cell>
          <cell r="B2248" t="str">
            <v>В-25824/КЛ.Транш - 1</v>
          </cell>
        </row>
        <row r="2249">
          <cell r="A2249" t="str">
            <v>Якубов Ислам Симандуевич</v>
          </cell>
          <cell r="B2249" t="str">
            <v>В-14920/КЛ.Транш - 1</v>
          </cell>
          <cell r="D2249" t="str">
            <v>samrat1972@list.ru</v>
          </cell>
        </row>
        <row r="2250">
          <cell r="A2250" t="str">
            <v>Якунин Валерий Викторович</v>
          </cell>
          <cell r="B2250" t="str">
            <v>В-02090/КЛ.Транш - 1</v>
          </cell>
        </row>
        <row r="2251">
          <cell r="A2251" t="str">
            <v>Якунчиков Максим Анатольевич</v>
          </cell>
          <cell r="B2251" t="str">
            <v>В-22759/КЛ.Транш - 1</v>
          </cell>
          <cell r="D2251" t="str">
            <v>Yakunchikov.m@mail.ru</v>
          </cell>
        </row>
        <row r="2252">
          <cell r="A2252" t="str">
            <v>Янишевская Анна Сергеевна</v>
          </cell>
          <cell r="B2252" t="str">
            <v>В-14291/КЛ.Транш - 7</v>
          </cell>
          <cell r="D2252" t="str">
            <v>biserovoozero3@mail.ru</v>
          </cell>
        </row>
        <row r="2253">
          <cell r="A2253" t="str">
            <v>Ярмоц Константин Викторович</v>
          </cell>
          <cell r="B2253" t="str">
            <v>В-20585/КЛ.Транш - 1</v>
          </cell>
          <cell r="D2253" t="str">
            <v>777kosta7777@mail.ru</v>
          </cell>
        </row>
        <row r="2254">
          <cell r="A2254" t="str">
            <v>Ярмусь Екатерина Юрьевна</v>
          </cell>
          <cell r="B2254" t="str">
            <v>В-20172/КЛ.Транш - 1</v>
          </cell>
          <cell r="D2254" t="str">
            <v>siladi80@mail.ru</v>
          </cell>
        </row>
        <row r="2255">
          <cell r="A2255" t="str">
            <v>Ярунина Олеся Олеговна</v>
          </cell>
          <cell r="B2255" t="str">
            <v>В-11861/КЛ.Транш - 1</v>
          </cell>
          <cell r="C2255" t="str">
            <v>Lisa1989gr@mail.ru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rvice"/>
      <sheetName val="База_ОАПО"/>
      <sheetName val="База_КО"/>
      <sheetName val="Отчет 24"/>
      <sheetName val="KPI"/>
      <sheetName val="Аналитика"/>
    </sheetNames>
    <sheetDataSet>
      <sheetData sheetId="0"/>
      <sheetData sheetId="1">
        <row r="1">
          <cell r="B1" t="str">
            <v>Договор</v>
          </cell>
          <cell r="C1" t="str">
            <v>Остаток по телу на начало просрочки</v>
          </cell>
          <cell r="D1" t="str">
            <v>Дата начала просрочки</v>
          </cell>
          <cell r="E1" t="str">
            <v>Дата вхождения в график</v>
          </cell>
          <cell r="F1" t="str">
            <v>Пени</v>
          </cell>
          <cell r="G1" t="str">
            <v>Дата передачи в КО</v>
          </cell>
        </row>
        <row r="2">
          <cell r="B2" t="str">
            <v>В-20952/КЛ.Транш - 6</v>
          </cell>
          <cell r="C2">
            <v>91126.91</v>
          </cell>
          <cell r="D2">
            <v>44927</v>
          </cell>
          <cell r="E2">
            <v>44942</v>
          </cell>
        </row>
        <row r="3">
          <cell r="B3" t="str">
            <v>В-28789/КЛ.Транш - 1</v>
          </cell>
          <cell r="C3">
            <v>923713.41</v>
          </cell>
          <cell r="D3">
            <v>44927</v>
          </cell>
          <cell r="E3">
            <v>44935</v>
          </cell>
        </row>
        <row r="4">
          <cell r="B4" t="str">
            <v>В-24247/КЛ.Транш - 1</v>
          </cell>
          <cell r="C4">
            <v>310719.8</v>
          </cell>
          <cell r="D4">
            <v>44927</v>
          </cell>
          <cell r="E4">
            <v>44936</v>
          </cell>
        </row>
        <row r="5">
          <cell r="B5" t="str">
            <v>В-07559/КЛ.Транш - 1</v>
          </cell>
          <cell r="C5">
            <v>99084.92</v>
          </cell>
          <cell r="D5">
            <v>44928</v>
          </cell>
          <cell r="E5">
            <v>44950</v>
          </cell>
        </row>
        <row r="6">
          <cell r="B6" t="str">
            <v>В-19880/КЛ.Транш - 1</v>
          </cell>
          <cell r="C6">
            <v>593244.11</v>
          </cell>
          <cell r="D6">
            <v>44928</v>
          </cell>
          <cell r="E6">
            <v>44947</v>
          </cell>
        </row>
        <row r="7">
          <cell r="B7" t="str">
            <v>В-28436/АЗ</v>
          </cell>
          <cell r="C7">
            <v>434952.18</v>
          </cell>
          <cell r="D7">
            <v>44928</v>
          </cell>
          <cell r="E7">
            <v>44935</v>
          </cell>
        </row>
        <row r="8">
          <cell r="B8" t="str">
            <v>В-22163/КЛ.Транш - 1</v>
          </cell>
          <cell r="C8">
            <v>226613.62</v>
          </cell>
          <cell r="D8">
            <v>44928</v>
          </cell>
          <cell r="E8">
            <v>44943</v>
          </cell>
        </row>
        <row r="9">
          <cell r="B9" t="str">
            <v>В-08644/КЛ.Транш - 1</v>
          </cell>
          <cell r="C9">
            <v>75146.45</v>
          </cell>
          <cell r="D9">
            <v>44929</v>
          </cell>
          <cell r="E9">
            <v>44974</v>
          </cell>
        </row>
        <row r="10">
          <cell r="B10" t="str">
            <v>В-14198/КЛ.Транш - 1</v>
          </cell>
          <cell r="C10">
            <v>220883.38</v>
          </cell>
          <cell r="D10">
            <v>44929</v>
          </cell>
          <cell r="E10">
            <v>44945</v>
          </cell>
        </row>
        <row r="11">
          <cell r="B11" t="str">
            <v>В-18715/КЛ.Транш - 1</v>
          </cell>
          <cell r="C11">
            <v>70535.86</v>
          </cell>
          <cell r="D11">
            <v>44929</v>
          </cell>
          <cell r="E11">
            <v>44936</v>
          </cell>
        </row>
        <row r="12">
          <cell r="B12" t="str">
            <v>В-02583/КЛ.Транш - 8</v>
          </cell>
          <cell r="C12">
            <v>117317.32</v>
          </cell>
          <cell r="D12">
            <v>44929</v>
          </cell>
          <cell r="E12">
            <v>44938</v>
          </cell>
        </row>
        <row r="13">
          <cell r="B13" t="str">
            <v>В-14816/КЛ.Транш - 7</v>
          </cell>
          <cell r="C13">
            <v>46670.6</v>
          </cell>
          <cell r="D13">
            <v>44929</v>
          </cell>
          <cell r="E13">
            <v>44971</v>
          </cell>
        </row>
        <row r="14">
          <cell r="B14" t="str">
            <v>В-28906/КЛ.Транш - 1</v>
          </cell>
          <cell r="C14">
            <v>110492.36</v>
          </cell>
          <cell r="D14">
            <v>44929</v>
          </cell>
          <cell r="E14">
            <v>44930</v>
          </cell>
        </row>
        <row r="15">
          <cell r="B15" t="str">
            <v>В-24366/КЛ.Транш - 1</v>
          </cell>
          <cell r="C15">
            <v>94565.17</v>
          </cell>
          <cell r="D15">
            <v>44929</v>
          </cell>
          <cell r="E15">
            <v>44930</v>
          </cell>
        </row>
        <row r="16">
          <cell r="B16" t="str">
            <v>В-16882/КЛ.Транш - 2</v>
          </cell>
          <cell r="C16">
            <v>285542.12</v>
          </cell>
          <cell r="D16">
            <v>44929</v>
          </cell>
          <cell r="E16">
            <v>44931</v>
          </cell>
        </row>
        <row r="17">
          <cell r="B17" t="str">
            <v>В-25509/КЛ.Транш - 1</v>
          </cell>
          <cell r="C17">
            <v>97926.84</v>
          </cell>
          <cell r="D17">
            <v>44929</v>
          </cell>
          <cell r="E17">
            <v>44930</v>
          </cell>
        </row>
        <row r="18">
          <cell r="B18" t="str">
            <v>В-22241/КЛ.Транш - 1</v>
          </cell>
          <cell r="C18">
            <v>57429.64</v>
          </cell>
          <cell r="D18">
            <v>44930</v>
          </cell>
          <cell r="E18">
            <v>44930</v>
          </cell>
        </row>
        <row r="19">
          <cell r="B19" t="str">
            <v>В-14216/КЛ.Транш - 1</v>
          </cell>
          <cell r="C19">
            <v>91776.65</v>
          </cell>
          <cell r="D19">
            <v>44930</v>
          </cell>
          <cell r="E19">
            <v>44932</v>
          </cell>
        </row>
        <row r="20">
          <cell r="B20" t="str">
            <v>В-10841/КЛ.Транш - 1</v>
          </cell>
          <cell r="C20">
            <v>771921.27</v>
          </cell>
          <cell r="D20">
            <v>44930</v>
          </cell>
          <cell r="E20">
            <v>44945</v>
          </cell>
        </row>
        <row r="21">
          <cell r="B21" t="str">
            <v>В-00052/КЭ.Транш - 1</v>
          </cell>
          <cell r="C21">
            <v>157518.70000000001</v>
          </cell>
          <cell r="D21">
            <v>44930</v>
          </cell>
          <cell r="E21">
            <v>44936</v>
          </cell>
        </row>
        <row r="22">
          <cell r="B22" t="str">
            <v>В-30007/КЭ.Транш - 2</v>
          </cell>
          <cell r="C22">
            <v>96687.22</v>
          </cell>
          <cell r="D22">
            <v>44930</v>
          </cell>
          <cell r="G22">
            <v>44977</v>
          </cell>
        </row>
        <row r="23">
          <cell r="B23" t="str">
            <v>В-00953/АЗ</v>
          </cell>
          <cell r="C23">
            <v>311356.09000000003</v>
          </cell>
          <cell r="D23">
            <v>44930</v>
          </cell>
          <cell r="E23">
            <v>44931</v>
          </cell>
        </row>
        <row r="24">
          <cell r="B24" t="str">
            <v>В-19991/КЛ.Транш - 1</v>
          </cell>
          <cell r="C24">
            <v>47094.5</v>
          </cell>
          <cell r="D24">
            <v>44931</v>
          </cell>
          <cell r="E24">
            <v>44931</v>
          </cell>
        </row>
        <row r="25">
          <cell r="B25" t="str">
            <v>В-11948/КЛ.Транш - 1</v>
          </cell>
          <cell r="C25">
            <v>78225.009999999995</v>
          </cell>
          <cell r="D25">
            <v>44931</v>
          </cell>
          <cell r="E25">
            <v>44934</v>
          </cell>
        </row>
        <row r="26">
          <cell r="B26" t="str">
            <v>В-17318/КЛ.Транш - 1</v>
          </cell>
          <cell r="C26">
            <v>810451.67</v>
          </cell>
          <cell r="D26">
            <v>44931</v>
          </cell>
          <cell r="E26">
            <v>44953</v>
          </cell>
        </row>
        <row r="27">
          <cell r="B27" t="str">
            <v>В-27914/КЛ.Транш - 1</v>
          </cell>
          <cell r="C27">
            <v>159338.67000000001</v>
          </cell>
          <cell r="D27">
            <v>44931</v>
          </cell>
          <cell r="E27">
            <v>44941</v>
          </cell>
        </row>
        <row r="28">
          <cell r="B28" t="str">
            <v>В-14168/КЛ.Транш - 4</v>
          </cell>
          <cell r="C28">
            <v>159321.03</v>
          </cell>
          <cell r="D28">
            <v>44931</v>
          </cell>
          <cell r="E28">
            <v>44932</v>
          </cell>
        </row>
        <row r="29">
          <cell r="B29" t="str">
            <v>В-12790/КЛ.Транш - 1</v>
          </cell>
          <cell r="C29">
            <v>243937.04</v>
          </cell>
          <cell r="D29">
            <v>44931</v>
          </cell>
          <cell r="E29">
            <v>44932</v>
          </cell>
        </row>
        <row r="30">
          <cell r="B30" t="str">
            <v>В-21253/КЛ.Транш - 1</v>
          </cell>
          <cell r="C30">
            <v>96533.54</v>
          </cell>
          <cell r="D30">
            <v>44931</v>
          </cell>
          <cell r="E30">
            <v>44931</v>
          </cell>
        </row>
        <row r="31">
          <cell r="B31" t="str">
            <v>В-14627/КЛ.Транш - 3</v>
          </cell>
          <cell r="C31">
            <v>61553.83</v>
          </cell>
          <cell r="D31">
            <v>44932</v>
          </cell>
          <cell r="E31">
            <v>44932</v>
          </cell>
        </row>
        <row r="32">
          <cell r="B32" t="str">
            <v>В-16455/КЛ.Транш - 1</v>
          </cell>
          <cell r="C32">
            <v>225665.43</v>
          </cell>
          <cell r="D32">
            <v>44932</v>
          </cell>
          <cell r="E32">
            <v>44937</v>
          </cell>
        </row>
        <row r="33">
          <cell r="B33" t="str">
            <v>В-19286/КЛ.Транш - 1</v>
          </cell>
          <cell r="C33">
            <v>456624.76</v>
          </cell>
          <cell r="D33">
            <v>44932</v>
          </cell>
          <cell r="E33">
            <v>44950</v>
          </cell>
        </row>
        <row r="34">
          <cell r="B34" t="str">
            <v>В-20035/КЛ.Транш - 1</v>
          </cell>
          <cell r="C34">
            <v>8207.34</v>
          </cell>
          <cell r="D34">
            <v>44932</v>
          </cell>
          <cell r="E34">
            <v>44936</v>
          </cell>
        </row>
        <row r="35">
          <cell r="B35" t="str">
            <v>В-10909/КЛ.Транш - 1</v>
          </cell>
          <cell r="C35">
            <v>64512.65</v>
          </cell>
          <cell r="D35">
            <v>44932</v>
          </cell>
          <cell r="E35">
            <v>44932</v>
          </cell>
        </row>
        <row r="36">
          <cell r="B36" t="str">
            <v>В-02583/КЛ.Транш - 5</v>
          </cell>
          <cell r="C36">
            <v>106726.46</v>
          </cell>
          <cell r="D36">
            <v>44933</v>
          </cell>
          <cell r="E36">
            <v>44946</v>
          </cell>
        </row>
        <row r="37">
          <cell r="B37" t="str">
            <v>В-20087/КЛ.Транш - 1</v>
          </cell>
          <cell r="C37">
            <v>45465.64</v>
          </cell>
          <cell r="D37">
            <v>44933</v>
          </cell>
          <cell r="E37">
            <v>44939</v>
          </cell>
        </row>
        <row r="38">
          <cell r="B38" t="str">
            <v>В-20329/КЛ.Транш - 2</v>
          </cell>
          <cell r="C38">
            <v>123641.03</v>
          </cell>
          <cell r="D38">
            <v>44933</v>
          </cell>
          <cell r="E38">
            <v>44950</v>
          </cell>
        </row>
        <row r="39">
          <cell r="B39" t="str">
            <v>В-21568/КЛ.Транш - 1</v>
          </cell>
          <cell r="C39">
            <v>164598.46</v>
          </cell>
          <cell r="D39">
            <v>44933</v>
          </cell>
          <cell r="E39">
            <v>44952</v>
          </cell>
        </row>
        <row r="40">
          <cell r="B40" t="str">
            <v>В-18305/КЛ.Транш - 3</v>
          </cell>
          <cell r="C40">
            <v>98520.06</v>
          </cell>
          <cell r="D40">
            <v>44933</v>
          </cell>
          <cell r="E40">
            <v>44940</v>
          </cell>
        </row>
        <row r="41">
          <cell r="B41" t="str">
            <v>В-25627/КЛ.Транш - 1</v>
          </cell>
          <cell r="C41">
            <v>889705.15</v>
          </cell>
          <cell r="D41">
            <v>44933</v>
          </cell>
          <cell r="E41">
            <v>44936</v>
          </cell>
        </row>
        <row r="42">
          <cell r="B42" t="str">
            <v>В-25573/КЛ.Транш - 1</v>
          </cell>
          <cell r="C42">
            <v>63417.63</v>
          </cell>
          <cell r="D42">
            <v>44933</v>
          </cell>
          <cell r="E42">
            <v>44936</v>
          </cell>
        </row>
        <row r="43">
          <cell r="B43" t="str">
            <v>В-18532/КЛ.Транш - 2</v>
          </cell>
          <cell r="C43">
            <v>35919.14</v>
          </cell>
          <cell r="D43">
            <v>44934</v>
          </cell>
          <cell r="E43">
            <v>44934</v>
          </cell>
        </row>
        <row r="44">
          <cell r="B44" t="str">
            <v>В-23362/КЛ.Транш - 1</v>
          </cell>
          <cell r="C44">
            <v>341686.71</v>
          </cell>
          <cell r="D44">
            <v>44934</v>
          </cell>
          <cell r="E44">
            <v>44934</v>
          </cell>
        </row>
        <row r="45">
          <cell r="B45" t="str">
            <v>В-12066/КЛ.Транш - 1</v>
          </cell>
          <cell r="C45">
            <v>92899.8</v>
          </cell>
          <cell r="D45">
            <v>44934</v>
          </cell>
          <cell r="E45">
            <v>44943</v>
          </cell>
        </row>
        <row r="46">
          <cell r="B46" t="str">
            <v>В-01143/АЗ</v>
          </cell>
          <cell r="C46">
            <v>270597.59999999998</v>
          </cell>
          <cell r="D46">
            <v>44934</v>
          </cell>
          <cell r="E46">
            <v>44950</v>
          </cell>
        </row>
        <row r="47">
          <cell r="B47" t="str">
            <v>В-30006/КЭ.Транш - 1</v>
          </cell>
          <cell r="C47">
            <v>348763.39</v>
          </cell>
          <cell r="D47">
            <v>44934</v>
          </cell>
          <cell r="E47">
            <v>44935</v>
          </cell>
        </row>
        <row r="48">
          <cell r="B48" t="str">
            <v>В-19585/КЛ.Транш - 1</v>
          </cell>
          <cell r="C48">
            <v>114998.76</v>
          </cell>
          <cell r="D48">
            <v>44934</v>
          </cell>
          <cell r="E48">
            <v>44942</v>
          </cell>
        </row>
        <row r="49">
          <cell r="B49" t="str">
            <v>В-22309/АЗ</v>
          </cell>
          <cell r="C49">
            <v>159155.17000000001</v>
          </cell>
          <cell r="D49">
            <v>44935</v>
          </cell>
          <cell r="E49">
            <v>44936</v>
          </cell>
        </row>
        <row r="50">
          <cell r="B50" t="str">
            <v>В-21960/КЛ.Транш - 2</v>
          </cell>
          <cell r="C50">
            <v>163194.57999999999</v>
          </cell>
          <cell r="D50">
            <v>44935</v>
          </cell>
          <cell r="E50">
            <v>44936</v>
          </cell>
        </row>
        <row r="51">
          <cell r="B51" t="str">
            <v>В-11782/КЛ.Транш - 1</v>
          </cell>
          <cell r="C51">
            <v>120570.1</v>
          </cell>
          <cell r="D51">
            <v>44935</v>
          </cell>
          <cell r="E51">
            <v>44935</v>
          </cell>
        </row>
        <row r="52">
          <cell r="B52" t="str">
            <v>В-02337/КЛ.Транш - 2</v>
          </cell>
          <cell r="C52">
            <v>24064.87</v>
          </cell>
          <cell r="D52">
            <v>44936</v>
          </cell>
          <cell r="E52">
            <v>44936</v>
          </cell>
        </row>
        <row r="53">
          <cell r="B53" t="str">
            <v>В-09500/КЛ.Транш - 1</v>
          </cell>
          <cell r="C53">
            <v>43602.55</v>
          </cell>
          <cell r="D53">
            <v>44936</v>
          </cell>
          <cell r="E53">
            <v>44947</v>
          </cell>
        </row>
        <row r="54">
          <cell r="B54" t="str">
            <v>В-13449/КЛ.Транш - 1</v>
          </cell>
          <cell r="C54">
            <v>81641.05</v>
          </cell>
          <cell r="D54">
            <v>44936</v>
          </cell>
          <cell r="E54">
            <v>44943</v>
          </cell>
        </row>
        <row r="55">
          <cell r="B55" t="str">
            <v>В-00783/КЛ.Транш - 2</v>
          </cell>
          <cell r="C55">
            <v>331520.67</v>
          </cell>
          <cell r="D55">
            <v>44936</v>
          </cell>
          <cell r="E55">
            <v>44938</v>
          </cell>
        </row>
        <row r="56">
          <cell r="B56" t="str">
            <v>В-00043/КЭ.Транш - 1</v>
          </cell>
          <cell r="C56">
            <v>134490.32999999999</v>
          </cell>
          <cell r="D56">
            <v>44936</v>
          </cell>
          <cell r="E56">
            <v>44942</v>
          </cell>
        </row>
        <row r="57">
          <cell r="B57" t="str">
            <v>В-21973/КЛ.Транш - 1</v>
          </cell>
          <cell r="C57">
            <v>79544.31</v>
          </cell>
          <cell r="D57">
            <v>44936</v>
          </cell>
          <cell r="E57">
            <v>44943</v>
          </cell>
        </row>
        <row r="58">
          <cell r="B58" t="str">
            <v>В-25211/АЗ</v>
          </cell>
          <cell r="C58">
            <v>871279.04</v>
          </cell>
          <cell r="D58">
            <v>44936</v>
          </cell>
          <cell r="E58">
            <v>44943</v>
          </cell>
        </row>
        <row r="59">
          <cell r="B59" t="str">
            <v>В-22935/КЛ.Транш - 2</v>
          </cell>
          <cell r="C59">
            <v>89608.98</v>
          </cell>
          <cell r="D59">
            <v>44936</v>
          </cell>
          <cell r="E59">
            <v>44936</v>
          </cell>
        </row>
        <row r="60">
          <cell r="B60" t="str">
            <v>В-28968/АЗ</v>
          </cell>
          <cell r="C60">
            <v>83922.09</v>
          </cell>
          <cell r="D60">
            <v>44936</v>
          </cell>
          <cell r="E60">
            <v>44949</v>
          </cell>
        </row>
        <row r="61">
          <cell r="B61" t="str">
            <v>В-22052/КЛ.Транш - 2</v>
          </cell>
          <cell r="C61">
            <v>106825.43</v>
          </cell>
          <cell r="D61">
            <v>44936</v>
          </cell>
          <cell r="E61">
            <v>44957</v>
          </cell>
        </row>
        <row r="62">
          <cell r="B62" t="str">
            <v>В-28089/КЛ.Транш - 1</v>
          </cell>
          <cell r="C62">
            <v>529349.19999999995</v>
          </cell>
          <cell r="D62">
            <v>44936</v>
          </cell>
          <cell r="E62">
            <v>44949</v>
          </cell>
        </row>
        <row r="63">
          <cell r="B63" t="str">
            <v>В-28968/АЗ</v>
          </cell>
          <cell r="C63">
            <v>83922.09</v>
          </cell>
          <cell r="D63">
            <v>44936</v>
          </cell>
          <cell r="E63">
            <v>44942</v>
          </cell>
        </row>
        <row r="64">
          <cell r="B64" t="str">
            <v>В-00955/АЗ</v>
          </cell>
          <cell r="C64">
            <v>351860.1</v>
          </cell>
          <cell r="D64">
            <v>44937</v>
          </cell>
          <cell r="E64">
            <v>44957</v>
          </cell>
        </row>
        <row r="65">
          <cell r="B65" t="str">
            <v>В-14430/КЛ.Транш - 1</v>
          </cell>
          <cell r="C65">
            <v>105997.41</v>
          </cell>
          <cell r="D65">
            <v>44937</v>
          </cell>
          <cell r="E65">
            <v>44942</v>
          </cell>
        </row>
        <row r="66">
          <cell r="B66" t="str">
            <v>В-01211/АЗ</v>
          </cell>
          <cell r="C66">
            <v>848816.05</v>
          </cell>
          <cell r="D66">
            <v>44937</v>
          </cell>
          <cell r="E66">
            <v>44941</v>
          </cell>
        </row>
        <row r="67">
          <cell r="B67" t="str">
            <v>В-00053/КЭ.Транш - 1</v>
          </cell>
          <cell r="C67">
            <v>24254.06</v>
          </cell>
          <cell r="D67">
            <v>44937</v>
          </cell>
          <cell r="E67">
            <v>44939</v>
          </cell>
        </row>
        <row r="68">
          <cell r="B68" t="str">
            <v>В-24580/КЛ.Транш - 1</v>
          </cell>
          <cell r="C68">
            <v>502274.21</v>
          </cell>
          <cell r="D68">
            <v>44937</v>
          </cell>
          <cell r="E68">
            <v>44985</v>
          </cell>
        </row>
        <row r="69">
          <cell r="B69" t="str">
            <v>В-25306/КЛ.Транш - 1</v>
          </cell>
          <cell r="C69">
            <v>908272.7</v>
          </cell>
          <cell r="D69">
            <v>44937</v>
          </cell>
          <cell r="G69">
            <v>45027</v>
          </cell>
        </row>
        <row r="70">
          <cell r="B70" t="str">
            <v>В-25807/АЗ</v>
          </cell>
          <cell r="C70">
            <v>861677.74</v>
          </cell>
          <cell r="D70">
            <v>44937</v>
          </cell>
          <cell r="E70">
            <v>44939</v>
          </cell>
        </row>
        <row r="71">
          <cell r="B71" t="str">
            <v>В-25810/АЗ</v>
          </cell>
          <cell r="C71">
            <v>861677.74</v>
          </cell>
          <cell r="D71">
            <v>44937</v>
          </cell>
          <cell r="E71">
            <v>44950</v>
          </cell>
        </row>
        <row r="72">
          <cell r="B72" t="str">
            <v>В-17785/КЛ.Транш - 1</v>
          </cell>
          <cell r="C72">
            <v>66177.98</v>
          </cell>
          <cell r="D72">
            <v>44937</v>
          </cell>
          <cell r="E72">
            <v>44937</v>
          </cell>
        </row>
        <row r="73">
          <cell r="B73" t="str">
            <v>В-24618/АЗ</v>
          </cell>
          <cell r="C73">
            <v>116953.75</v>
          </cell>
          <cell r="D73">
            <v>44937</v>
          </cell>
          <cell r="E73">
            <v>44937</v>
          </cell>
        </row>
        <row r="74">
          <cell r="B74" t="str">
            <v>В-24071/КЛ.Транш - 1</v>
          </cell>
          <cell r="C74">
            <v>846593.65</v>
          </cell>
          <cell r="D74">
            <v>44937</v>
          </cell>
          <cell r="E74">
            <v>44937</v>
          </cell>
        </row>
        <row r="75">
          <cell r="B75" t="str">
            <v>В-08962/КЛ.Транш - 1</v>
          </cell>
          <cell r="C75">
            <v>36058.589999999997</v>
          </cell>
          <cell r="D75">
            <v>44938</v>
          </cell>
          <cell r="E75">
            <v>44939</v>
          </cell>
        </row>
        <row r="76">
          <cell r="B76" t="str">
            <v>В-21321/КЛ.Транш - 1</v>
          </cell>
          <cell r="C76">
            <v>202908.58</v>
          </cell>
          <cell r="D76">
            <v>44938</v>
          </cell>
          <cell r="E76">
            <v>44956</v>
          </cell>
        </row>
        <row r="77">
          <cell r="B77" t="str">
            <v>В-23085/КЛ.Транш - 1</v>
          </cell>
          <cell r="C77">
            <v>532034.03</v>
          </cell>
          <cell r="D77">
            <v>44938</v>
          </cell>
          <cell r="E77">
            <v>44944</v>
          </cell>
        </row>
        <row r="78">
          <cell r="B78" t="str">
            <v>В-24137/КЛ.Транш - 1</v>
          </cell>
          <cell r="C78">
            <v>132609.32</v>
          </cell>
          <cell r="D78">
            <v>44938</v>
          </cell>
          <cell r="E78">
            <v>44950</v>
          </cell>
        </row>
        <row r="79">
          <cell r="B79" t="str">
            <v>В-19991/КЛ.Транш - 3</v>
          </cell>
          <cell r="C79">
            <v>93355.37</v>
          </cell>
          <cell r="D79">
            <v>44938</v>
          </cell>
          <cell r="E79">
            <v>44938</v>
          </cell>
        </row>
        <row r="80">
          <cell r="B80" t="str">
            <v>В-25865/КЛ.Транш - 1</v>
          </cell>
          <cell r="C80">
            <v>523728.74</v>
          </cell>
          <cell r="D80">
            <v>44938</v>
          </cell>
          <cell r="G80">
            <v>45028</v>
          </cell>
        </row>
        <row r="81">
          <cell r="B81" t="str">
            <v>В-08121/КЛ.Транш - 4</v>
          </cell>
          <cell r="C81">
            <v>21063.95</v>
          </cell>
          <cell r="D81">
            <v>44938</v>
          </cell>
          <cell r="E81">
            <v>44951</v>
          </cell>
        </row>
        <row r="82">
          <cell r="B82" t="str">
            <v>В-09010/КЛ.Транш - 1</v>
          </cell>
          <cell r="C82">
            <v>120888.73</v>
          </cell>
          <cell r="D82">
            <v>44939</v>
          </cell>
          <cell r="E82">
            <v>44939</v>
          </cell>
        </row>
        <row r="83">
          <cell r="B83" t="str">
            <v>В-10050/КЛ.Транш - 1</v>
          </cell>
          <cell r="C83">
            <v>123510.74</v>
          </cell>
          <cell r="D83">
            <v>44939</v>
          </cell>
          <cell r="E83">
            <v>44942</v>
          </cell>
        </row>
        <row r="84">
          <cell r="B84" t="str">
            <v>В-03365/КЛ.Транш - 3</v>
          </cell>
          <cell r="C84">
            <v>98191.02</v>
          </cell>
          <cell r="D84">
            <v>44939</v>
          </cell>
          <cell r="E84">
            <v>44942</v>
          </cell>
        </row>
        <row r="85">
          <cell r="B85" t="str">
            <v>В-23655/КЛ.Транш - 3</v>
          </cell>
          <cell r="C85">
            <v>492849.84</v>
          </cell>
          <cell r="D85">
            <v>44939</v>
          </cell>
          <cell r="E85">
            <v>44951</v>
          </cell>
        </row>
        <row r="86">
          <cell r="B86" t="str">
            <v>В-10014/КЭ.Транш - 2</v>
          </cell>
          <cell r="C86">
            <v>2022939.41</v>
          </cell>
          <cell r="D86">
            <v>44939</v>
          </cell>
          <cell r="E86">
            <v>44949</v>
          </cell>
        </row>
        <row r="87">
          <cell r="B87" t="str">
            <v>В-01039/АЗ</v>
          </cell>
          <cell r="C87">
            <v>803917.62</v>
          </cell>
          <cell r="D87">
            <v>44939</v>
          </cell>
          <cell r="E87">
            <v>44939</v>
          </cell>
        </row>
        <row r="88">
          <cell r="B88" t="str">
            <v>В-13235/КЛ.Транш - 1</v>
          </cell>
          <cell r="C88">
            <v>83701.69</v>
          </cell>
          <cell r="D88">
            <v>44939</v>
          </cell>
          <cell r="E88">
            <v>44939</v>
          </cell>
        </row>
        <row r="89">
          <cell r="B89" t="str">
            <v>В-28235/АЗ</v>
          </cell>
          <cell r="C89">
            <v>374606.78</v>
          </cell>
          <cell r="D89">
            <v>44940</v>
          </cell>
          <cell r="E89">
            <v>44940</v>
          </cell>
        </row>
        <row r="90">
          <cell r="B90" t="str">
            <v>В-07963/КЛ.Транш - 1</v>
          </cell>
          <cell r="C90">
            <v>125547.95</v>
          </cell>
          <cell r="D90">
            <v>44940</v>
          </cell>
          <cell r="E90">
            <v>44950</v>
          </cell>
        </row>
        <row r="91">
          <cell r="B91" t="str">
            <v>В-03365/КЛ.Транш - 2</v>
          </cell>
          <cell r="C91">
            <v>52490.67</v>
          </cell>
          <cell r="D91">
            <v>44940</v>
          </cell>
          <cell r="E91">
            <v>44942</v>
          </cell>
        </row>
        <row r="92">
          <cell r="B92" t="str">
            <v>В-17916/КЛ.Транш - 1</v>
          </cell>
          <cell r="C92">
            <v>165774.24</v>
          </cell>
          <cell r="D92">
            <v>44940</v>
          </cell>
          <cell r="E92">
            <v>44956</v>
          </cell>
        </row>
        <row r="93">
          <cell r="B93" t="str">
            <v>В-00054/КЭ.Транш - 1</v>
          </cell>
          <cell r="C93">
            <v>447164.93</v>
          </cell>
          <cell r="D93">
            <v>44940</v>
          </cell>
          <cell r="E93">
            <v>44951</v>
          </cell>
        </row>
        <row r="94">
          <cell r="B94" t="str">
            <v>В-22052/КЛ.Транш - 1</v>
          </cell>
          <cell r="C94">
            <v>111931.77</v>
          </cell>
          <cell r="D94">
            <v>44940</v>
          </cell>
          <cell r="E94">
            <v>44957</v>
          </cell>
        </row>
        <row r="95">
          <cell r="B95" t="str">
            <v>В-23585/КЛ.Транш - 1</v>
          </cell>
          <cell r="C95">
            <v>410921.52</v>
          </cell>
          <cell r="D95">
            <v>44940</v>
          </cell>
          <cell r="E95">
            <v>44944</v>
          </cell>
        </row>
        <row r="96">
          <cell r="B96" t="str">
            <v>В-25824/КЛ.Транш - 1</v>
          </cell>
          <cell r="C96">
            <v>128388.45</v>
          </cell>
          <cell r="D96">
            <v>44940</v>
          </cell>
          <cell r="E96">
            <v>45009</v>
          </cell>
        </row>
        <row r="97">
          <cell r="B97" t="str">
            <v>В-25922/КЛ.Транш - 1</v>
          </cell>
          <cell r="C97">
            <v>132852.69</v>
          </cell>
          <cell r="D97">
            <v>44940</v>
          </cell>
          <cell r="E97">
            <v>44949</v>
          </cell>
        </row>
        <row r="98">
          <cell r="B98" t="str">
            <v>В-02064/КЛ.Транш - 2</v>
          </cell>
          <cell r="C98">
            <v>353917.73</v>
          </cell>
          <cell r="D98">
            <v>44941</v>
          </cell>
          <cell r="E98">
            <v>44945</v>
          </cell>
        </row>
        <row r="99">
          <cell r="B99" t="str">
            <v>В-20384/КЛ.Транш - 1</v>
          </cell>
          <cell r="C99">
            <v>459701.13</v>
          </cell>
          <cell r="D99">
            <v>44941</v>
          </cell>
          <cell r="E99">
            <v>44943</v>
          </cell>
        </row>
        <row r="100">
          <cell r="B100" t="str">
            <v>В-17747/КЛ.Транш - 2</v>
          </cell>
          <cell r="C100">
            <v>125913.47</v>
          </cell>
          <cell r="D100">
            <v>44941</v>
          </cell>
          <cell r="E100">
            <v>44951</v>
          </cell>
        </row>
        <row r="101">
          <cell r="B101" t="str">
            <v>В-21137/КЛ.Транш - 1</v>
          </cell>
          <cell r="C101">
            <v>77416.460000000006</v>
          </cell>
          <cell r="D101">
            <v>44941</v>
          </cell>
          <cell r="G101">
            <v>45033</v>
          </cell>
        </row>
        <row r="102">
          <cell r="B102" t="str">
            <v>В-02960/КЛ.Транш - 7</v>
          </cell>
          <cell r="C102">
            <v>65670.44</v>
          </cell>
          <cell r="D102">
            <v>44941</v>
          </cell>
          <cell r="E102">
            <v>44943</v>
          </cell>
        </row>
        <row r="103">
          <cell r="B103" t="str">
            <v>В-25966/КЛ.Транш - 1</v>
          </cell>
          <cell r="C103">
            <v>279852.46000000002</v>
          </cell>
          <cell r="D103">
            <v>44941</v>
          </cell>
          <cell r="E103">
            <v>44946</v>
          </cell>
        </row>
        <row r="104">
          <cell r="B104" t="str">
            <v>В-25351/КЛ.Транш - 2</v>
          </cell>
          <cell r="C104">
            <v>116055.75</v>
          </cell>
          <cell r="D104">
            <v>44941</v>
          </cell>
          <cell r="E104">
            <v>44950</v>
          </cell>
        </row>
        <row r="105">
          <cell r="B105" t="str">
            <v>В-06345/КЛ.Транш - 1</v>
          </cell>
          <cell r="C105">
            <v>143099.51999999999</v>
          </cell>
          <cell r="D105">
            <v>44942</v>
          </cell>
          <cell r="E105">
            <v>45065</v>
          </cell>
        </row>
        <row r="106">
          <cell r="B106" t="str">
            <v>В-17747/КЛ.Транш - 1</v>
          </cell>
          <cell r="C106">
            <v>253645.69</v>
          </cell>
          <cell r="D106">
            <v>44942</v>
          </cell>
          <cell r="E106">
            <v>44957</v>
          </cell>
        </row>
        <row r="107">
          <cell r="B107" t="str">
            <v>В-01188/АЗ</v>
          </cell>
          <cell r="C107">
            <v>90122.66</v>
          </cell>
          <cell r="D107">
            <v>44942</v>
          </cell>
          <cell r="E107">
            <v>44985</v>
          </cell>
        </row>
        <row r="108">
          <cell r="B108" t="str">
            <v>В-21306/КЛ.Транш - 1</v>
          </cell>
          <cell r="C108">
            <v>168789.46</v>
          </cell>
          <cell r="D108">
            <v>44942</v>
          </cell>
          <cell r="E108">
            <v>44942</v>
          </cell>
        </row>
        <row r="109">
          <cell r="B109" t="str">
            <v>В-22386/КЛ.Транш - 4</v>
          </cell>
          <cell r="C109">
            <v>64646.29</v>
          </cell>
          <cell r="D109">
            <v>44942</v>
          </cell>
          <cell r="E109">
            <v>44942</v>
          </cell>
        </row>
        <row r="110">
          <cell r="B110" t="str">
            <v>В-24374/КЛ.Транш - 1</v>
          </cell>
          <cell r="C110">
            <v>258933.2</v>
          </cell>
          <cell r="D110">
            <v>44942</v>
          </cell>
          <cell r="E110">
            <v>44949</v>
          </cell>
        </row>
        <row r="111">
          <cell r="B111" t="str">
            <v>В-24798/АЗ</v>
          </cell>
          <cell r="C111">
            <v>73102.2</v>
          </cell>
          <cell r="D111">
            <v>44942</v>
          </cell>
          <cell r="E111">
            <v>44943</v>
          </cell>
        </row>
        <row r="112">
          <cell r="B112" t="str">
            <v>В-25981/АЗ</v>
          </cell>
          <cell r="C112">
            <v>235068.84</v>
          </cell>
          <cell r="D112">
            <v>44942</v>
          </cell>
          <cell r="E112">
            <v>44943</v>
          </cell>
        </row>
        <row r="113">
          <cell r="B113" t="str">
            <v>В-11396/КЛ.Транш - 2</v>
          </cell>
          <cell r="C113">
            <v>312892.64</v>
          </cell>
          <cell r="D113">
            <v>44942</v>
          </cell>
          <cell r="E113">
            <v>44950</v>
          </cell>
        </row>
        <row r="114">
          <cell r="B114" t="str">
            <v>В-25132/КЛ.Транш - 2</v>
          </cell>
          <cell r="C114">
            <v>70599.13</v>
          </cell>
          <cell r="D114">
            <v>44942</v>
          </cell>
          <cell r="E114">
            <v>44942</v>
          </cell>
        </row>
        <row r="115">
          <cell r="B115" t="str">
            <v>В-13640/КЛ.Транш - 1</v>
          </cell>
          <cell r="C115">
            <v>6975.22</v>
          </cell>
          <cell r="D115">
            <v>44943</v>
          </cell>
          <cell r="E115">
            <v>44956</v>
          </cell>
        </row>
        <row r="116">
          <cell r="B116" t="str">
            <v>В-20731/КЛ.Транш - 2</v>
          </cell>
          <cell r="C116">
            <v>127874.44</v>
          </cell>
          <cell r="D116">
            <v>44943</v>
          </cell>
          <cell r="G116">
            <v>44984</v>
          </cell>
        </row>
        <row r="117">
          <cell r="B117" t="str">
            <v>В-24841/КЛ.Транш - 1</v>
          </cell>
          <cell r="C117">
            <v>93472.94</v>
          </cell>
          <cell r="D117">
            <v>44943</v>
          </cell>
          <cell r="E117">
            <v>44944</v>
          </cell>
        </row>
        <row r="118">
          <cell r="B118" t="str">
            <v>В-11326/КЛ.Транш - 2</v>
          </cell>
          <cell r="C118">
            <v>274949.64</v>
          </cell>
          <cell r="D118">
            <v>44943</v>
          </cell>
          <cell r="E118">
            <v>44949</v>
          </cell>
        </row>
        <row r="119">
          <cell r="B119" t="str">
            <v>В-24859/АЗ</v>
          </cell>
          <cell r="C119">
            <v>70782.399999999994</v>
          </cell>
          <cell r="D119">
            <v>44943</v>
          </cell>
          <cell r="E119">
            <v>44945</v>
          </cell>
        </row>
        <row r="120">
          <cell r="B120" t="str">
            <v>В-26125/АЗ</v>
          </cell>
          <cell r="C120">
            <v>896090.52</v>
          </cell>
          <cell r="D120">
            <v>44943</v>
          </cell>
          <cell r="E120">
            <v>44944</v>
          </cell>
        </row>
        <row r="121">
          <cell r="B121" t="str">
            <v>В-16983/КЛ.Транш - 2</v>
          </cell>
          <cell r="C121">
            <v>64936.18</v>
          </cell>
          <cell r="D121">
            <v>44943</v>
          </cell>
          <cell r="E121">
            <v>44943</v>
          </cell>
        </row>
        <row r="122">
          <cell r="B122" t="str">
            <v>В-07595/КЛ.Транш - 1</v>
          </cell>
          <cell r="C122">
            <v>291840.39</v>
          </cell>
          <cell r="D122">
            <v>44944</v>
          </cell>
          <cell r="E122">
            <v>44953</v>
          </cell>
        </row>
        <row r="123">
          <cell r="B123" t="str">
            <v>В-07559/КЛ.Транш - 3</v>
          </cell>
          <cell r="C123">
            <v>99986.79</v>
          </cell>
          <cell r="D123">
            <v>44944</v>
          </cell>
          <cell r="E123">
            <v>44950</v>
          </cell>
        </row>
        <row r="124">
          <cell r="B124" t="str">
            <v>В-19285/КЛ.Транш - 1</v>
          </cell>
          <cell r="C124">
            <v>79264.37</v>
          </cell>
          <cell r="D124">
            <v>44944</v>
          </cell>
          <cell r="E124">
            <v>44945</v>
          </cell>
        </row>
        <row r="125">
          <cell r="B125" t="str">
            <v>В-20952/КЛ.Транш - 4</v>
          </cell>
          <cell r="C125">
            <v>88744.42</v>
          </cell>
          <cell r="D125">
            <v>44944</v>
          </cell>
          <cell r="E125">
            <v>44945</v>
          </cell>
        </row>
        <row r="126">
          <cell r="B126" t="str">
            <v>В-22677/КЛ.Транш - 1</v>
          </cell>
          <cell r="C126">
            <v>195596.87</v>
          </cell>
          <cell r="D126">
            <v>44944</v>
          </cell>
          <cell r="E126">
            <v>44960</v>
          </cell>
        </row>
        <row r="127">
          <cell r="B127" t="str">
            <v>В-26114/КЛ.Транш - 1</v>
          </cell>
          <cell r="C127">
            <v>287059.28999999998</v>
          </cell>
          <cell r="D127">
            <v>44944</v>
          </cell>
          <cell r="E127">
            <v>44967</v>
          </cell>
        </row>
        <row r="128">
          <cell r="B128" t="str">
            <v>В-28368/АЗ</v>
          </cell>
          <cell r="C128">
            <v>756213.06</v>
          </cell>
          <cell r="D128">
            <v>44944</v>
          </cell>
          <cell r="E128">
            <v>44944</v>
          </cell>
        </row>
        <row r="129">
          <cell r="B129" t="str">
            <v>В-12662/КЛ.Транш - 1</v>
          </cell>
          <cell r="C129">
            <v>52469.05</v>
          </cell>
          <cell r="D129">
            <v>44945</v>
          </cell>
          <cell r="E129">
            <v>44945</v>
          </cell>
        </row>
        <row r="130">
          <cell r="B130" t="str">
            <v>В-16934/КЛ.Транш - 1</v>
          </cell>
          <cell r="C130">
            <v>314760.28999999998</v>
          </cell>
          <cell r="D130">
            <v>44945</v>
          </cell>
          <cell r="E130">
            <v>44951</v>
          </cell>
        </row>
        <row r="131">
          <cell r="B131" t="str">
            <v>В-16991/КЛ.Транш - 1</v>
          </cell>
          <cell r="C131">
            <v>90266.28</v>
          </cell>
          <cell r="D131">
            <v>44945</v>
          </cell>
          <cell r="E131">
            <v>44957</v>
          </cell>
        </row>
        <row r="132">
          <cell r="B132" t="str">
            <v>В-19355/КЛ.Транш - 1</v>
          </cell>
          <cell r="C132">
            <v>112233.42</v>
          </cell>
          <cell r="D132">
            <v>44945</v>
          </cell>
          <cell r="E132">
            <v>44964</v>
          </cell>
        </row>
        <row r="133">
          <cell r="B133" t="str">
            <v>В-27315/КЛ.Транш - 1</v>
          </cell>
          <cell r="C133">
            <v>422021.23</v>
          </cell>
          <cell r="D133">
            <v>44945</v>
          </cell>
          <cell r="E133">
            <v>44965</v>
          </cell>
        </row>
        <row r="134">
          <cell r="B134" t="str">
            <v>В-12574/КЛ.Транш - 3</v>
          </cell>
          <cell r="C134">
            <v>84612.47</v>
          </cell>
          <cell r="D134">
            <v>44945</v>
          </cell>
          <cell r="E134">
            <v>44988</v>
          </cell>
        </row>
        <row r="135">
          <cell r="B135" t="str">
            <v>В-11287/КЛ.Транш - 2</v>
          </cell>
          <cell r="C135">
            <v>16603.47</v>
          </cell>
          <cell r="D135">
            <v>44945</v>
          </cell>
          <cell r="E135">
            <v>44946</v>
          </cell>
        </row>
        <row r="136">
          <cell r="B136" t="str">
            <v>В-23728/КЛ.Транш - 1</v>
          </cell>
          <cell r="C136">
            <v>828327.11</v>
          </cell>
          <cell r="D136">
            <v>44945</v>
          </cell>
          <cell r="E136">
            <v>44956</v>
          </cell>
        </row>
        <row r="137">
          <cell r="B137" t="str">
            <v>В-27049/АЗ</v>
          </cell>
          <cell r="C137">
            <v>280929.17</v>
          </cell>
          <cell r="D137">
            <v>44945</v>
          </cell>
          <cell r="E137">
            <v>44947</v>
          </cell>
        </row>
        <row r="138">
          <cell r="B138" t="str">
            <v>В-28437/КЛ.Транш - 1</v>
          </cell>
          <cell r="C138">
            <v>31032.65</v>
          </cell>
          <cell r="D138">
            <v>44945</v>
          </cell>
          <cell r="E138">
            <v>44945</v>
          </cell>
        </row>
        <row r="139">
          <cell r="B139" t="str">
            <v>В-20623/КЛ.Транш - 1</v>
          </cell>
          <cell r="C139">
            <v>107089.18</v>
          </cell>
          <cell r="D139">
            <v>44946</v>
          </cell>
          <cell r="E139">
            <v>44946</v>
          </cell>
        </row>
        <row r="140">
          <cell r="B140" t="str">
            <v>В-10466/КЛ.Транш - 1</v>
          </cell>
          <cell r="C140">
            <v>137572.93</v>
          </cell>
          <cell r="D140">
            <v>44946</v>
          </cell>
          <cell r="E140">
            <v>44949</v>
          </cell>
        </row>
        <row r="141">
          <cell r="B141" t="str">
            <v>В-13034/КЛ.Транш - 2</v>
          </cell>
          <cell r="C141">
            <v>248498.06</v>
          </cell>
          <cell r="D141">
            <v>44946</v>
          </cell>
          <cell r="E141">
            <v>44951</v>
          </cell>
        </row>
        <row r="142">
          <cell r="B142" t="str">
            <v>В-22744/КЛ.Транш - 1</v>
          </cell>
          <cell r="C142">
            <v>63924.46</v>
          </cell>
          <cell r="D142">
            <v>44946</v>
          </cell>
          <cell r="E142">
            <v>44950</v>
          </cell>
        </row>
        <row r="143">
          <cell r="B143" t="str">
            <v>В-24956/КЛ.Транш - 1</v>
          </cell>
          <cell r="C143">
            <v>138433.26999999999</v>
          </cell>
          <cell r="D143">
            <v>44946</v>
          </cell>
          <cell r="E143">
            <v>44946</v>
          </cell>
        </row>
        <row r="144">
          <cell r="B144" t="str">
            <v>В-26604/КЛ.Транш - 1</v>
          </cell>
          <cell r="C144">
            <v>725119.24</v>
          </cell>
          <cell r="D144">
            <v>44947</v>
          </cell>
          <cell r="E144">
            <v>44947</v>
          </cell>
        </row>
        <row r="145">
          <cell r="B145" t="str">
            <v>В-14216/КЛ.Транш - 4</v>
          </cell>
          <cell r="C145">
            <v>89854.62</v>
          </cell>
          <cell r="D145">
            <v>44947</v>
          </cell>
          <cell r="E145">
            <v>44948</v>
          </cell>
        </row>
        <row r="146">
          <cell r="B146" t="str">
            <v>В-14837/КЛ.Транш - 1</v>
          </cell>
          <cell r="C146">
            <v>227016.63</v>
          </cell>
          <cell r="D146">
            <v>44947</v>
          </cell>
          <cell r="E146">
            <v>44948</v>
          </cell>
        </row>
        <row r="147">
          <cell r="B147" t="str">
            <v>В-00030/КЭ.Транш - 1</v>
          </cell>
          <cell r="C147">
            <v>39349.879999999997</v>
          </cell>
          <cell r="D147">
            <v>44947</v>
          </cell>
          <cell r="G147">
            <v>45006</v>
          </cell>
        </row>
        <row r="148">
          <cell r="B148" t="str">
            <v>В-20193/КЛ.Транш - 1</v>
          </cell>
          <cell r="C148">
            <v>67801.399999999994</v>
          </cell>
          <cell r="D148">
            <v>44947</v>
          </cell>
          <cell r="E148">
            <v>44950</v>
          </cell>
        </row>
        <row r="149">
          <cell r="B149" t="str">
            <v>В-22409/КЛ.Транш - 1</v>
          </cell>
          <cell r="C149">
            <v>178551.16</v>
          </cell>
          <cell r="D149">
            <v>44947</v>
          </cell>
          <cell r="E149">
            <v>44949</v>
          </cell>
        </row>
        <row r="150">
          <cell r="B150" t="str">
            <v>В-21795/КЛ.Транш - 1</v>
          </cell>
          <cell r="C150">
            <v>328213.71999999997</v>
          </cell>
          <cell r="D150">
            <v>44947</v>
          </cell>
          <cell r="E150">
            <v>44970</v>
          </cell>
        </row>
        <row r="151">
          <cell r="B151" t="str">
            <v>Т-01906/АЗ_Т-20211028/Ц</v>
          </cell>
          <cell r="C151">
            <v>39171.949999999997</v>
          </cell>
          <cell r="D151">
            <v>44947</v>
          </cell>
          <cell r="E151">
            <v>44971</v>
          </cell>
        </row>
        <row r="152">
          <cell r="B152" t="str">
            <v>В-03365/КЛ.Транш - 5</v>
          </cell>
          <cell r="C152">
            <v>219577.13</v>
          </cell>
          <cell r="D152">
            <v>44947</v>
          </cell>
          <cell r="E152">
            <v>44950</v>
          </cell>
        </row>
        <row r="153">
          <cell r="B153" t="str">
            <v>В-12256/КЛ.Транш - 1</v>
          </cell>
          <cell r="C153">
            <v>151898.82</v>
          </cell>
          <cell r="D153">
            <v>44948</v>
          </cell>
          <cell r="E153">
            <v>44951</v>
          </cell>
        </row>
        <row r="154">
          <cell r="B154" t="str">
            <v>В-14816/КЛ.Транш - 1</v>
          </cell>
          <cell r="C154">
            <v>26971.1</v>
          </cell>
          <cell r="D154">
            <v>44948</v>
          </cell>
          <cell r="E154">
            <v>44971</v>
          </cell>
        </row>
        <row r="155">
          <cell r="B155" t="str">
            <v>В-30006/КЭ.Транш - 2</v>
          </cell>
          <cell r="C155">
            <v>150152.82</v>
          </cell>
          <cell r="D155">
            <v>44948</v>
          </cell>
          <cell r="E155">
            <v>44949</v>
          </cell>
        </row>
        <row r="156">
          <cell r="B156" t="str">
            <v>В-08348/КЛ.Транш - 7</v>
          </cell>
          <cell r="C156">
            <v>125927.4</v>
          </cell>
          <cell r="D156">
            <v>44948</v>
          </cell>
          <cell r="E156">
            <v>44978</v>
          </cell>
        </row>
        <row r="157">
          <cell r="B157" t="str">
            <v>В-23370/КЛ.Транш - 1</v>
          </cell>
          <cell r="C157">
            <v>96432.22</v>
          </cell>
          <cell r="D157">
            <v>44948</v>
          </cell>
          <cell r="E157">
            <v>44957</v>
          </cell>
        </row>
        <row r="158">
          <cell r="B158" t="str">
            <v>В-27407/КЛ.Транш - 1</v>
          </cell>
          <cell r="C158">
            <v>416823.24</v>
          </cell>
          <cell r="D158">
            <v>44948</v>
          </cell>
          <cell r="E158">
            <v>44949</v>
          </cell>
        </row>
        <row r="159">
          <cell r="B159" t="str">
            <v>В-11472/КЛ.Транш - 3</v>
          </cell>
          <cell r="C159">
            <v>36346.269999999997</v>
          </cell>
          <cell r="D159">
            <v>44948</v>
          </cell>
          <cell r="E159">
            <v>44952</v>
          </cell>
        </row>
        <row r="160">
          <cell r="B160" t="str">
            <v>В-06920/КЛ.Транш - 3</v>
          </cell>
          <cell r="C160">
            <v>30718.73</v>
          </cell>
          <cell r="D160">
            <v>44948</v>
          </cell>
          <cell r="E160">
            <v>44951</v>
          </cell>
        </row>
        <row r="161">
          <cell r="B161" t="str">
            <v>В-28549/АЗ</v>
          </cell>
          <cell r="C161">
            <v>203681.34</v>
          </cell>
          <cell r="D161">
            <v>44948</v>
          </cell>
          <cell r="E161">
            <v>44949</v>
          </cell>
        </row>
        <row r="162">
          <cell r="B162" t="str">
            <v>В-02623/КЛ.Транш - 7</v>
          </cell>
          <cell r="C162">
            <v>206396.36</v>
          </cell>
          <cell r="D162">
            <v>44948</v>
          </cell>
          <cell r="E162">
            <v>44950</v>
          </cell>
        </row>
        <row r="163">
          <cell r="B163" t="str">
            <v>В-27435/КЛ.Транш - 1</v>
          </cell>
          <cell r="C163">
            <v>237322.22</v>
          </cell>
          <cell r="D163">
            <v>44948</v>
          </cell>
          <cell r="E163">
            <v>44989</v>
          </cell>
        </row>
        <row r="164">
          <cell r="B164" t="str">
            <v>В-28538/КЛ.Транш - 1</v>
          </cell>
          <cell r="C164">
            <v>189053.18</v>
          </cell>
          <cell r="D164">
            <v>44948</v>
          </cell>
          <cell r="E164">
            <v>44951</v>
          </cell>
        </row>
        <row r="165">
          <cell r="B165" t="str">
            <v>В-23555/КЛ.Транш - 2</v>
          </cell>
          <cell r="C165">
            <v>144134.85</v>
          </cell>
          <cell r="D165">
            <v>44948</v>
          </cell>
          <cell r="E165">
            <v>44951</v>
          </cell>
        </row>
        <row r="166">
          <cell r="B166" t="str">
            <v>В-01174/АЗ</v>
          </cell>
          <cell r="C166">
            <v>343034.19</v>
          </cell>
          <cell r="D166">
            <v>44949</v>
          </cell>
          <cell r="E166">
            <v>44953</v>
          </cell>
        </row>
        <row r="167">
          <cell r="B167" t="str">
            <v>В-16242/КЛ.Транш - 2</v>
          </cell>
          <cell r="C167">
            <v>258230.41</v>
          </cell>
          <cell r="D167">
            <v>44949</v>
          </cell>
          <cell r="E167">
            <v>44952</v>
          </cell>
        </row>
        <row r="168">
          <cell r="B168" t="str">
            <v>В-20786/КЛ.Транш - 1</v>
          </cell>
          <cell r="C168">
            <v>208581.3</v>
          </cell>
          <cell r="D168">
            <v>44949</v>
          </cell>
          <cell r="E168">
            <v>44960</v>
          </cell>
        </row>
        <row r="169">
          <cell r="B169" t="str">
            <v>В-22763/КЛ.Транш - 1</v>
          </cell>
          <cell r="C169">
            <v>348898.14</v>
          </cell>
          <cell r="D169">
            <v>44949</v>
          </cell>
          <cell r="E169">
            <v>44953</v>
          </cell>
        </row>
        <row r="170">
          <cell r="B170" t="str">
            <v>В-23979/КЛ.Транш - 1</v>
          </cell>
          <cell r="C170">
            <v>97313.04</v>
          </cell>
          <cell r="D170">
            <v>44949</v>
          </cell>
          <cell r="E170">
            <v>44950</v>
          </cell>
        </row>
        <row r="171">
          <cell r="B171" t="str">
            <v>В-14913/КЛ.Транш - 1</v>
          </cell>
          <cell r="C171">
            <v>195057.76</v>
          </cell>
          <cell r="D171">
            <v>44950</v>
          </cell>
          <cell r="E171">
            <v>44958</v>
          </cell>
        </row>
        <row r="172">
          <cell r="B172" t="str">
            <v>В-20952/КЛ.Транш - 3</v>
          </cell>
          <cell r="C172">
            <v>90037.5</v>
          </cell>
          <cell r="D172">
            <v>44950</v>
          </cell>
          <cell r="E172">
            <v>44952</v>
          </cell>
        </row>
        <row r="173">
          <cell r="B173" t="str">
            <v>В-00065/КЭ.Транш - 1</v>
          </cell>
          <cell r="C173">
            <v>91691.28</v>
          </cell>
          <cell r="D173">
            <v>44950</v>
          </cell>
          <cell r="E173">
            <v>44950</v>
          </cell>
        </row>
        <row r="174">
          <cell r="B174" t="str">
            <v>В-16934/КЛ.Транш - 5</v>
          </cell>
          <cell r="C174">
            <v>146451.65</v>
          </cell>
          <cell r="D174">
            <v>44950</v>
          </cell>
          <cell r="E174">
            <v>44951</v>
          </cell>
        </row>
        <row r="175">
          <cell r="B175" t="str">
            <v>В-10022/КЭ.Транш - 1</v>
          </cell>
          <cell r="C175">
            <v>614211.64</v>
          </cell>
          <cell r="D175">
            <v>44950</v>
          </cell>
          <cell r="E175">
            <v>44953</v>
          </cell>
        </row>
        <row r="176">
          <cell r="B176" t="str">
            <v>В-24137/КЛ.Транш - 3</v>
          </cell>
          <cell r="C176">
            <v>73350.720000000001</v>
          </cell>
          <cell r="D176">
            <v>44950</v>
          </cell>
          <cell r="E176">
            <v>44958</v>
          </cell>
        </row>
        <row r="177">
          <cell r="B177" t="str">
            <v>В-28598/КЛ.Транш - 1</v>
          </cell>
          <cell r="C177">
            <v>763850.23999999999</v>
          </cell>
          <cell r="D177">
            <v>44950</v>
          </cell>
          <cell r="E177">
            <v>44951</v>
          </cell>
        </row>
        <row r="178">
          <cell r="B178" t="str">
            <v>В-14216/КЛ.Транш - 3</v>
          </cell>
          <cell r="C178">
            <v>86438.19</v>
          </cell>
          <cell r="D178">
            <v>44951</v>
          </cell>
          <cell r="E178">
            <v>44951</v>
          </cell>
        </row>
        <row r="179">
          <cell r="B179" t="str">
            <v>В-18921/КЛ.Транш - 1</v>
          </cell>
          <cell r="C179">
            <v>882566.53</v>
          </cell>
          <cell r="D179">
            <v>44951</v>
          </cell>
          <cell r="E179">
            <v>44960</v>
          </cell>
        </row>
        <row r="180">
          <cell r="B180" t="str">
            <v>В-22935/КЛ.Транш - 1</v>
          </cell>
          <cell r="C180">
            <v>202858.22</v>
          </cell>
          <cell r="D180">
            <v>44951</v>
          </cell>
          <cell r="E180">
            <v>44957</v>
          </cell>
        </row>
        <row r="181">
          <cell r="B181" t="str">
            <v>В-25132/КЛ.Транш - 1</v>
          </cell>
          <cell r="C181">
            <v>175430.67</v>
          </cell>
          <cell r="D181">
            <v>44951</v>
          </cell>
          <cell r="E181">
            <v>44952</v>
          </cell>
        </row>
        <row r="182">
          <cell r="B182" t="str">
            <v>В-30010/КЭ.Транш - 1</v>
          </cell>
          <cell r="C182">
            <v>714255.46</v>
          </cell>
          <cell r="D182">
            <v>44951</v>
          </cell>
          <cell r="E182">
            <v>44958</v>
          </cell>
        </row>
        <row r="183">
          <cell r="B183" t="str">
            <v>В-28677/КЛ.Транш - 1</v>
          </cell>
          <cell r="C183">
            <v>705991.95</v>
          </cell>
          <cell r="D183">
            <v>44951</v>
          </cell>
          <cell r="E183">
            <v>44958</v>
          </cell>
        </row>
        <row r="184">
          <cell r="B184" t="str">
            <v>В-27250/КЛ.Транш - 2</v>
          </cell>
          <cell r="C184">
            <v>72511.95</v>
          </cell>
          <cell r="D184">
            <v>44951</v>
          </cell>
          <cell r="E184">
            <v>44951</v>
          </cell>
        </row>
        <row r="185">
          <cell r="B185" t="str">
            <v>В-00431/КЛ.Транш - 2</v>
          </cell>
          <cell r="C185">
            <v>144275.32</v>
          </cell>
          <cell r="D185">
            <v>44951</v>
          </cell>
          <cell r="E185">
            <v>44951</v>
          </cell>
        </row>
        <row r="186">
          <cell r="B186" t="str">
            <v>В-17469/КЛ.Транш - 2</v>
          </cell>
          <cell r="C186">
            <v>83989.09</v>
          </cell>
          <cell r="D186">
            <v>44952</v>
          </cell>
          <cell r="E186">
            <v>44952</v>
          </cell>
        </row>
        <row r="187">
          <cell r="B187" t="str">
            <v>В-19548/КЛ.Транш - 1</v>
          </cell>
          <cell r="C187">
            <v>467640.27</v>
          </cell>
          <cell r="D187">
            <v>44952</v>
          </cell>
          <cell r="E187">
            <v>44985</v>
          </cell>
        </row>
        <row r="188">
          <cell r="B188" t="str">
            <v>В-02583/КЛ.Транш - 6</v>
          </cell>
          <cell r="C188">
            <v>83983.26</v>
          </cell>
          <cell r="D188">
            <v>44952</v>
          </cell>
          <cell r="E188">
            <v>44956</v>
          </cell>
        </row>
        <row r="189">
          <cell r="B189" t="str">
            <v>В-22979/КЛ.Транш - 1</v>
          </cell>
          <cell r="C189">
            <v>304287.55</v>
          </cell>
          <cell r="D189">
            <v>44952</v>
          </cell>
          <cell r="E189">
            <v>44966</v>
          </cell>
        </row>
        <row r="190">
          <cell r="B190" t="str">
            <v>В-25966/КЛ.Транш - 2</v>
          </cell>
          <cell r="C190">
            <v>100883.18</v>
          </cell>
          <cell r="D190">
            <v>44952</v>
          </cell>
          <cell r="E190">
            <v>44953</v>
          </cell>
        </row>
        <row r="191">
          <cell r="B191" t="str">
            <v>В-12269/КЛ.Транш - 1</v>
          </cell>
          <cell r="C191">
            <v>147741.24</v>
          </cell>
          <cell r="D191">
            <v>44953</v>
          </cell>
          <cell r="E191">
            <v>44954</v>
          </cell>
        </row>
        <row r="192">
          <cell r="B192" t="str">
            <v>В-12813/КЛ.Транш - 1</v>
          </cell>
          <cell r="C192">
            <v>726501.8</v>
          </cell>
          <cell r="D192">
            <v>44953</v>
          </cell>
          <cell r="E192">
            <v>44963</v>
          </cell>
        </row>
        <row r="193">
          <cell r="B193" t="str">
            <v>В-19662/КЛ.Транш - 1</v>
          </cell>
          <cell r="C193">
            <v>285369.78999999998</v>
          </cell>
          <cell r="D193">
            <v>44953</v>
          </cell>
          <cell r="E193">
            <v>44956</v>
          </cell>
        </row>
        <row r="194">
          <cell r="B194" t="str">
            <v>В-03365/КЛ.Транш - 4</v>
          </cell>
          <cell r="C194">
            <v>100083.52</v>
          </cell>
          <cell r="D194">
            <v>44953</v>
          </cell>
          <cell r="E194">
            <v>44957</v>
          </cell>
        </row>
        <row r="195">
          <cell r="B195" t="str">
            <v>В-23978/КЛ.Транш - 2</v>
          </cell>
          <cell r="C195">
            <v>64646.29</v>
          </cell>
          <cell r="D195">
            <v>44953</v>
          </cell>
          <cell r="E195">
            <v>44957</v>
          </cell>
        </row>
        <row r="196">
          <cell r="B196" t="str">
            <v>В-25217/КЛ.Транш - 1</v>
          </cell>
          <cell r="C196">
            <v>621439.59</v>
          </cell>
          <cell r="D196">
            <v>44953</v>
          </cell>
          <cell r="E196">
            <v>44953</v>
          </cell>
        </row>
        <row r="197">
          <cell r="B197" t="str">
            <v>В-08609/КЛ.Транш - 2</v>
          </cell>
          <cell r="C197">
            <v>202108.98</v>
          </cell>
          <cell r="D197">
            <v>44953</v>
          </cell>
          <cell r="E197">
            <v>44963</v>
          </cell>
        </row>
        <row r="198">
          <cell r="B198" t="str">
            <v>В-28753/КЛ.Транш - 1</v>
          </cell>
          <cell r="C198">
            <v>113862.71</v>
          </cell>
          <cell r="D198">
            <v>44953</v>
          </cell>
          <cell r="E198">
            <v>44956</v>
          </cell>
        </row>
        <row r="199">
          <cell r="B199" t="str">
            <v>В-02849/КЛ.Транш - 1</v>
          </cell>
          <cell r="C199">
            <v>121691.1</v>
          </cell>
          <cell r="D199">
            <v>44954</v>
          </cell>
          <cell r="E199">
            <v>44954</v>
          </cell>
        </row>
        <row r="200">
          <cell r="B200" t="str">
            <v>В-00892/АЗ</v>
          </cell>
          <cell r="C200">
            <v>45997.23</v>
          </cell>
          <cell r="D200">
            <v>44954</v>
          </cell>
          <cell r="E200">
            <v>44957</v>
          </cell>
        </row>
        <row r="201">
          <cell r="B201" t="str">
            <v>В-21987/КЛ.Транш - 1</v>
          </cell>
          <cell r="C201">
            <v>154726.39000000001</v>
          </cell>
          <cell r="D201">
            <v>44954</v>
          </cell>
          <cell r="E201">
            <v>44957</v>
          </cell>
        </row>
        <row r="202">
          <cell r="B202" t="str">
            <v>В-25499/АЗ</v>
          </cell>
          <cell r="C202">
            <v>799235.31</v>
          </cell>
          <cell r="D202">
            <v>44954</v>
          </cell>
          <cell r="E202">
            <v>44964</v>
          </cell>
        </row>
        <row r="203">
          <cell r="B203" t="str">
            <v>В-27646/КЛ.Транш - 1</v>
          </cell>
          <cell r="C203">
            <v>383431.23</v>
          </cell>
          <cell r="D203">
            <v>44954</v>
          </cell>
          <cell r="E203">
            <v>44962</v>
          </cell>
        </row>
        <row r="204">
          <cell r="B204" t="str">
            <v>В-08454/КЛ.Транш - 1</v>
          </cell>
          <cell r="C204">
            <v>39778.949999999997</v>
          </cell>
          <cell r="D204">
            <v>44955</v>
          </cell>
          <cell r="E204">
            <v>44960</v>
          </cell>
        </row>
        <row r="205">
          <cell r="B205" t="str">
            <v>В-02583/КЛ.Транш - 9</v>
          </cell>
          <cell r="C205">
            <v>51124.800000000003</v>
          </cell>
          <cell r="D205">
            <v>44955</v>
          </cell>
          <cell r="E205">
            <v>44958</v>
          </cell>
        </row>
        <row r="206">
          <cell r="B206" t="str">
            <v>В-24137/КЛ.Транш - 2</v>
          </cell>
          <cell r="C206">
            <v>26577.51</v>
          </cell>
          <cell r="D206">
            <v>44955</v>
          </cell>
          <cell r="E206">
            <v>44960</v>
          </cell>
        </row>
        <row r="207">
          <cell r="B207" t="str">
            <v>В-25126/КЛ.Транш - 1</v>
          </cell>
          <cell r="C207">
            <v>168663.77</v>
          </cell>
          <cell r="D207">
            <v>44955</v>
          </cell>
          <cell r="E207">
            <v>44978</v>
          </cell>
        </row>
        <row r="208">
          <cell r="B208" t="str">
            <v>В-25126/КЛ.Транш - 2</v>
          </cell>
          <cell r="C208">
            <v>89608.98</v>
          </cell>
          <cell r="D208">
            <v>44955</v>
          </cell>
          <cell r="E208">
            <v>44978</v>
          </cell>
        </row>
        <row r="209">
          <cell r="B209" t="str">
            <v>В-16057/КЛ.Транш - 6</v>
          </cell>
          <cell r="C209">
            <v>398559.25</v>
          </cell>
          <cell r="D209">
            <v>44955</v>
          </cell>
          <cell r="E209">
            <v>44956</v>
          </cell>
        </row>
        <row r="210">
          <cell r="B210" t="str">
            <v>В-26664/КЛ.Транш - 1</v>
          </cell>
          <cell r="C210">
            <v>209491.73</v>
          </cell>
          <cell r="D210">
            <v>44955</v>
          </cell>
          <cell r="E210">
            <v>44985</v>
          </cell>
        </row>
        <row r="211">
          <cell r="B211" t="str">
            <v>В-25573/КЛ.Транш - 2</v>
          </cell>
          <cell r="C211">
            <v>61978.96</v>
          </cell>
          <cell r="D211">
            <v>44955</v>
          </cell>
          <cell r="E211">
            <v>44966</v>
          </cell>
        </row>
        <row r="212">
          <cell r="B212" t="str">
            <v>В-00970/АЗ</v>
          </cell>
          <cell r="C212">
            <v>241206.49</v>
          </cell>
          <cell r="D212">
            <v>44956</v>
          </cell>
          <cell r="G212">
            <v>45015</v>
          </cell>
        </row>
        <row r="213">
          <cell r="B213" t="str">
            <v>В-13235/КЛ.Транш - 1</v>
          </cell>
          <cell r="C213">
            <v>78527.16</v>
          </cell>
          <cell r="D213">
            <v>44956</v>
          </cell>
          <cell r="E213">
            <v>44957</v>
          </cell>
        </row>
        <row r="214">
          <cell r="B214" t="str">
            <v>В-20731/КЛ.Транш - 3</v>
          </cell>
          <cell r="C214">
            <v>200889</v>
          </cell>
          <cell r="D214">
            <v>44956</v>
          </cell>
          <cell r="G214">
            <v>44984</v>
          </cell>
        </row>
        <row r="215">
          <cell r="B215" t="str">
            <v>В-27730/АЗ</v>
          </cell>
          <cell r="C215">
            <v>504349.68</v>
          </cell>
          <cell r="D215">
            <v>44956</v>
          </cell>
          <cell r="E215">
            <v>44956</v>
          </cell>
        </row>
        <row r="216">
          <cell r="B216" t="str">
            <v>В-04727/КЛ.Транш - 1</v>
          </cell>
          <cell r="C216">
            <v>87169.29</v>
          </cell>
          <cell r="D216">
            <v>44957</v>
          </cell>
          <cell r="E216">
            <v>44959</v>
          </cell>
        </row>
        <row r="217">
          <cell r="B217" t="str">
            <v>В-11605/КЛ.Транш - 1</v>
          </cell>
          <cell r="C217">
            <v>795736.66</v>
          </cell>
          <cell r="D217">
            <v>44957</v>
          </cell>
          <cell r="E217">
            <v>44960</v>
          </cell>
        </row>
        <row r="218">
          <cell r="B218" t="str">
            <v>В-16067/КЛ.Транш - 1</v>
          </cell>
          <cell r="C218">
            <v>115299.15</v>
          </cell>
          <cell r="D218">
            <v>44957</v>
          </cell>
          <cell r="E218">
            <v>44966</v>
          </cell>
        </row>
        <row r="219">
          <cell r="B219" t="str">
            <v>В-18050/КЛ.Транш - 1</v>
          </cell>
          <cell r="C219">
            <v>51401.09</v>
          </cell>
          <cell r="D219">
            <v>44957</v>
          </cell>
          <cell r="E219">
            <v>44957</v>
          </cell>
        </row>
        <row r="220">
          <cell r="B220" t="str">
            <v>В-02583/КЛ.Транш - 7</v>
          </cell>
          <cell r="C220">
            <v>105266.87</v>
          </cell>
          <cell r="D220">
            <v>44957</v>
          </cell>
          <cell r="E220">
            <v>44960</v>
          </cell>
        </row>
        <row r="221">
          <cell r="B221" t="str">
            <v>В-21960/КЛ.Транш - 1</v>
          </cell>
          <cell r="C221">
            <v>270234.02</v>
          </cell>
          <cell r="D221">
            <v>44957</v>
          </cell>
          <cell r="E221">
            <v>44967</v>
          </cell>
        </row>
        <row r="222">
          <cell r="B222" t="str">
            <v>В-22663/КЛ.Транш - 1</v>
          </cell>
          <cell r="C222">
            <v>345268.03</v>
          </cell>
          <cell r="D222">
            <v>44957</v>
          </cell>
          <cell r="E222">
            <v>44960</v>
          </cell>
        </row>
        <row r="223">
          <cell r="B223" t="str">
            <v>В-26743/КЛ.Транш - 1</v>
          </cell>
          <cell r="C223">
            <v>73883.41</v>
          </cell>
          <cell r="D223">
            <v>44957</v>
          </cell>
          <cell r="E223">
            <v>44957</v>
          </cell>
        </row>
        <row r="224">
          <cell r="B224" t="str">
            <v>В-20952/КЛ.Транш - 6</v>
          </cell>
          <cell r="C224">
            <v>90317.75</v>
          </cell>
          <cell r="D224">
            <v>44958</v>
          </cell>
          <cell r="E224">
            <v>44964</v>
          </cell>
        </row>
        <row r="225">
          <cell r="B225" t="str">
            <v>В-24247/КЛ.Транш - 1</v>
          </cell>
          <cell r="C225">
            <v>307791.06</v>
          </cell>
          <cell r="D225">
            <v>44958</v>
          </cell>
          <cell r="E225">
            <v>45029</v>
          </cell>
        </row>
        <row r="226">
          <cell r="B226" t="str">
            <v>В-19880/КЛ.Транш - 1</v>
          </cell>
          <cell r="C226">
            <v>578102.84</v>
          </cell>
          <cell r="D226">
            <v>44959</v>
          </cell>
          <cell r="E226">
            <v>44959</v>
          </cell>
        </row>
        <row r="227">
          <cell r="B227" t="str">
            <v>В-22163/КЛ.Транш - 1</v>
          </cell>
          <cell r="C227">
            <v>208294.7</v>
          </cell>
          <cell r="D227">
            <v>44959</v>
          </cell>
          <cell r="E227">
            <v>44974</v>
          </cell>
        </row>
        <row r="228">
          <cell r="B228" t="str">
            <v>В-23923/КЛ.Транш - 1</v>
          </cell>
          <cell r="C228">
            <v>273027.95</v>
          </cell>
          <cell r="D228">
            <v>44959</v>
          </cell>
          <cell r="E228">
            <v>44973</v>
          </cell>
        </row>
        <row r="229">
          <cell r="B229" t="str">
            <v>В-28436/АЗ</v>
          </cell>
          <cell r="C229">
            <v>432774.06</v>
          </cell>
          <cell r="D229">
            <v>44959</v>
          </cell>
          <cell r="E229">
            <v>45048</v>
          </cell>
        </row>
        <row r="230">
          <cell r="B230" t="str">
            <v>В-14198/КЛ.Транш - 1</v>
          </cell>
          <cell r="C230">
            <v>210350.45</v>
          </cell>
          <cell r="D230">
            <v>44960</v>
          </cell>
          <cell r="E230">
            <v>44978</v>
          </cell>
        </row>
        <row r="231">
          <cell r="B231" t="str">
            <v>В-18715/КЛ.Транш - 1</v>
          </cell>
          <cell r="C231">
            <v>60238.91</v>
          </cell>
          <cell r="D231">
            <v>44960</v>
          </cell>
          <cell r="E231">
            <v>44966</v>
          </cell>
        </row>
        <row r="232">
          <cell r="B232" t="str">
            <v>В-16882/КЛ.Транш - 2</v>
          </cell>
          <cell r="C232">
            <v>271920.32</v>
          </cell>
          <cell r="D232">
            <v>44960</v>
          </cell>
          <cell r="E232">
            <v>44966</v>
          </cell>
        </row>
        <row r="233">
          <cell r="B233" t="str">
            <v>В-28906/КЛ.Транш - 1</v>
          </cell>
          <cell r="C233">
            <v>110492.36</v>
          </cell>
          <cell r="D233">
            <v>44960</v>
          </cell>
          <cell r="E233">
            <v>44965</v>
          </cell>
        </row>
        <row r="234">
          <cell r="B234" t="str">
            <v>В-02583/КЛ.Транш - 8</v>
          </cell>
          <cell r="C234">
            <v>114463.03999999999</v>
          </cell>
          <cell r="D234">
            <v>44960</v>
          </cell>
          <cell r="E234">
            <v>44960</v>
          </cell>
        </row>
        <row r="235">
          <cell r="B235" t="str">
            <v>В-24366/КЛ.Транш - 1</v>
          </cell>
          <cell r="C235">
            <v>88371.98</v>
          </cell>
          <cell r="D235">
            <v>44960</v>
          </cell>
          <cell r="E235">
            <v>44960</v>
          </cell>
        </row>
        <row r="236">
          <cell r="B236" t="str">
            <v>В-00953/АЗ</v>
          </cell>
          <cell r="C236">
            <v>301065.3</v>
          </cell>
          <cell r="D236">
            <v>44961</v>
          </cell>
          <cell r="E236">
            <v>44963</v>
          </cell>
        </row>
        <row r="237">
          <cell r="B237" t="str">
            <v>В-10841/КЛ.Транш - 1</v>
          </cell>
          <cell r="C237">
            <v>753884.93</v>
          </cell>
          <cell r="D237">
            <v>44961</v>
          </cell>
          <cell r="E237">
            <v>44970</v>
          </cell>
        </row>
        <row r="238">
          <cell r="B238" t="str">
            <v>В-08368/КЛ.Транш - 2</v>
          </cell>
          <cell r="C238">
            <v>86096.95</v>
          </cell>
          <cell r="D238">
            <v>44961</v>
          </cell>
          <cell r="E238">
            <v>44966</v>
          </cell>
        </row>
        <row r="239">
          <cell r="B239" t="str">
            <v>В-11948/КЛ.Транш - 1</v>
          </cell>
          <cell r="C239">
            <v>76654.05</v>
          </cell>
          <cell r="D239">
            <v>44962</v>
          </cell>
          <cell r="E239">
            <v>44966</v>
          </cell>
        </row>
        <row r="240">
          <cell r="B240" t="str">
            <v>В-12790/КЛ.Транш - 1</v>
          </cell>
          <cell r="C240">
            <v>231430.97</v>
          </cell>
          <cell r="D240">
            <v>44962</v>
          </cell>
          <cell r="E240">
            <v>44966</v>
          </cell>
        </row>
        <row r="241">
          <cell r="B241" t="str">
            <v>В-19991/КЛ.Транш - 1</v>
          </cell>
          <cell r="C241">
            <v>46395.72</v>
          </cell>
          <cell r="D241">
            <v>44962</v>
          </cell>
          <cell r="E241">
            <v>44965</v>
          </cell>
        </row>
        <row r="242">
          <cell r="B242" t="str">
            <v>В-14168/КЛ.Транш - 4</v>
          </cell>
          <cell r="C242">
            <v>151413.06</v>
          </cell>
          <cell r="D242">
            <v>44962</v>
          </cell>
          <cell r="E242">
            <v>44967</v>
          </cell>
        </row>
        <row r="243">
          <cell r="B243" t="str">
            <v>В-27914/КЛ.Транш - 1</v>
          </cell>
          <cell r="C243">
            <v>158090.54</v>
          </cell>
          <cell r="D243">
            <v>44962</v>
          </cell>
          <cell r="E243">
            <v>44967</v>
          </cell>
        </row>
        <row r="244">
          <cell r="B244" t="str">
            <v>В-16455/КЛ.Транш - 1</v>
          </cell>
          <cell r="C244">
            <v>221469.4</v>
          </cell>
          <cell r="D244">
            <v>44963</v>
          </cell>
          <cell r="E244">
            <v>44967</v>
          </cell>
        </row>
        <row r="245">
          <cell r="B245" t="str">
            <v>В-19286/КЛ.Транш - 1</v>
          </cell>
          <cell r="C245">
            <v>449570.39</v>
          </cell>
          <cell r="D245">
            <v>44963</v>
          </cell>
          <cell r="E245">
            <v>44972</v>
          </cell>
        </row>
        <row r="246">
          <cell r="B246" t="str">
            <v>В-20035/КЛ.Транш - 1</v>
          </cell>
          <cell r="C246">
            <v>8131.49</v>
          </cell>
          <cell r="D246">
            <v>44963</v>
          </cell>
          <cell r="E246">
            <v>44964</v>
          </cell>
        </row>
        <row r="247">
          <cell r="B247" t="str">
            <v>В-25052/КЛ.Транш - 1</v>
          </cell>
          <cell r="C247">
            <v>400799.7</v>
          </cell>
          <cell r="D247">
            <v>44963</v>
          </cell>
          <cell r="G247">
            <v>45056</v>
          </cell>
        </row>
        <row r="248">
          <cell r="B248" t="str">
            <v>В-14291/КЛ.Транш - 7</v>
          </cell>
          <cell r="C248">
            <v>64882.22</v>
          </cell>
          <cell r="D248">
            <v>44963</v>
          </cell>
          <cell r="E248">
            <v>44963</v>
          </cell>
        </row>
        <row r="249">
          <cell r="B249" t="str">
            <v>В-20329/КЛ.Транш - 2</v>
          </cell>
          <cell r="C249">
            <v>119667.58</v>
          </cell>
          <cell r="D249">
            <v>44964</v>
          </cell>
          <cell r="E249">
            <v>44964</v>
          </cell>
        </row>
        <row r="250">
          <cell r="B250" t="str">
            <v>В-21568/КЛ.Транш - 1</v>
          </cell>
          <cell r="C250">
            <v>161001.07</v>
          </cell>
          <cell r="D250">
            <v>44964</v>
          </cell>
          <cell r="E250">
            <v>44979</v>
          </cell>
        </row>
        <row r="251">
          <cell r="B251" t="str">
            <v>В-25627/КЛ.Транш - 1</v>
          </cell>
          <cell r="C251">
            <v>879263.1</v>
          </cell>
          <cell r="D251">
            <v>44964</v>
          </cell>
          <cell r="E251">
            <v>44964</v>
          </cell>
        </row>
        <row r="252">
          <cell r="B252" t="str">
            <v>В-25573/КЛ.Транш - 1</v>
          </cell>
          <cell r="C252">
            <v>59270.98</v>
          </cell>
          <cell r="D252">
            <v>44964</v>
          </cell>
          <cell r="E252">
            <v>44966</v>
          </cell>
        </row>
        <row r="253">
          <cell r="B253" t="str">
            <v>В-20087/КЛ.Транш - 1</v>
          </cell>
          <cell r="C253">
            <v>39815.599999999999</v>
          </cell>
          <cell r="D253">
            <v>44964</v>
          </cell>
          <cell r="E253">
            <v>44964</v>
          </cell>
        </row>
        <row r="254">
          <cell r="B254" t="str">
            <v>В-12066/КЛ.Транш - 1</v>
          </cell>
          <cell r="C254">
            <v>91166.37</v>
          </cell>
          <cell r="D254">
            <v>44965</v>
          </cell>
          <cell r="E254">
            <v>44967</v>
          </cell>
        </row>
        <row r="255">
          <cell r="B255" t="str">
            <v>В-01143/АЗ</v>
          </cell>
          <cell r="C255">
            <v>266529.09000000003</v>
          </cell>
          <cell r="D255">
            <v>44965</v>
          </cell>
          <cell r="E255">
            <v>44977</v>
          </cell>
        </row>
        <row r="256">
          <cell r="B256" t="str">
            <v>В-19585/КЛ.Транш - 1</v>
          </cell>
          <cell r="C256">
            <v>113096.82</v>
          </cell>
          <cell r="D256">
            <v>44965</v>
          </cell>
          <cell r="E256">
            <v>44985</v>
          </cell>
        </row>
        <row r="257">
          <cell r="B257" t="str">
            <v>В-11782/КЛ.Транш - 1</v>
          </cell>
          <cell r="C257">
            <v>112702.86</v>
          </cell>
          <cell r="D257">
            <v>44966</v>
          </cell>
          <cell r="E257">
            <v>44966</v>
          </cell>
        </row>
        <row r="258">
          <cell r="B258" t="str">
            <v>В-18317/КЛ.Транш - 1</v>
          </cell>
          <cell r="C258">
            <v>249380.55</v>
          </cell>
          <cell r="D258">
            <v>44966</v>
          </cell>
          <cell r="E258">
            <v>44973</v>
          </cell>
        </row>
        <row r="259">
          <cell r="B259" t="str">
            <v>В-22309/АЗ</v>
          </cell>
          <cell r="C259">
            <v>159143.57</v>
          </cell>
          <cell r="D259">
            <v>44966</v>
          </cell>
          <cell r="E259">
            <v>44970</v>
          </cell>
        </row>
        <row r="260">
          <cell r="B260" t="str">
            <v>В-21960/КЛ.Транш - 2</v>
          </cell>
          <cell r="C260">
            <v>161947.16</v>
          </cell>
          <cell r="D260">
            <v>44966</v>
          </cell>
          <cell r="E260">
            <v>44967</v>
          </cell>
        </row>
        <row r="261">
          <cell r="B261" t="str">
            <v>В-13449/КЛ.Транш - 1</v>
          </cell>
          <cell r="C261">
            <v>80235.710000000006</v>
          </cell>
          <cell r="D261">
            <v>44967</v>
          </cell>
          <cell r="E261">
            <v>44971</v>
          </cell>
        </row>
        <row r="262">
          <cell r="B262" t="str">
            <v>В-10014/КЭ.Транш - 1</v>
          </cell>
          <cell r="C262">
            <v>1103132.6599999999</v>
          </cell>
          <cell r="D262">
            <v>44967</v>
          </cell>
          <cell r="E262">
            <v>44967</v>
          </cell>
        </row>
        <row r="263">
          <cell r="B263" t="str">
            <v>В-17095/КЛ.Транш - 1</v>
          </cell>
          <cell r="C263">
            <v>71139.97</v>
          </cell>
          <cell r="D263">
            <v>44967</v>
          </cell>
          <cell r="E263">
            <v>44974</v>
          </cell>
        </row>
        <row r="264">
          <cell r="B264" t="str">
            <v>В-00783/КЛ.Транш - 2</v>
          </cell>
          <cell r="C264">
            <v>326900.77</v>
          </cell>
          <cell r="D264">
            <v>44967</v>
          </cell>
          <cell r="E264">
            <v>44968</v>
          </cell>
        </row>
        <row r="265">
          <cell r="B265" t="str">
            <v>В-18958/КЛ.Транш - 1</v>
          </cell>
          <cell r="C265">
            <v>367952.37</v>
          </cell>
          <cell r="D265">
            <v>44967</v>
          </cell>
          <cell r="E265">
            <v>44969</v>
          </cell>
        </row>
        <row r="266">
          <cell r="B266" t="str">
            <v>В-00043/КЭ.Транш - 1</v>
          </cell>
          <cell r="C266">
            <v>118250.15</v>
          </cell>
          <cell r="D266">
            <v>44967</v>
          </cell>
          <cell r="E266">
            <v>44979</v>
          </cell>
        </row>
        <row r="267">
          <cell r="B267" t="str">
            <v>В-21973/КЛ.Транш - 1</v>
          </cell>
          <cell r="C267">
            <v>47682.79</v>
          </cell>
          <cell r="D267">
            <v>44967</v>
          </cell>
          <cell r="E267">
            <v>45009</v>
          </cell>
        </row>
        <row r="268">
          <cell r="B268" t="str">
            <v>В-22935/КЛ.Транш - 2</v>
          </cell>
          <cell r="C268">
            <v>88564.05</v>
          </cell>
          <cell r="D268">
            <v>44967</v>
          </cell>
          <cell r="E268">
            <v>44973</v>
          </cell>
        </row>
        <row r="269">
          <cell r="B269" t="str">
            <v>В-22052/КЛ.Транш - 2</v>
          </cell>
          <cell r="C269">
            <v>101395.6</v>
          </cell>
          <cell r="D269">
            <v>44967</v>
          </cell>
          <cell r="E269">
            <v>44973</v>
          </cell>
        </row>
        <row r="270">
          <cell r="B270" t="str">
            <v>В-28089/КЛ.Транш - 1</v>
          </cell>
          <cell r="C270">
            <v>506081.97</v>
          </cell>
          <cell r="D270">
            <v>44967</v>
          </cell>
          <cell r="E270">
            <v>44988</v>
          </cell>
        </row>
        <row r="271">
          <cell r="B271" t="str">
            <v>В-28968/АЗ</v>
          </cell>
          <cell r="C271">
            <v>81323.820000000007</v>
          </cell>
          <cell r="D271">
            <v>44967</v>
          </cell>
          <cell r="E271">
            <v>44991</v>
          </cell>
        </row>
        <row r="272">
          <cell r="B272" t="str">
            <v>В-17785/КЛ.Транш - 1</v>
          </cell>
          <cell r="C272">
            <v>54616.25</v>
          </cell>
          <cell r="D272">
            <v>44968</v>
          </cell>
          <cell r="E272">
            <v>44968</v>
          </cell>
        </row>
        <row r="273">
          <cell r="B273" t="str">
            <v>В-24610/КЛ.Транш - 1</v>
          </cell>
          <cell r="C273">
            <v>92757.29</v>
          </cell>
          <cell r="D273">
            <v>44968</v>
          </cell>
          <cell r="E273">
            <v>44969</v>
          </cell>
        </row>
        <row r="274">
          <cell r="B274" t="str">
            <v>В-00955/АЗ</v>
          </cell>
          <cell r="C274">
            <v>309702.67</v>
          </cell>
          <cell r="D274">
            <v>44968</v>
          </cell>
          <cell r="E274">
            <v>44971</v>
          </cell>
        </row>
        <row r="275">
          <cell r="B275" t="str">
            <v>В-01211/АЗ</v>
          </cell>
          <cell r="C275">
            <v>836320.29</v>
          </cell>
          <cell r="D275">
            <v>44968</v>
          </cell>
          <cell r="E275">
            <v>44971</v>
          </cell>
        </row>
        <row r="276">
          <cell r="B276" t="str">
            <v>В-24071/КЛ.Транш - 1</v>
          </cell>
          <cell r="C276">
            <v>829872.26</v>
          </cell>
          <cell r="D276">
            <v>44968</v>
          </cell>
          <cell r="E276">
            <v>44977</v>
          </cell>
        </row>
        <row r="277">
          <cell r="B277" t="str">
            <v>В-25807/АЗ</v>
          </cell>
          <cell r="C277">
            <v>846075.61</v>
          </cell>
          <cell r="D277">
            <v>44968</v>
          </cell>
          <cell r="E277">
            <v>44986</v>
          </cell>
        </row>
        <row r="278">
          <cell r="B278" t="str">
            <v>В-25810/АЗ</v>
          </cell>
          <cell r="C278">
            <v>846075.61</v>
          </cell>
          <cell r="D278">
            <v>44968</v>
          </cell>
          <cell r="E278">
            <v>44992</v>
          </cell>
        </row>
        <row r="279">
          <cell r="B279" t="str">
            <v>В-14816/КЛ.Транш - 2</v>
          </cell>
          <cell r="C279">
            <v>7830.63</v>
          </cell>
          <cell r="D279">
            <v>44969</v>
          </cell>
          <cell r="E279">
            <v>44971</v>
          </cell>
        </row>
        <row r="280">
          <cell r="B280" t="str">
            <v>В-21321/КЛ.Транш - 1</v>
          </cell>
          <cell r="C280">
            <v>181058.27</v>
          </cell>
          <cell r="D280">
            <v>44969</v>
          </cell>
          <cell r="E280">
            <v>44985</v>
          </cell>
        </row>
        <row r="281">
          <cell r="B281" t="str">
            <v>В-23085/КЛ.Транш - 1</v>
          </cell>
          <cell r="C281">
            <v>492652.71</v>
          </cell>
          <cell r="D281">
            <v>44969</v>
          </cell>
          <cell r="E281">
            <v>44971</v>
          </cell>
        </row>
        <row r="282">
          <cell r="B282" t="str">
            <v>В-24137/КЛ.Транш - 1</v>
          </cell>
          <cell r="C282">
            <v>125388.36</v>
          </cell>
          <cell r="D282">
            <v>44969</v>
          </cell>
          <cell r="E282">
            <v>44977</v>
          </cell>
        </row>
        <row r="283">
          <cell r="B283" t="str">
            <v>В-25852/КЛ.Транш - 1</v>
          </cell>
          <cell r="C283">
            <v>267767.58</v>
          </cell>
          <cell r="D283">
            <v>44969</v>
          </cell>
          <cell r="E283">
            <v>44972</v>
          </cell>
        </row>
        <row r="284">
          <cell r="B284" t="str">
            <v>В-08121/КЛ.Транш - 4</v>
          </cell>
          <cell r="C284">
            <v>10797.91</v>
          </cell>
          <cell r="D284">
            <v>44969</v>
          </cell>
          <cell r="E284">
            <v>44971</v>
          </cell>
        </row>
        <row r="285">
          <cell r="B285" t="str">
            <v>В-09010/КЛ.Транш - 1</v>
          </cell>
          <cell r="C285">
            <v>110463.77</v>
          </cell>
          <cell r="D285">
            <v>44970</v>
          </cell>
          <cell r="E285">
            <v>44971</v>
          </cell>
        </row>
        <row r="286">
          <cell r="B286" t="str">
            <v>В-10050/КЛ.Транш - 1</v>
          </cell>
          <cell r="C286">
            <v>113693.17</v>
          </cell>
          <cell r="D286">
            <v>44970</v>
          </cell>
          <cell r="E286">
            <v>44974</v>
          </cell>
        </row>
        <row r="287">
          <cell r="B287" t="str">
            <v>В-01038/АЗ</v>
          </cell>
          <cell r="C287">
            <v>768475.65</v>
          </cell>
          <cell r="D287">
            <v>44970</v>
          </cell>
          <cell r="E287">
            <v>44977</v>
          </cell>
        </row>
        <row r="288">
          <cell r="B288" t="str">
            <v>В-01039/АЗ</v>
          </cell>
          <cell r="C288">
            <v>788721.25</v>
          </cell>
          <cell r="D288">
            <v>44970</v>
          </cell>
          <cell r="E288">
            <v>44977</v>
          </cell>
        </row>
        <row r="289">
          <cell r="B289" t="str">
            <v>В-03365/КЛ.Транш - 3</v>
          </cell>
          <cell r="C289">
            <v>94023.8</v>
          </cell>
          <cell r="D289">
            <v>44970</v>
          </cell>
          <cell r="E289">
            <v>44974</v>
          </cell>
        </row>
        <row r="290">
          <cell r="B290" t="str">
            <v>В-07559/КЛ.Транш - 5</v>
          </cell>
          <cell r="C290">
            <v>204797.26</v>
          </cell>
          <cell r="D290">
            <v>44970</v>
          </cell>
          <cell r="E290">
            <v>44980</v>
          </cell>
        </row>
        <row r="291">
          <cell r="B291" t="str">
            <v>В-10014/КЭ.Транш - 2</v>
          </cell>
          <cell r="C291">
            <v>2022939.41</v>
          </cell>
          <cell r="D291">
            <v>44970</v>
          </cell>
          <cell r="E291">
            <v>44986</v>
          </cell>
        </row>
        <row r="292">
          <cell r="B292" t="str">
            <v>В-07963/КЛ.Транш - 1</v>
          </cell>
          <cell r="C292">
            <v>122344.87</v>
          </cell>
          <cell r="D292">
            <v>44971</v>
          </cell>
          <cell r="E292">
            <v>44984</v>
          </cell>
        </row>
        <row r="293">
          <cell r="B293" t="str">
            <v>В-03365/КЛ.Транш - 2</v>
          </cell>
          <cell r="C293">
            <v>48612.77</v>
          </cell>
          <cell r="D293">
            <v>44971</v>
          </cell>
          <cell r="E293">
            <v>44974</v>
          </cell>
        </row>
        <row r="294">
          <cell r="B294" t="str">
            <v>В-17916/КЛ.Транш - 1</v>
          </cell>
          <cell r="C294">
            <v>162893.03</v>
          </cell>
          <cell r="D294">
            <v>44971</v>
          </cell>
          <cell r="E294">
            <v>44984</v>
          </cell>
        </row>
        <row r="295">
          <cell r="B295" t="str">
            <v>В-00054/КЭ.Транш - 1</v>
          </cell>
          <cell r="C295">
            <v>362069.27</v>
          </cell>
          <cell r="D295">
            <v>44971</v>
          </cell>
          <cell r="E295">
            <v>44971</v>
          </cell>
        </row>
        <row r="296">
          <cell r="B296" t="str">
            <v>В-22052/КЛ.Транш - 1</v>
          </cell>
          <cell r="C296">
            <v>102575.17</v>
          </cell>
          <cell r="D296">
            <v>44971</v>
          </cell>
          <cell r="E296">
            <v>44973</v>
          </cell>
        </row>
        <row r="297">
          <cell r="B297" t="str">
            <v>В-23555/КЛ.Транш - 1</v>
          </cell>
          <cell r="C297">
            <v>648835.99</v>
          </cell>
          <cell r="D297">
            <v>44971</v>
          </cell>
          <cell r="E297">
            <v>44971</v>
          </cell>
        </row>
        <row r="298">
          <cell r="B298" t="str">
            <v>В-02064/КЛ.Транш - 2</v>
          </cell>
          <cell r="C298">
            <v>341735.76</v>
          </cell>
          <cell r="D298">
            <v>44972</v>
          </cell>
          <cell r="E298">
            <v>44974</v>
          </cell>
        </row>
        <row r="299">
          <cell r="B299" t="str">
            <v>В-20384/КЛ.Транш - 1</v>
          </cell>
          <cell r="C299">
            <v>415798.98</v>
          </cell>
          <cell r="D299">
            <v>44972</v>
          </cell>
          <cell r="E299">
            <v>44978</v>
          </cell>
        </row>
        <row r="300">
          <cell r="B300" t="str">
            <v>В-17747/КЛ.Транш - 2</v>
          </cell>
          <cell r="C300">
            <v>124093.11</v>
          </cell>
          <cell r="D300">
            <v>44972</v>
          </cell>
          <cell r="E300">
            <v>44979</v>
          </cell>
        </row>
        <row r="301">
          <cell r="B301" t="str">
            <v>В-02960/КЛ.Транш - 7</v>
          </cell>
          <cell r="C301">
            <v>57520.23</v>
          </cell>
          <cell r="D301">
            <v>44972</v>
          </cell>
          <cell r="E301">
            <v>44979</v>
          </cell>
        </row>
        <row r="302">
          <cell r="B302" t="str">
            <v>В-25351/КЛ.Транш - 2</v>
          </cell>
          <cell r="C302">
            <v>115097.4</v>
          </cell>
          <cell r="D302">
            <v>44972</v>
          </cell>
          <cell r="E302">
            <v>44972</v>
          </cell>
        </row>
        <row r="303">
          <cell r="B303" t="str">
            <v>В-07559/КЛ.Транш - 1</v>
          </cell>
          <cell r="C303">
            <v>88588.01</v>
          </cell>
          <cell r="D303">
            <v>44973</v>
          </cell>
          <cell r="E303">
            <v>44980</v>
          </cell>
        </row>
        <row r="304">
          <cell r="B304" t="str">
            <v>В-17747/КЛ.Транш - 1</v>
          </cell>
          <cell r="C304">
            <v>249818.48</v>
          </cell>
          <cell r="D304">
            <v>44973</v>
          </cell>
          <cell r="E304">
            <v>44990</v>
          </cell>
        </row>
        <row r="305">
          <cell r="B305" t="str">
            <v>В-01188/АЗ</v>
          </cell>
          <cell r="C305">
            <v>87528.17</v>
          </cell>
          <cell r="D305">
            <v>44973</v>
          </cell>
          <cell r="E305">
            <v>44991</v>
          </cell>
        </row>
        <row r="306">
          <cell r="B306" t="str">
            <v>В-21306/КЛ.Транш - 1</v>
          </cell>
          <cell r="C306">
            <v>166309.29</v>
          </cell>
          <cell r="D306">
            <v>44973</v>
          </cell>
          <cell r="E306">
            <v>44974</v>
          </cell>
        </row>
        <row r="307">
          <cell r="B307" t="str">
            <v>В-24374/КЛ.Транш - 1</v>
          </cell>
          <cell r="C307">
            <v>256492.59</v>
          </cell>
          <cell r="D307">
            <v>44973</v>
          </cell>
          <cell r="E307">
            <v>44974</v>
          </cell>
        </row>
        <row r="308">
          <cell r="B308" t="str">
            <v>В-25981/АЗ</v>
          </cell>
          <cell r="C308">
            <v>221524.15</v>
          </cell>
          <cell r="D308">
            <v>44973</v>
          </cell>
          <cell r="E308">
            <v>44975</v>
          </cell>
        </row>
        <row r="309">
          <cell r="B309" t="str">
            <v>В-11396/КЛ.Транш - 2</v>
          </cell>
          <cell r="C309">
            <v>308805.84000000003</v>
          </cell>
          <cell r="D309">
            <v>44973</v>
          </cell>
          <cell r="E309">
            <v>44979</v>
          </cell>
        </row>
        <row r="310">
          <cell r="B310" t="str">
            <v>В-25132/КЛ.Транш - 2</v>
          </cell>
          <cell r="C310">
            <v>66943.02</v>
          </cell>
          <cell r="D310">
            <v>44973</v>
          </cell>
          <cell r="E310">
            <v>44976</v>
          </cell>
        </row>
        <row r="311">
          <cell r="B311" t="str">
            <v>В-00033/КЭ.Транш - 2</v>
          </cell>
          <cell r="C311">
            <v>1128358.81</v>
          </cell>
          <cell r="D311">
            <v>44974</v>
          </cell>
          <cell r="E311">
            <v>44974</v>
          </cell>
        </row>
        <row r="312">
          <cell r="B312" t="str">
            <v>В-24859/АЗ</v>
          </cell>
          <cell r="C312">
            <v>66174.12</v>
          </cell>
          <cell r="D312">
            <v>44974</v>
          </cell>
          <cell r="E312">
            <v>44974</v>
          </cell>
        </row>
        <row r="313">
          <cell r="B313" t="str">
            <v>В-07133/КЛ.Транш - 1</v>
          </cell>
          <cell r="C313">
            <v>69591.009999999995</v>
          </cell>
          <cell r="D313">
            <v>44975</v>
          </cell>
          <cell r="E313">
            <v>44983</v>
          </cell>
        </row>
        <row r="314">
          <cell r="B314" t="str">
            <v>В-07595/КЛ.Транш - 1</v>
          </cell>
          <cell r="C314">
            <v>269245.36</v>
          </cell>
          <cell r="D314">
            <v>44975</v>
          </cell>
          <cell r="E314">
            <v>44991</v>
          </cell>
        </row>
        <row r="315">
          <cell r="B315" t="str">
            <v>В-12574/КЛ.Транш - 1</v>
          </cell>
          <cell r="C315">
            <v>70884.88</v>
          </cell>
          <cell r="D315">
            <v>44975</v>
          </cell>
          <cell r="E315">
            <v>44988</v>
          </cell>
        </row>
        <row r="316">
          <cell r="B316" t="str">
            <v>В-07559/КЛ.Транш - 3</v>
          </cell>
          <cell r="C316">
            <v>97628.9</v>
          </cell>
          <cell r="D316">
            <v>44975</v>
          </cell>
          <cell r="E316">
            <v>44980</v>
          </cell>
        </row>
        <row r="317">
          <cell r="B317" t="str">
            <v>В-19285/КЛ.Транш - 1</v>
          </cell>
          <cell r="C317">
            <v>67468.850000000006</v>
          </cell>
          <cell r="D317">
            <v>44975</v>
          </cell>
          <cell r="E317">
            <v>44977</v>
          </cell>
        </row>
        <row r="318">
          <cell r="B318" t="str">
            <v>В-20952/КЛ.Транш - 4</v>
          </cell>
          <cell r="C318">
            <v>87982.12</v>
          </cell>
          <cell r="D318">
            <v>44975</v>
          </cell>
          <cell r="E318">
            <v>44991</v>
          </cell>
        </row>
        <row r="319">
          <cell r="B319" t="str">
            <v>В-22677/КЛ.Транш - 1</v>
          </cell>
          <cell r="C319">
            <v>192879.78</v>
          </cell>
          <cell r="D319">
            <v>44975</v>
          </cell>
          <cell r="E319">
            <v>44979</v>
          </cell>
        </row>
        <row r="320">
          <cell r="B320" t="str">
            <v>В-26114/КЛ.Транш - 1</v>
          </cell>
          <cell r="C320">
            <v>281170.24</v>
          </cell>
          <cell r="D320">
            <v>44975</v>
          </cell>
          <cell r="E320">
            <v>44999</v>
          </cell>
        </row>
        <row r="321">
          <cell r="B321" t="str">
            <v>В-28368/АЗ</v>
          </cell>
          <cell r="C321">
            <v>722974.14</v>
          </cell>
          <cell r="D321">
            <v>44975</v>
          </cell>
          <cell r="E321">
            <v>44978</v>
          </cell>
        </row>
        <row r="322">
          <cell r="B322" t="str">
            <v>В-19355/КЛ.Транш - 1</v>
          </cell>
          <cell r="C322">
            <v>108459.19</v>
          </cell>
          <cell r="D322">
            <v>44976</v>
          </cell>
          <cell r="E322">
            <v>44976</v>
          </cell>
        </row>
        <row r="323">
          <cell r="B323" t="str">
            <v>В-12662/КЛ.Транш - 1</v>
          </cell>
          <cell r="C323">
            <v>50523.18</v>
          </cell>
          <cell r="D323">
            <v>44976</v>
          </cell>
          <cell r="E323">
            <v>44976</v>
          </cell>
        </row>
        <row r="324">
          <cell r="B324" t="str">
            <v>В-16934/КЛ.Транш - 1</v>
          </cell>
          <cell r="C324">
            <v>302867.69</v>
          </cell>
          <cell r="D324">
            <v>44976</v>
          </cell>
          <cell r="E324">
            <v>44976</v>
          </cell>
        </row>
        <row r="325">
          <cell r="B325" t="str">
            <v>В-28437/КЛ.Транш - 1</v>
          </cell>
          <cell r="C325">
            <v>27922.19</v>
          </cell>
          <cell r="D325">
            <v>44976</v>
          </cell>
          <cell r="E325">
            <v>44976</v>
          </cell>
        </row>
        <row r="326">
          <cell r="B326" t="str">
            <v>В-02975/КЛ.Транш - 1</v>
          </cell>
          <cell r="C326">
            <v>2270.61</v>
          </cell>
          <cell r="D326">
            <v>44976</v>
          </cell>
          <cell r="E326">
            <v>44980</v>
          </cell>
        </row>
        <row r="327">
          <cell r="B327" t="str">
            <v>В-16991/КЛ.Транш - 1</v>
          </cell>
          <cell r="C327">
            <v>88587.88</v>
          </cell>
          <cell r="D327">
            <v>44976</v>
          </cell>
          <cell r="E327">
            <v>44977</v>
          </cell>
        </row>
        <row r="328">
          <cell r="B328" t="str">
            <v>В-11287/КЛ.Транш - 2</v>
          </cell>
          <cell r="C328">
            <v>8599.44</v>
          </cell>
          <cell r="D328">
            <v>44976</v>
          </cell>
          <cell r="E328">
            <v>44982</v>
          </cell>
        </row>
        <row r="329">
          <cell r="B329" t="str">
            <v>В-23728/КЛ.Транш - 1</v>
          </cell>
          <cell r="C329">
            <v>810628.91</v>
          </cell>
          <cell r="D329">
            <v>44976</v>
          </cell>
          <cell r="E329">
            <v>44978</v>
          </cell>
        </row>
        <row r="330">
          <cell r="B330" t="str">
            <v>В-14816/КЛ.Транш - 6</v>
          </cell>
          <cell r="C330">
            <v>26448.2</v>
          </cell>
          <cell r="D330">
            <v>44976</v>
          </cell>
          <cell r="E330">
            <v>44978</v>
          </cell>
        </row>
        <row r="331">
          <cell r="B331" t="str">
            <v>В-27049/АЗ</v>
          </cell>
          <cell r="C331">
            <v>279047.40000000002</v>
          </cell>
          <cell r="D331">
            <v>44976</v>
          </cell>
          <cell r="G331">
            <v>45065</v>
          </cell>
        </row>
        <row r="332">
          <cell r="B332" t="str">
            <v>В-10466/КЛ.Транш - 1</v>
          </cell>
          <cell r="C332">
            <v>134603.46</v>
          </cell>
          <cell r="D332">
            <v>44977</v>
          </cell>
          <cell r="E332">
            <v>44978</v>
          </cell>
        </row>
        <row r="333">
          <cell r="B333" t="str">
            <v>В-22744/КЛ.Транш - 1</v>
          </cell>
          <cell r="C333">
            <v>62273.8</v>
          </cell>
          <cell r="D333">
            <v>44977</v>
          </cell>
          <cell r="E333">
            <v>44979</v>
          </cell>
        </row>
        <row r="334">
          <cell r="B334" t="str">
            <v>В-13034/КЛ.Транш - 2</v>
          </cell>
          <cell r="C334">
            <v>243188.59</v>
          </cell>
          <cell r="D334">
            <v>44977</v>
          </cell>
          <cell r="E334">
            <v>44979</v>
          </cell>
        </row>
        <row r="335">
          <cell r="B335" t="str">
            <v>В-24956/КЛ.Транш - 1</v>
          </cell>
          <cell r="C335">
            <v>128949.18</v>
          </cell>
          <cell r="D335">
            <v>44977</v>
          </cell>
          <cell r="E335">
            <v>44977</v>
          </cell>
        </row>
        <row r="336">
          <cell r="B336" t="str">
            <v>В-18135/КЛ.Транш - 1</v>
          </cell>
          <cell r="C336">
            <v>52710.02</v>
          </cell>
          <cell r="D336">
            <v>44977</v>
          </cell>
          <cell r="E336">
            <v>44977</v>
          </cell>
        </row>
        <row r="337">
          <cell r="B337" t="str">
            <v>Т-01906/АЗ_Т-20211028/Ц</v>
          </cell>
          <cell r="C337">
            <v>31972.639999999999</v>
          </cell>
          <cell r="D337">
            <v>44978</v>
          </cell>
          <cell r="E337">
            <v>44999</v>
          </cell>
        </row>
        <row r="338">
          <cell r="B338" t="str">
            <v>В-15831/КЛ.Транш - 1</v>
          </cell>
          <cell r="C338">
            <v>175304.47</v>
          </cell>
          <cell r="D338">
            <v>44978</v>
          </cell>
          <cell r="E338">
            <v>44978</v>
          </cell>
        </row>
        <row r="339">
          <cell r="B339" t="str">
            <v>В-21795/КЛ.Транш - 1</v>
          </cell>
          <cell r="C339">
            <v>323412.02</v>
          </cell>
          <cell r="D339">
            <v>44978</v>
          </cell>
          <cell r="E339">
            <v>44985</v>
          </cell>
        </row>
        <row r="340">
          <cell r="B340" t="str">
            <v>В-21245/КЛ.Транш - 2</v>
          </cell>
          <cell r="C340">
            <v>72680.259999999995</v>
          </cell>
          <cell r="D340">
            <v>44978</v>
          </cell>
          <cell r="E340">
            <v>44979</v>
          </cell>
        </row>
        <row r="341">
          <cell r="B341" t="str">
            <v>В-03365/КЛ.Транш - 5</v>
          </cell>
          <cell r="C341">
            <v>214555.75</v>
          </cell>
          <cell r="D341">
            <v>44978</v>
          </cell>
          <cell r="E341">
            <v>44985</v>
          </cell>
        </row>
        <row r="342">
          <cell r="B342" t="str">
            <v>В-19991/КЛ.Транш - 2</v>
          </cell>
          <cell r="C342">
            <v>32123.96</v>
          </cell>
          <cell r="D342">
            <v>44978</v>
          </cell>
          <cell r="E342">
            <v>44978</v>
          </cell>
        </row>
        <row r="343">
          <cell r="B343" t="str">
            <v>В-22409/КЛ.Транш - 1</v>
          </cell>
          <cell r="C343">
            <v>173551.16</v>
          </cell>
          <cell r="D343">
            <v>44978</v>
          </cell>
          <cell r="E343">
            <v>44978</v>
          </cell>
        </row>
        <row r="344">
          <cell r="B344" t="str">
            <v>В-12256/КЛ.Транш - 1</v>
          </cell>
          <cell r="C344">
            <v>149573.21</v>
          </cell>
          <cell r="D344">
            <v>44979</v>
          </cell>
          <cell r="E344">
            <v>44984</v>
          </cell>
        </row>
        <row r="345">
          <cell r="B345" t="str">
            <v>В-23370/КЛ.Транш - 1</v>
          </cell>
          <cell r="C345">
            <v>95861.91</v>
          </cell>
          <cell r="D345">
            <v>44979</v>
          </cell>
          <cell r="E345">
            <v>44985</v>
          </cell>
        </row>
        <row r="346">
          <cell r="B346" t="str">
            <v>В-06920/КЛ.Транш - 3</v>
          </cell>
          <cell r="C346">
            <v>28980.99</v>
          </cell>
          <cell r="D346">
            <v>44979</v>
          </cell>
          <cell r="E346">
            <v>44979</v>
          </cell>
        </row>
        <row r="347">
          <cell r="B347" t="str">
            <v>В-27407/КЛ.Транш - 1</v>
          </cell>
          <cell r="C347">
            <v>396854.14</v>
          </cell>
          <cell r="D347">
            <v>44979</v>
          </cell>
          <cell r="E347">
            <v>44979</v>
          </cell>
        </row>
        <row r="348">
          <cell r="B348" t="str">
            <v>В-28538/КЛ.Транш - 1</v>
          </cell>
          <cell r="C348">
            <v>180743.44</v>
          </cell>
          <cell r="D348">
            <v>44979</v>
          </cell>
          <cell r="E348">
            <v>44979</v>
          </cell>
        </row>
        <row r="349">
          <cell r="B349" t="str">
            <v>В-28549/АЗ</v>
          </cell>
          <cell r="C349">
            <v>201743.03</v>
          </cell>
          <cell r="D349">
            <v>44979</v>
          </cell>
          <cell r="E349">
            <v>44991</v>
          </cell>
        </row>
        <row r="350">
          <cell r="B350" t="str">
            <v>В-14216/КЛ.Транш - 4</v>
          </cell>
          <cell r="C350">
            <v>88965.5</v>
          </cell>
          <cell r="D350">
            <v>44979</v>
          </cell>
          <cell r="E350">
            <v>44979</v>
          </cell>
        </row>
        <row r="351">
          <cell r="B351" t="str">
            <v>В-14837/КЛ.Транш - 1</v>
          </cell>
          <cell r="C351">
            <v>222106.35</v>
          </cell>
          <cell r="D351">
            <v>44979</v>
          </cell>
          <cell r="E351">
            <v>44979</v>
          </cell>
        </row>
        <row r="352">
          <cell r="B352" t="str">
            <v>В-16242/КЛ.Транш - 2</v>
          </cell>
          <cell r="C352">
            <v>254842.23999999999</v>
          </cell>
          <cell r="D352">
            <v>44980</v>
          </cell>
          <cell r="E352">
            <v>44982</v>
          </cell>
        </row>
        <row r="353">
          <cell r="B353" t="str">
            <v>В-01174/АЗ</v>
          </cell>
          <cell r="C353">
            <v>339110.92</v>
          </cell>
          <cell r="D353">
            <v>44980</v>
          </cell>
          <cell r="E353">
            <v>45004</v>
          </cell>
        </row>
        <row r="354">
          <cell r="B354" t="str">
            <v>Т-01880/АЗ_Т-20211028/Ц</v>
          </cell>
          <cell r="C354">
            <v>42747.35</v>
          </cell>
          <cell r="D354">
            <v>44980</v>
          </cell>
          <cell r="E354">
            <v>44989</v>
          </cell>
        </row>
        <row r="355">
          <cell r="B355" t="str">
            <v>В-20786/КЛ.Транш - 1</v>
          </cell>
          <cell r="C355">
            <v>205312.3</v>
          </cell>
          <cell r="D355">
            <v>44980</v>
          </cell>
          <cell r="E355">
            <v>44987</v>
          </cell>
        </row>
        <row r="356">
          <cell r="B356" t="str">
            <v>В-06992/КЛ.Транш - 1</v>
          </cell>
          <cell r="C356">
            <v>373382.68</v>
          </cell>
          <cell r="D356">
            <v>44981</v>
          </cell>
          <cell r="E356">
            <v>44984</v>
          </cell>
        </row>
        <row r="357">
          <cell r="B357" t="str">
            <v>В-14913/КЛ.Транш - 1</v>
          </cell>
          <cell r="C357">
            <v>186205.38</v>
          </cell>
          <cell r="D357">
            <v>44981</v>
          </cell>
          <cell r="E357">
            <v>44985</v>
          </cell>
        </row>
        <row r="358">
          <cell r="B358" t="str">
            <v>В-20952/КЛ.Транш - 3</v>
          </cell>
          <cell r="C358">
            <v>89155.04</v>
          </cell>
          <cell r="D358">
            <v>44981</v>
          </cell>
          <cell r="E358">
            <v>44991</v>
          </cell>
        </row>
        <row r="359">
          <cell r="B359" t="str">
            <v>В-14816/КЛ.Транш - 4</v>
          </cell>
          <cell r="C359">
            <v>22373.87</v>
          </cell>
          <cell r="D359">
            <v>44981</v>
          </cell>
          <cell r="E359">
            <v>44985</v>
          </cell>
        </row>
        <row r="360">
          <cell r="B360" t="str">
            <v>В-00065/КЭ.Транш - 1</v>
          </cell>
          <cell r="C360">
            <v>85437.72</v>
          </cell>
          <cell r="D360">
            <v>44981</v>
          </cell>
          <cell r="E360">
            <v>44992</v>
          </cell>
        </row>
        <row r="361">
          <cell r="B361" t="str">
            <v>В-16934/КЛ.Транш - 5</v>
          </cell>
          <cell r="C361">
            <v>143036.47</v>
          </cell>
          <cell r="D361">
            <v>44981</v>
          </cell>
          <cell r="E361">
            <v>44985</v>
          </cell>
        </row>
        <row r="362">
          <cell r="B362" t="str">
            <v>В-10022/КЭ.Транш - 1</v>
          </cell>
          <cell r="C362">
            <v>574184.22</v>
          </cell>
          <cell r="D362">
            <v>44981</v>
          </cell>
          <cell r="E362">
            <v>44984</v>
          </cell>
        </row>
        <row r="363">
          <cell r="B363" t="str">
            <v>В-24137/КЛ.Транш - 3</v>
          </cell>
          <cell r="C363">
            <v>69891.19</v>
          </cell>
          <cell r="D363">
            <v>44981</v>
          </cell>
          <cell r="E363">
            <v>44985</v>
          </cell>
        </row>
        <row r="364">
          <cell r="B364" t="str">
            <v>В-28598/КЛ.Транш - 1</v>
          </cell>
          <cell r="C364">
            <v>760080.64</v>
          </cell>
          <cell r="D364">
            <v>44981</v>
          </cell>
          <cell r="E364">
            <v>44988</v>
          </cell>
        </row>
        <row r="365">
          <cell r="B365" t="str">
            <v>В-23978/КЛ.Транш - 1</v>
          </cell>
          <cell r="C365">
            <v>172904.07</v>
          </cell>
          <cell r="D365">
            <v>44981</v>
          </cell>
          <cell r="E365">
            <v>44982</v>
          </cell>
        </row>
        <row r="366">
          <cell r="B366" t="str">
            <v>В-00431/КЛ.Транш - 2</v>
          </cell>
          <cell r="C366">
            <v>135259.79</v>
          </cell>
          <cell r="D366">
            <v>44982</v>
          </cell>
          <cell r="E366">
            <v>44982</v>
          </cell>
        </row>
        <row r="367">
          <cell r="B367" t="str">
            <v>В-18921/КЛ.Транш - 1</v>
          </cell>
          <cell r="C367">
            <v>874124.95</v>
          </cell>
          <cell r="D367">
            <v>44982</v>
          </cell>
          <cell r="E367">
            <v>44995</v>
          </cell>
        </row>
        <row r="368">
          <cell r="B368" t="str">
            <v>В-22935/КЛ.Транш - 1</v>
          </cell>
          <cell r="C368">
            <v>200672.62</v>
          </cell>
          <cell r="D368">
            <v>44982</v>
          </cell>
          <cell r="E368">
            <v>44984</v>
          </cell>
        </row>
        <row r="369">
          <cell r="B369" t="str">
            <v>В-27250/КЛ.Транш - 2</v>
          </cell>
          <cell r="C369">
            <v>68167.55</v>
          </cell>
          <cell r="D369">
            <v>44982</v>
          </cell>
          <cell r="E369">
            <v>44984</v>
          </cell>
        </row>
        <row r="370">
          <cell r="B370" t="str">
            <v>А-05360/АЗ</v>
          </cell>
          <cell r="C370">
            <v>44041.86</v>
          </cell>
          <cell r="D370">
            <v>44983</v>
          </cell>
          <cell r="E370">
            <v>44986</v>
          </cell>
        </row>
        <row r="371">
          <cell r="B371" t="str">
            <v>В-19354/КЛ.Транш - 1</v>
          </cell>
          <cell r="C371">
            <v>113423.22</v>
          </cell>
          <cell r="D371">
            <v>44983</v>
          </cell>
          <cell r="E371">
            <v>44988</v>
          </cell>
        </row>
        <row r="372">
          <cell r="B372" t="str">
            <v>В-17469/КЛ.Транш - 2</v>
          </cell>
          <cell r="C372">
            <v>83989.09</v>
          </cell>
          <cell r="D372">
            <v>44983</v>
          </cell>
          <cell r="E372">
            <v>44986</v>
          </cell>
        </row>
        <row r="373">
          <cell r="B373" t="str">
            <v>В-19593/КЛ.Транш - 1</v>
          </cell>
          <cell r="C373">
            <v>346134.92</v>
          </cell>
          <cell r="D373">
            <v>44983</v>
          </cell>
          <cell r="E373">
            <v>44985</v>
          </cell>
        </row>
        <row r="374">
          <cell r="B374" t="str">
            <v>В-02583/КЛ.Транш - 6</v>
          </cell>
          <cell r="C374">
            <v>81661.990000000005</v>
          </cell>
          <cell r="D374">
            <v>44983</v>
          </cell>
          <cell r="E374">
            <v>44989</v>
          </cell>
        </row>
        <row r="375">
          <cell r="B375" t="str">
            <v>В-22979/КЛ.Транш - 1</v>
          </cell>
          <cell r="C375">
            <v>301009.17</v>
          </cell>
          <cell r="D375">
            <v>44983</v>
          </cell>
          <cell r="E375">
            <v>44995</v>
          </cell>
        </row>
        <row r="376">
          <cell r="B376" t="str">
            <v>В-26517/КЛ.Транш - 1</v>
          </cell>
          <cell r="C376">
            <v>113802.36</v>
          </cell>
          <cell r="D376">
            <v>44983</v>
          </cell>
          <cell r="E376">
            <v>45002</v>
          </cell>
        </row>
        <row r="377">
          <cell r="B377" t="str">
            <v>В-23370/КЛ.Транш - 2</v>
          </cell>
          <cell r="C377">
            <v>104506.98</v>
          </cell>
          <cell r="D377">
            <v>44983</v>
          </cell>
          <cell r="E377">
            <v>44987</v>
          </cell>
        </row>
        <row r="378">
          <cell r="B378" t="str">
            <v>В-28539/КЛ.Транш - 1</v>
          </cell>
          <cell r="C378">
            <v>223282.56</v>
          </cell>
          <cell r="D378">
            <v>44983</v>
          </cell>
          <cell r="E378">
            <v>44986</v>
          </cell>
        </row>
        <row r="379">
          <cell r="B379" t="str">
            <v>В-12553/КЛ.Транш - 1</v>
          </cell>
          <cell r="C379">
            <v>197556.67</v>
          </cell>
          <cell r="D379">
            <v>44984</v>
          </cell>
          <cell r="E379">
            <v>44985</v>
          </cell>
        </row>
        <row r="380">
          <cell r="B380" t="str">
            <v>В-12269/КЛ.Транш - 1</v>
          </cell>
          <cell r="C380">
            <v>144201.97</v>
          </cell>
          <cell r="D380">
            <v>44984</v>
          </cell>
          <cell r="E380">
            <v>44984</v>
          </cell>
        </row>
        <row r="381">
          <cell r="B381" t="str">
            <v>В-12813/КЛ.Транш - 1</v>
          </cell>
          <cell r="C381">
            <v>708850.9</v>
          </cell>
          <cell r="D381">
            <v>44984</v>
          </cell>
          <cell r="E381">
            <v>44991</v>
          </cell>
        </row>
        <row r="382">
          <cell r="B382" t="str">
            <v>В-12574/КЛ.Транш - 2</v>
          </cell>
          <cell r="C382">
            <v>79399.460000000006</v>
          </cell>
          <cell r="D382">
            <v>44984</v>
          </cell>
          <cell r="E382">
            <v>45019</v>
          </cell>
        </row>
        <row r="383">
          <cell r="B383" t="str">
            <v>В-03365/КЛ.Транш - 4</v>
          </cell>
          <cell r="C383">
            <v>90096.320000000007</v>
          </cell>
          <cell r="D383">
            <v>44984</v>
          </cell>
          <cell r="E383">
            <v>44985</v>
          </cell>
        </row>
        <row r="384">
          <cell r="B384" t="str">
            <v>В-23978/КЛ.Транш - 2</v>
          </cell>
          <cell r="C384">
            <v>59655.81</v>
          </cell>
          <cell r="D384">
            <v>44984</v>
          </cell>
          <cell r="E384">
            <v>44985</v>
          </cell>
        </row>
        <row r="385">
          <cell r="B385" t="str">
            <v>В-25217/КЛ.Транш - 1</v>
          </cell>
          <cell r="C385">
            <v>615582.1</v>
          </cell>
          <cell r="D385">
            <v>44984</v>
          </cell>
          <cell r="E385">
            <v>44984</v>
          </cell>
        </row>
        <row r="386">
          <cell r="B386" t="str">
            <v>В-08609/КЛ.Транш - 2</v>
          </cell>
          <cell r="C386">
            <v>183076.86</v>
          </cell>
          <cell r="D386">
            <v>44984</v>
          </cell>
          <cell r="E386">
            <v>44985</v>
          </cell>
        </row>
        <row r="387">
          <cell r="B387" t="str">
            <v>В-21987/КЛ.Транш - 1</v>
          </cell>
          <cell r="C387">
            <v>123816.51</v>
          </cell>
          <cell r="D387">
            <v>44985</v>
          </cell>
          <cell r="E387">
            <v>44985</v>
          </cell>
        </row>
        <row r="388">
          <cell r="B388" t="str">
            <v>В-27646/КЛ.Транш - 1</v>
          </cell>
          <cell r="C388">
            <v>383431.23</v>
          </cell>
          <cell r="D388">
            <v>44985</v>
          </cell>
          <cell r="E388">
            <v>44988</v>
          </cell>
        </row>
        <row r="389">
          <cell r="B389" t="str">
            <v>В-04727/КЛ.Транш - 1</v>
          </cell>
          <cell r="C389">
            <v>59749.04</v>
          </cell>
          <cell r="D389">
            <v>44986</v>
          </cell>
          <cell r="E389">
            <v>45047</v>
          </cell>
        </row>
        <row r="390">
          <cell r="B390" t="str">
            <v>В-08454/КЛ.Транш - 1</v>
          </cell>
          <cell r="C390">
            <v>38675.199999999997</v>
          </cell>
          <cell r="D390">
            <v>44986</v>
          </cell>
          <cell r="E390">
            <v>44988</v>
          </cell>
        </row>
        <row r="391">
          <cell r="B391" t="str">
            <v>В-13235/КЛ.Транш - 1</v>
          </cell>
          <cell r="C391">
            <v>78527.14</v>
          </cell>
          <cell r="D391">
            <v>44986</v>
          </cell>
          <cell r="E391">
            <v>44986</v>
          </cell>
        </row>
        <row r="392">
          <cell r="B392" t="str">
            <v>В-16067/КЛ.Транш - 1</v>
          </cell>
          <cell r="C392">
            <v>113030.3</v>
          </cell>
          <cell r="D392">
            <v>44986</v>
          </cell>
          <cell r="E392">
            <v>45006</v>
          </cell>
        </row>
        <row r="393">
          <cell r="B393" t="str">
            <v>В-02583/КЛ.Транш - 7</v>
          </cell>
          <cell r="C393">
            <v>102347.31</v>
          </cell>
          <cell r="D393">
            <v>44986</v>
          </cell>
          <cell r="E393">
            <v>44988</v>
          </cell>
        </row>
        <row r="394">
          <cell r="B394" t="str">
            <v>В-21960/КЛ.Транш - 1</v>
          </cell>
          <cell r="C394">
            <v>266277.14</v>
          </cell>
          <cell r="D394">
            <v>44986</v>
          </cell>
          <cell r="E394">
            <v>44995</v>
          </cell>
        </row>
        <row r="395">
          <cell r="B395" t="str">
            <v>В-20952/КЛ.Транш - 6</v>
          </cell>
          <cell r="C395">
            <v>89457.74</v>
          </cell>
          <cell r="D395">
            <v>44986</v>
          </cell>
          <cell r="E395">
            <v>44995</v>
          </cell>
        </row>
        <row r="396">
          <cell r="B396" t="str">
            <v>В-02064/КЛ.Транш - 3</v>
          </cell>
          <cell r="C396">
            <v>256604.64</v>
          </cell>
          <cell r="D396">
            <v>44986</v>
          </cell>
          <cell r="E396">
            <v>44989</v>
          </cell>
        </row>
        <row r="397">
          <cell r="B397" t="str">
            <v>В-02583/КЛ.Транш - 9</v>
          </cell>
          <cell r="C397">
            <v>47543.31</v>
          </cell>
          <cell r="D397">
            <v>44986</v>
          </cell>
          <cell r="E397">
            <v>44988</v>
          </cell>
        </row>
        <row r="398">
          <cell r="B398" t="str">
            <v>В-14816/КЛ.Транш - 5</v>
          </cell>
          <cell r="C398">
            <v>24639.93</v>
          </cell>
          <cell r="D398">
            <v>44986</v>
          </cell>
          <cell r="E398">
            <v>44999</v>
          </cell>
        </row>
        <row r="399">
          <cell r="B399" t="str">
            <v>В-16057/КЛ.Транш - 6</v>
          </cell>
          <cell r="C399">
            <v>398510.85</v>
          </cell>
          <cell r="D399">
            <v>44986</v>
          </cell>
          <cell r="E399">
            <v>44988</v>
          </cell>
        </row>
        <row r="400">
          <cell r="B400" t="str">
            <v>В-26664/КЛ.Транш - 1</v>
          </cell>
          <cell r="C400">
            <v>207666.7</v>
          </cell>
          <cell r="D400">
            <v>44986</v>
          </cell>
          <cell r="G400">
            <v>45077</v>
          </cell>
        </row>
        <row r="401">
          <cell r="B401" t="str">
            <v>В-25573/КЛ.Транш - 2</v>
          </cell>
          <cell r="C401">
            <v>57939.86</v>
          </cell>
          <cell r="D401">
            <v>44986</v>
          </cell>
          <cell r="E401">
            <v>44989</v>
          </cell>
        </row>
        <row r="402">
          <cell r="B402" t="str">
            <v>В-05253/КЛ.Транш - 4</v>
          </cell>
          <cell r="C402">
            <v>243234.02</v>
          </cell>
          <cell r="D402">
            <v>44986</v>
          </cell>
          <cell r="E402">
            <v>44991</v>
          </cell>
        </row>
        <row r="403">
          <cell r="B403" t="str">
            <v>В-26743/КЛ.Транш - 1</v>
          </cell>
          <cell r="C403">
            <v>69395.06</v>
          </cell>
          <cell r="D403">
            <v>44986</v>
          </cell>
          <cell r="E403">
            <v>44987</v>
          </cell>
        </row>
        <row r="404">
          <cell r="B404" t="str">
            <v>В-27730/АЗ</v>
          </cell>
          <cell r="C404">
            <v>501730.96</v>
          </cell>
          <cell r="D404">
            <v>44986</v>
          </cell>
          <cell r="E404">
            <v>44986</v>
          </cell>
        </row>
        <row r="405">
          <cell r="B405" t="str">
            <v>В-18050/КЛ.Транш - 1</v>
          </cell>
          <cell r="C405">
            <v>41993.22</v>
          </cell>
          <cell r="D405">
            <v>44986</v>
          </cell>
          <cell r="E405">
            <v>44986</v>
          </cell>
        </row>
        <row r="406">
          <cell r="B406" t="str">
            <v>В-22163/КЛ.Транш - 1</v>
          </cell>
          <cell r="C406">
            <v>188606.63</v>
          </cell>
          <cell r="D406">
            <v>44987</v>
          </cell>
          <cell r="E406">
            <v>44998</v>
          </cell>
        </row>
        <row r="407">
          <cell r="B407" t="str">
            <v>В-08644/КЛ.Транш - 1</v>
          </cell>
          <cell r="C407">
            <v>71426.83</v>
          </cell>
          <cell r="D407">
            <v>44988</v>
          </cell>
          <cell r="E407">
            <v>45002</v>
          </cell>
        </row>
        <row r="408">
          <cell r="B408" t="str">
            <v>В-02583/КЛ.Транш - 8</v>
          </cell>
          <cell r="C408">
            <v>111439.06</v>
          </cell>
          <cell r="D408">
            <v>44988</v>
          </cell>
          <cell r="E408">
            <v>44988</v>
          </cell>
        </row>
        <row r="409">
          <cell r="B409" t="str">
            <v>В-14816/КЛ.Транш - 7</v>
          </cell>
          <cell r="C409">
            <v>40549.550000000003</v>
          </cell>
          <cell r="D409">
            <v>44988</v>
          </cell>
          <cell r="E409">
            <v>44999</v>
          </cell>
        </row>
        <row r="410">
          <cell r="B410" t="str">
            <v>В-27315/КЛ.Транш - 1</v>
          </cell>
          <cell r="C410">
            <v>418536.28</v>
          </cell>
          <cell r="D410">
            <v>44988</v>
          </cell>
          <cell r="E410">
            <v>45009</v>
          </cell>
        </row>
        <row r="411">
          <cell r="B411" t="str">
            <v>В-22101/КЛ.Транш - 1</v>
          </cell>
          <cell r="C411">
            <v>72867.95</v>
          </cell>
          <cell r="D411">
            <v>44988</v>
          </cell>
          <cell r="E411">
            <v>44988</v>
          </cell>
        </row>
        <row r="412">
          <cell r="B412" t="str">
            <v>В-08368/КЛ.Транш - 2</v>
          </cell>
          <cell r="C412">
            <v>79091.03</v>
          </cell>
          <cell r="D412">
            <v>44989</v>
          </cell>
          <cell r="E412">
            <v>44989</v>
          </cell>
        </row>
        <row r="413">
          <cell r="B413" t="str">
            <v>В-00953/АЗ</v>
          </cell>
          <cell r="C413">
            <v>290302.53999999998</v>
          </cell>
          <cell r="D413">
            <v>44989</v>
          </cell>
          <cell r="E413">
            <v>44991</v>
          </cell>
        </row>
        <row r="414">
          <cell r="B414" t="str">
            <v>В-21938/КЛ.Транш - 2</v>
          </cell>
          <cell r="C414">
            <v>159357.37</v>
          </cell>
          <cell r="D414">
            <v>44989</v>
          </cell>
          <cell r="E414">
            <v>45001</v>
          </cell>
        </row>
        <row r="415">
          <cell r="B415" t="str">
            <v>В-28961/КЛ.Транш - 1</v>
          </cell>
          <cell r="C415">
            <v>220285.14</v>
          </cell>
          <cell r="D415">
            <v>44989</v>
          </cell>
          <cell r="E415">
            <v>44995</v>
          </cell>
        </row>
        <row r="416">
          <cell r="B416" t="str">
            <v>В-18496/КЛ.Транш - 1</v>
          </cell>
          <cell r="C416">
            <v>136377.39000000001</v>
          </cell>
          <cell r="D416">
            <v>44990</v>
          </cell>
          <cell r="E416">
            <v>45013</v>
          </cell>
        </row>
        <row r="417">
          <cell r="B417" t="str">
            <v>В-14168/КЛ.Транш - 4</v>
          </cell>
          <cell r="C417">
            <v>143095.39000000001</v>
          </cell>
          <cell r="D417">
            <v>44990</v>
          </cell>
          <cell r="E417">
            <v>44991</v>
          </cell>
        </row>
        <row r="418">
          <cell r="B418" t="str">
            <v>В-27914/КЛ.Транш - 1</v>
          </cell>
          <cell r="C418">
            <v>156774.57</v>
          </cell>
          <cell r="D418">
            <v>44990</v>
          </cell>
          <cell r="E418">
            <v>45004</v>
          </cell>
        </row>
        <row r="419">
          <cell r="B419" t="str">
            <v>В-12789/КЛ.Транш - 1</v>
          </cell>
          <cell r="C419">
            <v>91984.39</v>
          </cell>
          <cell r="D419">
            <v>44991</v>
          </cell>
          <cell r="E419">
            <v>44992</v>
          </cell>
        </row>
        <row r="420">
          <cell r="B420" t="str">
            <v>В-16455/КЛ.Транш - 1</v>
          </cell>
          <cell r="C420">
            <v>217095.18</v>
          </cell>
          <cell r="D420">
            <v>44991</v>
          </cell>
          <cell r="E420">
            <v>44995</v>
          </cell>
        </row>
        <row r="421">
          <cell r="B421" t="str">
            <v>В-19286/КЛ.Транш - 1</v>
          </cell>
          <cell r="C421">
            <v>442159.27</v>
          </cell>
          <cell r="D421">
            <v>44991</v>
          </cell>
          <cell r="E421">
            <v>45002</v>
          </cell>
        </row>
        <row r="422">
          <cell r="B422" t="str">
            <v>В-20035/КЛ.Транш - 1</v>
          </cell>
          <cell r="C422">
            <v>8050.42</v>
          </cell>
          <cell r="D422">
            <v>44991</v>
          </cell>
          <cell r="E422">
            <v>44999</v>
          </cell>
        </row>
        <row r="423">
          <cell r="B423" t="str">
            <v>В-02583/КЛ.Транш - 5</v>
          </cell>
          <cell r="C423">
            <v>100359.6</v>
          </cell>
          <cell r="D423">
            <v>44992</v>
          </cell>
          <cell r="E423">
            <v>44999</v>
          </cell>
        </row>
        <row r="424">
          <cell r="B424" t="str">
            <v>В-20087/КЛ.Транш - 1</v>
          </cell>
          <cell r="C424">
            <v>33925.629999999997</v>
          </cell>
          <cell r="D424">
            <v>44992</v>
          </cell>
          <cell r="E424">
            <v>44994</v>
          </cell>
        </row>
        <row r="425">
          <cell r="B425" t="str">
            <v>В-21568/КЛ.Транш - 1</v>
          </cell>
          <cell r="C425">
            <v>157156.20000000001</v>
          </cell>
          <cell r="D425">
            <v>44992</v>
          </cell>
          <cell r="E425">
            <v>45006</v>
          </cell>
        </row>
        <row r="426">
          <cell r="B426" t="str">
            <v>В-25627/КЛ.Транш - 1</v>
          </cell>
          <cell r="C426">
            <v>868377.62</v>
          </cell>
          <cell r="D426">
            <v>44992</v>
          </cell>
          <cell r="E426">
            <v>44993</v>
          </cell>
        </row>
        <row r="427">
          <cell r="B427" t="str">
            <v>В-25573/КЛ.Транш - 1</v>
          </cell>
          <cell r="C427">
            <v>54948.24</v>
          </cell>
          <cell r="D427">
            <v>44992</v>
          </cell>
          <cell r="E427">
            <v>44994</v>
          </cell>
        </row>
        <row r="428">
          <cell r="B428" t="str">
            <v>В-25922/КЛ.Транш - 2</v>
          </cell>
          <cell r="C428">
            <v>174771.09</v>
          </cell>
          <cell r="D428">
            <v>44992</v>
          </cell>
          <cell r="E428">
            <v>44995</v>
          </cell>
        </row>
        <row r="429">
          <cell r="B429" t="str">
            <v>В-12067/КЛ.Транш - 1</v>
          </cell>
          <cell r="C429">
            <v>82494.289999999994</v>
          </cell>
          <cell r="D429">
            <v>44993</v>
          </cell>
          <cell r="E429">
            <v>44997</v>
          </cell>
        </row>
        <row r="430">
          <cell r="B430" t="str">
            <v>В-12066/КЛ.Транш - 1</v>
          </cell>
          <cell r="C430">
            <v>88726.28</v>
          </cell>
          <cell r="D430">
            <v>44993</v>
          </cell>
          <cell r="E430">
            <v>45000</v>
          </cell>
        </row>
        <row r="431">
          <cell r="B431" t="str">
            <v>В-19585/КЛ.Транш - 1</v>
          </cell>
          <cell r="C431">
            <v>109026.61</v>
          </cell>
          <cell r="D431">
            <v>44993</v>
          </cell>
          <cell r="E431">
            <v>45009</v>
          </cell>
        </row>
        <row r="432">
          <cell r="B432" t="str">
            <v>В-24198/КЛ.Транш - 6</v>
          </cell>
          <cell r="C432">
            <v>56415.72</v>
          </cell>
          <cell r="D432">
            <v>44993</v>
          </cell>
          <cell r="E432">
            <v>45005</v>
          </cell>
        </row>
        <row r="433">
          <cell r="B433" t="str">
            <v>В-11782/КЛ.Транш - 1</v>
          </cell>
          <cell r="C433">
            <v>104501.53</v>
          </cell>
          <cell r="D433">
            <v>44994</v>
          </cell>
          <cell r="E433">
            <v>44994</v>
          </cell>
        </row>
        <row r="434">
          <cell r="B434" t="str">
            <v>В-18317/КЛ.Транш - 1</v>
          </cell>
          <cell r="C434">
            <v>191873.76</v>
          </cell>
          <cell r="D434">
            <v>44994</v>
          </cell>
          <cell r="E434">
            <v>45012</v>
          </cell>
        </row>
        <row r="435">
          <cell r="B435" t="str">
            <v>В-22309/АЗ</v>
          </cell>
          <cell r="C435">
            <v>155419.82</v>
          </cell>
          <cell r="D435">
            <v>44994</v>
          </cell>
          <cell r="E435">
            <v>44999</v>
          </cell>
        </row>
        <row r="436">
          <cell r="B436" t="str">
            <v>В-21960/КЛ.Транш - 2</v>
          </cell>
          <cell r="C436">
            <v>160621.34</v>
          </cell>
          <cell r="D436">
            <v>44994</v>
          </cell>
          <cell r="E436">
            <v>44995</v>
          </cell>
        </row>
        <row r="437">
          <cell r="B437" t="str">
            <v>В-03761/КЛ.Транш - 1_В-20211230/Ц</v>
          </cell>
          <cell r="C437">
            <v>112832.85</v>
          </cell>
          <cell r="D437">
            <v>44994</v>
          </cell>
          <cell r="E437">
            <v>44994</v>
          </cell>
        </row>
        <row r="438">
          <cell r="B438" t="str">
            <v>В-13449/КЛ.Транш - 1</v>
          </cell>
          <cell r="C438">
            <v>78742.05</v>
          </cell>
          <cell r="D438">
            <v>44995</v>
          </cell>
          <cell r="E438">
            <v>45008</v>
          </cell>
        </row>
        <row r="439">
          <cell r="B439" t="str">
            <v>В-10014/КЭ.Транш - 1</v>
          </cell>
          <cell r="C439">
            <v>1103132.6599999999</v>
          </cell>
          <cell r="D439">
            <v>44995</v>
          </cell>
          <cell r="E439">
            <v>45014</v>
          </cell>
        </row>
        <row r="440">
          <cell r="B440" t="str">
            <v>В-17095/КЛ.Транш - 1</v>
          </cell>
          <cell r="C440">
            <v>68098.899999999994</v>
          </cell>
          <cell r="D440">
            <v>44995</v>
          </cell>
          <cell r="E440">
            <v>45005</v>
          </cell>
        </row>
        <row r="441">
          <cell r="B441" t="str">
            <v>В-00783/КЛ.Транш - 2</v>
          </cell>
          <cell r="C441">
            <v>322045.44</v>
          </cell>
          <cell r="D441">
            <v>44995</v>
          </cell>
          <cell r="E441">
            <v>44998</v>
          </cell>
        </row>
        <row r="442">
          <cell r="B442" t="str">
            <v>В-18958/КЛ.Транш - 1</v>
          </cell>
          <cell r="C442">
            <v>361531.21</v>
          </cell>
          <cell r="D442">
            <v>44995</v>
          </cell>
          <cell r="E442">
            <v>45004</v>
          </cell>
        </row>
        <row r="443">
          <cell r="B443" t="str">
            <v>В-22935/КЛ.Транш - 2</v>
          </cell>
          <cell r="C443">
            <v>87474.75</v>
          </cell>
          <cell r="D443">
            <v>44995</v>
          </cell>
          <cell r="E443">
            <v>44999</v>
          </cell>
        </row>
        <row r="444">
          <cell r="B444" t="str">
            <v>В-22052/КЛ.Транш - 2</v>
          </cell>
          <cell r="C444">
            <v>95610.67</v>
          </cell>
          <cell r="D444">
            <v>44995</v>
          </cell>
          <cell r="E444">
            <v>45028</v>
          </cell>
        </row>
        <row r="445">
          <cell r="B445" t="str">
            <v>В-28089/КЛ.Транш - 1</v>
          </cell>
          <cell r="C445">
            <v>481154.8</v>
          </cell>
          <cell r="D445">
            <v>44995</v>
          </cell>
          <cell r="E445">
            <v>44999</v>
          </cell>
        </row>
        <row r="446">
          <cell r="B446" t="str">
            <v>В-28968/АЗ</v>
          </cell>
          <cell r="C446">
            <v>78482.81</v>
          </cell>
          <cell r="D446">
            <v>44995</v>
          </cell>
          <cell r="E446">
            <v>45005</v>
          </cell>
        </row>
        <row r="447">
          <cell r="B447" t="str">
            <v>В-24610/КЛ.Транш - 1</v>
          </cell>
          <cell r="C447">
            <v>86226.62</v>
          </cell>
          <cell r="D447">
            <v>44996</v>
          </cell>
          <cell r="E447">
            <v>44996</v>
          </cell>
        </row>
        <row r="448">
          <cell r="B448" t="str">
            <v>В-13005/КЛ.Транш - 3</v>
          </cell>
          <cell r="C448">
            <v>80526.11</v>
          </cell>
          <cell r="D448">
            <v>44996</v>
          </cell>
          <cell r="E448">
            <v>44996</v>
          </cell>
        </row>
        <row r="449">
          <cell r="B449" t="str">
            <v>В-17785/КЛ.Транш - 1</v>
          </cell>
          <cell r="C449">
            <v>42396.61</v>
          </cell>
          <cell r="D449">
            <v>44996</v>
          </cell>
          <cell r="E449">
            <v>44997</v>
          </cell>
        </row>
        <row r="450">
          <cell r="B450" t="str">
            <v>В-00955/АЗ</v>
          </cell>
          <cell r="C450">
            <v>309702.67</v>
          </cell>
          <cell r="D450">
            <v>44996</v>
          </cell>
          <cell r="E450">
            <v>45019</v>
          </cell>
        </row>
        <row r="451">
          <cell r="B451" t="str">
            <v>В-01211/АЗ</v>
          </cell>
          <cell r="C451">
            <v>823293.89</v>
          </cell>
          <cell r="D451">
            <v>44996</v>
          </cell>
          <cell r="E451">
            <v>45002</v>
          </cell>
        </row>
        <row r="452">
          <cell r="B452" t="str">
            <v>В-24071/КЛ.Транш - 1</v>
          </cell>
          <cell r="C452">
            <v>812186.98</v>
          </cell>
          <cell r="D452">
            <v>44996</v>
          </cell>
          <cell r="E452">
            <v>45000</v>
          </cell>
        </row>
        <row r="453">
          <cell r="B453" t="str">
            <v>В-00036/КЭ.Транш - 2</v>
          </cell>
          <cell r="C453">
            <v>1733706.75</v>
          </cell>
          <cell r="D453">
            <v>44996</v>
          </cell>
          <cell r="E453">
            <v>44999</v>
          </cell>
        </row>
        <row r="454">
          <cell r="B454" t="str">
            <v>В-25807/АЗ</v>
          </cell>
          <cell r="C454">
            <v>829492.89</v>
          </cell>
          <cell r="D454">
            <v>44996</v>
          </cell>
          <cell r="E454">
            <v>45018</v>
          </cell>
        </row>
        <row r="455">
          <cell r="B455" t="str">
            <v>В-25810/АЗ</v>
          </cell>
          <cell r="C455">
            <v>829492.89</v>
          </cell>
          <cell r="D455">
            <v>44996</v>
          </cell>
          <cell r="E455">
            <v>45004</v>
          </cell>
        </row>
        <row r="456">
          <cell r="B456" t="str">
            <v>В-14728/КЛ.Транш - 8</v>
          </cell>
          <cell r="C456">
            <v>181207.88</v>
          </cell>
          <cell r="D456">
            <v>44996</v>
          </cell>
          <cell r="E456">
            <v>45001</v>
          </cell>
        </row>
        <row r="457">
          <cell r="B457" t="str">
            <v>В-14816/КЛ.Транш - 2</v>
          </cell>
          <cell r="C457">
            <v>5380.73</v>
          </cell>
          <cell r="D457">
            <v>44997</v>
          </cell>
          <cell r="E457">
            <v>44999</v>
          </cell>
        </row>
        <row r="458">
          <cell r="B458" t="str">
            <v>В-21321/КЛ.Транш - 1</v>
          </cell>
          <cell r="C458">
            <v>162375.39000000001</v>
          </cell>
          <cell r="D458">
            <v>44997</v>
          </cell>
          <cell r="E458">
            <v>45009</v>
          </cell>
        </row>
        <row r="459">
          <cell r="B459" t="str">
            <v>В-23085/КЛ.Транш - 1</v>
          </cell>
          <cell r="C459">
            <v>450796.31</v>
          </cell>
          <cell r="D459">
            <v>44997</v>
          </cell>
          <cell r="E459">
            <v>45000</v>
          </cell>
        </row>
        <row r="460">
          <cell r="B460" t="str">
            <v>В-25852/КЛ.Транш - 1</v>
          </cell>
          <cell r="C460">
            <v>250032.7</v>
          </cell>
          <cell r="D460">
            <v>44997</v>
          </cell>
          <cell r="E460">
            <v>44999</v>
          </cell>
        </row>
        <row r="461">
          <cell r="B461" t="str">
            <v>В-10050/КЛ.Транш - 1</v>
          </cell>
          <cell r="C461">
            <v>103400.33</v>
          </cell>
          <cell r="D461">
            <v>44998</v>
          </cell>
          <cell r="E461">
            <v>45006</v>
          </cell>
        </row>
        <row r="462">
          <cell r="B462" t="str">
            <v>В-01038/АЗ</v>
          </cell>
          <cell r="C462">
            <v>751491.44</v>
          </cell>
          <cell r="D462">
            <v>44998</v>
          </cell>
          <cell r="E462">
            <v>45000</v>
          </cell>
        </row>
        <row r="463">
          <cell r="B463" t="str">
            <v>В-01039/АЗ</v>
          </cell>
          <cell r="C463">
            <v>772492.36</v>
          </cell>
          <cell r="D463">
            <v>44998</v>
          </cell>
          <cell r="E463">
            <v>45000</v>
          </cell>
        </row>
        <row r="464">
          <cell r="B464" t="str">
            <v>В-10474/КЛ.Транш - 4</v>
          </cell>
          <cell r="C464">
            <v>235860.27</v>
          </cell>
          <cell r="D464">
            <v>44998</v>
          </cell>
          <cell r="E464">
            <v>44998</v>
          </cell>
        </row>
        <row r="465">
          <cell r="B465" t="str">
            <v>В-03365/КЛ.Транш - 3</v>
          </cell>
          <cell r="C465">
            <v>89619.45</v>
          </cell>
          <cell r="D465">
            <v>44998</v>
          </cell>
          <cell r="E465">
            <v>45006</v>
          </cell>
        </row>
        <row r="466">
          <cell r="B466" t="str">
            <v>В-17469/КЛ.Транш - 1</v>
          </cell>
          <cell r="C466">
            <v>733166.01</v>
          </cell>
          <cell r="D466">
            <v>44998</v>
          </cell>
          <cell r="E466">
            <v>45078</v>
          </cell>
        </row>
        <row r="467">
          <cell r="B467" t="str">
            <v>В-07559/КЛ.Транш - 5</v>
          </cell>
          <cell r="C467">
            <v>203160.68</v>
          </cell>
          <cell r="D467">
            <v>44998</v>
          </cell>
          <cell r="E467">
            <v>45001</v>
          </cell>
        </row>
        <row r="468">
          <cell r="B468" t="str">
            <v>В-10014/КЭ.Транш - 2</v>
          </cell>
          <cell r="C468">
            <v>2022939.41</v>
          </cell>
          <cell r="D468">
            <v>44998</v>
          </cell>
          <cell r="E468">
            <v>45014</v>
          </cell>
        </row>
        <row r="469">
          <cell r="B469" t="str">
            <v>В-07963/КЛ.Транш - 1</v>
          </cell>
          <cell r="C469">
            <v>118943.2</v>
          </cell>
          <cell r="D469">
            <v>44999</v>
          </cell>
          <cell r="E469">
            <v>45042</v>
          </cell>
        </row>
        <row r="470">
          <cell r="B470" t="str">
            <v>В-03365/КЛ.Транш - 2</v>
          </cell>
          <cell r="C470">
            <v>44471.38</v>
          </cell>
          <cell r="D470">
            <v>44999</v>
          </cell>
          <cell r="E470">
            <v>45006</v>
          </cell>
        </row>
        <row r="471">
          <cell r="B471" t="str">
            <v>В-01022/АЗ</v>
          </cell>
          <cell r="C471">
            <v>704312.67</v>
          </cell>
          <cell r="D471">
            <v>44999</v>
          </cell>
          <cell r="E471">
            <v>45002</v>
          </cell>
        </row>
        <row r="472">
          <cell r="B472" t="str">
            <v>В-01023/АЗ</v>
          </cell>
          <cell r="C472">
            <v>704814.35</v>
          </cell>
          <cell r="D472">
            <v>44999</v>
          </cell>
          <cell r="E472">
            <v>45005</v>
          </cell>
        </row>
        <row r="473">
          <cell r="B473" t="str">
            <v>В-01024/АЗ</v>
          </cell>
          <cell r="C473">
            <v>704814.35</v>
          </cell>
          <cell r="D473">
            <v>44999</v>
          </cell>
          <cell r="E473">
            <v>45005</v>
          </cell>
        </row>
        <row r="474">
          <cell r="B474" t="str">
            <v>В-00054/КЭ.Транш - 1</v>
          </cell>
          <cell r="C474">
            <v>362069.27</v>
          </cell>
          <cell r="D474">
            <v>44999</v>
          </cell>
          <cell r="E474">
            <v>44999</v>
          </cell>
        </row>
        <row r="475">
          <cell r="B475" t="str">
            <v>В-22052/КЛ.Транш - 1</v>
          </cell>
          <cell r="C475">
            <v>92574.89</v>
          </cell>
          <cell r="D475">
            <v>44999</v>
          </cell>
          <cell r="E475">
            <v>45043</v>
          </cell>
        </row>
        <row r="476">
          <cell r="B476" t="str">
            <v>В-23585/КЛ.Транш - 1</v>
          </cell>
          <cell r="C476">
            <v>402522.78</v>
          </cell>
          <cell r="D476">
            <v>44999</v>
          </cell>
          <cell r="E476">
            <v>45010</v>
          </cell>
        </row>
        <row r="477">
          <cell r="B477" t="str">
            <v>В-02064/КЛ.Транш - 2</v>
          </cell>
          <cell r="C477">
            <v>328933.01</v>
          </cell>
          <cell r="D477">
            <v>45000</v>
          </cell>
          <cell r="E477">
            <v>45006</v>
          </cell>
        </row>
        <row r="478">
          <cell r="B478" t="str">
            <v>В-20384/КЛ.Транш - 1</v>
          </cell>
          <cell r="C478">
            <v>359119.21</v>
          </cell>
          <cell r="D478">
            <v>45000</v>
          </cell>
          <cell r="E478">
            <v>45011</v>
          </cell>
        </row>
        <row r="479">
          <cell r="B479" t="str">
            <v>В-17747/КЛ.Транш - 2</v>
          </cell>
          <cell r="C479">
            <v>122187.72</v>
          </cell>
          <cell r="D479">
            <v>45000</v>
          </cell>
          <cell r="E479">
            <v>45006</v>
          </cell>
        </row>
        <row r="480">
          <cell r="B480" t="str">
            <v>В-02960/КЛ.Транш - 7</v>
          </cell>
          <cell r="C480">
            <v>49003.15</v>
          </cell>
          <cell r="D480">
            <v>45000</v>
          </cell>
          <cell r="E480">
            <v>45002</v>
          </cell>
        </row>
        <row r="481">
          <cell r="B481" t="str">
            <v>В-25764/КЛ.Транш - 1</v>
          </cell>
          <cell r="C481">
            <v>310801.02</v>
          </cell>
          <cell r="D481">
            <v>45000</v>
          </cell>
          <cell r="E481">
            <v>45000</v>
          </cell>
        </row>
        <row r="482">
          <cell r="B482" t="str">
            <v>В-07559/КЛ.Транш - 1</v>
          </cell>
          <cell r="C482">
            <v>78946.45</v>
          </cell>
          <cell r="D482">
            <v>45001</v>
          </cell>
          <cell r="E482">
            <v>45001</v>
          </cell>
        </row>
        <row r="483">
          <cell r="B483" t="str">
            <v>В-17747/КЛ.Транш - 1</v>
          </cell>
          <cell r="C483">
            <v>245796.24</v>
          </cell>
          <cell r="D483">
            <v>45001</v>
          </cell>
          <cell r="E483">
            <v>45021</v>
          </cell>
        </row>
        <row r="484">
          <cell r="B484" t="str">
            <v>В-01188/АЗ</v>
          </cell>
          <cell r="C484">
            <v>84755.19</v>
          </cell>
          <cell r="D484">
            <v>45001</v>
          </cell>
          <cell r="E484">
            <v>45014</v>
          </cell>
        </row>
        <row r="485">
          <cell r="B485" t="str">
            <v>В-24374/КЛ.Транш - 1</v>
          </cell>
          <cell r="C485">
            <v>253919.31</v>
          </cell>
          <cell r="D485">
            <v>45001</v>
          </cell>
          <cell r="E485">
            <v>45002</v>
          </cell>
        </row>
        <row r="486">
          <cell r="B486" t="str">
            <v>В-24687/КЛ.Транш - 1</v>
          </cell>
          <cell r="C486">
            <v>173822.05</v>
          </cell>
          <cell r="D486">
            <v>45001</v>
          </cell>
          <cell r="E486">
            <v>45002</v>
          </cell>
        </row>
        <row r="487">
          <cell r="B487" t="str">
            <v>В-11396/КЛ.Транш - 2</v>
          </cell>
          <cell r="C487">
            <v>304462.19</v>
          </cell>
          <cell r="D487">
            <v>45001</v>
          </cell>
          <cell r="E487">
            <v>45008</v>
          </cell>
        </row>
        <row r="488">
          <cell r="B488" t="str">
            <v>В-25981/АЗ</v>
          </cell>
          <cell r="C488">
            <v>190567.64</v>
          </cell>
          <cell r="D488">
            <v>45001</v>
          </cell>
          <cell r="E488">
            <v>45001</v>
          </cell>
        </row>
        <row r="489">
          <cell r="B489" t="str">
            <v>В-11277/КЛ.Транш - 1</v>
          </cell>
          <cell r="C489">
            <v>190853.96</v>
          </cell>
          <cell r="D489">
            <v>45002</v>
          </cell>
          <cell r="E489">
            <v>45002</v>
          </cell>
        </row>
        <row r="490">
          <cell r="B490" t="str">
            <v>В-28368/АЗ</v>
          </cell>
          <cell r="C490">
            <v>687363.88</v>
          </cell>
          <cell r="D490">
            <v>45002</v>
          </cell>
          <cell r="E490">
            <v>45005</v>
          </cell>
        </row>
        <row r="491">
          <cell r="B491" t="str">
            <v>В-14198/КЛ.Транш - 1</v>
          </cell>
          <cell r="C491">
            <v>210202.06</v>
          </cell>
          <cell r="D491">
            <v>45002</v>
          </cell>
          <cell r="E491">
            <v>45042</v>
          </cell>
        </row>
        <row r="492">
          <cell r="B492" t="str">
            <v>В-24859/АЗ</v>
          </cell>
          <cell r="C492">
            <v>61276.21</v>
          </cell>
          <cell r="D492">
            <v>45002</v>
          </cell>
          <cell r="E492">
            <v>45002</v>
          </cell>
        </row>
        <row r="493">
          <cell r="B493" t="str">
            <v>В-28358/КЛ.Транш - 1</v>
          </cell>
          <cell r="C493">
            <v>919695.28</v>
          </cell>
          <cell r="D493">
            <v>45002</v>
          </cell>
          <cell r="E493">
            <v>45003</v>
          </cell>
        </row>
        <row r="494">
          <cell r="B494" t="str">
            <v>В-27250/КЛ.Транш - 1</v>
          </cell>
          <cell r="C494">
            <v>136851.89000000001</v>
          </cell>
          <cell r="D494">
            <v>45003</v>
          </cell>
          <cell r="E494">
            <v>45004</v>
          </cell>
        </row>
        <row r="495">
          <cell r="B495" t="str">
            <v>В-07595/КЛ.Транш - 1</v>
          </cell>
          <cell r="C495">
            <v>237661.59</v>
          </cell>
          <cell r="D495">
            <v>45003</v>
          </cell>
          <cell r="E495">
            <v>45016</v>
          </cell>
        </row>
        <row r="496">
          <cell r="B496" t="str">
            <v>В-12574/КЛ.Транш - 1</v>
          </cell>
          <cell r="C496">
            <v>69044.820000000007</v>
          </cell>
          <cell r="D496">
            <v>45003</v>
          </cell>
          <cell r="E496">
            <v>45019</v>
          </cell>
        </row>
        <row r="497">
          <cell r="B497" t="str">
            <v>В-07559/КЛ.Транш - 3</v>
          </cell>
          <cell r="C497">
            <v>95166.88</v>
          </cell>
          <cell r="D497">
            <v>45003</v>
          </cell>
          <cell r="E497">
            <v>45017</v>
          </cell>
        </row>
        <row r="498">
          <cell r="B498" t="str">
            <v>В-19285/КЛ.Транш - 1</v>
          </cell>
          <cell r="C498">
            <v>55172.43</v>
          </cell>
          <cell r="D498">
            <v>45003</v>
          </cell>
          <cell r="E498">
            <v>45014</v>
          </cell>
        </row>
        <row r="499">
          <cell r="B499" t="str">
            <v>В-20952/КЛ.Транш - 4</v>
          </cell>
          <cell r="C499">
            <v>87168.67</v>
          </cell>
          <cell r="D499">
            <v>45003</v>
          </cell>
          <cell r="E499">
            <v>45020</v>
          </cell>
        </row>
        <row r="500">
          <cell r="B500" t="str">
            <v>В-22677/КЛ.Транш - 1</v>
          </cell>
          <cell r="C500">
            <v>190047.31</v>
          </cell>
          <cell r="D500">
            <v>45003</v>
          </cell>
          <cell r="E500">
            <v>45013</v>
          </cell>
        </row>
        <row r="501">
          <cell r="B501" t="str">
            <v>В-16991/КЛ.Транш - 1</v>
          </cell>
          <cell r="C501">
            <v>86838.2</v>
          </cell>
          <cell r="D501">
            <v>45004</v>
          </cell>
          <cell r="E501">
            <v>45131</v>
          </cell>
        </row>
        <row r="502">
          <cell r="B502" t="str">
            <v>В-19355/КЛ.Транш - 1</v>
          </cell>
          <cell r="C502">
            <v>108459.19</v>
          </cell>
          <cell r="D502">
            <v>45004</v>
          </cell>
          <cell r="E502">
            <v>45019</v>
          </cell>
        </row>
        <row r="503">
          <cell r="B503" t="str">
            <v>В-23728/КЛ.Транш - 1</v>
          </cell>
          <cell r="C503">
            <v>791818.39</v>
          </cell>
          <cell r="D503">
            <v>45004</v>
          </cell>
          <cell r="E503">
            <v>45014</v>
          </cell>
        </row>
        <row r="504">
          <cell r="B504" t="str">
            <v>В-14816/КЛ.Транш - 6</v>
          </cell>
          <cell r="C504">
            <v>24135.84</v>
          </cell>
          <cell r="D504">
            <v>45004</v>
          </cell>
          <cell r="E504">
            <v>45014</v>
          </cell>
        </row>
        <row r="505">
          <cell r="B505" t="str">
            <v>В-10466/КЛ.Транш - 1</v>
          </cell>
          <cell r="C505">
            <v>131467.54</v>
          </cell>
          <cell r="D505">
            <v>45005</v>
          </cell>
          <cell r="E505">
            <v>45006</v>
          </cell>
        </row>
        <row r="506">
          <cell r="B506" t="str">
            <v>В-12574/КЛ.Транш - 3</v>
          </cell>
          <cell r="C506">
            <v>82118.039999999994</v>
          </cell>
          <cell r="D506">
            <v>45005</v>
          </cell>
          <cell r="E506">
            <v>45019</v>
          </cell>
        </row>
        <row r="507">
          <cell r="B507" t="str">
            <v>В-22744/КЛ.Транш - 1</v>
          </cell>
          <cell r="C507">
            <v>60533.41</v>
          </cell>
          <cell r="D507">
            <v>45005</v>
          </cell>
          <cell r="E507">
            <v>45007</v>
          </cell>
        </row>
        <row r="508">
          <cell r="B508" t="str">
            <v>В-13034/КЛ.Транш - 2</v>
          </cell>
          <cell r="C508">
            <v>237545.43</v>
          </cell>
          <cell r="D508">
            <v>45005</v>
          </cell>
          <cell r="E508">
            <v>45018</v>
          </cell>
        </row>
        <row r="509">
          <cell r="B509" t="str">
            <v>В-24956/КЛ.Транш - 1</v>
          </cell>
          <cell r="C509">
            <v>118949.57</v>
          </cell>
          <cell r="D509">
            <v>45005</v>
          </cell>
          <cell r="E509">
            <v>45015</v>
          </cell>
        </row>
        <row r="510">
          <cell r="B510" t="str">
            <v>В-21795/КЛ.Транш - 1</v>
          </cell>
          <cell r="C510">
            <v>318406.42</v>
          </cell>
          <cell r="D510">
            <v>45006</v>
          </cell>
          <cell r="E510">
            <v>45007</v>
          </cell>
        </row>
        <row r="511">
          <cell r="B511" t="str">
            <v>В-21245/КЛ.Транш - 2</v>
          </cell>
          <cell r="C511">
            <v>67455.759999999995</v>
          </cell>
          <cell r="D511">
            <v>45006</v>
          </cell>
          <cell r="E511">
            <v>45006</v>
          </cell>
        </row>
        <row r="512">
          <cell r="B512" t="str">
            <v>В-03365/КЛ.Транш - 5</v>
          </cell>
          <cell r="C512">
            <v>209299.81</v>
          </cell>
          <cell r="D512">
            <v>45006</v>
          </cell>
          <cell r="E512">
            <v>45006</v>
          </cell>
        </row>
        <row r="513">
          <cell r="B513" t="str">
            <v>В-15831/КЛ.Транш - 1</v>
          </cell>
          <cell r="C513">
            <v>172373.63</v>
          </cell>
          <cell r="D513">
            <v>45006</v>
          </cell>
          <cell r="E513">
            <v>45006</v>
          </cell>
        </row>
        <row r="514">
          <cell r="B514" t="str">
            <v>В-22409/КЛ.Транш - 1</v>
          </cell>
          <cell r="C514">
            <v>173551.16</v>
          </cell>
          <cell r="D514">
            <v>45006</v>
          </cell>
          <cell r="E514">
            <v>45006</v>
          </cell>
        </row>
        <row r="515">
          <cell r="B515" t="str">
            <v>Т-01906/АЗ_Т-20211028/Ц</v>
          </cell>
          <cell r="C515">
            <v>98108.32</v>
          </cell>
          <cell r="D515">
            <v>45006</v>
          </cell>
          <cell r="E515">
            <v>45110</v>
          </cell>
        </row>
        <row r="516">
          <cell r="B516" t="str">
            <v>В-12256/КЛ.Транш - 1</v>
          </cell>
          <cell r="C516">
            <v>147075.76</v>
          </cell>
          <cell r="D516">
            <v>45007</v>
          </cell>
          <cell r="E516">
            <v>45008</v>
          </cell>
        </row>
        <row r="517">
          <cell r="B517" t="str">
            <v>В-14816/КЛ.Транш - 1</v>
          </cell>
          <cell r="C517">
            <v>26121.18</v>
          </cell>
          <cell r="D517">
            <v>45007</v>
          </cell>
          <cell r="E517">
            <v>45014</v>
          </cell>
        </row>
        <row r="518">
          <cell r="B518" t="str">
            <v>В-14837/КЛ.Транш - 1</v>
          </cell>
          <cell r="C518">
            <v>216987.55</v>
          </cell>
          <cell r="D518">
            <v>45007</v>
          </cell>
          <cell r="E518">
            <v>45009</v>
          </cell>
        </row>
        <row r="519">
          <cell r="B519" t="str">
            <v>В-14216/КЛ.Транш - 4</v>
          </cell>
          <cell r="C519">
            <v>88020.5</v>
          </cell>
          <cell r="D519">
            <v>45007</v>
          </cell>
          <cell r="E519">
            <v>45007</v>
          </cell>
        </row>
        <row r="520">
          <cell r="B520" t="str">
            <v>В-08348/КЛ.Транш - 7</v>
          </cell>
          <cell r="C520">
            <v>46761.65</v>
          </cell>
          <cell r="D520">
            <v>45007</v>
          </cell>
          <cell r="E520">
            <v>45098</v>
          </cell>
        </row>
        <row r="521">
          <cell r="B521" t="str">
            <v>В-23370/КЛ.Транш - 1</v>
          </cell>
          <cell r="C521">
            <v>95248.97</v>
          </cell>
          <cell r="D521">
            <v>45007</v>
          </cell>
          <cell r="E521">
            <v>45014</v>
          </cell>
        </row>
        <row r="522">
          <cell r="B522" t="str">
            <v>В-23901/КЛ.Транш - 1</v>
          </cell>
          <cell r="C522">
            <v>402522.78</v>
          </cell>
          <cell r="D522">
            <v>45007</v>
          </cell>
          <cell r="E522">
            <v>45007</v>
          </cell>
        </row>
        <row r="523">
          <cell r="B523" t="str">
            <v>В-11472/КЛ.Транш - 3</v>
          </cell>
          <cell r="C523">
            <v>9677.52</v>
          </cell>
          <cell r="D523">
            <v>45007</v>
          </cell>
          <cell r="E523">
            <v>45016</v>
          </cell>
        </row>
        <row r="524">
          <cell r="B524" t="str">
            <v>В-02623/КЛ.Транш - 7</v>
          </cell>
          <cell r="C524">
            <v>151149.98000000001</v>
          </cell>
          <cell r="D524">
            <v>45007</v>
          </cell>
          <cell r="E524">
            <v>45008</v>
          </cell>
        </row>
        <row r="525">
          <cell r="B525" t="str">
            <v>В-27407/КЛ.Транш - 1</v>
          </cell>
          <cell r="C525">
            <v>375460.39</v>
          </cell>
          <cell r="D525">
            <v>45007</v>
          </cell>
          <cell r="E525">
            <v>45007</v>
          </cell>
        </row>
        <row r="526">
          <cell r="B526" t="str">
            <v>В-28538/КЛ.Транш - 1</v>
          </cell>
          <cell r="C526">
            <v>171840.86</v>
          </cell>
          <cell r="D526">
            <v>45007</v>
          </cell>
          <cell r="E526">
            <v>45024</v>
          </cell>
        </row>
        <row r="527">
          <cell r="B527" t="str">
            <v>В-23555/КЛ.Транш - 2</v>
          </cell>
          <cell r="C527">
            <v>141385.26</v>
          </cell>
          <cell r="D527">
            <v>45007</v>
          </cell>
          <cell r="E527">
            <v>45007</v>
          </cell>
        </row>
        <row r="528">
          <cell r="B528" t="str">
            <v>В-28549/АЗ</v>
          </cell>
          <cell r="C528">
            <v>199714.18</v>
          </cell>
          <cell r="D528">
            <v>45007</v>
          </cell>
          <cell r="E528">
            <v>45021</v>
          </cell>
        </row>
        <row r="529">
          <cell r="B529" t="str">
            <v>В-01174/АЗ</v>
          </cell>
          <cell r="C529">
            <v>334931.08</v>
          </cell>
          <cell r="D529">
            <v>45008</v>
          </cell>
          <cell r="E529">
            <v>45021</v>
          </cell>
        </row>
        <row r="530">
          <cell r="B530" t="str">
            <v>В-16242/КЛ.Транш - 2</v>
          </cell>
          <cell r="C530">
            <v>251261.27</v>
          </cell>
          <cell r="D530">
            <v>45008</v>
          </cell>
          <cell r="E530">
            <v>45014</v>
          </cell>
        </row>
        <row r="531">
          <cell r="B531" t="str">
            <v>В-20786/КЛ.Транш - 1</v>
          </cell>
          <cell r="C531">
            <v>201904.48</v>
          </cell>
          <cell r="D531">
            <v>45008</v>
          </cell>
          <cell r="E531">
            <v>45023</v>
          </cell>
        </row>
        <row r="532">
          <cell r="B532" t="str">
            <v>В-14913/КЛ.Транш - 1</v>
          </cell>
          <cell r="C532">
            <v>176901.89</v>
          </cell>
          <cell r="D532">
            <v>45009</v>
          </cell>
          <cell r="E532">
            <v>45013</v>
          </cell>
        </row>
        <row r="533">
          <cell r="B533" t="str">
            <v>В-20952/КЛ.Транш - 3</v>
          </cell>
          <cell r="C533">
            <v>88218.62</v>
          </cell>
          <cell r="D533">
            <v>45009</v>
          </cell>
          <cell r="E533">
            <v>45026</v>
          </cell>
        </row>
        <row r="534">
          <cell r="B534" t="str">
            <v>В-14816/КЛ.Транш - 4</v>
          </cell>
          <cell r="C534">
            <v>19792.46</v>
          </cell>
          <cell r="D534">
            <v>45009</v>
          </cell>
          <cell r="E534">
            <v>45030</v>
          </cell>
        </row>
        <row r="535">
          <cell r="B535" t="str">
            <v>В-00065/КЭ.Транш - 1</v>
          </cell>
          <cell r="C535">
            <v>78838.929999999993</v>
          </cell>
          <cell r="D535">
            <v>45009</v>
          </cell>
          <cell r="E535">
            <v>45019</v>
          </cell>
        </row>
        <row r="536">
          <cell r="B536" t="str">
            <v>В-10022/КЭ.Транш - 1</v>
          </cell>
          <cell r="C536">
            <v>532457.01</v>
          </cell>
          <cell r="D536">
            <v>45009</v>
          </cell>
          <cell r="E536">
            <v>45009</v>
          </cell>
        </row>
        <row r="537">
          <cell r="B537" t="str">
            <v>В-28598/КЛ.Транш - 1</v>
          </cell>
          <cell r="C537">
            <v>756042.11</v>
          </cell>
          <cell r="D537">
            <v>45009</v>
          </cell>
          <cell r="E537">
            <v>45010</v>
          </cell>
        </row>
        <row r="538">
          <cell r="B538" t="str">
            <v>В-10495/КЛ.Транш - 1</v>
          </cell>
          <cell r="C538">
            <v>140576.63</v>
          </cell>
          <cell r="D538">
            <v>45009</v>
          </cell>
          <cell r="E538">
            <v>45009</v>
          </cell>
        </row>
        <row r="539">
          <cell r="B539" t="str">
            <v>В-27250/КЛ.Транш - 2</v>
          </cell>
          <cell r="C539">
            <v>65167.55</v>
          </cell>
          <cell r="D539">
            <v>45010</v>
          </cell>
          <cell r="E539">
            <v>45011</v>
          </cell>
        </row>
        <row r="540">
          <cell r="B540" t="str">
            <v>В-07559/КЛ.Транш - 4</v>
          </cell>
          <cell r="C540">
            <v>72514.86</v>
          </cell>
          <cell r="D540">
            <v>45010</v>
          </cell>
          <cell r="E540">
            <v>45017</v>
          </cell>
        </row>
        <row r="541">
          <cell r="B541" t="str">
            <v>В-18921/КЛ.Транш - 1</v>
          </cell>
          <cell r="C541">
            <v>865102.64</v>
          </cell>
          <cell r="D541">
            <v>45010</v>
          </cell>
          <cell r="E541">
            <v>45028</v>
          </cell>
        </row>
        <row r="542">
          <cell r="B542" t="str">
            <v>В-22935/КЛ.Транш - 1</v>
          </cell>
          <cell r="C542">
            <v>198368.22</v>
          </cell>
          <cell r="D542">
            <v>45010</v>
          </cell>
          <cell r="E542">
            <v>45014</v>
          </cell>
        </row>
        <row r="543">
          <cell r="B543" t="str">
            <v>В-22979/КЛ.Транш - 1</v>
          </cell>
          <cell r="C543">
            <v>297552.59000000003</v>
          </cell>
          <cell r="D543">
            <v>45011</v>
          </cell>
          <cell r="E543">
            <v>45011</v>
          </cell>
        </row>
        <row r="544">
          <cell r="B544" t="str">
            <v>А-05360/АЗ</v>
          </cell>
          <cell r="C544">
            <v>37784.26</v>
          </cell>
          <cell r="D544">
            <v>45011</v>
          </cell>
          <cell r="E544">
            <v>45016</v>
          </cell>
        </row>
        <row r="545">
          <cell r="B545" t="str">
            <v>В-17469/КЛ.Транш - 2</v>
          </cell>
          <cell r="C545">
            <v>82737.240000000005</v>
          </cell>
          <cell r="D545">
            <v>45011</v>
          </cell>
          <cell r="E545">
            <v>45016</v>
          </cell>
        </row>
        <row r="546">
          <cell r="B546" t="str">
            <v>В-19593/КЛ.Транш - 1</v>
          </cell>
          <cell r="C546">
            <v>332024.95</v>
          </cell>
          <cell r="D546">
            <v>45011</v>
          </cell>
          <cell r="E546">
            <v>45015</v>
          </cell>
        </row>
        <row r="547">
          <cell r="B547" t="str">
            <v>В-02583/КЛ.Транш - 6</v>
          </cell>
          <cell r="C547">
            <v>79192.86</v>
          </cell>
          <cell r="D547">
            <v>45011</v>
          </cell>
          <cell r="G547">
            <v>45068</v>
          </cell>
        </row>
        <row r="548">
          <cell r="B548" t="str">
            <v>В-26517/КЛ.Транш - 1</v>
          </cell>
          <cell r="C548">
            <v>113203.12</v>
          </cell>
          <cell r="D548">
            <v>45011</v>
          </cell>
          <cell r="E548">
            <v>45030</v>
          </cell>
        </row>
        <row r="549">
          <cell r="B549" t="str">
            <v>В-23370/КЛ.Транш - 2</v>
          </cell>
          <cell r="C549">
            <v>103602.99</v>
          </cell>
          <cell r="D549">
            <v>45011</v>
          </cell>
          <cell r="E549">
            <v>45021</v>
          </cell>
        </row>
        <row r="550">
          <cell r="B550" t="str">
            <v>В-28539/КЛ.Транш - 1</v>
          </cell>
          <cell r="C550">
            <v>221439.05</v>
          </cell>
          <cell r="D550">
            <v>45011</v>
          </cell>
          <cell r="E550">
            <v>45022</v>
          </cell>
        </row>
        <row r="551">
          <cell r="B551" t="str">
            <v>В-19740/КЛ.Транш - 8</v>
          </cell>
          <cell r="C551">
            <v>152128.1</v>
          </cell>
          <cell r="D551">
            <v>45011</v>
          </cell>
          <cell r="E551">
            <v>45013</v>
          </cell>
        </row>
        <row r="552">
          <cell r="B552" t="str">
            <v>В-12553/КЛ.Транш - 1</v>
          </cell>
          <cell r="C552">
            <v>193655.45</v>
          </cell>
          <cell r="D552">
            <v>45012</v>
          </cell>
          <cell r="E552">
            <v>45013</v>
          </cell>
        </row>
        <row r="553">
          <cell r="B553" t="str">
            <v>В-12269/КЛ.Транш - 1</v>
          </cell>
          <cell r="C553">
            <v>140512.41</v>
          </cell>
          <cell r="D553">
            <v>45012</v>
          </cell>
          <cell r="E553">
            <v>45016</v>
          </cell>
        </row>
        <row r="554">
          <cell r="B554" t="str">
            <v>В-12813/КЛ.Транш - 1</v>
          </cell>
          <cell r="C554">
            <v>690450.44</v>
          </cell>
          <cell r="D554">
            <v>45012</v>
          </cell>
          <cell r="E554">
            <v>45015</v>
          </cell>
        </row>
        <row r="555">
          <cell r="B555" t="str">
            <v>В-03365/КЛ.Транш - 4</v>
          </cell>
          <cell r="C555">
            <v>79498.39</v>
          </cell>
          <cell r="D555">
            <v>45012</v>
          </cell>
          <cell r="E555">
            <v>45016</v>
          </cell>
        </row>
        <row r="556">
          <cell r="B556" t="str">
            <v>В-08609/КЛ.Транш - 2</v>
          </cell>
          <cell r="C556">
            <v>162589.95000000001</v>
          </cell>
          <cell r="D556">
            <v>45012</v>
          </cell>
          <cell r="E556">
            <v>45015</v>
          </cell>
        </row>
        <row r="557">
          <cell r="B557" t="str">
            <v>В-17916/КЛ.Транш - 1</v>
          </cell>
          <cell r="C557">
            <v>159889.47</v>
          </cell>
          <cell r="D557">
            <v>45013</v>
          </cell>
          <cell r="E557">
            <v>45020</v>
          </cell>
        </row>
        <row r="558">
          <cell r="B558" t="str">
            <v>В-18414/КЛ.Транш - 1</v>
          </cell>
          <cell r="C558">
            <v>426269.78</v>
          </cell>
          <cell r="D558">
            <v>45013</v>
          </cell>
          <cell r="E558">
            <v>45020</v>
          </cell>
        </row>
        <row r="559">
          <cell r="B559" t="str">
            <v>В-26125/АЗ</v>
          </cell>
          <cell r="C559">
            <v>875366.46</v>
          </cell>
          <cell r="D559">
            <v>45013</v>
          </cell>
          <cell r="E559">
            <v>45014</v>
          </cell>
        </row>
        <row r="560">
          <cell r="B560" t="str">
            <v>В-27646/КЛ.Транш - 1</v>
          </cell>
          <cell r="C560">
            <v>383431.23</v>
          </cell>
          <cell r="D560">
            <v>45013</v>
          </cell>
          <cell r="E560">
            <v>45026</v>
          </cell>
        </row>
        <row r="561">
          <cell r="B561" t="str">
            <v>В-01160/АЗ</v>
          </cell>
          <cell r="C561">
            <v>360943.44</v>
          </cell>
          <cell r="D561">
            <v>45014</v>
          </cell>
          <cell r="E561">
            <v>45014</v>
          </cell>
        </row>
        <row r="562">
          <cell r="B562" t="str">
            <v>В-01161/АЗ</v>
          </cell>
          <cell r="C562">
            <v>118249.69</v>
          </cell>
          <cell r="D562">
            <v>45014</v>
          </cell>
          <cell r="E562">
            <v>45014</v>
          </cell>
        </row>
        <row r="563">
          <cell r="B563" t="str">
            <v>В-17962/КЛ.Транш - 1</v>
          </cell>
          <cell r="C563">
            <v>500848.71</v>
          </cell>
          <cell r="D563">
            <v>45014</v>
          </cell>
          <cell r="E563">
            <v>45014</v>
          </cell>
        </row>
        <row r="564">
          <cell r="B564" t="str">
            <v>В-02583/КЛ.Транш - 9</v>
          </cell>
          <cell r="C564">
            <v>43697.18</v>
          </cell>
          <cell r="D564">
            <v>45014</v>
          </cell>
          <cell r="G564">
            <v>45068</v>
          </cell>
        </row>
        <row r="565">
          <cell r="B565" t="str">
            <v>В-16057/КЛ.Транш - 6</v>
          </cell>
          <cell r="C565">
            <v>388139.69</v>
          </cell>
          <cell r="D565">
            <v>45014</v>
          </cell>
          <cell r="E565">
            <v>45015</v>
          </cell>
        </row>
        <row r="566">
          <cell r="B566" t="str">
            <v>В-25573/КЛ.Транш - 2</v>
          </cell>
          <cell r="C566">
            <v>53729.24</v>
          </cell>
          <cell r="D566">
            <v>45014</v>
          </cell>
          <cell r="E566">
            <v>45018</v>
          </cell>
        </row>
        <row r="567">
          <cell r="B567" t="str">
            <v>В-13235/КЛ.Транш - 1</v>
          </cell>
          <cell r="C567">
            <v>76930.55</v>
          </cell>
          <cell r="D567">
            <v>45015</v>
          </cell>
          <cell r="E567">
            <v>45016</v>
          </cell>
        </row>
        <row r="568">
          <cell r="B568" t="str">
            <v>В-11605/КЛ.Транш - 1</v>
          </cell>
          <cell r="C568">
            <v>249378.62</v>
          </cell>
          <cell r="D568">
            <v>45016</v>
          </cell>
          <cell r="E568">
            <v>45021</v>
          </cell>
        </row>
        <row r="569">
          <cell r="B569" t="str">
            <v>В-16067/КЛ.Транш - 1</v>
          </cell>
          <cell r="C569">
            <v>110355.42</v>
          </cell>
          <cell r="D569">
            <v>45016</v>
          </cell>
          <cell r="E569">
            <v>45040</v>
          </cell>
        </row>
        <row r="570">
          <cell r="B570" t="str">
            <v>В-18050/КЛ.Транш - 1</v>
          </cell>
          <cell r="C570">
            <v>32070.78</v>
          </cell>
          <cell r="D570">
            <v>45016</v>
          </cell>
          <cell r="E570">
            <v>45016</v>
          </cell>
        </row>
        <row r="571">
          <cell r="B571" t="str">
            <v>В-02583/КЛ.Транш - 7</v>
          </cell>
          <cell r="C571">
            <v>98821.17</v>
          </cell>
          <cell r="D571">
            <v>45016</v>
          </cell>
          <cell r="G571">
            <v>45068</v>
          </cell>
        </row>
        <row r="572">
          <cell r="B572" t="str">
            <v>В-21960/КЛ.Транш - 1</v>
          </cell>
          <cell r="C572">
            <v>261422.7</v>
          </cell>
          <cell r="D572">
            <v>45016</v>
          </cell>
          <cell r="E572">
            <v>45026</v>
          </cell>
        </row>
        <row r="573">
          <cell r="B573" t="str">
            <v>В-14816/КЛ.Транш - 5</v>
          </cell>
          <cell r="C573">
            <v>22480.799999999999</v>
          </cell>
          <cell r="D573">
            <v>45016</v>
          </cell>
          <cell r="E573">
            <v>45030</v>
          </cell>
        </row>
        <row r="574">
          <cell r="B574" t="str">
            <v>В-25351/КЛ.Транш - 1</v>
          </cell>
          <cell r="C574">
            <v>436040.81</v>
          </cell>
          <cell r="D574">
            <v>45016</v>
          </cell>
          <cell r="E574">
            <v>45037</v>
          </cell>
        </row>
        <row r="575">
          <cell r="B575" t="str">
            <v>В-26743/КЛ.Транш - 1</v>
          </cell>
          <cell r="C575">
            <v>64419.38</v>
          </cell>
          <cell r="D575">
            <v>45016</v>
          </cell>
          <cell r="E575">
            <v>45020</v>
          </cell>
        </row>
        <row r="576">
          <cell r="B576" t="str">
            <v>В-20952/КЛ.Транш - 6</v>
          </cell>
          <cell r="C576">
            <v>87999.58</v>
          </cell>
          <cell r="D576">
            <v>45017</v>
          </cell>
          <cell r="E576">
            <v>45026</v>
          </cell>
        </row>
        <row r="577">
          <cell r="B577" t="str">
            <v>В-28587/КЛ.Транш - 1</v>
          </cell>
          <cell r="C577">
            <v>302836.65000000002</v>
          </cell>
          <cell r="D577">
            <v>45017</v>
          </cell>
          <cell r="E577">
            <v>45021</v>
          </cell>
        </row>
        <row r="578">
          <cell r="B578" t="str">
            <v>В-19880/КЛ.Транш - 1</v>
          </cell>
          <cell r="C578">
            <v>540882.74</v>
          </cell>
          <cell r="D578">
            <v>45018</v>
          </cell>
          <cell r="E578">
            <v>45019</v>
          </cell>
        </row>
        <row r="579">
          <cell r="B579" t="str">
            <v>В-22163/КЛ.Транш - 1</v>
          </cell>
          <cell r="C579">
            <v>166082.91</v>
          </cell>
          <cell r="D579">
            <v>45018</v>
          </cell>
          <cell r="E579">
            <v>45027</v>
          </cell>
        </row>
        <row r="580">
          <cell r="B580" t="str">
            <v>В-08644/КЛ.Транш - 1</v>
          </cell>
          <cell r="C580">
            <v>68963.759999999995</v>
          </cell>
          <cell r="D580">
            <v>45019</v>
          </cell>
          <cell r="G580">
            <v>45110</v>
          </cell>
        </row>
        <row r="581">
          <cell r="B581" t="str">
            <v>В-02583/КЛ.Транш - 8</v>
          </cell>
          <cell r="C581">
            <v>107594.14</v>
          </cell>
          <cell r="D581">
            <v>45019</v>
          </cell>
          <cell r="G581">
            <v>45068</v>
          </cell>
        </row>
        <row r="582">
          <cell r="B582" t="str">
            <v>В-22101/КЛ.Транш - 1</v>
          </cell>
          <cell r="C582">
            <v>63688.88</v>
          </cell>
          <cell r="D582">
            <v>45019</v>
          </cell>
          <cell r="E582">
            <v>45020</v>
          </cell>
        </row>
        <row r="583">
          <cell r="B583" t="str">
            <v>В-14816/КЛ.Транш - 7</v>
          </cell>
          <cell r="C583">
            <v>36914.370000000003</v>
          </cell>
          <cell r="D583">
            <v>45019</v>
          </cell>
          <cell r="E583">
            <v>45031</v>
          </cell>
        </row>
        <row r="584">
          <cell r="B584" t="str">
            <v>В-27315/КЛ.Транш - 1</v>
          </cell>
          <cell r="C584">
            <v>414861.9</v>
          </cell>
          <cell r="D584">
            <v>45019</v>
          </cell>
          <cell r="E584">
            <v>45033</v>
          </cell>
        </row>
        <row r="585">
          <cell r="B585" t="str">
            <v>В-16882/КЛ.Транш - 2</v>
          </cell>
          <cell r="C585">
            <v>240717.59</v>
          </cell>
          <cell r="D585">
            <v>45019</v>
          </cell>
          <cell r="E585">
            <v>45026</v>
          </cell>
        </row>
        <row r="586">
          <cell r="B586" t="str">
            <v>В-28906/КЛ.Транш - 1</v>
          </cell>
          <cell r="C586">
            <v>108950.49</v>
          </cell>
          <cell r="D586">
            <v>45019</v>
          </cell>
          <cell r="E586">
            <v>45021</v>
          </cell>
        </row>
        <row r="587">
          <cell r="B587" t="str">
            <v>В-00953/АЗ</v>
          </cell>
          <cell r="C587">
            <v>277757.7</v>
          </cell>
          <cell r="D587">
            <v>45020</v>
          </cell>
          <cell r="E587">
            <v>45022</v>
          </cell>
        </row>
        <row r="588">
          <cell r="B588" t="str">
            <v>В-14216/КЛ.Транш - 1</v>
          </cell>
          <cell r="C588">
            <v>76937.55</v>
          </cell>
          <cell r="D588">
            <v>45020</v>
          </cell>
          <cell r="E588">
            <v>45020</v>
          </cell>
        </row>
        <row r="589">
          <cell r="B589" t="str">
            <v>В-08368/КЛ.Транш - 2</v>
          </cell>
          <cell r="C589">
            <v>72091.03</v>
          </cell>
          <cell r="D589">
            <v>45020</v>
          </cell>
          <cell r="E589">
            <v>45023</v>
          </cell>
        </row>
        <row r="590">
          <cell r="B590" t="str">
            <v>В-21938/КЛ.Транш - 2</v>
          </cell>
          <cell r="C590">
            <v>156734.85</v>
          </cell>
          <cell r="D590">
            <v>45020</v>
          </cell>
          <cell r="E590">
            <v>45034</v>
          </cell>
        </row>
        <row r="591">
          <cell r="B591" t="str">
            <v>В-28961/КЛ.Транш - 1</v>
          </cell>
          <cell r="C591">
            <v>217901.76</v>
          </cell>
          <cell r="D591">
            <v>45020</v>
          </cell>
          <cell r="E591">
            <v>45097</v>
          </cell>
        </row>
        <row r="592">
          <cell r="B592" t="str">
            <v>В-10841/КЛ.Транш - 1</v>
          </cell>
          <cell r="C592">
            <v>711491.59</v>
          </cell>
          <cell r="D592">
            <v>45020</v>
          </cell>
          <cell r="E592">
            <v>45020</v>
          </cell>
        </row>
        <row r="593">
          <cell r="B593" t="str">
            <v>В-11948/КЛ.Транш - 1</v>
          </cell>
          <cell r="C593">
            <v>72836.19</v>
          </cell>
          <cell r="D593">
            <v>45021</v>
          </cell>
          <cell r="E593">
            <v>45023</v>
          </cell>
        </row>
        <row r="594">
          <cell r="B594" t="str">
            <v>В-12790/КЛ.Транш - 1</v>
          </cell>
          <cell r="C594">
            <v>202735.72</v>
          </cell>
          <cell r="D594">
            <v>45021</v>
          </cell>
          <cell r="E594">
            <v>45022</v>
          </cell>
        </row>
        <row r="595">
          <cell r="B595" t="str">
            <v>В-17318/КЛ.Транш - 1</v>
          </cell>
          <cell r="C595">
            <v>763161.64</v>
          </cell>
          <cell r="D595">
            <v>45021</v>
          </cell>
          <cell r="G595">
            <v>45056</v>
          </cell>
        </row>
        <row r="596">
          <cell r="B596" t="str">
            <v>В-18496/КЛ.Транш - 1</v>
          </cell>
          <cell r="C596">
            <v>129801.63</v>
          </cell>
          <cell r="D596">
            <v>45021</v>
          </cell>
          <cell r="E596">
            <v>45061</v>
          </cell>
        </row>
        <row r="597">
          <cell r="B597" t="str">
            <v>В-27914/КЛ.Транш - 1</v>
          </cell>
          <cell r="C597">
            <v>154562.39000000001</v>
          </cell>
          <cell r="D597">
            <v>45021</v>
          </cell>
          <cell r="E597">
            <v>45036</v>
          </cell>
        </row>
        <row r="598">
          <cell r="B598" t="str">
            <v>В-12789/КЛ.Транш - 1</v>
          </cell>
          <cell r="C598">
            <v>89792.1</v>
          </cell>
          <cell r="D598">
            <v>45022</v>
          </cell>
          <cell r="E598">
            <v>45036</v>
          </cell>
        </row>
        <row r="599">
          <cell r="B599" t="str">
            <v>В-16455/КЛ.Транш - 1</v>
          </cell>
          <cell r="C599">
            <v>211643.04</v>
          </cell>
          <cell r="D599">
            <v>45022</v>
          </cell>
          <cell r="E599">
            <v>45026</v>
          </cell>
        </row>
        <row r="600">
          <cell r="B600" t="str">
            <v>В-19286/КЛ.Транш - 1</v>
          </cell>
          <cell r="C600">
            <v>432616.33</v>
          </cell>
          <cell r="D600">
            <v>45022</v>
          </cell>
          <cell r="E600">
            <v>45027</v>
          </cell>
        </row>
        <row r="601">
          <cell r="B601" t="str">
            <v>В-20035/КЛ.Транш - 1</v>
          </cell>
          <cell r="C601">
            <v>7910.18</v>
          </cell>
          <cell r="D601">
            <v>45022</v>
          </cell>
          <cell r="E601">
            <v>45023</v>
          </cell>
        </row>
        <row r="602">
          <cell r="B602" t="str">
            <v>В-14627/КЛ.Транш - 3</v>
          </cell>
          <cell r="C602">
            <v>41348.74</v>
          </cell>
          <cell r="D602">
            <v>45022</v>
          </cell>
          <cell r="E602">
            <v>45028</v>
          </cell>
        </row>
        <row r="603">
          <cell r="B603" t="str">
            <v>В-02583/КЛ.Транш - 5</v>
          </cell>
          <cell r="C603">
            <v>96312.13</v>
          </cell>
          <cell r="D603">
            <v>45023</v>
          </cell>
          <cell r="G603">
            <v>45068</v>
          </cell>
        </row>
        <row r="604">
          <cell r="B604" t="str">
            <v>В-20087/КЛ.Транш - 1</v>
          </cell>
          <cell r="C604">
            <v>27646.12</v>
          </cell>
          <cell r="D604">
            <v>45023</v>
          </cell>
          <cell r="E604">
            <v>45026</v>
          </cell>
        </row>
        <row r="605">
          <cell r="B605" t="str">
            <v>В-25627/КЛ.Транш - 1</v>
          </cell>
          <cell r="C605">
            <v>853461.2</v>
          </cell>
          <cell r="D605">
            <v>45023</v>
          </cell>
          <cell r="E605">
            <v>45026</v>
          </cell>
        </row>
        <row r="606">
          <cell r="B606" t="str">
            <v>В-25573/КЛ.Транш - 1</v>
          </cell>
          <cell r="C606">
            <v>50216.11</v>
          </cell>
          <cell r="D606">
            <v>45023</v>
          </cell>
          <cell r="E606">
            <v>45026</v>
          </cell>
        </row>
        <row r="607">
          <cell r="B607" t="str">
            <v>В-19740/КЛ.Транш - 5</v>
          </cell>
          <cell r="C607">
            <v>217615.61</v>
          </cell>
          <cell r="D607">
            <v>45023</v>
          </cell>
          <cell r="E607">
            <v>45027</v>
          </cell>
        </row>
        <row r="608">
          <cell r="B608" t="str">
            <v>В-14430/КЛ.Транш - 2</v>
          </cell>
          <cell r="C608">
            <v>187562.88</v>
          </cell>
          <cell r="D608">
            <v>45024</v>
          </cell>
          <cell r="E608">
            <v>45024</v>
          </cell>
        </row>
        <row r="609">
          <cell r="B609" t="str">
            <v>В-12067/КЛ.Транш - 1</v>
          </cell>
          <cell r="C609">
            <v>80119.55</v>
          </cell>
          <cell r="D609">
            <v>45024</v>
          </cell>
          <cell r="E609">
            <v>45027</v>
          </cell>
        </row>
        <row r="610">
          <cell r="B610" t="str">
            <v>В-12066/КЛ.Транш - 1</v>
          </cell>
          <cell r="C610">
            <v>87119.45</v>
          </cell>
          <cell r="D610">
            <v>45024</v>
          </cell>
          <cell r="E610">
            <v>45028</v>
          </cell>
        </row>
        <row r="611">
          <cell r="B611" t="str">
            <v>В-19585/КЛ.Транш - 1</v>
          </cell>
          <cell r="C611">
            <v>104273.41</v>
          </cell>
          <cell r="D611">
            <v>45024</v>
          </cell>
          <cell r="E611">
            <v>45027</v>
          </cell>
        </row>
        <row r="612">
          <cell r="B612" t="str">
            <v>В-24198/КЛ.Транш - 6</v>
          </cell>
          <cell r="C612">
            <v>32199.95</v>
          </cell>
          <cell r="D612">
            <v>45024</v>
          </cell>
          <cell r="E612">
            <v>45034</v>
          </cell>
        </row>
        <row r="613">
          <cell r="B613" t="str">
            <v>В-18317/КЛ.Транш - 1</v>
          </cell>
          <cell r="C613">
            <v>133501.65</v>
          </cell>
          <cell r="D613">
            <v>45025</v>
          </cell>
          <cell r="E613">
            <v>45036</v>
          </cell>
        </row>
        <row r="614">
          <cell r="B614" t="str">
            <v>В-21960/КЛ.Транш - 2</v>
          </cell>
          <cell r="C614">
            <v>158235.26</v>
          </cell>
          <cell r="D614">
            <v>45025</v>
          </cell>
          <cell r="E614">
            <v>45026</v>
          </cell>
        </row>
        <row r="615">
          <cell r="B615" t="str">
            <v>В-03761/КЛ.Транш - 1_В-20211230/Ц</v>
          </cell>
          <cell r="C615">
            <v>97230.31</v>
          </cell>
          <cell r="D615">
            <v>45025</v>
          </cell>
          <cell r="E615">
            <v>45036</v>
          </cell>
        </row>
        <row r="616">
          <cell r="B616" t="str">
            <v>В-11782/КЛ.Транш - 1</v>
          </cell>
          <cell r="C616">
            <v>95522.47</v>
          </cell>
          <cell r="D616">
            <v>45025</v>
          </cell>
          <cell r="E616">
            <v>45025</v>
          </cell>
        </row>
        <row r="617">
          <cell r="B617" t="str">
            <v>В-13449/КЛ.Транш - 1</v>
          </cell>
          <cell r="C617">
            <v>76675.59</v>
          </cell>
          <cell r="D617">
            <v>45026</v>
          </cell>
          <cell r="E617">
            <v>45027</v>
          </cell>
        </row>
        <row r="618">
          <cell r="B618" t="str">
            <v>В-10014/КЭ.Транш - 1</v>
          </cell>
          <cell r="C618">
            <v>1103132.6599999999</v>
          </cell>
          <cell r="D618">
            <v>45026</v>
          </cell>
          <cell r="G618">
            <v>45077</v>
          </cell>
        </row>
        <row r="619">
          <cell r="B619" t="str">
            <v>В-17095/КЛ.Транш - 1</v>
          </cell>
          <cell r="C619">
            <v>64607.93</v>
          </cell>
          <cell r="D619">
            <v>45026</v>
          </cell>
          <cell r="E619">
            <v>45036</v>
          </cell>
        </row>
        <row r="620">
          <cell r="B620" t="str">
            <v>В-00783/КЛ.Транш - 2</v>
          </cell>
          <cell r="C620">
            <v>315354.52</v>
          </cell>
          <cell r="D620">
            <v>45026</v>
          </cell>
          <cell r="E620">
            <v>45032</v>
          </cell>
        </row>
        <row r="621">
          <cell r="B621" t="str">
            <v>В-22935/КЛ.Транш - 2</v>
          </cell>
          <cell r="C621">
            <v>85979.71</v>
          </cell>
          <cell r="D621">
            <v>45026</v>
          </cell>
          <cell r="E621">
            <v>45029</v>
          </cell>
        </row>
        <row r="622">
          <cell r="B622" t="str">
            <v>В-19740/КЛ.Транш - 6</v>
          </cell>
          <cell r="C622">
            <v>261138.71</v>
          </cell>
          <cell r="D622">
            <v>45026</v>
          </cell>
          <cell r="E622">
            <v>45035</v>
          </cell>
        </row>
        <row r="623">
          <cell r="B623" t="str">
            <v>В-28968/АЗ</v>
          </cell>
          <cell r="C623">
            <v>74666.81</v>
          </cell>
          <cell r="D623">
            <v>45026</v>
          </cell>
          <cell r="E623">
            <v>45028</v>
          </cell>
        </row>
        <row r="624">
          <cell r="B624" t="str">
            <v>В-01211/АЗ</v>
          </cell>
          <cell r="C624">
            <v>806330.92</v>
          </cell>
          <cell r="D624">
            <v>45027</v>
          </cell>
          <cell r="E624">
            <v>45029</v>
          </cell>
        </row>
        <row r="625">
          <cell r="B625" t="str">
            <v>В-24071/КЛ.Транш - 1</v>
          </cell>
          <cell r="C625">
            <v>768161.7</v>
          </cell>
          <cell r="D625">
            <v>45027</v>
          </cell>
          <cell r="E625">
            <v>45028</v>
          </cell>
        </row>
        <row r="626">
          <cell r="B626" t="str">
            <v>В-24610/КЛ.Транш - 1</v>
          </cell>
          <cell r="C626">
            <v>70994.23</v>
          </cell>
          <cell r="D626">
            <v>45027</v>
          </cell>
          <cell r="E626">
            <v>45027</v>
          </cell>
        </row>
        <row r="627">
          <cell r="B627" t="str">
            <v>В-25807/АЗ</v>
          </cell>
          <cell r="C627">
            <v>806822.83</v>
          </cell>
          <cell r="D627">
            <v>45027</v>
          </cell>
          <cell r="E627">
            <v>45028</v>
          </cell>
        </row>
        <row r="628">
          <cell r="B628" t="str">
            <v>В-25810/АЗ</v>
          </cell>
          <cell r="C628">
            <v>806822.83</v>
          </cell>
          <cell r="D628">
            <v>45027</v>
          </cell>
          <cell r="E628">
            <v>45029</v>
          </cell>
        </row>
        <row r="629">
          <cell r="B629" t="str">
            <v>В-14728/КЛ.Транш - 8</v>
          </cell>
          <cell r="C629">
            <v>140863.84</v>
          </cell>
          <cell r="D629">
            <v>45027</v>
          </cell>
          <cell r="E629">
            <v>45027</v>
          </cell>
        </row>
        <row r="630">
          <cell r="B630" t="str">
            <v>В-00036/КЭ.Транш - 2</v>
          </cell>
          <cell r="C630">
            <v>1584906.45</v>
          </cell>
          <cell r="D630">
            <v>45027</v>
          </cell>
          <cell r="E630">
            <v>45027</v>
          </cell>
        </row>
        <row r="631">
          <cell r="B631" t="str">
            <v>В-14816/КЛ.Транш - 2</v>
          </cell>
          <cell r="C631">
            <v>2744.13</v>
          </cell>
          <cell r="D631">
            <v>45028</v>
          </cell>
          <cell r="E631">
            <v>45030</v>
          </cell>
        </row>
        <row r="632">
          <cell r="B632" t="str">
            <v>В-24137/КЛ.Транш - 1</v>
          </cell>
          <cell r="C632">
            <v>106453.2</v>
          </cell>
          <cell r="D632">
            <v>45028</v>
          </cell>
          <cell r="E632">
            <v>45040</v>
          </cell>
        </row>
        <row r="633">
          <cell r="B633" t="str">
            <v>В-25852/КЛ.Транш - 1</v>
          </cell>
          <cell r="C633">
            <v>229804.9</v>
          </cell>
          <cell r="D633">
            <v>45028</v>
          </cell>
          <cell r="E633">
            <v>45028</v>
          </cell>
        </row>
        <row r="634">
          <cell r="B634" t="str">
            <v>В-23085/КЛ.Транш - 1</v>
          </cell>
          <cell r="C634">
            <v>356112.08</v>
          </cell>
          <cell r="D634">
            <v>45028</v>
          </cell>
          <cell r="E634">
            <v>45028</v>
          </cell>
        </row>
        <row r="635">
          <cell r="B635" t="str">
            <v>В-10050/КЛ.Транш - 1</v>
          </cell>
          <cell r="C635">
            <v>92124.78</v>
          </cell>
          <cell r="D635">
            <v>45029</v>
          </cell>
          <cell r="E635">
            <v>45033</v>
          </cell>
        </row>
        <row r="636">
          <cell r="B636" t="str">
            <v>В-01038/АЗ</v>
          </cell>
          <cell r="C636">
            <v>728945.26</v>
          </cell>
          <cell r="D636">
            <v>45029</v>
          </cell>
          <cell r="E636">
            <v>45048</v>
          </cell>
        </row>
        <row r="637">
          <cell r="B637" t="str">
            <v>В-01039/АЗ</v>
          </cell>
          <cell r="C637">
            <v>750081.39</v>
          </cell>
          <cell r="D637">
            <v>45029</v>
          </cell>
          <cell r="E637">
            <v>45048</v>
          </cell>
        </row>
        <row r="638">
          <cell r="B638" t="str">
            <v>В-03365/КЛ.Транш - 3</v>
          </cell>
          <cell r="C638">
            <v>84470.95</v>
          </cell>
          <cell r="D638">
            <v>45029</v>
          </cell>
          <cell r="E638">
            <v>45037</v>
          </cell>
        </row>
        <row r="639">
          <cell r="B639" t="str">
            <v>В-10014/КЭ.Транш - 2</v>
          </cell>
          <cell r="C639">
            <v>2022939.41</v>
          </cell>
          <cell r="D639">
            <v>45029</v>
          </cell>
          <cell r="G639">
            <v>45077</v>
          </cell>
        </row>
        <row r="640">
          <cell r="B640" t="str">
            <v>В-00054/КЭ.Транш - 1</v>
          </cell>
          <cell r="C640">
            <v>315304.46000000002</v>
          </cell>
          <cell r="D640">
            <v>45030</v>
          </cell>
          <cell r="E640">
            <v>45030</v>
          </cell>
        </row>
        <row r="641">
          <cell r="B641" t="str">
            <v>В-01024/АЗ</v>
          </cell>
          <cell r="C641">
            <v>680947.85</v>
          </cell>
          <cell r="D641">
            <v>45030</v>
          </cell>
          <cell r="E641">
            <v>45030</v>
          </cell>
        </row>
        <row r="642">
          <cell r="B642" t="str">
            <v>В-23555/КЛ.Транш - 1</v>
          </cell>
          <cell r="C642">
            <v>631976.71</v>
          </cell>
          <cell r="D642">
            <v>45030</v>
          </cell>
          <cell r="E642">
            <v>45031</v>
          </cell>
        </row>
        <row r="643">
          <cell r="B643" t="str">
            <v>В-25824/КЛ.Транш - 1</v>
          </cell>
          <cell r="C643">
            <v>102744.52</v>
          </cell>
          <cell r="D643">
            <v>45030</v>
          </cell>
          <cell r="G643">
            <v>45103</v>
          </cell>
        </row>
        <row r="644">
          <cell r="B644" t="str">
            <v>В-03365/КЛ.Транш - 2</v>
          </cell>
          <cell r="C644">
            <v>39756.19</v>
          </cell>
          <cell r="D644">
            <v>45030</v>
          </cell>
          <cell r="E644">
            <v>45037</v>
          </cell>
        </row>
        <row r="645">
          <cell r="B645" t="str">
            <v>В-02064/КЛ.Транш - 2</v>
          </cell>
          <cell r="C645">
            <v>313855.71000000002</v>
          </cell>
          <cell r="D645">
            <v>45031</v>
          </cell>
          <cell r="E645">
            <v>45045</v>
          </cell>
        </row>
        <row r="646">
          <cell r="B646" t="str">
            <v>В-20384/КЛ.Транш - 1</v>
          </cell>
          <cell r="C646">
            <v>296149.34000000003</v>
          </cell>
          <cell r="D646">
            <v>45031</v>
          </cell>
          <cell r="E646">
            <v>45036</v>
          </cell>
        </row>
        <row r="647">
          <cell r="B647" t="str">
            <v>В-17747/КЛ.Транш - 2</v>
          </cell>
          <cell r="C647">
            <v>119640.97</v>
          </cell>
          <cell r="D647">
            <v>45031</v>
          </cell>
          <cell r="E647">
            <v>45047</v>
          </cell>
        </row>
        <row r="648">
          <cell r="B648" t="str">
            <v>В-25351/КЛ.Транш - 2</v>
          </cell>
          <cell r="C648">
            <v>112421.45</v>
          </cell>
          <cell r="D648">
            <v>45031</v>
          </cell>
          <cell r="E648">
            <v>45044</v>
          </cell>
        </row>
        <row r="649">
          <cell r="B649" t="str">
            <v>В-02960/КЛ.Транш - 7</v>
          </cell>
          <cell r="C649">
            <v>39889.22</v>
          </cell>
          <cell r="D649">
            <v>45031</v>
          </cell>
          <cell r="E649">
            <v>45034</v>
          </cell>
        </row>
        <row r="650">
          <cell r="B650" t="str">
            <v>В-24754/КЛ.Транш - 1</v>
          </cell>
          <cell r="C650">
            <v>752310.51</v>
          </cell>
          <cell r="D650">
            <v>45032</v>
          </cell>
          <cell r="E650">
            <v>45036</v>
          </cell>
        </row>
        <row r="651">
          <cell r="B651" t="str">
            <v>В-11396/КЛ.Транш - 2</v>
          </cell>
          <cell r="C651">
            <v>297993.74</v>
          </cell>
          <cell r="D651">
            <v>45032</v>
          </cell>
          <cell r="E651">
            <v>45037</v>
          </cell>
        </row>
        <row r="652">
          <cell r="B652" t="str">
            <v>В-24374/КЛ.Транш - 1</v>
          </cell>
          <cell r="C652">
            <v>249870.47</v>
          </cell>
          <cell r="D652">
            <v>45032</v>
          </cell>
          <cell r="E652">
            <v>45037</v>
          </cell>
        </row>
        <row r="653">
          <cell r="B653" t="str">
            <v>В-17747/КЛ.Транш - 1</v>
          </cell>
          <cell r="C653">
            <v>240356.88</v>
          </cell>
          <cell r="D653">
            <v>45032</v>
          </cell>
          <cell r="E653">
            <v>45047</v>
          </cell>
        </row>
        <row r="654">
          <cell r="B654" t="str">
            <v>В-19740/КЛ.Транш - 7</v>
          </cell>
          <cell r="C654">
            <v>104455.54</v>
          </cell>
          <cell r="D654">
            <v>45032</v>
          </cell>
          <cell r="E654">
            <v>45035</v>
          </cell>
        </row>
        <row r="655">
          <cell r="B655" t="str">
            <v>В-01188/АЗ</v>
          </cell>
          <cell r="C655">
            <v>81227.179999999993</v>
          </cell>
          <cell r="D655">
            <v>45032</v>
          </cell>
          <cell r="E655">
            <v>45041</v>
          </cell>
        </row>
        <row r="656">
          <cell r="B656" t="str">
            <v>В-00033/КЭ.Транш - 2</v>
          </cell>
          <cell r="C656">
            <v>1031499.78</v>
          </cell>
          <cell r="D656">
            <v>45033</v>
          </cell>
          <cell r="E656">
            <v>45033</v>
          </cell>
        </row>
        <row r="657">
          <cell r="B657" t="str">
            <v>В-28358/КЛ.Транш - 1</v>
          </cell>
          <cell r="C657">
            <v>906363.6</v>
          </cell>
          <cell r="D657">
            <v>45034</v>
          </cell>
          <cell r="E657">
            <v>45034</v>
          </cell>
        </row>
        <row r="658">
          <cell r="B658" t="str">
            <v>В-28368/АЗ</v>
          </cell>
          <cell r="C658">
            <v>644467.46</v>
          </cell>
          <cell r="D658">
            <v>45034</v>
          </cell>
          <cell r="E658">
            <v>45038</v>
          </cell>
        </row>
        <row r="659">
          <cell r="B659" t="str">
            <v>В-26114/КЛ.Транш - 1</v>
          </cell>
          <cell r="C659">
            <v>214781.62</v>
          </cell>
          <cell r="D659">
            <v>45034</v>
          </cell>
          <cell r="G659">
            <v>45077</v>
          </cell>
        </row>
        <row r="660">
          <cell r="B660" t="str">
            <v>В-07595/КЛ.Транш - 1</v>
          </cell>
          <cell r="C660">
            <v>202693.66</v>
          </cell>
          <cell r="D660">
            <v>45034</v>
          </cell>
          <cell r="E660">
            <v>45063</v>
          </cell>
        </row>
        <row r="661">
          <cell r="B661" t="str">
            <v>В-22677/КЛ.Транш - 1</v>
          </cell>
          <cell r="C661">
            <v>186313.54</v>
          </cell>
          <cell r="D661">
            <v>45034</v>
          </cell>
          <cell r="E661">
            <v>45042</v>
          </cell>
        </row>
        <row r="662">
          <cell r="B662" t="str">
            <v>В-20952/КЛ.Транш - 4</v>
          </cell>
          <cell r="C662">
            <v>85734.64</v>
          </cell>
          <cell r="D662">
            <v>45034</v>
          </cell>
          <cell r="E662">
            <v>45035</v>
          </cell>
        </row>
        <row r="663">
          <cell r="B663" t="str">
            <v>В-12574/КЛ.Транш - 1</v>
          </cell>
          <cell r="C663">
            <v>66842.87</v>
          </cell>
          <cell r="D663">
            <v>45034</v>
          </cell>
          <cell r="E663">
            <v>45049</v>
          </cell>
        </row>
        <row r="664">
          <cell r="B664" t="str">
            <v>В-16934/КЛ.Транш - 1</v>
          </cell>
          <cell r="C664">
            <v>295295.33</v>
          </cell>
          <cell r="D664">
            <v>45035</v>
          </cell>
          <cell r="E664">
            <v>45036</v>
          </cell>
        </row>
        <row r="665">
          <cell r="B665" t="str">
            <v>В-14816/КЛ.Транш - 6</v>
          </cell>
          <cell r="C665">
            <v>21558.99</v>
          </cell>
          <cell r="D665">
            <v>45035</v>
          </cell>
          <cell r="E665">
            <v>45044</v>
          </cell>
        </row>
        <row r="666">
          <cell r="B666" t="str">
            <v>В-10466/КЛ.Транш - 1</v>
          </cell>
          <cell r="C666">
            <v>127442.67</v>
          </cell>
          <cell r="D666">
            <v>45036</v>
          </cell>
          <cell r="E666">
            <v>45037</v>
          </cell>
        </row>
        <row r="667">
          <cell r="B667" t="str">
            <v>В-12574/КЛ.Транш - 3</v>
          </cell>
          <cell r="C667">
            <v>80311.17</v>
          </cell>
          <cell r="D667">
            <v>45036</v>
          </cell>
          <cell r="E667">
            <v>45049</v>
          </cell>
        </row>
        <row r="668">
          <cell r="B668" t="str">
            <v>В-22744/КЛ.Транш - 1</v>
          </cell>
          <cell r="C668">
            <v>58380</v>
          </cell>
          <cell r="D668">
            <v>45036</v>
          </cell>
          <cell r="E668">
            <v>45037</v>
          </cell>
        </row>
        <row r="669">
          <cell r="B669" t="str">
            <v>В-26604/КЛ.Транш - 1</v>
          </cell>
          <cell r="C669">
            <v>606479.04</v>
          </cell>
          <cell r="D669">
            <v>45037</v>
          </cell>
          <cell r="E669">
            <v>45037</v>
          </cell>
        </row>
        <row r="670">
          <cell r="B670" t="str">
            <v>В-26172/АЗ</v>
          </cell>
          <cell r="C670">
            <v>515878.84</v>
          </cell>
          <cell r="D670">
            <v>45037</v>
          </cell>
          <cell r="E670">
            <v>45037</v>
          </cell>
        </row>
        <row r="671">
          <cell r="B671" t="str">
            <v>В-27065/АЗ</v>
          </cell>
          <cell r="C671">
            <v>485183.09</v>
          </cell>
          <cell r="D671">
            <v>45037</v>
          </cell>
          <cell r="E671">
            <v>45037</v>
          </cell>
        </row>
        <row r="672">
          <cell r="B672" t="str">
            <v>В-21795/КЛ.Транш - 1</v>
          </cell>
          <cell r="C672">
            <v>311879.73</v>
          </cell>
          <cell r="D672">
            <v>45037</v>
          </cell>
          <cell r="E672">
            <v>45083</v>
          </cell>
        </row>
        <row r="673">
          <cell r="B673" t="str">
            <v>В-03365/КЛ.Транш - 5</v>
          </cell>
          <cell r="C673">
            <v>202852.2</v>
          </cell>
          <cell r="D673">
            <v>45037</v>
          </cell>
          <cell r="E673">
            <v>45042</v>
          </cell>
        </row>
        <row r="674">
          <cell r="B674" t="str">
            <v>В-21568/КЛ.Транш - 1</v>
          </cell>
          <cell r="C674">
            <v>152000.54999999999</v>
          </cell>
          <cell r="D674">
            <v>45037</v>
          </cell>
          <cell r="E674">
            <v>45063</v>
          </cell>
        </row>
        <row r="675">
          <cell r="B675" t="str">
            <v>В-21245/КЛ.Транш - 2</v>
          </cell>
          <cell r="C675">
            <v>61422.76</v>
          </cell>
          <cell r="D675">
            <v>45037</v>
          </cell>
          <cell r="E675">
            <v>45037</v>
          </cell>
        </row>
        <row r="676">
          <cell r="B676" t="str">
            <v>В-14216/КЛ.Транш - 4</v>
          </cell>
          <cell r="C676">
            <v>86480.75</v>
          </cell>
          <cell r="D676">
            <v>45038</v>
          </cell>
          <cell r="E676">
            <v>45038</v>
          </cell>
        </row>
        <row r="677">
          <cell r="B677" t="str">
            <v>В-27407/КЛ.Транш - 1</v>
          </cell>
          <cell r="C677">
            <v>349948.14</v>
          </cell>
          <cell r="D677">
            <v>45038</v>
          </cell>
          <cell r="E677">
            <v>45038</v>
          </cell>
        </row>
        <row r="678">
          <cell r="B678" t="str">
            <v>В-23901/КЛ.Транш - 1</v>
          </cell>
          <cell r="C678">
            <v>395860.61</v>
          </cell>
          <cell r="D678">
            <v>45038</v>
          </cell>
          <cell r="E678">
            <v>45040</v>
          </cell>
        </row>
        <row r="679">
          <cell r="B679" t="str">
            <v>В-14837/КЛ.Транш - 1</v>
          </cell>
          <cell r="C679">
            <v>210759.65</v>
          </cell>
          <cell r="D679">
            <v>45038</v>
          </cell>
          <cell r="E679">
            <v>45042</v>
          </cell>
        </row>
        <row r="680">
          <cell r="B680" t="str">
            <v>В-28549/АЗ</v>
          </cell>
          <cell r="C680">
            <v>196687.74</v>
          </cell>
          <cell r="D680">
            <v>45038</v>
          </cell>
          <cell r="E680">
            <v>45051</v>
          </cell>
        </row>
        <row r="681">
          <cell r="B681" t="str">
            <v>В-12256/КЛ.Транш - 1</v>
          </cell>
          <cell r="C681">
            <v>143342.07999999999</v>
          </cell>
          <cell r="D681">
            <v>45038</v>
          </cell>
          <cell r="E681">
            <v>45041</v>
          </cell>
        </row>
        <row r="682">
          <cell r="B682" t="str">
            <v>В-00084/КЭ.Транш - 2</v>
          </cell>
          <cell r="C682">
            <v>100000</v>
          </cell>
          <cell r="D682">
            <v>45038</v>
          </cell>
          <cell r="E682">
            <v>45040</v>
          </cell>
        </row>
        <row r="683">
          <cell r="B683" t="str">
            <v>В-23370/КЛ.Транш - 1</v>
          </cell>
          <cell r="C683">
            <v>93901.3</v>
          </cell>
          <cell r="D683">
            <v>45038</v>
          </cell>
          <cell r="E683">
            <v>45050</v>
          </cell>
        </row>
        <row r="684">
          <cell r="B684" t="str">
            <v>В-14816/КЛ.Транш - 1</v>
          </cell>
          <cell r="C684">
            <v>25496.87</v>
          </cell>
          <cell r="D684">
            <v>45038</v>
          </cell>
          <cell r="E684">
            <v>45058</v>
          </cell>
        </row>
        <row r="685">
          <cell r="B685" t="str">
            <v>В-28538/КЛ.Транш - 1</v>
          </cell>
          <cell r="C685">
            <v>161116.74</v>
          </cell>
          <cell r="D685">
            <v>45038</v>
          </cell>
          <cell r="E685">
            <v>45040</v>
          </cell>
        </row>
        <row r="686">
          <cell r="B686" t="str">
            <v>В-02623/КЛ.Транш - 7</v>
          </cell>
          <cell r="C686">
            <v>138157.15</v>
          </cell>
          <cell r="D686">
            <v>45038</v>
          </cell>
          <cell r="E686">
            <v>45040</v>
          </cell>
        </row>
        <row r="687">
          <cell r="B687" t="str">
            <v>В-01174/АЗ</v>
          </cell>
          <cell r="C687">
            <v>328358.18</v>
          </cell>
          <cell r="D687">
            <v>45039</v>
          </cell>
          <cell r="E687">
            <v>45049</v>
          </cell>
        </row>
        <row r="688">
          <cell r="B688" t="str">
            <v>В-16242/КЛ.Транш - 2</v>
          </cell>
          <cell r="C688">
            <v>246092.87</v>
          </cell>
          <cell r="D688">
            <v>45039</v>
          </cell>
          <cell r="E688">
            <v>45042</v>
          </cell>
        </row>
        <row r="689">
          <cell r="B689" t="str">
            <v>В-19504/КЛ.Транш - 1</v>
          </cell>
          <cell r="C689">
            <v>222268.53</v>
          </cell>
          <cell r="D689">
            <v>45039</v>
          </cell>
          <cell r="E689">
            <v>45070</v>
          </cell>
        </row>
        <row r="690">
          <cell r="B690" t="str">
            <v>В-20786/КЛ.Транш - 1</v>
          </cell>
          <cell r="C690">
            <v>197522.2</v>
          </cell>
          <cell r="D690">
            <v>45039</v>
          </cell>
          <cell r="E690">
            <v>45068</v>
          </cell>
        </row>
        <row r="691">
          <cell r="B691" t="str">
            <v>В-28598/КЛ.Транш - 1</v>
          </cell>
          <cell r="C691">
            <v>746495.66</v>
          </cell>
          <cell r="D691">
            <v>45040</v>
          </cell>
          <cell r="E691">
            <v>45051</v>
          </cell>
        </row>
        <row r="692">
          <cell r="B692" t="str">
            <v>В-26409/КЛ.Транш - 1</v>
          </cell>
          <cell r="C692">
            <v>574127.78</v>
          </cell>
          <cell r="D692">
            <v>45040</v>
          </cell>
          <cell r="E692">
            <v>45044</v>
          </cell>
        </row>
        <row r="693">
          <cell r="B693" t="str">
            <v>В-10022/КЭ.Транш - 1</v>
          </cell>
          <cell r="C693">
            <v>486769.64</v>
          </cell>
          <cell r="D693">
            <v>45040</v>
          </cell>
          <cell r="E693">
            <v>45043</v>
          </cell>
        </row>
        <row r="694">
          <cell r="B694" t="str">
            <v>В-25093/КЛ.Транш - 1</v>
          </cell>
          <cell r="C694">
            <v>234396.96</v>
          </cell>
          <cell r="D694">
            <v>45040</v>
          </cell>
          <cell r="E694">
            <v>45040</v>
          </cell>
        </row>
        <row r="695">
          <cell r="B695" t="str">
            <v>В-16934/КЛ.Транш - 5</v>
          </cell>
          <cell r="C695">
            <v>134987.44</v>
          </cell>
          <cell r="D695">
            <v>45040</v>
          </cell>
          <cell r="E695">
            <v>45041</v>
          </cell>
        </row>
        <row r="696">
          <cell r="B696" t="str">
            <v>В-20952/КЛ.Транш - 3</v>
          </cell>
          <cell r="C696">
            <v>86702.88</v>
          </cell>
          <cell r="D696">
            <v>45040</v>
          </cell>
          <cell r="E696">
            <v>45042</v>
          </cell>
        </row>
        <row r="697">
          <cell r="B697" t="str">
            <v>В-00065/КЭ.Транш - 1</v>
          </cell>
          <cell r="C697">
            <v>71454.66</v>
          </cell>
          <cell r="D697">
            <v>45040</v>
          </cell>
          <cell r="E697">
            <v>45056</v>
          </cell>
        </row>
        <row r="698">
          <cell r="B698" t="str">
            <v>В-24137/КЛ.Транш - 3</v>
          </cell>
          <cell r="C698">
            <v>61698.5</v>
          </cell>
          <cell r="D698">
            <v>45040</v>
          </cell>
          <cell r="E698">
            <v>45051</v>
          </cell>
        </row>
        <row r="699">
          <cell r="B699" t="str">
            <v>В-14816/КЛ.Транш - 4</v>
          </cell>
          <cell r="C699">
            <v>16909.34</v>
          </cell>
          <cell r="D699">
            <v>45040</v>
          </cell>
          <cell r="E699">
            <v>45058</v>
          </cell>
        </row>
        <row r="700">
          <cell r="B700" t="str">
            <v>В-10495/КЛ.Транш - 1</v>
          </cell>
          <cell r="C700">
            <v>135492.1</v>
          </cell>
          <cell r="D700">
            <v>45040</v>
          </cell>
          <cell r="E700">
            <v>45040</v>
          </cell>
        </row>
        <row r="701">
          <cell r="B701" t="str">
            <v>В-14913/КЛ.Транш - 1</v>
          </cell>
          <cell r="C701">
            <v>166356.62</v>
          </cell>
          <cell r="D701">
            <v>45040</v>
          </cell>
          <cell r="E701">
            <v>45040</v>
          </cell>
        </row>
        <row r="702">
          <cell r="B702" t="str">
            <v>В-18921/КЛ.Транш - 1</v>
          </cell>
          <cell r="C702">
            <v>849700.19</v>
          </cell>
          <cell r="D702">
            <v>45041</v>
          </cell>
          <cell r="E702">
            <v>45051</v>
          </cell>
        </row>
        <row r="703">
          <cell r="B703" t="str">
            <v>В-00955/АЗ</v>
          </cell>
          <cell r="C703">
            <v>309644.65000000002</v>
          </cell>
          <cell r="D703">
            <v>45041</v>
          </cell>
          <cell r="E703">
            <v>45049</v>
          </cell>
        </row>
        <row r="704">
          <cell r="B704" t="str">
            <v>В-21872/КЛ.Транш - 1</v>
          </cell>
          <cell r="C704">
            <v>233307.2</v>
          </cell>
          <cell r="D704">
            <v>45041</v>
          </cell>
          <cell r="G704">
            <v>45132</v>
          </cell>
        </row>
        <row r="705">
          <cell r="B705" t="str">
            <v>В-22935/КЛ.Транш - 1</v>
          </cell>
          <cell r="C705">
            <v>194895.09</v>
          </cell>
          <cell r="D705">
            <v>45041</v>
          </cell>
          <cell r="E705">
            <v>45042</v>
          </cell>
        </row>
        <row r="706">
          <cell r="B706" t="str">
            <v>В-14216/КЛ.Транш - 3</v>
          </cell>
          <cell r="C706">
            <v>82402.31</v>
          </cell>
          <cell r="D706">
            <v>45041</v>
          </cell>
          <cell r="E706">
            <v>45042</v>
          </cell>
        </row>
        <row r="707">
          <cell r="B707" t="str">
            <v>В-27250/КЛ.Транш - 2</v>
          </cell>
          <cell r="C707">
            <v>60647.94</v>
          </cell>
          <cell r="D707">
            <v>45041</v>
          </cell>
          <cell r="E707">
            <v>45042</v>
          </cell>
        </row>
        <row r="708">
          <cell r="B708" t="str">
            <v>В-19548/КЛ.Транш - 1</v>
          </cell>
          <cell r="C708">
            <v>441689.92</v>
          </cell>
          <cell r="D708">
            <v>45042</v>
          </cell>
          <cell r="E708">
            <v>45042</v>
          </cell>
        </row>
        <row r="709">
          <cell r="B709" t="str">
            <v>В-19593/КЛ.Транш - 1</v>
          </cell>
          <cell r="C709">
            <v>315951.3</v>
          </cell>
          <cell r="D709">
            <v>45042</v>
          </cell>
          <cell r="E709">
            <v>45042</v>
          </cell>
        </row>
        <row r="710">
          <cell r="B710" t="str">
            <v>В-22979/КЛ.Транш - 1</v>
          </cell>
          <cell r="C710">
            <v>292342.92</v>
          </cell>
          <cell r="D710">
            <v>45042</v>
          </cell>
          <cell r="E710">
            <v>45051</v>
          </cell>
        </row>
        <row r="711">
          <cell r="B711" t="str">
            <v>В-19740/КЛ.Транш - 8</v>
          </cell>
          <cell r="C711">
            <v>149717.75</v>
          </cell>
          <cell r="D711">
            <v>45042</v>
          </cell>
          <cell r="E711">
            <v>45050</v>
          </cell>
        </row>
        <row r="712">
          <cell r="B712" t="str">
            <v>В-26517/КЛ.Транш - 1</v>
          </cell>
          <cell r="C712">
            <v>111740.31</v>
          </cell>
          <cell r="D712">
            <v>45042</v>
          </cell>
          <cell r="E712">
            <v>45050</v>
          </cell>
        </row>
        <row r="713">
          <cell r="B713" t="str">
            <v>В-23370/КЛ.Транш - 2</v>
          </cell>
          <cell r="C713">
            <v>102104.88</v>
          </cell>
          <cell r="D713">
            <v>45042</v>
          </cell>
          <cell r="E713">
            <v>45054</v>
          </cell>
        </row>
        <row r="714">
          <cell r="B714" t="str">
            <v>А-05360/АЗ</v>
          </cell>
          <cell r="C714">
            <v>30945.67</v>
          </cell>
          <cell r="D714">
            <v>45042</v>
          </cell>
          <cell r="E714">
            <v>45043</v>
          </cell>
        </row>
        <row r="715">
          <cell r="B715" t="str">
            <v>В-12813/КЛ.Транш - 1</v>
          </cell>
          <cell r="C715">
            <v>668431.12</v>
          </cell>
          <cell r="D715">
            <v>45043</v>
          </cell>
          <cell r="E715">
            <v>45043</v>
          </cell>
        </row>
        <row r="716">
          <cell r="B716" t="str">
            <v>В-12574/КЛ.Транш - 2</v>
          </cell>
          <cell r="C716">
            <v>75865.94</v>
          </cell>
          <cell r="D716">
            <v>45043</v>
          </cell>
          <cell r="E716">
            <v>45049</v>
          </cell>
        </row>
        <row r="717">
          <cell r="B717" t="str">
            <v>В-03365/КЛ.Транш - 4</v>
          </cell>
          <cell r="C717">
            <v>67781.929999999993</v>
          </cell>
          <cell r="D717">
            <v>45043</v>
          </cell>
          <cell r="E717">
            <v>45050</v>
          </cell>
        </row>
        <row r="718">
          <cell r="B718" t="str">
            <v>В-12553/КЛ.Транш - 1</v>
          </cell>
          <cell r="C718">
            <v>188350.43</v>
          </cell>
          <cell r="D718">
            <v>45043</v>
          </cell>
          <cell r="E718">
            <v>45043</v>
          </cell>
        </row>
        <row r="719">
          <cell r="B719" t="str">
            <v>В-26125/АЗ</v>
          </cell>
          <cell r="C719">
            <v>860412.58</v>
          </cell>
          <cell r="D719">
            <v>45044</v>
          </cell>
          <cell r="E719">
            <v>45056</v>
          </cell>
        </row>
        <row r="720">
          <cell r="B720" t="str">
            <v>В-27646/КЛ.Транш - 1</v>
          </cell>
          <cell r="C720">
            <v>383431.23</v>
          </cell>
          <cell r="D720">
            <v>45044</v>
          </cell>
          <cell r="E720">
            <v>45050</v>
          </cell>
        </row>
        <row r="721">
          <cell r="B721" t="str">
            <v>В-17916/КЛ.Транш - 1</v>
          </cell>
          <cell r="C721">
            <v>158947.67000000001</v>
          </cell>
          <cell r="D721">
            <v>45044</v>
          </cell>
          <cell r="E721">
            <v>45064</v>
          </cell>
        </row>
        <row r="722">
          <cell r="B722" t="str">
            <v>В-16057/КЛ.Транш - 6</v>
          </cell>
          <cell r="C722">
            <v>375759.37</v>
          </cell>
          <cell r="D722">
            <v>45045</v>
          </cell>
          <cell r="E722">
            <v>45056</v>
          </cell>
        </row>
        <row r="723">
          <cell r="B723" t="str">
            <v>В-01160/АЗ</v>
          </cell>
          <cell r="C723">
            <v>341296.06</v>
          </cell>
          <cell r="D723">
            <v>45045</v>
          </cell>
          <cell r="E723">
            <v>45048</v>
          </cell>
        </row>
        <row r="724">
          <cell r="B724" t="str">
            <v>В-25573/КЛ.Транш - 2</v>
          </cell>
          <cell r="C724">
            <v>49119.01</v>
          </cell>
          <cell r="D724">
            <v>45045</v>
          </cell>
          <cell r="E724">
            <v>45049</v>
          </cell>
        </row>
        <row r="725">
          <cell r="B725" t="str">
            <v>В-24137/КЛ.Транш - 2</v>
          </cell>
          <cell r="C725">
            <v>21153.7</v>
          </cell>
          <cell r="D725">
            <v>45045</v>
          </cell>
          <cell r="E725">
            <v>45051</v>
          </cell>
        </row>
        <row r="726">
          <cell r="B726" t="str">
            <v>В-02064/КЛ.Транш - 3</v>
          </cell>
          <cell r="C726">
            <v>239079.6</v>
          </cell>
          <cell r="D726">
            <v>45045</v>
          </cell>
          <cell r="E726">
            <v>45045</v>
          </cell>
        </row>
        <row r="727">
          <cell r="B727" t="str">
            <v>В-27730/АЗ</v>
          </cell>
          <cell r="C727">
            <v>492391.56</v>
          </cell>
          <cell r="D727">
            <v>45046</v>
          </cell>
          <cell r="E727">
            <v>45048</v>
          </cell>
        </row>
        <row r="728">
          <cell r="B728" t="str">
            <v>В-25351/КЛ.Транш - 1</v>
          </cell>
          <cell r="C728">
            <v>429812.04</v>
          </cell>
          <cell r="D728">
            <v>45047</v>
          </cell>
          <cell r="E728">
            <v>45135</v>
          </cell>
        </row>
        <row r="729">
          <cell r="B729" t="str">
            <v>В-28587/КЛ.Транш - 1</v>
          </cell>
          <cell r="C729">
            <v>302836.65000000002</v>
          </cell>
          <cell r="D729">
            <v>45047</v>
          </cell>
          <cell r="G729">
            <v>45139</v>
          </cell>
        </row>
        <row r="730">
          <cell r="B730" t="str">
            <v>В-21960/КЛ.Транш - 1</v>
          </cell>
          <cell r="C730">
            <v>256733.53</v>
          </cell>
          <cell r="D730">
            <v>45047</v>
          </cell>
          <cell r="E730">
            <v>45056</v>
          </cell>
        </row>
        <row r="731">
          <cell r="B731" t="str">
            <v>В-20952/КЛ.Транш - 6</v>
          </cell>
          <cell r="C731">
            <v>86993.87</v>
          </cell>
          <cell r="D731">
            <v>45047</v>
          </cell>
          <cell r="E731">
            <v>45051</v>
          </cell>
        </row>
        <row r="732">
          <cell r="B732" t="str">
            <v>В-14816/КЛ.Транш - 5</v>
          </cell>
          <cell r="C732">
            <v>20234.8</v>
          </cell>
          <cell r="D732">
            <v>45047</v>
          </cell>
          <cell r="E732">
            <v>45058</v>
          </cell>
        </row>
        <row r="733">
          <cell r="B733" t="str">
            <v>В-26743/КЛ.Транш - 1</v>
          </cell>
          <cell r="C733">
            <v>59303.65</v>
          </cell>
          <cell r="D733">
            <v>45047</v>
          </cell>
          <cell r="E733">
            <v>45048</v>
          </cell>
        </row>
        <row r="734">
          <cell r="B734" t="str">
            <v>В-19880/КЛ.Транш - 1</v>
          </cell>
          <cell r="C734">
            <v>522139.3</v>
          </cell>
          <cell r="D734">
            <v>45048</v>
          </cell>
          <cell r="E734">
            <v>45052</v>
          </cell>
        </row>
        <row r="735">
          <cell r="B735" t="str">
            <v>В-12523/КЛ.Транш - 2</v>
          </cell>
          <cell r="C735">
            <v>257142.71</v>
          </cell>
          <cell r="D735">
            <v>45048</v>
          </cell>
          <cell r="E735">
            <v>45048</v>
          </cell>
        </row>
        <row r="736">
          <cell r="B736" t="str">
            <v>В-22163/КЛ.Транш - 1</v>
          </cell>
          <cell r="C736">
            <v>143239.94</v>
          </cell>
          <cell r="D736">
            <v>45048</v>
          </cell>
          <cell r="E736">
            <v>45124</v>
          </cell>
        </row>
        <row r="737">
          <cell r="B737" t="str">
            <v>В-27315/КЛ.Транш - 1</v>
          </cell>
          <cell r="C737">
            <v>410942.96</v>
          </cell>
          <cell r="D737">
            <v>45049</v>
          </cell>
          <cell r="E737">
            <v>45062</v>
          </cell>
        </row>
        <row r="738">
          <cell r="B738" t="str">
            <v>В-22205/КЛ.Транш - 1</v>
          </cell>
          <cell r="C738">
            <v>322435.94</v>
          </cell>
          <cell r="D738">
            <v>45049</v>
          </cell>
          <cell r="E738">
            <v>45049</v>
          </cell>
        </row>
        <row r="739">
          <cell r="B739" t="str">
            <v>В-16882/КЛ.Транш - 2</v>
          </cell>
          <cell r="C739">
            <v>224430.88</v>
          </cell>
          <cell r="D739">
            <v>45049</v>
          </cell>
          <cell r="E739">
            <v>45056</v>
          </cell>
        </row>
        <row r="740">
          <cell r="B740" t="str">
            <v>В-28906/КЛ.Транш - 1</v>
          </cell>
          <cell r="C740">
            <v>108482.46</v>
          </cell>
          <cell r="D740">
            <v>45049</v>
          </cell>
          <cell r="E740">
            <v>45051</v>
          </cell>
        </row>
        <row r="741">
          <cell r="B741" t="str">
            <v>В-14816/КЛ.Транш - 7</v>
          </cell>
          <cell r="C741">
            <v>33298.58</v>
          </cell>
          <cell r="D741">
            <v>45049</v>
          </cell>
          <cell r="E741">
            <v>45058</v>
          </cell>
        </row>
        <row r="742">
          <cell r="B742" t="str">
            <v>В-10841/КЛ.Транш - 1</v>
          </cell>
          <cell r="C742">
            <v>690427.14</v>
          </cell>
          <cell r="D742">
            <v>45050</v>
          </cell>
          <cell r="E742">
            <v>45051</v>
          </cell>
        </row>
        <row r="743">
          <cell r="B743" t="str">
            <v>В-00953/АЗ</v>
          </cell>
          <cell r="C743">
            <v>265925.99</v>
          </cell>
          <cell r="D743">
            <v>45050</v>
          </cell>
          <cell r="E743">
            <v>45051</v>
          </cell>
        </row>
        <row r="744">
          <cell r="B744" t="str">
            <v>В-21938/КЛ.Транш - 2</v>
          </cell>
          <cell r="C744">
            <v>154764.57</v>
          </cell>
          <cell r="D744">
            <v>45050</v>
          </cell>
          <cell r="E744">
            <v>45063</v>
          </cell>
        </row>
        <row r="745">
          <cell r="B745" t="str">
            <v>В-00052/КЭ.Транш - 1</v>
          </cell>
          <cell r="C745">
            <v>96264.45</v>
          </cell>
          <cell r="D745">
            <v>45050</v>
          </cell>
          <cell r="G745">
            <v>45098</v>
          </cell>
        </row>
        <row r="746">
          <cell r="B746" t="str">
            <v>В-14216/КЛ.Транш - 1</v>
          </cell>
          <cell r="C746">
            <v>71560.92</v>
          </cell>
          <cell r="D746">
            <v>45050</v>
          </cell>
          <cell r="E746">
            <v>45050</v>
          </cell>
        </row>
        <row r="747">
          <cell r="B747" t="str">
            <v>В-08368/КЛ.Транш - 2</v>
          </cell>
          <cell r="C747">
            <v>64697.66</v>
          </cell>
          <cell r="D747">
            <v>45050</v>
          </cell>
          <cell r="E747">
            <v>45054</v>
          </cell>
        </row>
        <row r="748">
          <cell r="B748" t="str">
            <v>В-17605/КЛ.Транш - 1</v>
          </cell>
          <cell r="C748">
            <v>11423.09</v>
          </cell>
          <cell r="D748">
            <v>45050</v>
          </cell>
          <cell r="E748">
            <v>45058</v>
          </cell>
        </row>
        <row r="749">
          <cell r="B749" t="str">
            <v>В-27914/КЛ.Транш - 1</v>
          </cell>
          <cell r="C749">
            <v>153054.64000000001</v>
          </cell>
          <cell r="D749">
            <v>45051</v>
          </cell>
          <cell r="G749">
            <v>45145</v>
          </cell>
        </row>
        <row r="750">
          <cell r="B750" t="str">
            <v>В-11948/КЛ.Транш - 1</v>
          </cell>
          <cell r="C750">
            <v>70963.16</v>
          </cell>
          <cell r="D750">
            <v>45051</v>
          </cell>
          <cell r="E750">
            <v>45057</v>
          </cell>
        </row>
        <row r="751">
          <cell r="B751" t="str">
            <v>В-19991/КЛ.Транш - 1</v>
          </cell>
          <cell r="C751">
            <v>43897.04</v>
          </cell>
          <cell r="D751">
            <v>45051</v>
          </cell>
          <cell r="E751">
            <v>45051</v>
          </cell>
        </row>
        <row r="752">
          <cell r="B752" t="str">
            <v>В-19286/КЛ.Транш - 1</v>
          </cell>
          <cell r="C752">
            <v>424485.24</v>
          </cell>
          <cell r="D752">
            <v>45052</v>
          </cell>
          <cell r="E752">
            <v>45061</v>
          </cell>
        </row>
        <row r="753">
          <cell r="B753" t="str">
            <v>В-12789/КЛ.Транш - 1</v>
          </cell>
          <cell r="C753">
            <v>87680.98</v>
          </cell>
          <cell r="D753">
            <v>45052</v>
          </cell>
          <cell r="E753">
            <v>45065</v>
          </cell>
        </row>
        <row r="754">
          <cell r="B754" t="str">
            <v>В-20035/КЛ.Транш - 1</v>
          </cell>
          <cell r="C754">
            <v>7813.89</v>
          </cell>
          <cell r="D754">
            <v>45052</v>
          </cell>
          <cell r="E754">
            <v>45057</v>
          </cell>
        </row>
        <row r="755">
          <cell r="B755" t="str">
            <v>В-10909/КЛ.Транш - 1</v>
          </cell>
          <cell r="C755">
            <v>45338.41</v>
          </cell>
          <cell r="D755">
            <v>45052</v>
          </cell>
          <cell r="E755">
            <v>45053</v>
          </cell>
        </row>
        <row r="756">
          <cell r="B756" t="str">
            <v>В-16455/КЛ.Транш - 1</v>
          </cell>
          <cell r="C756">
            <v>206851.54</v>
          </cell>
          <cell r="D756">
            <v>45052</v>
          </cell>
          <cell r="E756">
            <v>45056</v>
          </cell>
        </row>
        <row r="757">
          <cell r="B757" t="str">
            <v>В-25627/КЛ.Транш - 1</v>
          </cell>
          <cell r="C757">
            <v>841480.02</v>
          </cell>
          <cell r="D757">
            <v>45053</v>
          </cell>
          <cell r="E757">
            <v>45055</v>
          </cell>
        </row>
        <row r="758">
          <cell r="B758" t="str">
            <v>В-19740/КЛ.Транш - 5</v>
          </cell>
          <cell r="C758">
            <v>214731.23</v>
          </cell>
          <cell r="D758">
            <v>45053</v>
          </cell>
          <cell r="E758">
            <v>45067</v>
          </cell>
        </row>
        <row r="759">
          <cell r="B759" t="str">
            <v>В-02064/КЛ.Транш - 4</v>
          </cell>
          <cell r="C759">
            <v>133898.01</v>
          </cell>
          <cell r="D759">
            <v>45053</v>
          </cell>
          <cell r="E759">
            <v>45056</v>
          </cell>
        </row>
        <row r="760">
          <cell r="B760" t="str">
            <v>В-20087/КЛ.Транш - 1</v>
          </cell>
          <cell r="C760">
            <v>21239.360000000001</v>
          </cell>
          <cell r="D760">
            <v>45053</v>
          </cell>
          <cell r="E760">
            <v>45077</v>
          </cell>
        </row>
        <row r="761">
          <cell r="B761" t="str">
            <v>В-14430/КЛ.Транш - 2</v>
          </cell>
          <cell r="C761">
            <v>175077.98</v>
          </cell>
          <cell r="D761">
            <v>45054</v>
          </cell>
          <cell r="E761">
            <v>45061</v>
          </cell>
        </row>
        <row r="762">
          <cell r="B762" t="str">
            <v>В-19585/КЛ.Транш - 1</v>
          </cell>
          <cell r="C762">
            <v>99791.03</v>
          </cell>
          <cell r="D762">
            <v>45054</v>
          </cell>
          <cell r="E762">
            <v>45064</v>
          </cell>
        </row>
        <row r="763">
          <cell r="B763" t="str">
            <v>В-12066/КЛ.Транш - 1</v>
          </cell>
          <cell r="C763">
            <v>84778.71</v>
          </cell>
          <cell r="D763">
            <v>45054</v>
          </cell>
          <cell r="E763">
            <v>45057</v>
          </cell>
        </row>
        <row r="764">
          <cell r="B764" t="str">
            <v>В-24198/КЛ.Транш - 6</v>
          </cell>
          <cell r="C764">
            <v>28317.85</v>
          </cell>
          <cell r="D764">
            <v>45054</v>
          </cell>
          <cell r="E764">
            <v>45064</v>
          </cell>
        </row>
        <row r="765">
          <cell r="B765" t="str">
            <v>В-12067/КЛ.Транш - 1</v>
          </cell>
          <cell r="C765">
            <v>78059.19</v>
          </cell>
          <cell r="D765">
            <v>45054</v>
          </cell>
          <cell r="E765">
            <v>45055</v>
          </cell>
        </row>
        <row r="766">
          <cell r="B766" t="str">
            <v>В-21960/КЛ.Транш - 2</v>
          </cell>
          <cell r="C766">
            <v>156676.15</v>
          </cell>
          <cell r="D766">
            <v>45055</v>
          </cell>
          <cell r="E766">
            <v>45056</v>
          </cell>
        </row>
        <row r="767">
          <cell r="B767" t="str">
            <v>В-03761/КЛ.Транш - 1_В-20211230/Ц</v>
          </cell>
          <cell r="C767">
            <v>83559.58</v>
          </cell>
          <cell r="D767">
            <v>45055</v>
          </cell>
          <cell r="E767">
            <v>45139</v>
          </cell>
        </row>
        <row r="768">
          <cell r="B768" t="str">
            <v>В-06920/КЛ.Транш - 1</v>
          </cell>
          <cell r="C768">
            <v>8492.69</v>
          </cell>
          <cell r="D768">
            <v>45055</v>
          </cell>
          <cell r="E768">
            <v>45055</v>
          </cell>
        </row>
        <row r="769">
          <cell r="B769" t="str">
            <v>В-06920/КЛ.Транш - 2</v>
          </cell>
          <cell r="C769">
            <v>10614.87</v>
          </cell>
          <cell r="D769">
            <v>45055</v>
          </cell>
          <cell r="E769">
            <v>45055</v>
          </cell>
        </row>
        <row r="770">
          <cell r="B770" t="str">
            <v>В-11782/КЛ.Транш - 1</v>
          </cell>
          <cell r="C770">
            <v>86591.56</v>
          </cell>
          <cell r="D770">
            <v>45055</v>
          </cell>
          <cell r="E770">
            <v>45055</v>
          </cell>
        </row>
        <row r="771">
          <cell r="B771" t="str">
            <v>В-28062/КЛ.Транш - 1</v>
          </cell>
          <cell r="C771">
            <v>556692.76</v>
          </cell>
          <cell r="D771">
            <v>45055</v>
          </cell>
          <cell r="E771">
            <v>45056</v>
          </cell>
        </row>
        <row r="772">
          <cell r="B772" t="str">
            <v>В-18958/КЛ.Транш - 1</v>
          </cell>
          <cell r="C772">
            <v>340288.91</v>
          </cell>
          <cell r="D772">
            <v>45056</v>
          </cell>
          <cell r="E772">
            <v>45057</v>
          </cell>
        </row>
        <row r="773">
          <cell r="B773" t="str">
            <v>В-19740/КЛ.Транш - 6</v>
          </cell>
          <cell r="C773">
            <v>257677.45</v>
          </cell>
          <cell r="D773">
            <v>45056</v>
          </cell>
          <cell r="E773">
            <v>45067</v>
          </cell>
        </row>
        <row r="774">
          <cell r="B774" t="str">
            <v>В-22935/КЛ.Транш - 2</v>
          </cell>
          <cell r="C774">
            <v>84780.66</v>
          </cell>
          <cell r="D774">
            <v>45056</v>
          </cell>
          <cell r="E774">
            <v>45063</v>
          </cell>
        </row>
        <row r="775">
          <cell r="B775" t="str">
            <v>В-22052/КЛ.Транш - 2</v>
          </cell>
          <cell r="C775">
            <v>82236.45</v>
          </cell>
          <cell r="D775">
            <v>45056</v>
          </cell>
          <cell r="E775">
            <v>45063</v>
          </cell>
        </row>
        <row r="776">
          <cell r="B776" t="str">
            <v>В-13449/КЛ.Транш - 1</v>
          </cell>
          <cell r="C776">
            <v>74958.179999999993</v>
          </cell>
          <cell r="D776">
            <v>45056</v>
          </cell>
          <cell r="E776">
            <v>45063</v>
          </cell>
        </row>
        <row r="777">
          <cell r="B777" t="str">
            <v>В-28968/АЗ</v>
          </cell>
          <cell r="C777">
            <v>71203.87</v>
          </cell>
          <cell r="D777">
            <v>45056</v>
          </cell>
          <cell r="E777">
            <v>45083</v>
          </cell>
        </row>
        <row r="778">
          <cell r="B778" t="str">
            <v>В-00783/КЛ.Транш - 2</v>
          </cell>
          <cell r="C778">
            <v>309910.81</v>
          </cell>
          <cell r="D778">
            <v>45056</v>
          </cell>
          <cell r="E778">
            <v>45056</v>
          </cell>
        </row>
        <row r="779">
          <cell r="B779" t="str">
            <v>В-01211/АЗ</v>
          </cell>
          <cell r="C779">
            <v>792031</v>
          </cell>
          <cell r="D779">
            <v>45057</v>
          </cell>
          <cell r="E779">
            <v>45058</v>
          </cell>
        </row>
        <row r="780">
          <cell r="B780" t="str">
            <v>В-25807/АЗ</v>
          </cell>
          <cell r="C780">
            <v>787773.1</v>
          </cell>
          <cell r="D780">
            <v>45057</v>
          </cell>
          <cell r="E780">
            <v>45069</v>
          </cell>
        </row>
        <row r="781">
          <cell r="B781" t="str">
            <v>В-25810/АЗ</v>
          </cell>
          <cell r="C781">
            <v>787773.1</v>
          </cell>
          <cell r="D781">
            <v>45057</v>
          </cell>
          <cell r="E781">
            <v>45070</v>
          </cell>
        </row>
        <row r="782">
          <cell r="B782" t="str">
            <v>В-25671/АЗ</v>
          </cell>
          <cell r="C782">
            <v>315109.39</v>
          </cell>
          <cell r="D782">
            <v>45057</v>
          </cell>
          <cell r="E782">
            <v>45065</v>
          </cell>
        </row>
        <row r="783">
          <cell r="B783" t="str">
            <v>В-14728/КЛ.Транш - 8</v>
          </cell>
          <cell r="C783">
            <v>140863.84</v>
          </cell>
          <cell r="D783">
            <v>45057</v>
          </cell>
          <cell r="E783">
            <v>45061</v>
          </cell>
        </row>
        <row r="784">
          <cell r="B784" t="str">
            <v>В-24610/КЛ.Транш - 1</v>
          </cell>
          <cell r="C784">
            <v>70994.23</v>
          </cell>
          <cell r="D784">
            <v>45057</v>
          </cell>
          <cell r="E784">
            <v>45057</v>
          </cell>
        </row>
        <row r="785">
          <cell r="B785" t="str">
            <v>В-08962/КЛ.Транш - 1</v>
          </cell>
          <cell r="C785">
            <v>23774.03</v>
          </cell>
          <cell r="D785">
            <v>45057</v>
          </cell>
          <cell r="E785">
            <v>45058</v>
          </cell>
        </row>
        <row r="786">
          <cell r="B786" t="str">
            <v>В-25852/КЛ.Транш - 1</v>
          </cell>
          <cell r="C786">
            <v>209813.06</v>
          </cell>
          <cell r="D786">
            <v>45058</v>
          </cell>
          <cell r="E786">
            <v>45064</v>
          </cell>
        </row>
        <row r="787">
          <cell r="B787" t="str">
            <v>В-21321/КЛ.Транш - 1</v>
          </cell>
          <cell r="C787">
            <v>140828.37</v>
          </cell>
          <cell r="D787">
            <v>45058</v>
          </cell>
          <cell r="E787">
            <v>45072</v>
          </cell>
        </row>
        <row r="788">
          <cell r="B788" t="str">
            <v>В-24137/КЛ.Транш - 1</v>
          </cell>
          <cell r="C788">
            <v>96318.19</v>
          </cell>
          <cell r="D788">
            <v>45058</v>
          </cell>
          <cell r="E788">
            <v>45065</v>
          </cell>
        </row>
        <row r="789">
          <cell r="B789" t="str">
            <v>В-01039/АЗ</v>
          </cell>
          <cell r="C789">
            <v>731227.1</v>
          </cell>
          <cell r="D789">
            <v>45059</v>
          </cell>
          <cell r="E789">
            <v>45069</v>
          </cell>
        </row>
        <row r="790">
          <cell r="B790" t="str">
            <v>В-10050/КЛ.Транш - 1</v>
          </cell>
          <cell r="C790">
            <v>80787.789999999994</v>
          </cell>
          <cell r="D790">
            <v>45059</v>
          </cell>
          <cell r="E790">
            <v>45069</v>
          </cell>
        </row>
        <row r="791">
          <cell r="B791" t="str">
            <v>В-03365/КЛ.Транш - 3</v>
          </cell>
          <cell r="C791">
            <v>79523</v>
          </cell>
          <cell r="D791">
            <v>45059</v>
          </cell>
          <cell r="E791">
            <v>45063</v>
          </cell>
        </row>
        <row r="792">
          <cell r="B792" t="str">
            <v>В-09010/КЛ.Транш - 1</v>
          </cell>
          <cell r="C792">
            <v>31914.31</v>
          </cell>
          <cell r="D792">
            <v>45059</v>
          </cell>
          <cell r="E792">
            <v>45061</v>
          </cell>
        </row>
        <row r="793">
          <cell r="B793" t="str">
            <v>В-01024/АЗ</v>
          </cell>
          <cell r="C793">
            <v>658964.32999999996</v>
          </cell>
          <cell r="D793">
            <v>45060</v>
          </cell>
          <cell r="E793">
            <v>45081</v>
          </cell>
        </row>
        <row r="794">
          <cell r="B794" t="str">
            <v>В-01023/АЗ</v>
          </cell>
          <cell r="C794">
            <v>658964.32999999996</v>
          </cell>
          <cell r="D794">
            <v>45060</v>
          </cell>
          <cell r="E794">
            <v>45082</v>
          </cell>
        </row>
        <row r="795">
          <cell r="B795" t="str">
            <v>В-01022/АЗ</v>
          </cell>
          <cell r="C795">
            <v>658495.28</v>
          </cell>
          <cell r="D795">
            <v>45060</v>
          </cell>
          <cell r="E795">
            <v>45063</v>
          </cell>
        </row>
        <row r="796">
          <cell r="B796" t="str">
            <v>В-23555/КЛ.Транш - 1</v>
          </cell>
          <cell r="C796">
            <v>624540.67000000004</v>
          </cell>
          <cell r="D796">
            <v>45060</v>
          </cell>
          <cell r="E796">
            <v>45061</v>
          </cell>
        </row>
        <row r="797">
          <cell r="B797" t="str">
            <v>В-19991/КЛ.Транш - 3</v>
          </cell>
          <cell r="C797">
            <v>90138.17</v>
          </cell>
          <cell r="D797">
            <v>45060</v>
          </cell>
          <cell r="E797">
            <v>45061</v>
          </cell>
        </row>
        <row r="798">
          <cell r="B798" t="str">
            <v>В-22052/КЛ.Транш - 1</v>
          </cell>
          <cell r="C798">
            <v>69804.38</v>
          </cell>
          <cell r="D798">
            <v>45060</v>
          </cell>
          <cell r="E798">
            <v>45063</v>
          </cell>
        </row>
        <row r="799">
          <cell r="B799" t="str">
            <v>В-03365/КЛ.Транш - 2</v>
          </cell>
          <cell r="C799">
            <v>35013.040000000001</v>
          </cell>
          <cell r="D799">
            <v>45060</v>
          </cell>
          <cell r="E799">
            <v>45063</v>
          </cell>
        </row>
        <row r="800">
          <cell r="B800" t="str">
            <v>В-26422/КЛ.Транш - 1</v>
          </cell>
          <cell r="C800">
            <v>550651.44999999995</v>
          </cell>
          <cell r="D800">
            <v>45061</v>
          </cell>
          <cell r="E800">
            <v>45069</v>
          </cell>
        </row>
        <row r="801">
          <cell r="B801" t="str">
            <v>В-02064/КЛ.Транш - 2</v>
          </cell>
          <cell r="C801">
            <v>299632.21999999997</v>
          </cell>
          <cell r="D801">
            <v>45061</v>
          </cell>
          <cell r="E801">
            <v>45082</v>
          </cell>
        </row>
        <row r="802">
          <cell r="B802" t="str">
            <v>В-20384/КЛ.Транш - 1</v>
          </cell>
          <cell r="C802">
            <v>231238.33</v>
          </cell>
          <cell r="D802">
            <v>45061</v>
          </cell>
          <cell r="E802">
            <v>45064</v>
          </cell>
        </row>
        <row r="803">
          <cell r="B803" t="str">
            <v>В-17747/КЛ.Транш - 2</v>
          </cell>
          <cell r="C803">
            <v>117527.61</v>
          </cell>
          <cell r="D803">
            <v>45061</v>
          </cell>
          <cell r="E803">
            <v>45061</v>
          </cell>
        </row>
        <row r="804">
          <cell r="B804" t="str">
            <v>В-25351/КЛ.Транш - 2</v>
          </cell>
          <cell r="C804">
            <v>111265.55</v>
          </cell>
          <cell r="D804">
            <v>45061</v>
          </cell>
          <cell r="E804">
            <v>45135</v>
          </cell>
        </row>
        <row r="805">
          <cell r="B805" t="str">
            <v>В-16067/КЛ.Транш - 1</v>
          </cell>
          <cell r="C805">
            <v>107725.45</v>
          </cell>
          <cell r="D805">
            <v>45061</v>
          </cell>
          <cell r="E805">
            <v>45087</v>
          </cell>
        </row>
        <row r="806">
          <cell r="B806" t="str">
            <v>В-02960/КЛ.Транш - 7</v>
          </cell>
          <cell r="C806">
            <v>30578.5</v>
          </cell>
          <cell r="D806">
            <v>45061</v>
          </cell>
          <cell r="E806">
            <v>45063</v>
          </cell>
        </row>
        <row r="807">
          <cell r="B807" t="str">
            <v>В-22309/АЗ</v>
          </cell>
          <cell r="C807">
            <v>147896.38</v>
          </cell>
          <cell r="D807">
            <v>45061</v>
          </cell>
          <cell r="E807">
            <v>45061</v>
          </cell>
        </row>
        <row r="808">
          <cell r="B808" t="str">
            <v>В-11396/КЛ.Транш - 2</v>
          </cell>
          <cell r="C808">
            <v>292970.55</v>
          </cell>
          <cell r="D808">
            <v>45062</v>
          </cell>
          <cell r="E808">
            <v>45071</v>
          </cell>
        </row>
        <row r="809">
          <cell r="B809" t="str">
            <v>В-24374/КЛ.Транш - 1</v>
          </cell>
          <cell r="C809">
            <v>246937.24</v>
          </cell>
          <cell r="D809">
            <v>45062</v>
          </cell>
          <cell r="E809">
            <v>45063</v>
          </cell>
        </row>
        <row r="810">
          <cell r="B810" t="str">
            <v>В-17747/КЛ.Транш - 1</v>
          </cell>
          <cell r="C810">
            <v>235852.48</v>
          </cell>
          <cell r="D810">
            <v>45062</v>
          </cell>
          <cell r="E810">
            <v>45075</v>
          </cell>
        </row>
        <row r="811">
          <cell r="B811" t="str">
            <v>В-24687/КЛ.Транш - 1</v>
          </cell>
          <cell r="C811">
            <v>168372.26</v>
          </cell>
          <cell r="D811">
            <v>45062</v>
          </cell>
          <cell r="E811">
            <v>45065</v>
          </cell>
        </row>
        <row r="812">
          <cell r="B812" t="str">
            <v>В-21306/КЛ.Транш - 1</v>
          </cell>
          <cell r="C812">
            <v>157517.35999999999</v>
          </cell>
          <cell r="D812">
            <v>45062</v>
          </cell>
          <cell r="E812">
            <v>45065</v>
          </cell>
        </row>
        <row r="813">
          <cell r="B813" t="str">
            <v>В-19740/КЛ.Транш - 7</v>
          </cell>
          <cell r="C813">
            <v>103071.03999999999</v>
          </cell>
          <cell r="D813">
            <v>45062</v>
          </cell>
          <cell r="E813">
            <v>45067</v>
          </cell>
        </row>
        <row r="814">
          <cell r="B814" t="str">
            <v>В-01188/АЗ</v>
          </cell>
          <cell r="C814">
            <v>78020.72</v>
          </cell>
          <cell r="D814">
            <v>45062</v>
          </cell>
          <cell r="E814">
            <v>45069</v>
          </cell>
        </row>
        <row r="815">
          <cell r="B815" t="str">
            <v>В-10021/КЭ.Транш - 1</v>
          </cell>
          <cell r="C815">
            <v>239179.34</v>
          </cell>
          <cell r="D815">
            <v>45063</v>
          </cell>
          <cell r="E815">
            <v>45063</v>
          </cell>
        </row>
        <row r="816">
          <cell r="B816" t="str">
            <v>В-14198/КЛ.Транш - 1</v>
          </cell>
          <cell r="C816">
            <v>203272.05</v>
          </cell>
          <cell r="D816">
            <v>45063</v>
          </cell>
          <cell r="E816">
            <v>45076</v>
          </cell>
        </row>
        <row r="817">
          <cell r="B817" t="str">
            <v>В-28368/АЗ</v>
          </cell>
          <cell r="C817">
            <v>603256.34</v>
          </cell>
          <cell r="D817">
            <v>45064</v>
          </cell>
          <cell r="E817">
            <v>45070</v>
          </cell>
        </row>
        <row r="818">
          <cell r="B818" t="str">
            <v>В-20544/КЛ.Транш - 1</v>
          </cell>
          <cell r="C818">
            <v>575651.56000000006</v>
          </cell>
          <cell r="D818">
            <v>45064</v>
          </cell>
          <cell r="E818">
            <v>45064</v>
          </cell>
        </row>
        <row r="819">
          <cell r="B819" t="str">
            <v>В-22683/КЛ.Транш - 1</v>
          </cell>
          <cell r="C819">
            <v>197250.74</v>
          </cell>
          <cell r="D819">
            <v>45064</v>
          </cell>
          <cell r="E819">
            <v>45065</v>
          </cell>
        </row>
        <row r="820">
          <cell r="B820" t="str">
            <v>В-22677/КЛ.Транш - 1</v>
          </cell>
          <cell r="C820">
            <v>183202.22</v>
          </cell>
          <cell r="D820">
            <v>45064</v>
          </cell>
          <cell r="E820">
            <v>45079</v>
          </cell>
        </row>
        <row r="821">
          <cell r="B821" t="str">
            <v>В-07595/КЛ.Транш - 1</v>
          </cell>
          <cell r="C821">
            <v>166983.69</v>
          </cell>
          <cell r="D821">
            <v>45064</v>
          </cell>
          <cell r="E821">
            <v>45070</v>
          </cell>
        </row>
        <row r="822">
          <cell r="B822" t="str">
            <v>В-20952/КЛ.Транш - 4</v>
          </cell>
          <cell r="C822">
            <v>84770.39</v>
          </cell>
          <cell r="D822">
            <v>45064</v>
          </cell>
          <cell r="G822">
            <v>45156</v>
          </cell>
        </row>
        <row r="823">
          <cell r="B823" t="str">
            <v>В-12574/КЛ.Транш - 1</v>
          </cell>
          <cell r="C823">
            <v>64831.16</v>
          </cell>
          <cell r="D823">
            <v>45064</v>
          </cell>
          <cell r="E823">
            <v>45079</v>
          </cell>
        </row>
        <row r="824">
          <cell r="B824" t="str">
            <v>В-26197/КЛ.Транш - 1</v>
          </cell>
          <cell r="C824">
            <v>508684.61</v>
          </cell>
          <cell r="D824">
            <v>45065</v>
          </cell>
          <cell r="E824">
            <v>45070</v>
          </cell>
        </row>
        <row r="825">
          <cell r="B825" t="str">
            <v>В-16934/КЛ.Транш - 1</v>
          </cell>
          <cell r="C825">
            <v>288646.07</v>
          </cell>
          <cell r="D825">
            <v>45065</v>
          </cell>
          <cell r="E825">
            <v>45066</v>
          </cell>
        </row>
        <row r="826">
          <cell r="B826" t="str">
            <v>В-19355/КЛ.Транш - 1</v>
          </cell>
          <cell r="C826">
            <v>103892.95</v>
          </cell>
          <cell r="D826">
            <v>45065</v>
          </cell>
          <cell r="E826">
            <v>45069</v>
          </cell>
        </row>
        <row r="827">
          <cell r="B827" t="str">
            <v>В-28437/КЛ.Транш - 1</v>
          </cell>
          <cell r="C827">
            <v>23793.7</v>
          </cell>
          <cell r="D827">
            <v>45065</v>
          </cell>
          <cell r="E827">
            <v>45065</v>
          </cell>
        </row>
        <row r="828">
          <cell r="B828" t="str">
            <v>В-14816/КЛ.Транш - 6</v>
          </cell>
          <cell r="C828">
            <v>18968.419999999998</v>
          </cell>
          <cell r="D828">
            <v>45065</v>
          </cell>
          <cell r="E828">
            <v>45091</v>
          </cell>
        </row>
        <row r="829">
          <cell r="B829" t="str">
            <v>В-10466/КЛ.Транш - 1</v>
          </cell>
          <cell r="C829">
            <v>123905.35</v>
          </cell>
          <cell r="D829">
            <v>45066</v>
          </cell>
          <cell r="E829">
            <v>45066</v>
          </cell>
        </row>
        <row r="830">
          <cell r="B830" t="str">
            <v>В-12574/КЛ.Транш - 3</v>
          </cell>
          <cell r="C830">
            <v>78853.7</v>
          </cell>
          <cell r="D830">
            <v>45066</v>
          </cell>
          <cell r="E830">
            <v>45079</v>
          </cell>
        </row>
        <row r="831">
          <cell r="B831" t="str">
            <v>В-22744/КЛ.Транш - 1</v>
          </cell>
          <cell r="C831">
            <v>56427.96</v>
          </cell>
          <cell r="D831">
            <v>45066</v>
          </cell>
          <cell r="E831">
            <v>45075</v>
          </cell>
        </row>
        <row r="832">
          <cell r="B832" t="str">
            <v>В-26604/КЛ.Транш - 1</v>
          </cell>
          <cell r="C832">
            <v>562557.73</v>
          </cell>
          <cell r="D832">
            <v>45067</v>
          </cell>
          <cell r="E832">
            <v>45069</v>
          </cell>
        </row>
        <row r="833">
          <cell r="B833" t="str">
            <v>В-26172/АЗ</v>
          </cell>
          <cell r="C833">
            <v>508684.61</v>
          </cell>
          <cell r="D833">
            <v>45067</v>
          </cell>
          <cell r="E833">
            <v>45084</v>
          </cell>
        </row>
        <row r="834">
          <cell r="B834" t="str">
            <v>В-03365/КЛ.Транш - 5</v>
          </cell>
          <cell r="C834">
            <v>197049.56</v>
          </cell>
          <cell r="D834">
            <v>45067</v>
          </cell>
          <cell r="E834">
            <v>45072</v>
          </cell>
        </row>
        <row r="835">
          <cell r="B835" t="str">
            <v>В-22409/КЛ.Транш - 1</v>
          </cell>
          <cell r="C835">
            <v>173551.16</v>
          </cell>
          <cell r="D835">
            <v>45067</v>
          </cell>
          <cell r="E835">
            <v>45077</v>
          </cell>
        </row>
        <row r="836">
          <cell r="B836" t="str">
            <v>В-21568/КЛ.Транш - 1</v>
          </cell>
          <cell r="C836">
            <v>147240.54</v>
          </cell>
          <cell r="D836">
            <v>45067</v>
          </cell>
          <cell r="E836">
            <v>45079</v>
          </cell>
        </row>
        <row r="837">
          <cell r="B837" t="str">
            <v>В-21245/КЛ.Транш - 2</v>
          </cell>
          <cell r="C837">
            <v>55423.81</v>
          </cell>
          <cell r="D837">
            <v>45067</v>
          </cell>
          <cell r="E837">
            <v>45069</v>
          </cell>
        </row>
        <row r="838">
          <cell r="B838" t="str">
            <v>В-23901/КЛ.Транш - 1</v>
          </cell>
          <cell r="C838">
            <v>390953.69</v>
          </cell>
          <cell r="D838">
            <v>45068</v>
          </cell>
          <cell r="E838">
            <v>45069</v>
          </cell>
        </row>
        <row r="839">
          <cell r="B839" t="str">
            <v>В-14837/КЛ.Транш - 1</v>
          </cell>
          <cell r="C839">
            <v>205159.01</v>
          </cell>
          <cell r="D839">
            <v>45068</v>
          </cell>
          <cell r="E839">
            <v>45069</v>
          </cell>
        </row>
        <row r="840">
          <cell r="B840" t="str">
            <v>В-28549/АЗ</v>
          </cell>
          <cell r="C840">
            <v>194422.74</v>
          </cell>
          <cell r="D840">
            <v>45068</v>
          </cell>
          <cell r="E840">
            <v>45097</v>
          </cell>
        </row>
        <row r="841">
          <cell r="B841" t="str">
            <v>В-28538/КЛ.Транш - 1</v>
          </cell>
          <cell r="C841">
            <v>150813.95000000001</v>
          </cell>
          <cell r="D841">
            <v>45068</v>
          </cell>
          <cell r="E841">
            <v>45070</v>
          </cell>
        </row>
        <row r="842">
          <cell r="B842" t="str">
            <v>В-12256/КЛ.Транш - 1</v>
          </cell>
          <cell r="C842">
            <v>140384.21</v>
          </cell>
          <cell r="D842">
            <v>45068</v>
          </cell>
          <cell r="E842">
            <v>45071</v>
          </cell>
        </row>
        <row r="843">
          <cell r="B843" t="str">
            <v>В-23370/КЛ.Транш - 1</v>
          </cell>
          <cell r="C843">
            <v>93141.83</v>
          </cell>
          <cell r="D843">
            <v>45068</v>
          </cell>
          <cell r="E843">
            <v>45075</v>
          </cell>
        </row>
        <row r="844">
          <cell r="B844" t="str">
            <v>В-14216/КЛ.Транш - 4</v>
          </cell>
          <cell r="C844">
            <v>85379.59</v>
          </cell>
          <cell r="D844">
            <v>45068</v>
          </cell>
          <cell r="E844">
            <v>45069</v>
          </cell>
        </row>
        <row r="845">
          <cell r="B845" t="str">
            <v>В-14816/КЛ.Транш - 1</v>
          </cell>
          <cell r="C845">
            <v>24992.2</v>
          </cell>
          <cell r="D845">
            <v>45068</v>
          </cell>
          <cell r="E845">
            <v>45076</v>
          </cell>
        </row>
        <row r="846">
          <cell r="B846" t="str">
            <v>В-01174/АЗ</v>
          </cell>
          <cell r="C846">
            <v>323475.14</v>
          </cell>
          <cell r="D846">
            <v>45069</v>
          </cell>
          <cell r="G846">
            <v>45161</v>
          </cell>
        </row>
        <row r="847">
          <cell r="B847" t="str">
            <v>В-16242/КЛ.Транш - 2</v>
          </cell>
          <cell r="C847">
            <v>242014.03</v>
          </cell>
          <cell r="D847">
            <v>45069</v>
          </cell>
          <cell r="E847">
            <v>45071</v>
          </cell>
        </row>
        <row r="848">
          <cell r="B848" t="str">
            <v>В-20786/КЛ.Транш - 1</v>
          </cell>
          <cell r="C848">
            <v>193783.57</v>
          </cell>
          <cell r="D848">
            <v>45069</v>
          </cell>
          <cell r="E848">
            <v>45149</v>
          </cell>
        </row>
        <row r="849">
          <cell r="B849" t="str">
            <v>В-28598/КЛ.Транш - 1</v>
          </cell>
          <cell r="C849">
            <v>741487.94</v>
          </cell>
          <cell r="D849">
            <v>45070</v>
          </cell>
          <cell r="E849">
            <v>45075</v>
          </cell>
        </row>
        <row r="850">
          <cell r="B850" t="str">
            <v>В-10022/КЭ.Транш - 1</v>
          </cell>
          <cell r="C850">
            <v>441330.3</v>
          </cell>
          <cell r="D850">
            <v>45070</v>
          </cell>
          <cell r="E850">
            <v>45071</v>
          </cell>
        </row>
        <row r="851">
          <cell r="B851" t="str">
            <v>В-18894/КЛ.Транш - 1</v>
          </cell>
          <cell r="C851">
            <v>216444</v>
          </cell>
          <cell r="D851">
            <v>45070</v>
          </cell>
          <cell r="E851">
            <v>45079</v>
          </cell>
        </row>
        <row r="852">
          <cell r="B852" t="str">
            <v>В-14913/КЛ.Транш - 1</v>
          </cell>
          <cell r="C852">
            <v>165957.59</v>
          </cell>
          <cell r="D852">
            <v>45070</v>
          </cell>
          <cell r="E852">
            <v>45076</v>
          </cell>
        </row>
        <row r="853">
          <cell r="B853" t="str">
            <v>В-20952/КЛ.Транш - 3</v>
          </cell>
          <cell r="C853">
            <v>85616.51</v>
          </cell>
          <cell r="D853">
            <v>45070</v>
          </cell>
          <cell r="G853">
            <v>45156</v>
          </cell>
        </row>
        <row r="854">
          <cell r="B854" t="str">
            <v>В-00065/КЭ.Транш - 1</v>
          </cell>
          <cell r="C854">
            <v>64083.93</v>
          </cell>
          <cell r="D854">
            <v>45070</v>
          </cell>
          <cell r="E854">
            <v>45082</v>
          </cell>
        </row>
        <row r="855">
          <cell r="B855" t="str">
            <v>В-24137/КЛ.Транш - 3</v>
          </cell>
          <cell r="C855">
            <v>57368.09</v>
          </cell>
          <cell r="D855">
            <v>45070</v>
          </cell>
          <cell r="E855">
            <v>45079</v>
          </cell>
        </row>
        <row r="856">
          <cell r="B856" t="str">
            <v>В-14816/КЛ.Транш - 4</v>
          </cell>
          <cell r="C856">
            <v>13961.29</v>
          </cell>
          <cell r="D856">
            <v>45070</v>
          </cell>
          <cell r="E856">
            <v>45091</v>
          </cell>
        </row>
        <row r="857">
          <cell r="B857" t="str">
            <v>В-18921/КЛ.Транш - 1</v>
          </cell>
          <cell r="C857">
            <v>838997.59</v>
          </cell>
          <cell r="D857">
            <v>45071</v>
          </cell>
          <cell r="E857">
            <v>45098</v>
          </cell>
        </row>
        <row r="858">
          <cell r="B858" t="str">
            <v>В-00955/АЗ</v>
          </cell>
          <cell r="C858">
            <v>309644.65000000002</v>
          </cell>
          <cell r="D858">
            <v>45071</v>
          </cell>
          <cell r="E858">
            <v>45077</v>
          </cell>
        </row>
        <row r="859">
          <cell r="B859" t="str">
            <v>В-22935/КЛ.Транш - 1</v>
          </cell>
          <cell r="C859">
            <v>192276.65</v>
          </cell>
          <cell r="D859">
            <v>45071</v>
          </cell>
          <cell r="E859">
            <v>45084</v>
          </cell>
        </row>
        <row r="860">
          <cell r="B860" t="str">
            <v>В-14216/КЛ.Транш - 3</v>
          </cell>
          <cell r="C860">
            <v>81044.820000000007</v>
          </cell>
          <cell r="D860">
            <v>45071</v>
          </cell>
          <cell r="E860">
            <v>45071</v>
          </cell>
        </row>
        <row r="861">
          <cell r="B861" t="str">
            <v>В-27250/КЛ.Транш - 2</v>
          </cell>
          <cell r="C861">
            <v>56255.81</v>
          </cell>
          <cell r="D861">
            <v>45071</v>
          </cell>
          <cell r="E861">
            <v>45075</v>
          </cell>
        </row>
        <row r="862">
          <cell r="B862" t="str">
            <v>В-19548/КЛ.Транш - 1</v>
          </cell>
          <cell r="C862">
            <v>432888.46</v>
          </cell>
          <cell r="D862">
            <v>45072</v>
          </cell>
          <cell r="E862">
            <v>45075</v>
          </cell>
        </row>
        <row r="863">
          <cell r="B863" t="str">
            <v>В-19593/КЛ.Транш - 1</v>
          </cell>
          <cell r="C863">
            <v>300559.56</v>
          </cell>
          <cell r="D863">
            <v>45072</v>
          </cell>
          <cell r="E863">
            <v>45077</v>
          </cell>
        </row>
        <row r="864">
          <cell r="B864" t="str">
            <v>В-22979/КЛ.Транш - 1</v>
          </cell>
          <cell r="C864">
            <v>288415.28000000003</v>
          </cell>
          <cell r="D864">
            <v>45072</v>
          </cell>
          <cell r="E864">
            <v>45084</v>
          </cell>
        </row>
        <row r="865">
          <cell r="B865" t="str">
            <v>В-19740/КЛ.Транш - 8</v>
          </cell>
          <cell r="C865">
            <v>147830.23000000001</v>
          </cell>
          <cell r="D865">
            <v>45072</v>
          </cell>
          <cell r="E865">
            <v>45077</v>
          </cell>
        </row>
        <row r="866">
          <cell r="B866" t="str">
            <v>В-26517/КЛ.Транш - 1</v>
          </cell>
          <cell r="C866">
            <v>110986.95</v>
          </cell>
          <cell r="D866">
            <v>45072</v>
          </cell>
          <cell r="E866">
            <v>45082</v>
          </cell>
        </row>
        <row r="867">
          <cell r="B867" t="str">
            <v>В-23370/КЛ.Транш - 2</v>
          </cell>
          <cell r="C867">
            <v>101070.32</v>
          </cell>
          <cell r="D867">
            <v>45072</v>
          </cell>
          <cell r="E867">
            <v>45077</v>
          </cell>
        </row>
        <row r="868">
          <cell r="B868" t="str">
            <v>В-17469/КЛ.Транш - 2</v>
          </cell>
          <cell r="C868">
            <v>79610.100000000006</v>
          </cell>
          <cell r="D868">
            <v>45072</v>
          </cell>
          <cell r="E868">
            <v>45078</v>
          </cell>
        </row>
        <row r="869">
          <cell r="B869" t="str">
            <v>В-12553/КЛ.Транш - 1</v>
          </cell>
          <cell r="C869">
            <v>183878.43</v>
          </cell>
          <cell r="D869">
            <v>45073</v>
          </cell>
          <cell r="E869">
            <v>45073</v>
          </cell>
        </row>
        <row r="870">
          <cell r="B870" t="str">
            <v>В-12813/КЛ.Транш - 1</v>
          </cell>
          <cell r="C870">
            <v>648314.19999999995</v>
          </cell>
          <cell r="D870">
            <v>45073</v>
          </cell>
          <cell r="E870">
            <v>45078</v>
          </cell>
        </row>
        <row r="871">
          <cell r="B871" t="str">
            <v>В-12574/КЛ.Транш - 2</v>
          </cell>
          <cell r="C871">
            <v>74155.509999999995</v>
          </cell>
          <cell r="D871">
            <v>45073</v>
          </cell>
          <cell r="E871">
            <v>45079</v>
          </cell>
        </row>
        <row r="872">
          <cell r="B872" t="str">
            <v>В-03365/КЛ.Транш - 4</v>
          </cell>
          <cell r="C872">
            <v>55819.46</v>
          </cell>
          <cell r="D872">
            <v>45073</v>
          </cell>
          <cell r="E872">
            <v>45083</v>
          </cell>
        </row>
        <row r="873">
          <cell r="B873" t="str">
            <v>В-12269/КЛ.Транш - 1</v>
          </cell>
          <cell r="C873">
            <v>48140.37</v>
          </cell>
          <cell r="D873">
            <v>45073</v>
          </cell>
          <cell r="E873">
            <v>45075</v>
          </cell>
        </row>
        <row r="874">
          <cell r="B874" t="str">
            <v>В-26125/АЗ</v>
          </cell>
          <cell r="C874">
            <v>848421.07</v>
          </cell>
          <cell r="D874">
            <v>45074</v>
          </cell>
          <cell r="E874">
            <v>45103</v>
          </cell>
        </row>
        <row r="875">
          <cell r="B875" t="str">
            <v>В-27646/КЛ.Транш - 1</v>
          </cell>
          <cell r="C875">
            <v>379914.38</v>
          </cell>
          <cell r="D875">
            <v>45074</v>
          </cell>
          <cell r="E875">
            <v>45078</v>
          </cell>
        </row>
        <row r="876">
          <cell r="B876" t="str">
            <v>В-17916/КЛ.Транш - 1</v>
          </cell>
          <cell r="C876">
            <v>155556.57999999999</v>
          </cell>
          <cell r="D876">
            <v>45074</v>
          </cell>
          <cell r="E876">
            <v>45091</v>
          </cell>
        </row>
        <row r="877">
          <cell r="B877" t="str">
            <v>В-21987/КЛ.Транш - 1</v>
          </cell>
          <cell r="C877">
            <v>87626.45</v>
          </cell>
          <cell r="D877">
            <v>45074</v>
          </cell>
          <cell r="E877">
            <v>45074</v>
          </cell>
        </row>
        <row r="878">
          <cell r="B878" t="str">
            <v>В-22864/КЛ.Транш - 1</v>
          </cell>
          <cell r="C878">
            <v>240215.82</v>
          </cell>
          <cell r="D878">
            <v>45074</v>
          </cell>
          <cell r="E878">
            <v>45075</v>
          </cell>
        </row>
        <row r="879">
          <cell r="B879" t="str">
            <v>В-16057/КЛ.Транш - 6</v>
          </cell>
          <cell r="C879">
            <v>364448.4</v>
          </cell>
          <cell r="D879">
            <v>45075</v>
          </cell>
          <cell r="E879">
            <v>45077</v>
          </cell>
        </row>
        <row r="880">
          <cell r="B880" t="str">
            <v>В-02064/КЛ.Транш - 3</v>
          </cell>
          <cell r="C880">
            <v>230245.96</v>
          </cell>
          <cell r="D880">
            <v>45075</v>
          </cell>
          <cell r="E880">
            <v>45082</v>
          </cell>
        </row>
        <row r="881">
          <cell r="B881" t="str">
            <v>В-25573/КЛ.Транш - 2</v>
          </cell>
          <cell r="C881">
            <v>44533.81</v>
          </cell>
          <cell r="D881">
            <v>45075</v>
          </cell>
          <cell r="E881">
            <v>45078</v>
          </cell>
        </row>
        <row r="882">
          <cell r="B882" t="str">
            <v>В-24137/КЛ.Транш - 2</v>
          </cell>
          <cell r="C882">
            <v>19120.98</v>
          </cell>
          <cell r="D882">
            <v>45075</v>
          </cell>
          <cell r="E882">
            <v>45079</v>
          </cell>
        </row>
        <row r="883">
          <cell r="B883" t="str">
            <v>В-08454/КЛ.Транш - 1</v>
          </cell>
          <cell r="C883">
            <v>34763.79</v>
          </cell>
          <cell r="D883">
            <v>45075</v>
          </cell>
          <cell r="E883">
            <v>45075</v>
          </cell>
        </row>
        <row r="884">
          <cell r="B884" t="str">
            <v>В-01160/АЗ</v>
          </cell>
          <cell r="C884">
            <v>322427.46000000002</v>
          </cell>
          <cell r="D884">
            <v>45075</v>
          </cell>
          <cell r="E884">
            <v>45075</v>
          </cell>
        </row>
        <row r="885">
          <cell r="B885" t="str">
            <v>В-21960/КЛ.Транш - 1</v>
          </cell>
          <cell r="C885">
            <v>252203.34</v>
          </cell>
          <cell r="D885">
            <v>45077</v>
          </cell>
          <cell r="E885">
            <v>45086</v>
          </cell>
        </row>
        <row r="886">
          <cell r="B886" t="str">
            <v>В-11605/КЛ.Транш - 1</v>
          </cell>
          <cell r="C886">
            <v>235071.01</v>
          </cell>
          <cell r="D886">
            <v>45077</v>
          </cell>
          <cell r="E886">
            <v>45078</v>
          </cell>
        </row>
        <row r="887">
          <cell r="B887" t="str">
            <v>В-14816/КЛ.Транш - 5</v>
          </cell>
          <cell r="C887">
            <v>17886.759999999998</v>
          </cell>
          <cell r="D887">
            <v>45077</v>
          </cell>
          <cell r="E887">
            <v>45091</v>
          </cell>
        </row>
        <row r="888">
          <cell r="B888" t="str">
            <v>В-26743/КЛ.Транш - 1</v>
          </cell>
          <cell r="C888">
            <v>54022.8</v>
          </cell>
          <cell r="D888">
            <v>45077</v>
          </cell>
          <cell r="E888">
            <v>45077</v>
          </cell>
        </row>
        <row r="889">
          <cell r="B889" t="str">
            <v>В-18600/КЛ.Транш - 1</v>
          </cell>
          <cell r="C889">
            <v>823424.99</v>
          </cell>
          <cell r="D889">
            <v>45078</v>
          </cell>
          <cell r="E889">
            <v>45078</v>
          </cell>
        </row>
        <row r="890">
          <cell r="B890" t="str">
            <v>В-20952/КЛ.Транш - 6</v>
          </cell>
          <cell r="C890">
            <v>85748.58</v>
          </cell>
          <cell r="D890">
            <v>45078</v>
          </cell>
          <cell r="G890">
            <v>45156</v>
          </cell>
        </row>
        <row r="891">
          <cell r="B891" t="str">
            <v>В-19880/КЛ.Транш - 1</v>
          </cell>
          <cell r="C891">
            <v>500947.69</v>
          </cell>
          <cell r="D891">
            <v>45079</v>
          </cell>
          <cell r="E891">
            <v>45079</v>
          </cell>
        </row>
        <row r="892">
          <cell r="B892" t="str">
            <v>В-28436/АЗ</v>
          </cell>
          <cell r="C892">
            <v>418557.53</v>
          </cell>
          <cell r="D892">
            <v>45079</v>
          </cell>
          <cell r="G892">
            <v>45173</v>
          </cell>
        </row>
        <row r="893">
          <cell r="B893" t="str">
            <v>В-27315/КЛ.Транш - 1</v>
          </cell>
          <cell r="C893">
            <v>406090.45</v>
          </cell>
          <cell r="D893">
            <v>45080</v>
          </cell>
          <cell r="E893">
            <v>45082</v>
          </cell>
        </row>
        <row r="894">
          <cell r="B894" t="str">
            <v>В-28906/КЛ.Транш - 1</v>
          </cell>
          <cell r="C894">
            <v>107711.16</v>
          </cell>
          <cell r="D894">
            <v>45080</v>
          </cell>
          <cell r="E894">
            <v>45086</v>
          </cell>
        </row>
        <row r="895">
          <cell r="B895" t="str">
            <v>В-14816/КЛ.Транш - 7</v>
          </cell>
          <cell r="C895">
            <v>29368.12</v>
          </cell>
          <cell r="D895">
            <v>45080</v>
          </cell>
          <cell r="E895">
            <v>45091</v>
          </cell>
        </row>
        <row r="896">
          <cell r="B896" t="str">
            <v>В-10841/КЛ.Транш - 1</v>
          </cell>
          <cell r="C896">
            <v>645677.24</v>
          </cell>
          <cell r="D896">
            <v>45081</v>
          </cell>
          <cell r="E896">
            <v>45082</v>
          </cell>
        </row>
        <row r="897">
          <cell r="B897" t="str">
            <v>В-27788/КЛ.Транш - 1</v>
          </cell>
          <cell r="C897">
            <v>435444.92</v>
          </cell>
          <cell r="D897">
            <v>45081</v>
          </cell>
          <cell r="E897">
            <v>45082</v>
          </cell>
        </row>
        <row r="898">
          <cell r="B898" t="str">
            <v>В-00953/АЗ</v>
          </cell>
          <cell r="C898">
            <v>253158.21</v>
          </cell>
          <cell r="D898">
            <v>45081</v>
          </cell>
          <cell r="E898">
            <v>45082</v>
          </cell>
        </row>
        <row r="899">
          <cell r="B899" t="str">
            <v>В-21938/КЛ.Транш - 2</v>
          </cell>
          <cell r="C899">
            <v>152439.48000000001</v>
          </cell>
          <cell r="D899">
            <v>45081</v>
          </cell>
          <cell r="E899">
            <v>45091</v>
          </cell>
        </row>
        <row r="900">
          <cell r="B900" t="str">
            <v>В-08368/КЛ.Транш - 2</v>
          </cell>
          <cell r="C900">
            <v>56764.81</v>
          </cell>
          <cell r="D900">
            <v>45081</v>
          </cell>
          <cell r="E900">
            <v>45084</v>
          </cell>
        </row>
        <row r="901">
          <cell r="B901" t="str">
            <v>В-11948/КЛ.Транш - 1</v>
          </cell>
          <cell r="C901">
            <v>68856.820000000007</v>
          </cell>
          <cell r="D901">
            <v>45082</v>
          </cell>
          <cell r="E901">
            <v>45083</v>
          </cell>
        </row>
        <row r="902">
          <cell r="B902" t="str">
            <v>В-19991/КЛ.Транш - 1</v>
          </cell>
          <cell r="C902">
            <v>42990.59</v>
          </cell>
          <cell r="D902">
            <v>45082</v>
          </cell>
          <cell r="E902">
            <v>45082</v>
          </cell>
        </row>
        <row r="903">
          <cell r="B903" t="str">
            <v>В-19286/КЛ.Транш - 1</v>
          </cell>
          <cell r="C903">
            <v>415427.37</v>
          </cell>
          <cell r="D903">
            <v>45083</v>
          </cell>
          <cell r="E903">
            <v>45093</v>
          </cell>
        </row>
        <row r="904">
          <cell r="B904" t="str">
            <v>В-16455/КЛ.Транш - 1</v>
          </cell>
          <cell r="C904">
            <v>201573.21</v>
          </cell>
          <cell r="D904">
            <v>45083</v>
          </cell>
          <cell r="E904">
            <v>45086</v>
          </cell>
        </row>
        <row r="905">
          <cell r="B905" t="str">
            <v>В-12789/КЛ.Транш - 1</v>
          </cell>
          <cell r="C905">
            <v>85292.97</v>
          </cell>
          <cell r="D905">
            <v>45083</v>
          </cell>
          <cell r="E905">
            <v>45097</v>
          </cell>
        </row>
        <row r="906">
          <cell r="B906" t="str">
            <v>В-20035/КЛ.Транш - 1</v>
          </cell>
          <cell r="C906">
            <v>7693.63</v>
          </cell>
          <cell r="D906">
            <v>45083</v>
          </cell>
          <cell r="E906">
            <v>45085</v>
          </cell>
        </row>
        <row r="907">
          <cell r="B907" t="str">
            <v>В-14291/КЛ.Транш - 7</v>
          </cell>
          <cell r="C907">
            <v>61150.12</v>
          </cell>
          <cell r="D907">
            <v>45083</v>
          </cell>
          <cell r="E907">
            <v>45083</v>
          </cell>
        </row>
        <row r="908">
          <cell r="B908" t="str">
            <v>В-25627/КЛ.Транш - 1</v>
          </cell>
          <cell r="C908">
            <v>827837.34</v>
          </cell>
          <cell r="D908">
            <v>45084</v>
          </cell>
          <cell r="E908">
            <v>45084</v>
          </cell>
        </row>
        <row r="909">
          <cell r="B909" t="str">
            <v>В-25573/КЛ.Транш - 1</v>
          </cell>
          <cell r="C909">
            <v>40539.339999999997</v>
          </cell>
          <cell r="D909">
            <v>45084</v>
          </cell>
          <cell r="E909">
            <v>45086</v>
          </cell>
        </row>
        <row r="910">
          <cell r="B910" t="str">
            <v>В-20087/КЛ.Транш - 1</v>
          </cell>
          <cell r="C910">
            <v>14531.44</v>
          </cell>
          <cell r="D910">
            <v>45084</v>
          </cell>
          <cell r="E910">
            <v>45098</v>
          </cell>
        </row>
        <row r="911">
          <cell r="B911" t="str">
            <v>В-14430/КЛ.Транш - 2</v>
          </cell>
          <cell r="C911">
            <v>161453.46</v>
          </cell>
          <cell r="D911">
            <v>45085</v>
          </cell>
          <cell r="E911">
            <v>45086</v>
          </cell>
        </row>
        <row r="912">
          <cell r="B912" t="str">
            <v>В-19585/КЛ.Транш - 1</v>
          </cell>
          <cell r="C912">
            <v>94948.9</v>
          </cell>
          <cell r="D912">
            <v>45085</v>
          </cell>
          <cell r="E912">
            <v>45132</v>
          </cell>
        </row>
        <row r="913">
          <cell r="B913" t="str">
            <v>В-12066/КЛ.Транш - 1</v>
          </cell>
          <cell r="C913">
            <v>82465.63</v>
          </cell>
          <cell r="D913">
            <v>45085</v>
          </cell>
          <cell r="E913">
            <v>45086</v>
          </cell>
        </row>
        <row r="914">
          <cell r="B914" t="str">
            <v>В-12067/КЛ.Транш - 1</v>
          </cell>
          <cell r="C914">
            <v>75742.19</v>
          </cell>
          <cell r="D914">
            <v>45085</v>
          </cell>
          <cell r="E914">
            <v>45093</v>
          </cell>
        </row>
        <row r="915">
          <cell r="B915" t="str">
            <v>В-24198/КЛ.Транш - 6</v>
          </cell>
          <cell r="C915">
            <v>25246.62</v>
          </cell>
          <cell r="D915">
            <v>45085</v>
          </cell>
          <cell r="E915">
            <v>45085</v>
          </cell>
        </row>
        <row r="916">
          <cell r="B916" t="str">
            <v>В-12098/КЛ.Транш - 2</v>
          </cell>
          <cell r="C916">
            <v>100003.43</v>
          </cell>
          <cell r="D916">
            <v>45086</v>
          </cell>
          <cell r="E916">
            <v>45086</v>
          </cell>
        </row>
        <row r="917">
          <cell r="B917" t="str">
            <v>В-11782/КЛ.Транш - 1</v>
          </cell>
          <cell r="C917">
            <v>77162.78</v>
          </cell>
          <cell r="D917">
            <v>45086</v>
          </cell>
          <cell r="E917">
            <v>45086</v>
          </cell>
        </row>
        <row r="918">
          <cell r="B918" t="str">
            <v>В-21960/КЛ.Транш - 2</v>
          </cell>
          <cell r="C918">
            <v>154701.4</v>
          </cell>
          <cell r="D918">
            <v>45086</v>
          </cell>
          <cell r="E918">
            <v>45086</v>
          </cell>
        </row>
        <row r="919">
          <cell r="B919" t="str">
            <v>В-26950/КЛ.Транш - 1</v>
          </cell>
          <cell r="C919">
            <v>137090.31</v>
          </cell>
          <cell r="D919">
            <v>45087</v>
          </cell>
          <cell r="E919">
            <v>45087</v>
          </cell>
        </row>
        <row r="920">
          <cell r="B920" t="str">
            <v>В-00783/КЛ.Транш - 2</v>
          </cell>
          <cell r="C920">
            <v>303680.25</v>
          </cell>
          <cell r="D920">
            <v>45087</v>
          </cell>
          <cell r="E920">
            <v>45087</v>
          </cell>
        </row>
        <row r="921">
          <cell r="B921" t="str">
            <v>В-22935/КЛ.Транш - 2</v>
          </cell>
          <cell r="C921">
            <v>83414.559999999998</v>
          </cell>
          <cell r="D921">
            <v>45087</v>
          </cell>
          <cell r="E921">
            <v>45098</v>
          </cell>
        </row>
        <row r="922">
          <cell r="B922" t="str">
            <v>В-22052/КЛ.Транш - 2</v>
          </cell>
          <cell r="C922">
            <v>75025.08</v>
          </cell>
          <cell r="D922">
            <v>45087</v>
          </cell>
          <cell r="E922">
            <v>45098</v>
          </cell>
        </row>
        <row r="923">
          <cell r="B923" t="str">
            <v>В-13449/КЛ.Транш - 1</v>
          </cell>
          <cell r="C923">
            <v>72980.86</v>
          </cell>
          <cell r="D923">
            <v>45087</v>
          </cell>
          <cell r="E923">
            <v>45107</v>
          </cell>
        </row>
        <row r="924">
          <cell r="B924" t="str">
            <v>В-28968/АЗ</v>
          </cell>
          <cell r="C924">
            <v>67202.820000000007</v>
          </cell>
          <cell r="D924">
            <v>45087</v>
          </cell>
          <cell r="E924">
            <v>45097</v>
          </cell>
        </row>
        <row r="925">
          <cell r="B925" t="str">
            <v>В-17095/КЛ.Транш - 1</v>
          </cell>
          <cell r="C925">
            <v>57666.93</v>
          </cell>
          <cell r="D925">
            <v>45087</v>
          </cell>
          <cell r="E925">
            <v>45099</v>
          </cell>
        </row>
        <row r="926">
          <cell r="B926" t="str">
            <v>В-22205/КЛ.Транш - 2</v>
          </cell>
          <cell r="C926">
            <v>143094.51</v>
          </cell>
          <cell r="D926">
            <v>45088</v>
          </cell>
          <cell r="E926">
            <v>45089</v>
          </cell>
        </row>
        <row r="927">
          <cell r="B927" t="str">
            <v>В-12098/КЛ.Транш - 1</v>
          </cell>
          <cell r="C927">
            <v>413138.46</v>
          </cell>
          <cell r="D927">
            <v>45088</v>
          </cell>
          <cell r="E927">
            <v>45089</v>
          </cell>
        </row>
        <row r="928">
          <cell r="B928" t="str">
            <v>В-24071/КЛ.Транш - 1</v>
          </cell>
          <cell r="C928">
            <v>583166.51</v>
          </cell>
          <cell r="D928">
            <v>45088</v>
          </cell>
          <cell r="E928">
            <v>45090</v>
          </cell>
        </row>
        <row r="929">
          <cell r="B929" t="str">
            <v>В-14728/КЛ.Транш - 8</v>
          </cell>
          <cell r="C929">
            <v>119585.1</v>
          </cell>
          <cell r="D929">
            <v>45088</v>
          </cell>
          <cell r="E929">
            <v>45093</v>
          </cell>
        </row>
        <row r="930">
          <cell r="B930" t="str">
            <v>В-24618/АЗ</v>
          </cell>
          <cell r="C930">
            <v>70306.7</v>
          </cell>
          <cell r="D930">
            <v>45088</v>
          </cell>
          <cell r="E930">
            <v>45090</v>
          </cell>
        </row>
        <row r="931">
          <cell r="B931" t="str">
            <v>В-26928/КЛ.Транш - 1</v>
          </cell>
          <cell r="C931">
            <v>471190.08</v>
          </cell>
          <cell r="D931">
            <v>45089</v>
          </cell>
          <cell r="E931">
            <v>45097</v>
          </cell>
        </row>
        <row r="932">
          <cell r="B932" t="str">
            <v>В-25852/КЛ.Транш - 1</v>
          </cell>
          <cell r="C932">
            <v>188230.29</v>
          </cell>
          <cell r="D932">
            <v>45089</v>
          </cell>
          <cell r="E932">
            <v>45093</v>
          </cell>
        </row>
        <row r="933">
          <cell r="B933" t="str">
            <v>В-21321/КЛ.Транш - 1</v>
          </cell>
          <cell r="C933">
            <v>129453.26</v>
          </cell>
          <cell r="D933">
            <v>45089</v>
          </cell>
          <cell r="E933">
            <v>45096</v>
          </cell>
        </row>
        <row r="934">
          <cell r="B934" t="str">
            <v>В-24137/КЛ.Транш - 1</v>
          </cell>
          <cell r="C934">
            <v>85193.48</v>
          </cell>
          <cell r="D934">
            <v>45089</v>
          </cell>
          <cell r="E934">
            <v>45096</v>
          </cell>
        </row>
        <row r="935">
          <cell r="B935" t="str">
            <v>В-08962/КЛ.Транш - 1</v>
          </cell>
          <cell r="C935">
            <v>19339.650000000001</v>
          </cell>
          <cell r="D935">
            <v>45089</v>
          </cell>
          <cell r="E935">
            <v>45090</v>
          </cell>
        </row>
        <row r="936">
          <cell r="B936" t="str">
            <v>В-27038/АЗ</v>
          </cell>
          <cell r="C936">
            <v>66512.22</v>
          </cell>
          <cell r="D936">
            <v>45089</v>
          </cell>
          <cell r="E936">
            <v>45090</v>
          </cell>
        </row>
        <row r="937">
          <cell r="B937" t="str">
            <v>В-01039/АЗ</v>
          </cell>
          <cell r="C937">
            <v>709489.07</v>
          </cell>
          <cell r="D937">
            <v>45090</v>
          </cell>
          <cell r="E937">
            <v>45098</v>
          </cell>
        </row>
        <row r="938">
          <cell r="B938" t="str">
            <v>В-01038/АЗ</v>
          </cell>
          <cell r="C938">
            <v>687451.08</v>
          </cell>
          <cell r="D938">
            <v>45090</v>
          </cell>
          <cell r="E938">
            <v>45098</v>
          </cell>
        </row>
        <row r="939">
          <cell r="B939" t="str">
            <v>В-03365/КЛ.Транш - 3</v>
          </cell>
          <cell r="C939">
            <v>74147.520000000004</v>
          </cell>
          <cell r="D939">
            <v>45090</v>
          </cell>
          <cell r="E939">
            <v>45100</v>
          </cell>
        </row>
        <row r="940">
          <cell r="B940" t="str">
            <v>В-10050/КЛ.Транш - 1</v>
          </cell>
          <cell r="C940">
            <v>68775.8</v>
          </cell>
          <cell r="D940">
            <v>45090</v>
          </cell>
          <cell r="G940">
            <v>45182</v>
          </cell>
        </row>
        <row r="941">
          <cell r="B941" t="str">
            <v>В-13545/КЛ.Транш - 1</v>
          </cell>
          <cell r="C941">
            <v>38121.910000000003</v>
          </cell>
          <cell r="D941">
            <v>45090</v>
          </cell>
          <cell r="E941">
            <v>45090</v>
          </cell>
        </row>
        <row r="942">
          <cell r="B942" t="str">
            <v>В-10474/КЛ.Транш - 4</v>
          </cell>
          <cell r="C942">
            <v>214368.16</v>
          </cell>
          <cell r="D942">
            <v>45090</v>
          </cell>
          <cell r="E942">
            <v>45090</v>
          </cell>
        </row>
        <row r="943">
          <cell r="B943" t="str">
            <v>В-01024/АЗ</v>
          </cell>
          <cell r="C943">
            <v>635144.57999999996</v>
          </cell>
          <cell r="D943">
            <v>45091</v>
          </cell>
          <cell r="E943">
            <v>45112</v>
          </cell>
        </row>
        <row r="944">
          <cell r="B944" t="str">
            <v>В-01023/АЗ</v>
          </cell>
          <cell r="C944">
            <v>635144.57999999996</v>
          </cell>
          <cell r="D944">
            <v>45091</v>
          </cell>
          <cell r="E944">
            <v>45104</v>
          </cell>
        </row>
        <row r="945">
          <cell r="B945" t="str">
            <v>В-01022/АЗ</v>
          </cell>
          <cell r="C945">
            <v>634692.48</v>
          </cell>
          <cell r="D945">
            <v>45091</v>
          </cell>
          <cell r="E945">
            <v>45103</v>
          </cell>
        </row>
        <row r="946">
          <cell r="B946" t="str">
            <v>В-00054/КЭ.Транш - 1</v>
          </cell>
          <cell r="C946">
            <v>218404.71</v>
          </cell>
          <cell r="D946">
            <v>45091</v>
          </cell>
          <cell r="E946">
            <v>45091</v>
          </cell>
        </row>
        <row r="947">
          <cell r="B947" t="str">
            <v>В-23362/КЛ.Транш - 2</v>
          </cell>
          <cell r="C947">
            <v>119078.79</v>
          </cell>
          <cell r="D947">
            <v>45091</v>
          </cell>
          <cell r="E947">
            <v>45091</v>
          </cell>
        </row>
        <row r="948">
          <cell r="B948" t="str">
            <v>В-22052/КЛ.Транш - 1</v>
          </cell>
          <cell r="C948">
            <v>57394.74</v>
          </cell>
          <cell r="D948">
            <v>45091</v>
          </cell>
          <cell r="E948">
            <v>45098</v>
          </cell>
        </row>
        <row r="949">
          <cell r="B949" t="str">
            <v>В-03365/КЛ.Транш - 2</v>
          </cell>
          <cell r="C949">
            <v>29870.880000000001</v>
          </cell>
          <cell r="D949">
            <v>45091</v>
          </cell>
          <cell r="E949">
            <v>45097</v>
          </cell>
        </row>
        <row r="950">
          <cell r="B950" t="str">
            <v>В-26422/КЛ.Транш - 1</v>
          </cell>
          <cell r="C950">
            <v>545063.55000000005</v>
          </cell>
          <cell r="D950">
            <v>45092</v>
          </cell>
          <cell r="E950">
            <v>45098</v>
          </cell>
        </row>
        <row r="951">
          <cell r="B951" t="str">
            <v>В-02064/КЛ.Транш - 2</v>
          </cell>
          <cell r="C951">
            <v>284191.37</v>
          </cell>
          <cell r="D951">
            <v>45092</v>
          </cell>
          <cell r="E951">
            <v>45093</v>
          </cell>
        </row>
        <row r="952">
          <cell r="B952" t="str">
            <v>В-17747/КЛ.Транш - 2</v>
          </cell>
          <cell r="C952">
            <v>115138.43</v>
          </cell>
          <cell r="D952">
            <v>45092</v>
          </cell>
          <cell r="E952">
            <v>45104</v>
          </cell>
        </row>
        <row r="953">
          <cell r="B953" t="str">
            <v>В-16067/КЛ.Транш - 1</v>
          </cell>
          <cell r="C953">
            <v>107032.92</v>
          </cell>
          <cell r="D953">
            <v>45092</v>
          </cell>
          <cell r="E953">
            <v>45146</v>
          </cell>
        </row>
        <row r="954">
          <cell r="B954" t="str">
            <v>В-02960/КЛ.Транш - 7</v>
          </cell>
          <cell r="C954">
            <v>20804.27</v>
          </cell>
          <cell r="D954">
            <v>45092</v>
          </cell>
          <cell r="E954">
            <v>45096</v>
          </cell>
        </row>
        <row r="955">
          <cell r="B955" t="str">
            <v>В-11396/КЛ.Транш - 2</v>
          </cell>
          <cell r="C955">
            <v>287037.69</v>
          </cell>
          <cell r="D955">
            <v>45093</v>
          </cell>
          <cell r="E955">
            <v>45098</v>
          </cell>
        </row>
        <row r="956">
          <cell r="B956" t="str">
            <v>В-24374/КЛ.Транш - 1</v>
          </cell>
          <cell r="C956">
            <v>243411.59</v>
          </cell>
          <cell r="D956">
            <v>45093</v>
          </cell>
          <cell r="E956">
            <v>45100</v>
          </cell>
        </row>
        <row r="957">
          <cell r="B957" t="str">
            <v>В-17747/КЛ.Транш - 1</v>
          </cell>
          <cell r="C957">
            <v>230730.84</v>
          </cell>
          <cell r="D957">
            <v>45093</v>
          </cell>
          <cell r="E957">
            <v>45112</v>
          </cell>
        </row>
        <row r="958">
          <cell r="B958" t="str">
            <v>В-25981/АЗ</v>
          </cell>
          <cell r="C958">
            <v>156504.23000000001</v>
          </cell>
          <cell r="D958">
            <v>45093</v>
          </cell>
          <cell r="E958">
            <v>45097</v>
          </cell>
        </row>
        <row r="959">
          <cell r="B959" t="str">
            <v>В-21306/КЛ.Транш - 1</v>
          </cell>
          <cell r="C959">
            <v>154342.74</v>
          </cell>
          <cell r="D959">
            <v>45093</v>
          </cell>
          <cell r="E959">
            <v>45093</v>
          </cell>
        </row>
        <row r="960">
          <cell r="B960" t="str">
            <v>В-06345/КЛ.Транш - 1</v>
          </cell>
          <cell r="C960">
            <v>117330.1</v>
          </cell>
          <cell r="D960">
            <v>45093</v>
          </cell>
          <cell r="E960">
            <v>45094</v>
          </cell>
        </row>
        <row r="961">
          <cell r="B961" t="str">
            <v>В-19740/КЛ.Транш - 7</v>
          </cell>
          <cell r="C961">
            <v>101486.56</v>
          </cell>
          <cell r="D961">
            <v>45093</v>
          </cell>
          <cell r="E961">
            <v>45099</v>
          </cell>
        </row>
        <row r="962">
          <cell r="B962" t="str">
            <v>В-01188/АЗ</v>
          </cell>
          <cell r="C962">
            <v>74420.539999999994</v>
          </cell>
          <cell r="D962">
            <v>45093</v>
          </cell>
          <cell r="E962">
            <v>45103</v>
          </cell>
        </row>
        <row r="963">
          <cell r="B963" t="str">
            <v>В-14198/КЛ.Транш - 1</v>
          </cell>
          <cell r="C963">
            <v>203272.05</v>
          </cell>
          <cell r="D963">
            <v>45094</v>
          </cell>
          <cell r="E963">
            <v>45104</v>
          </cell>
        </row>
        <row r="964">
          <cell r="B964" t="str">
            <v>В-20544/КЛ.Транш - 1</v>
          </cell>
          <cell r="C964">
            <v>563482.87</v>
          </cell>
          <cell r="D964">
            <v>45095</v>
          </cell>
          <cell r="E964">
            <v>45099</v>
          </cell>
        </row>
        <row r="965">
          <cell r="B965" t="str">
            <v>В-22677/КЛ.Транш - 1</v>
          </cell>
          <cell r="C965">
            <v>179707.82</v>
          </cell>
          <cell r="D965">
            <v>45095</v>
          </cell>
          <cell r="E965">
            <v>45096</v>
          </cell>
        </row>
        <row r="966">
          <cell r="B966" t="str">
            <v>В-07595/КЛ.Транш - 1</v>
          </cell>
          <cell r="C966">
            <v>128725.73</v>
          </cell>
          <cell r="D966">
            <v>45095</v>
          </cell>
          <cell r="E966">
            <v>45112</v>
          </cell>
        </row>
        <row r="967">
          <cell r="B967" t="str">
            <v>В-12574/КЛ.Транш - 1</v>
          </cell>
          <cell r="C967">
            <v>62645.21</v>
          </cell>
          <cell r="D967">
            <v>45095</v>
          </cell>
          <cell r="E967">
            <v>45110</v>
          </cell>
        </row>
        <row r="968">
          <cell r="B968" t="str">
            <v>В-22683/КЛ.Транш - 1</v>
          </cell>
          <cell r="C968">
            <v>191032.39</v>
          </cell>
          <cell r="D968">
            <v>45095</v>
          </cell>
          <cell r="E968">
            <v>45095</v>
          </cell>
        </row>
        <row r="969">
          <cell r="B969" t="str">
            <v>В-28376/КЛ.Транш - 1</v>
          </cell>
          <cell r="C969">
            <v>35353.93</v>
          </cell>
          <cell r="D969">
            <v>45095</v>
          </cell>
          <cell r="E969">
            <v>45095</v>
          </cell>
        </row>
        <row r="970">
          <cell r="B970" t="str">
            <v>В-16934/КЛ.Транш - 1</v>
          </cell>
          <cell r="C970">
            <v>281319.03999999998</v>
          </cell>
          <cell r="D970">
            <v>45096</v>
          </cell>
          <cell r="E970">
            <v>45103</v>
          </cell>
        </row>
        <row r="971">
          <cell r="B971" t="str">
            <v>В-19355/КЛ.Транш - 1</v>
          </cell>
          <cell r="C971">
            <v>101548.56</v>
          </cell>
          <cell r="D971">
            <v>45096</v>
          </cell>
          <cell r="E971">
            <v>45098</v>
          </cell>
        </row>
        <row r="972">
          <cell r="B972" t="str">
            <v>В-12662/КЛ.Транш - 1</v>
          </cell>
          <cell r="C972">
            <v>46690.25</v>
          </cell>
          <cell r="D972">
            <v>45096</v>
          </cell>
          <cell r="E972">
            <v>45096</v>
          </cell>
        </row>
        <row r="973">
          <cell r="B973" t="str">
            <v>В-14816/КЛ.Транш - 6</v>
          </cell>
          <cell r="C973">
            <v>16195.61</v>
          </cell>
          <cell r="D973">
            <v>45096</v>
          </cell>
          <cell r="E973">
            <v>45106</v>
          </cell>
        </row>
        <row r="974">
          <cell r="B974" t="str">
            <v>В-14216/КЛ.Транш - 2</v>
          </cell>
          <cell r="C974">
            <v>76429.259999999995</v>
          </cell>
          <cell r="D974">
            <v>45096</v>
          </cell>
          <cell r="E974">
            <v>45096</v>
          </cell>
        </row>
        <row r="975">
          <cell r="B975" t="str">
            <v>В-09100/КЛ.Транш - 1</v>
          </cell>
          <cell r="C975">
            <v>55556.67</v>
          </cell>
          <cell r="D975">
            <v>45096</v>
          </cell>
          <cell r="E975">
            <v>45096</v>
          </cell>
        </row>
        <row r="976">
          <cell r="B976" t="str">
            <v>В-12574/КЛ.Транш - 3</v>
          </cell>
          <cell r="C976">
            <v>77168.539999999994</v>
          </cell>
          <cell r="D976">
            <v>45097</v>
          </cell>
          <cell r="E976">
            <v>45110</v>
          </cell>
        </row>
        <row r="977">
          <cell r="B977" t="str">
            <v>В-22744/КЛ.Транш - 1</v>
          </cell>
          <cell r="C977">
            <v>54270.879999999997</v>
          </cell>
          <cell r="D977">
            <v>45097</v>
          </cell>
          <cell r="E977">
            <v>45102</v>
          </cell>
        </row>
        <row r="978">
          <cell r="B978" t="str">
            <v>В-26172/АЗ</v>
          </cell>
          <cell r="C978">
            <v>500488.05</v>
          </cell>
          <cell r="D978">
            <v>45098</v>
          </cell>
          <cell r="E978">
            <v>45104</v>
          </cell>
        </row>
        <row r="979">
          <cell r="B979" t="str">
            <v>В-03365/КЛ.Транш - 5</v>
          </cell>
          <cell r="C979">
            <v>190678.94</v>
          </cell>
          <cell r="D979">
            <v>45098</v>
          </cell>
          <cell r="E979">
            <v>45107</v>
          </cell>
        </row>
        <row r="980">
          <cell r="B980" t="str">
            <v>В-21568/КЛ.Транш - 1</v>
          </cell>
          <cell r="C980">
            <v>142203.89000000001</v>
          </cell>
          <cell r="D980">
            <v>45098</v>
          </cell>
          <cell r="E980">
            <v>45099</v>
          </cell>
        </row>
        <row r="981">
          <cell r="B981" t="str">
            <v>В-21245/КЛ.Транш - 2</v>
          </cell>
          <cell r="C981">
            <v>48889.17</v>
          </cell>
          <cell r="D981">
            <v>45098</v>
          </cell>
          <cell r="E981">
            <v>45099</v>
          </cell>
        </row>
        <row r="982">
          <cell r="B982" t="str">
            <v>В-15831/КЛ.Транш - 1</v>
          </cell>
          <cell r="C982">
            <v>161178.75</v>
          </cell>
          <cell r="D982">
            <v>45098</v>
          </cell>
          <cell r="E982">
            <v>45098</v>
          </cell>
        </row>
        <row r="983">
          <cell r="B983" t="str">
            <v>В-23901/КЛ.Транш - 1</v>
          </cell>
          <cell r="C983">
            <v>385094.55</v>
          </cell>
          <cell r="D983">
            <v>45099</v>
          </cell>
          <cell r="E983">
            <v>45099</v>
          </cell>
        </row>
        <row r="984">
          <cell r="B984" t="str">
            <v>В-28549/АЗ</v>
          </cell>
          <cell r="C984">
            <v>191758.97</v>
          </cell>
          <cell r="D984">
            <v>45099</v>
          </cell>
          <cell r="E984">
            <v>45113</v>
          </cell>
        </row>
        <row r="985">
          <cell r="B985" t="str">
            <v>В-28538/КЛ.Транш - 1</v>
          </cell>
          <cell r="C985">
            <v>139429.04999999999</v>
          </cell>
          <cell r="D985">
            <v>45099</v>
          </cell>
          <cell r="E985">
            <v>45102</v>
          </cell>
        </row>
        <row r="986">
          <cell r="B986" t="str">
            <v>В-12256/КЛ.Транш - 1</v>
          </cell>
          <cell r="C986">
            <v>136873.16</v>
          </cell>
          <cell r="D986">
            <v>45099</v>
          </cell>
          <cell r="E986">
            <v>45100</v>
          </cell>
        </row>
        <row r="987">
          <cell r="B987" t="str">
            <v>В-23370/КЛ.Транш - 1</v>
          </cell>
          <cell r="C987">
            <v>92101.03</v>
          </cell>
          <cell r="D987">
            <v>45099</v>
          </cell>
          <cell r="E987">
            <v>45100</v>
          </cell>
        </row>
        <row r="988">
          <cell r="B988" t="str">
            <v>В-14816/КЛ.Транш - 1</v>
          </cell>
          <cell r="C988">
            <v>24405.14</v>
          </cell>
          <cell r="D988">
            <v>45099</v>
          </cell>
          <cell r="E988">
            <v>45106</v>
          </cell>
        </row>
        <row r="989">
          <cell r="B989" t="str">
            <v>В-16242/КЛ.Транш - 2</v>
          </cell>
          <cell r="C989">
            <v>237258.84</v>
          </cell>
          <cell r="D989">
            <v>45100</v>
          </cell>
          <cell r="E989">
            <v>45104</v>
          </cell>
        </row>
        <row r="990">
          <cell r="B990" t="str">
            <v>В-18894/КЛ.Транш - 1</v>
          </cell>
          <cell r="C990">
            <v>211599.88</v>
          </cell>
          <cell r="D990">
            <v>45101</v>
          </cell>
          <cell r="E990">
            <v>45102</v>
          </cell>
        </row>
        <row r="991">
          <cell r="B991" t="str">
            <v>В-28598/КЛ.Транш - 1</v>
          </cell>
          <cell r="C991">
            <v>734416.52</v>
          </cell>
          <cell r="D991">
            <v>45101</v>
          </cell>
          <cell r="E991">
            <v>45113</v>
          </cell>
        </row>
        <row r="992">
          <cell r="B992" t="str">
            <v>В-10022/КЭ.Транш - 1</v>
          </cell>
          <cell r="C992">
            <v>393356.78</v>
          </cell>
          <cell r="D992">
            <v>45101</v>
          </cell>
          <cell r="E992">
            <v>45103</v>
          </cell>
        </row>
        <row r="993">
          <cell r="B993" t="str">
            <v>В-16934/КЛ.Транш - 5</v>
          </cell>
          <cell r="C993">
            <v>126569.53</v>
          </cell>
          <cell r="D993">
            <v>45101</v>
          </cell>
          <cell r="E993">
            <v>45103</v>
          </cell>
        </row>
        <row r="994">
          <cell r="B994" t="str">
            <v>В-00065/КЭ.Транш - 1</v>
          </cell>
          <cell r="C994">
            <v>56192.17</v>
          </cell>
          <cell r="D994">
            <v>45101</v>
          </cell>
          <cell r="E994">
            <v>45112</v>
          </cell>
        </row>
        <row r="995">
          <cell r="B995" t="str">
            <v>В-14816/КЛ.Транш - 4</v>
          </cell>
          <cell r="C995">
            <v>10785.22</v>
          </cell>
          <cell r="D995">
            <v>45101</v>
          </cell>
          <cell r="E995">
            <v>45121</v>
          </cell>
        </row>
        <row r="996">
          <cell r="B996" t="str">
            <v>В-00431/КЛ.Транш - 2</v>
          </cell>
          <cell r="C996">
            <v>91057.4</v>
          </cell>
          <cell r="D996">
            <v>45102</v>
          </cell>
          <cell r="E996">
            <v>45102</v>
          </cell>
        </row>
        <row r="997">
          <cell r="B997" t="str">
            <v>В-24580/КЛ.Транш - 1</v>
          </cell>
          <cell r="C997">
            <v>486251.67</v>
          </cell>
          <cell r="D997">
            <v>45102</v>
          </cell>
          <cell r="E997">
            <v>45105</v>
          </cell>
        </row>
        <row r="998">
          <cell r="B998" t="str">
            <v>В-00955/АЗ</v>
          </cell>
          <cell r="C998">
            <v>295774.95</v>
          </cell>
          <cell r="D998">
            <v>45102</v>
          </cell>
          <cell r="E998">
            <v>45113</v>
          </cell>
        </row>
        <row r="999">
          <cell r="B999" t="str">
            <v>В-22935/КЛ.Транш - 1</v>
          </cell>
          <cell r="C999">
            <v>189178.74</v>
          </cell>
          <cell r="D999">
            <v>45102</v>
          </cell>
          <cell r="E999">
            <v>45110</v>
          </cell>
        </row>
        <row r="1000">
          <cell r="B1000" t="str">
            <v>В-25132/КЛ.Транш - 1</v>
          </cell>
          <cell r="C1000">
            <v>105460.13</v>
          </cell>
          <cell r="D1000">
            <v>45102</v>
          </cell>
          <cell r="E1000">
            <v>45104</v>
          </cell>
        </row>
        <row r="1001">
          <cell r="B1001" t="str">
            <v>В-14216/КЛ.Транш - 3</v>
          </cell>
          <cell r="C1001">
            <v>79437.7</v>
          </cell>
          <cell r="D1001">
            <v>45102</v>
          </cell>
          <cell r="E1001">
            <v>45105</v>
          </cell>
        </row>
        <row r="1002">
          <cell r="B1002" t="str">
            <v>В-19593/КЛ.Транш - 1</v>
          </cell>
          <cell r="C1002">
            <v>284102.46999999997</v>
          </cell>
          <cell r="D1002">
            <v>45103</v>
          </cell>
          <cell r="E1002">
            <v>45103</v>
          </cell>
        </row>
        <row r="1003">
          <cell r="B1003" t="str">
            <v>В-28539/КЛ.Транш - 1</v>
          </cell>
          <cell r="C1003">
            <v>213649.41</v>
          </cell>
          <cell r="D1003">
            <v>45103</v>
          </cell>
          <cell r="E1003">
            <v>45106</v>
          </cell>
        </row>
        <row r="1004">
          <cell r="B1004" t="str">
            <v>В-26517/КЛ.Транш - 1</v>
          </cell>
          <cell r="C1004">
            <v>109909.7</v>
          </cell>
          <cell r="D1004">
            <v>45103</v>
          </cell>
          <cell r="E1004">
            <v>45120</v>
          </cell>
        </row>
        <row r="1005">
          <cell r="B1005" t="str">
            <v>В-23370/КЛ.Транш - 2</v>
          </cell>
          <cell r="C1005">
            <v>99802.31</v>
          </cell>
          <cell r="D1005">
            <v>45103</v>
          </cell>
          <cell r="E1005">
            <v>45110</v>
          </cell>
        </row>
        <row r="1006">
          <cell r="B1006" t="str">
            <v>В-19354/КЛ.Транш - 1</v>
          </cell>
          <cell r="C1006">
            <v>97116.52</v>
          </cell>
          <cell r="D1006">
            <v>45103</v>
          </cell>
          <cell r="E1006">
            <v>45106</v>
          </cell>
        </row>
        <row r="1007">
          <cell r="B1007" t="str">
            <v>А-05360/АЗ</v>
          </cell>
          <cell r="C1007">
            <v>16438.62</v>
          </cell>
          <cell r="D1007">
            <v>45103</v>
          </cell>
          <cell r="E1007">
            <v>45103</v>
          </cell>
        </row>
        <row r="1008">
          <cell r="B1008" t="str">
            <v>В-12553/КЛ.Транш - 1</v>
          </cell>
          <cell r="C1008">
            <v>178761.41</v>
          </cell>
          <cell r="D1008">
            <v>45104</v>
          </cell>
          <cell r="E1008">
            <v>45104</v>
          </cell>
        </row>
        <row r="1009">
          <cell r="B1009" t="str">
            <v>В-12813/КЛ.Транш - 1</v>
          </cell>
          <cell r="C1009">
            <v>626454.9</v>
          </cell>
          <cell r="D1009">
            <v>45104</v>
          </cell>
          <cell r="E1009">
            <v>45105</v>
          </cell>
        </row>
        <row r="1010">
          <cell r="B1010" t="str">
            <v>В-12574/КЛ.Транш - 2</v>
          </cell>
          <cell r="C1010">
            <v>72211.63</v>
          </cell>
          <cell r="D1010">
            <v>45104</v>
          </cell>
          <cell r="E1010">
            <v>45110</v>
          </cell>
        </row>
        <row r="1011">
          <cell r="B1011" t="str">
            <v>В-03365/КЛ.Транш - 4</v>
          </cell>
          <cell r="C1011">
            <v>43015.37</v>
          </cell>
          <cell r="D1011">
            <v>45104</v>
          </cell>
          <cell r="E1011">
            <v>45107</v>
          </cell>
        </row>
        <row r="1012">
          <cell r="B1012" t="str">
            <v>В-24151/КЛ.Транш - 1</v>
          </cell>
          <cell r="C1012">
            <v>33883.620000000003</v>
          </cell>
          <cell r="D1012">
            <v>45105</v>
          </cell>
          <cell r="E1012">
            <v>45105</v>
          </cell>
        </row>
        <row r="1013">
          <cell r="B1013" t="str">
            <v>В-26432/АЗ</v>
          </cell>
          <cell r="C1013">
            <v>89880.63</v>
          </cell>
          <cell r="D1013">
            <v>45105</v>
          </cell>
          <cell r="E1013">
            <v>45105</v>
          </cell>
        </row>
        <row r="1014">
          <cell r="B1014" t="str">
            <v>В-26125/АЗ</v>
          </cell>
          <cell r="C1014">
            <v>834758.11</v>
          </cell>
          <cell r="D1014">
            <v>45105</v>
          </cell>
          <cell r="E1014">
            <v>45131</v>
          </cell>
        </row>
        <row r="1015">
          <cell r="B1015" t="str">
            <v>В-18414/КЛ.Транш - 1</v>
          </cell>
          <cell r="C1015">
            <v>394673.46</v>
          </cell>
          <cell r="D1015">
            <v>45105</v>
          </cell>
          <cell r="E1015">
            <v>45115</v>
          </cell>
        </row>
        <row r="1016">
          <cell r="B1016" t="str">
            <v>В-27646/КЛ.Транш - 1</v>
          </cell>
          <cell r="C1016">
            <v>375473.24</v>
          </cell>
          <cell r="D1016">
            <v>45105</v>
          </cell>
          <cell r="E1016">
            <v>45112</v>
          </cell>
        </row>
        <row r="1017">
          <cell r="B1017" t="str">
            <v>В-22864/КЛ.Транш - 1</v>
          </cell>
          <cell r="C1017">
            <v>240215.82</v>
          </cell>
          <cell r="D1017">
            <v>45105</v>
          </cell>
          <cell r="E1017">
            <v>45106</v>
          </cell>
        </row>
        <row r="1018">
          <cell r="B1018" t="str">
            <v>В-17916/КЛ.Транш - 1</v>
          </cell>
          <cell r="C1018">
            <v>151808.4</v>
          </cell>
          <cell r="D1018">
            <v>45105</v>
          </cell>
          <cell r="E1018">
            <v>45113</v>
          </cell>
        </row>
        <row r="1019">
          <cell r="B1019" t="str">
            <v>В-06481/КЛ.Транш - 7</v>
          </cell>
          <cell r="C1019">
            <v>637373.18999999994</v>
          </cell>
          <cell r="D1019">
            <v>45106</v>
          </cell>
          <cell r="E1019">
            <v>45121</v>
          </cell>
        </row>
        <row r="1020">
          <cell r="B1020" t="str">
            <v>В-16057/КЛ.Транш - 6</v>
          </cell>
          <cell r="C1020">
            <v>352157.86</v>
          </cell>
          <cell r="D1020">
            <v>45106</v>
          </cell>
          <cell r="E1020">
            <v>45114</v>
          </cell>
        </row>
        <row r="1021">
          <cell r="B1021" t="str">
            <v>В-02064/КЛ.Транш - 3</v>
          </cell>
          <cell r="C1021">
            <v>220683.49</v>
          </cell>
          <cell r="D1021">
            <v>45106</v>
          </cell>
          <cell r="E1021">
            <v>45110</v>
          </cell>
        </row>
        <row r="1022">
          <cell r="B1022" t="str">
            <v>В-25573/КЛ.Транш - 2</v>
          </cell>
          <cell r="C1022">
            <v>39692.89</v>
          </cell>
          <cell r="D1022">
            <v>45106</v>
          </cell>
          <cell r="E1022">
            <v>45117</v>
          </cell>
        </row>
        <row r="1023">
          <cell r="B1023" t="str">
            <v>В-08454/КЛ.Транш - 1</v>
          </cell>
          <cell r="C1023">
            <v>33316.06</v>
          </cell>
          <cell r="D1023">
            <v>45106</v>
          </cell>
          <cell r="E1023">
            <v>45106</v>
          </cell>
        </row>
        <row r="1024">
          <cell r="B1024" t="str">
            <v>В-21960/КЛ.Транш - 1</v>
          </cell>
          <cell r="C1024">
            <v>247135.29</v>
          </cell>
          <cell r="D1024">
            <v>45108</v>
          </cell>
          <cell r="E1024">
            <v>45117</v>
          </cell>
        </row>
        <row r="1025">
          <cell r="B1025" t="str">
            <v>В-05253/КЛ.Транш - 4</v>
          </cell>
          <cell r="C1025">
            <v>166494.57999999999</v>
          </cell>
          <cell r="D1025">
            <v>45108</v>
          </cell>
          <cell r="E1025">
            <v>45114</v>
          </cell>
        </row>
        <row r="1026">
          <cell r="B1026" t="str">
            <v>В-14816/КЛ.Транш - 5</v>
          </cell>
          <cell r="C1026">
            <v>15342.46</v>
          </cell>
          <cell r="D1026">
            <v>45108</v>
          </cell>
          <cell r="E1026">
            <v>45121</v>
          </cell>
        </row>
        <row r="1027">
          <cell r="B1027" t="str">
            <v>В-26743/КЛ.Транш - 1</v>
          </cell>
          <cell r="C1027">
            <v>48360.18</v>
          </cell>
          <cell r="D1027">
            <v>45108</v>
          </cell>
          <cell r="E1027">
            <v>45110</v>
          </cell>
        </row>
        <row r="1028">
          <cell r="B1028" t="str">
            <v>В-12523/КЛ.Транш - 2</v>
          </cell>
          <cell r="C1028">
            <v>251608.38</v>
          </cell>
          <cell r="D1028">
            <v>45109</v>
          </cell>
          <cell r="E1028">
            <v>45109</v>
          </cell>
        </row>
        <row r="1029">
          <cell r="B1029" t="str">
            <v>В-25407/КЛ.Транш - 1</v>
          </cell>
          <cell r="C1029">
            <v>29056.93</v>
          </cell>
          <cell r="D1029">
            <v>45109</v>
          </cell>
          <cell r="E1029">
            <v>45109</v>
          </cell>
        </row>
        <row r="1030">
          <cell r="B1030" t="str">
            <v>В-19880/КЛ.Транш - 1</v>
          </cell>
          <cell r="C1030">
            <v>479456.94</v>
          </cell>
          <cell r="D1030">
            <v>45109</v>
          </cell>
          <cell r="E1030">
            <v>45119</v>
          </cell>
        </row>
        <row r="1031">
          <cell r="B1031" t="str">
            <v>В-23923/КЛ.Транш - 1</v>
          </cell>
          <cell r="C1031">
            <v>258074.39</v>
          </cell>
          <cell r="D1031">
            <v>45109</v>
          </cell>
          <cell r="E1031">
            <v>45117</v>
          </cell>
        </row>
        <row r="1032">
          <cell r="B1032" t="str">
            <v>В-27315/КЛ.Транш - 1</v>
          </cell>
          <cell r="C1032">
            <v>401694.73</v>
          </cell>
          <cell r="D1032">
            <v>45110</v>
          </cell>
          <cell r="E1032">
            <v>45128</v>
          </cell>
        </row>
        <row r="1033">
          <cell r="B1033" t="str">
            <v>В-28906/КЛ.Транш - 1</v>
          </cell>
          <cell r="C1033">
            <v>107148.39</v>
          </cell>
          <cell r="D1033">
            <v>45110</v>
          </cell>
          <cell r="E1033">
            <v>45118</v>
          </cell>
        </row>
        <row r="1034">
          <cell r="B1034" t="str">
            <v>В-14816/КЛ.Транш - 7</v>
          </cell>
          <cell r="C1034">
            <v>25246.01</v>
          </cell>
          <cell r="D1034">
            <v>45110</v>
          </cell>
          <cell r="E1034">
            <v>45121</v>
          </cell>
        </row>
        <row r="1035">
          <cell r="B1035" t="str">
            <v>В-10474/КЛ.Транш - 5</v>
          </cell>
          <cell r="C1035">
            <v>177687.43</v>
          </cell>
          <cell r="D1035">
            <v>45110</v>
          </cell>
          <cell r="E1035">
            <v>45110</v>
          </cell>
        </row>
        <row r="1036">
          <cell r="B1036" t="str">
            <v>В-27788/КЛ.Транш - 1</v>
          </cell>
          <cell r="C1036">
            <v>430575.72</v>
          </cell>
          <cell r="D1036">
            <v>45111</v>
          </cell>
          <cell r="E1036">
            <v>45111</v>
          </cell>
        </row>
        <row r="1037">
          <cell r="B1037" t="str">
            <v>В-14216/КЛ.Транш - 1</v>
          </cell>
          <cell r="C1037">
            <v>59733.56</v>
          </cell>
          <cell r="D1037">
            <v>45111</v>
          </cell>
          <cell r="E1037">
            <v>45111</v>
          </cell>
        </row>
        <row r="1038">
          <cell r="B1038" t="str">
            <v>В-10841/КЛ.Транш - 1</v>
          </cell>
          <cell r="C1038">
            <v>643906.80000000005</v>
          </cell>
          <cell r="D1038">
            <v>45111</v>
          </cell>
          <cell r="E1038">
            <v>45112</v>
          </cell>
        </row>
        <row r="1039">
          <cell r="B1039" t="str">
            <v>В-00953/АЗ</v>
          </cell>
          <cell r="C1039">
            <v>240198.29</v>
          </cell>
          <cell r="D1039">
            <v>45111</v>
          </cell>
          <cell r="E1039">
            <v>45113</v>
          </cell>
        </row>
        <row r="1040">
          <cell r="B1040" t="str">
            <v>В-21938/КЛ.Транш - 2</v>
          </cell>
          <cell r="C1040">
            <v>150250.31</v>
          </cell>
          <cell r="D1040">
            <v>45111</v>
          </cell>
          <cell r="E1040">
            <v>45122</v>
          </cell>
        </row>
        <row r="1041">
          <cell r="B1041" t="str">
            <v>В-28961/КЛ.Транш - 1</v>
          </cell>
          <cell r="C1041">
            <v>214297.59</v>
          </cell>
          <cell r="D1041">
            <v>45111</v>
          </cell>
          <cell r="G1041">
            <v>45198</v>
          </cell>
        </row>
        <row r="1042">
          <cell r="B1042" t="str">
            <v>В-08368/КЛ.Транш - 2</v>
          </cell>
          <cell r="C1042">
            <v>48499.31</v>
          </cell>
          <cell r="D1042">
            <v>45111</v>
          </cell>
          <cell r="E1042">
            <v>45128</v>
          </cell>
        </row>
        <row r="1043">
          <cell r="B1043" t="str">
            <v>В-14168/КЛ.Транш - 4</v>
          </cell>
          <cell r="C1043">
            <v>104232.91</v>
          </cell>
          <cell r="D1043">
            <v>45112</v>
          </cell>
          <cell r="E1043">
            <v>45112</v>
          </cell>
        </row>
        <row r="1044">
          <cell r="B1044" t="str">
            <v>В-19991/КЛ.Транш - 1</v>
          </cell>
          <cell r="C1044">
            <v>42107.08</v>
          </cell>
          <cell r="D1044">
            <v>45112</v>
          </cell>
          <cell r="E1044">
            <v>45112</v>
          </cell>
        </row>
        <row r="1045">
          <cell r="B1045" t="str">
            <v>В-11948/КЛ.Транш - 1</v>
          </cell>
          <cell r="C1045">
            <v>66760.72</v>
          </cell>
          <cell r="D1045">
            <v>45112</v>
          </cell>
          <cell r="E1045">
            <v>45115</v>
          </cell>
        </row>
        <row r="1046">
          <cell r="B1046" t="str">
            <v>В-14291/КЛ.Транш - 7</v>
          </cell>
          <cell r="C1046">
            <v>60203.12</v>
          </cell>
          <cell r="D1046">
            <v>45113</v>
          </cell>
          <cell r="E1046">
            <v>45113</v>
          </cell>
        </row>
        <row r="1047">
          <cell r="B1047" t="str">
            <v>В-16455/КЛ.Транш - 1</v>
          </cell>
          <cell r="C1047">
            <v>196354.09</v>
          </cell>
          <cell r="D1047">
            <v>45113</v>
          </cell>
          <cell r="E1047">
            <v>45117</v>
          </cell>
        </row>
        <row r="1048">
          <cell r="B1048" t="str">
            <v>В-12789/КЛ.Транш - 1</v>
          </cell>
          <cell r="C1048">
            <v>82929.649999999994</v>
          </cell>
          <cell r="D1048">
            <v>45113</v>
          </cell>
          <cell r="E1048">
            <v>45118</v>
          </cell>
        </row>
        <row r="1049">
          <cell r="B1049" t="str">
            <v>В-20035/КЛ.Транш - 1</v>
          </cell>
          <cell r="C1049">
            <v>7582.44</v>
          </cell>
          <cell r="D1049">
            <v>45113</v>
          </cell>
          <cell r="E1049">
            <v>45119</v>
          </cell>
        </row>
        <row r="1050">
          <cell r="B1050" t="str">
            <v>В-19286/КЛ.Транш - 1</v>
          </cell>
          <cell r="C1050">
            <v>406566.34</v>
          </cell>
          <cell r="D1050">
            <v>45113</v>
          </cell>
          <cell r="E1050">
            <v>45124</v>
          </cell>
        </row>
        <row r="1051">
          <cell r="B1051" t="str">
            <v>В-10474/КЛ.Транш - 6</v>
          </cell>
          <cell r="C1051">
            <v>73006.7</v>
          </cell>
          <cell r="D1051">
            <v>45114</v>
          </cell>
          <cell r="E1051">
            <v>45114</v>
          </cell>
        </row>
        <row r="1052">
          <cell r="B1052" t="str">
            <v>В-25573/КЛ.Транш - 1</v>
          </cell>
          <cell r="C1052">
            <v>35421.14</v>
          </cell>
          <cell r="D1052">
            <v>45114</v>
          </cell>
          <cell r="E1052">
            <v>45117</v>
          </cell>
        </row>
        <row r="1053">
          <cell r="B1053" t="str">
            <v>В-19740/КЛ.Транш - 5</v>
          </cell>
          <cell r="C1053">
            <v>208283.16</v>
          </cell>
          <cell r="D1053">
            <v>45114</v>
          </cell>
          <cell r="E1053">
            <v>45118</v>
          </cell>
        </row>
        <row r="1054">
          <cell r="B1054" t="str">
            <v>В-20087/КЛ.Транш - 1</v>
          </cell>
          <cell r="C1054">
            <v>7567.76</v>
          </cell>
          <cell r="D1054">
            <v>45114</v>
          </cell>
          <cell r="E1054">
            <v>45130</v>
          </cell>
        </row>
        <row r="1055">
          <cell r="B1055" t="str">
            <v>В-24198/КЛ.Транш - 6</v>
          </cell>
          <cell r="C1055">
            <v>22083.759999999998</v>
          </cell>
          <cell r="D1055">
            <v>45115</v>
          </cell>
          <cell r="E1055">
            <v>45117</v>
          </cell>
        </row>
        <row r="1056">
          <cell r="B1056" t="str">
            <v>В-23362/КЛ.Транш - 1</v>
          </cell>
          <cell r="C1056">
            <v>165962.29999999999</v>
          </cell>
          <cell r="D1056">
            <v>45115</v>
          </cell>
          <cell r="E1056">
            <v>45117</v>
          </cell>
        </row>
        <row r="1057">
          <cell r="B1057" t="str">
            <v>В-14430/КЛ.Транш - 2</v>
          </cell>
          <cell r="C1057">
            <v>147327.6</v>
          </cell>
          <cell r="D1057">
            <v>45115</v>
          </cell>
          <cell r="E1057">
            <v>45117</v>
          </cell>
        </row>
        <row r="1058">
          <cell r="B1058" t="str">
            <v>В-25425/КЛ.Транш - 1</v>
          </cell>
          <cell r="C1058">
            <v>105902.73</v>
          </cell>
          <cell r="D1058">
            <v>45115</v>
          </cell>
          <cell r="E1058">
            <v>45119</v>
          </cell>
        </row>
        <row r="1059">
          <cell r="B1059" t="str">
            <v>В-12067/КЛ.Транш - 1</v>
          </cell>
          <cell r="C1059">
            <v>73436.460000000006</v>
          </cell>
          <cell r="D1059">
            <v>45115</v>
          </cell>
          <cell r="E1059">
            <v>45122</v>
          </cell>
        </row>
        <row r="1060">
          <cell r="B1060" t="str">
            <v>В-28062/КЛ.Транш - 1</v>
          </cell>
          <cell r="C1060">
            <v>467858.7</v>
          </cell>
          <cell r="D1060">
            <v>45116</v>
          </cell>
          <cell r="E1060">
            <v>45117</v>
          </cell>
        </row>
        <row r="1061">
          <cell r="B1061" t="str">
            <v>В-11782/КЛ.Транш - 1</v>
          </cell>
          <cell r="C1061">
            <v>67452.22</v>
          </cell>
          <cell r="D1061">
            <v>45116</v>
          </cell>
          <cell r="E1061">
            <v>45117</v>
          </cell>
        </row>
        <row r="1062">
          <cell r="B1062" t="str">
            <v>В-18921/КЛ.Транш - 1</v>
          </cell>
          <cell r="C1062">
            <v>825696.82</v>
          </cell>
          <cell r="D1062">
            <v>45116</v>
          </cell>
          <cell r="E1062">
            <v>45208</v>
          </cell>
        </row>
        <row r="1063">
          <cell r="B1063" t="str">
            <v>В-19740/КЛ.Транш - 6</v>
          </cell>
          <cell r="C1063">
            <v>249939.76</v>
          </cell>
          <cell r="D1063">
            <v>45117</v>
          </cell>
          <cell r="E1063">
            <v>45118</v>
          </cell>
        </row>
        <row r="1064">
          <cell r="B1064" t="str">
            <v>В-26950/КЛ.Транш - 1</v>
          </cell>
          <cell r="C1064">
            <v>135946.07</v>
          </cell>
          <cell r="D1064">
            <v>45117</v>
          </cell>
          <cell r="E1064">
            <v>45118</v>
          </cell>
        </row>
        <row r="1065">
          <cell r="B1065" t="str">
            <v>В-22935/КЛ.Транш - 2</v>
          </cell>
          <cell r="C1065">
            <v>82106.58</v>
          </cell>
          <cell r="D1065">
            <v>45117</v>
          </cell>
          <cell r="E1065">
            <v>45118</v>
          </cell>
        </row>
        <row r="1066">
          <cell r="B1066" t="str">
            <v>В-00783/КЛ.Транш - 2</v>
          </cell>
          <cell r="C1066">
            <v>286891.83</v>
          </cell>
          <cell r="D1066">
            <v>45117</v>
          </cell>
          <cell r="E1066">
            <v>45120</v>
          </cell>
        </row>
        <row r="1067">
          <cell r="B1067" t="str">
            <v>В-22052/КЛ.Транш - 2</v>
          </cell>
          <cell r="C1067">
            <v>67515.59</v>
          </cell>
          <cell r="D1067">
            <v>45117</v>
          </cell>
          <cell r="E1067">
            <v>45138</v>
          </cell>
        </row>
        <row r="1068">
          <cell r="B1068" t="str">
            <v>В-28968/АЗ</v>
          </cell>
          <cell r="C1068">
            <v>63042.559999999998</v>
          </cell>
          <cell r="D1068">
            <v>45117</v>
          </cell>
          <cell r="E1068">
            <v>45139</v>
          </cell>
        </row>
        <row r="1069">
          <cell r="B1069" t="str">
            <v>В-25807/АЗ</v>
          </cell>
          <cell r="C1069">
            <v>744309.1</v>
          </cell>
          <cell r="D1069">
            <v>45118</v>
          </cell>
          <cell r="E1069">
            <v>45118</v>
          </cell>
        </row>
        <row r="1070">
          <cell r="B1070" t="str">
            <v>В-24618/АЗ</v>
          </cell>
          <cell r="C1070">
            <v>59788.57</v>
          </cell>
          <cell r="D1070">
            <v>45118</v>
          </cell>
          <cell r="E1070">
            <v>45118</v>
          </cell>
        </row>
        <row r="1071">
          <cell r="B1071" t="str">
            <v>В-25810/АЗ</v>
          </cell>
          <cell r="C1071">
            <v>744309.1</v>
          </cell>
          <cell r="D1071">
            <v>45118</v>
          </cell>
          <cell r="E1071">
            <v>45119</v>
          </cell>
        </row>
        <row r="1072">
          <cell r="B1072" t="str">
            <v>В-24071/КЛ.Транш - 1</v>
          </cell>
          <cell r="C1072">
            <v>552284.06999999995</v>
          </cell>
          <cell r="D1072">
            <v>45118</v>
          </cell>
          <cell r="E1072">
            <v>45120</v>
          </cell>
        </row>
        <row r="1073">
          <cell r="B1073" t="str">
            <v>В-01211/АЗ</v>
          </cell>
          <cell r="C1073">
            <v>760452.55</v>
          </cell>
          <cell r="D1073">
            <v>45118</v>
          </cell>
          <cell r="E1073">
            <v>45125</v>
          </cell>
        </row>
        <row r="1074">
          <cell r="B1074" t="str">
            <v>В-00036/КЭ.Транш - 2</v>
          </cell>
          <cell r="C1074">
            <v>1119750.3500000001</v>
          </cell>
          <cell r="D1074">
            <v>45118</v>
          </cell>
          <cell r="E1074">
            <v>45118</v>
          </cell>
        </row>
        <row r="1075">
          <cell r="B1075" t="str">
            <v>В-14728/КЛ.Транш - 8</v>
          </cell>
          <cell r="C1075">
            <v>97595.71</v>
          </cell>
          <cell r="D1075">
            <v>45118</v>
          </cell>
          <cell r="E1075">
            <v>45128</v>
          </cell>
        </row>
        <row r="1076">
          <cell r="B1076" t="str">
            <v>В-26928/КЛ.Транш - 1</v>
          </cell>
          <cell r="C1076">
            <v>422158.59</v>
          </cell>
          <cell r="D1076">
            <v>45119</v>
          </cell>
          <cell r="E1076">
            <v>45119</v>
          </cell>
        </row>
        <row r="1077">
          <cell r="B1077" t="str">
            <v>В-25852/КЛ.Транш - 1</v>
          </cell>
          <cell r="C1077">
            <v>165766.76</v>
          </cell>
          <cell r="D1077">
            <v>45119</v>
          </cell>
          <cell r="E1077">
            <v>45120</v>
          </cell>
        </row>
        <row r="1078">
          <cell r="B1078" t="str">
            <v>В-21321/КЛ.Транш - 1</v>
          </cell>
          <cell r="C1078">
            <v>117729.99</v>
          </cell>
          <cell r="D1078">
            <v>45119</v>
          </cell>
          <cell r="E1078">
            <v>45133</v>
          </cell>
        </row>
        <row r="1079">
          <cell r="B1079" t="str">
            <v>В-10474/КЛ.Транш - 4</v>
          </cell>
          <cell r="C1079">
            <v>214368.16</v>
          </cell>
          <cell r="D1079">
            <v>45120</v>
          </cell>
          <cell r="E1079">
            <v>45121</v>
          </cell>
        </row>
        <row r="1080">
          <cell r="B1080" t="str">
            <v>В-01039/АЗ</v>
          </cell>
          <cell r="C1080">
            <v>687876.73</v>
          </cell>
          <cell r="D1080">
            <v>45120</v>
          </cell>
          <cell r="E1080">
            <v>45149</v>
          </cell>
        </row>
        <row r="1081">
          <cell r="B1081" t="str">
            <v>В-01038/АЗ</v>
          </cell>
          <cell r="C1081">
            <v>665443.35</v>
          </cell>
          <cell r="D1081">
            <v>45120</v>
          </cell>
          <cell r="E1081">
            <v>45141</v>
          </cell>
        </row>
        <row r="1082">
          <cell r="B1082" t="str">
            <v>А-05360/АЗ</v>
          </cell>
          <cell r="C1082">
            <v>8563.4</v>
          </cell>
          <cell r="D1082">
            <v>45120</v>
          </cell>
          <cell r="E1082">
            <v>45136</v>
          </cell>
        </row>
        <row r="1083">
          <cell r="B1083" t="str">
            <v>В-19991/КЛ.Транш - 3</v>
          </cell>
          <cell r="C1083">
            <v>88098.27</v>
          </cell>
          <cell r="D1083">
            <v>45121</v>
          </cell>
          <cell r="E1083">
            <v>45121</v>
          </cell>
        </row>
        <row r="1084">
          <cell r="B1084" t="str">
            <v>В-23362/КЛ.Транш - 2</v>
          </cell>
          <cell r="C1084">
            <v>104122.33</v>
          </cell>
          <cell r="D1084">
            <v>45121</v>
          </cell>
          <cell r="E1084">
            <v>45124</v>
          </cell>
        </row>
        <row r="1085">
          <cell r="B1085" t="str">
            <v>В-01023/АЗ</v>
          </cell>
          <cell r="C1085">
            <v>611215.99</v>
          </cell>
          <cell r="D1085">
            <v>45121</v>
          </cell>
          <cell r="E1085">
            <v>45131</v>
          </cell>
        </row>
        <row r="1086">
          <cell r="B1086" t="str">
            <v>В-01022/АЗ</v>
          </cell>
          <cell r="C1086">
            <v>610780.92000000004</v>
          </cell>
          <cell r="D1086">
            <v>45121</v>
          </cell>
          <cell r="E1086">
            <v>45128</v>
          </cell>
        </row>
        <row r="1087">
          <cell r="B1087" t="str">
            <v>В-22052/КЛ.Транш - 1</v>
          </cell>
          <cell r="C1087">
            <v>44286.29</v>
          </cell>
          <cell r="D1087">
            <v>45121</v>
          </cell>
          <cell r="E1087">
            <v>45143</v>
          </cell>
        </row>
        <row r="1088">
          <cell r="B1088" t="str">
            <v>В-01024/АЗ</v>
          </cell>
          <cell r="C1088">
            <v>611215.99</v>
          </cell>
          <cell r="D1088">
            <v>45121</v>
          </cell>
          <cell r="E1088">
            <v>45128</v>
          </cell>
        </row>
        <row r="1089">
          <cell r="B1089" t="str">
            <v>В-22309/АЗ</v>
          </cell>
          <cell r="C1089">
            <v>137826.79999999999</v>
          </cell>
          <cell r="D1089">
            <v>45122</v>
          </cell>
          <cell r="E1089">
            <v>45122</v>
          </cell>
        </row>
        <row r="1090">
          <cell r="B1090" t="str">
            <v>В-26422/КЛ.Транш - 1</v>
          </cell>
          <cell r="C1090">
            <v>540292.54</v>
          </cell>
          <cell r="D1090">
            <v>45122</v>
          </cell>
          <cell r="G1090">
            <v>45215</v>
          </cell>
        </row>
        <row r="1091">
          <cell r="B1091" t="str">
            <v>В-02960/КЛ.Транш - 7</v>
          </cell>
          <cell r="C1091">
            <v>10634.47</v>
          </cell>
          <cell r="D1091">
            <v>45122</v>
          </cell>
          <cell r="E1091">
            <v>45127</v>
          </cell>
        </row>
        <row r="1092">
          <cell r="B1092" t="str">
            <v>В-25981/АЗ</v>
          </cell>
          <cell r="C1092">
            <v>138021.79999999999</v>
          </cell>
          <cell r="D1092">
            <v>45123</v>
          </cell>
          <cell r="E1092">
            <v>45124</v>
          </cell>
        </row>
        <row r="1093">
          <cell r="B1093" t="str">
            <v>В-24374/КЛ.Транш - 1</v>
          </cell>
          <cell r="C1093">
            <v>240127.28</v>
          </cell>
          <cell r="D1093">
            <v>45123</v>
          </cell>
          <cell r="E1093">
            <v>45124</v>
          </cell>
        </row>
        <row r="1094">
          <cell r="B1094" t="str">
            <v>В-25132/КЛ.Транш - 2</v>
          </cell>
          <cell r="C1094">
            <v>45461.01</v>
          </cell>
          <cell r="D1094">
            <v>45123</v>
          </cell>
          <cell r="E1094">
            <v>45124</v>
          </cell>
        </row>
        <row r="1095">
          <cell r="B1095" t="str">
            <v>В-21306/КЛ.Транш - 1</v>
          </cell>
          <cell r="C1095">
            <v>151249.07999999999</v>
          </cell>
          <cell r="D1095">
            <v>45123</v>
          </cell>
          <cell r="E1095">
            <v>45125</v>
          </cell>
        </row>
        <row r="1096">
          <cell r="B1096" t="str">
            <v>В-24687/КЛ.Транш - 1</v>
          </cell>
          <cell r="C1096">
            <v>162956.57999999999</v>
          </cell>
          <cell r="D1096">
            <v>45123</v>
          </cell>
          <cell r="E1096">
            <v>45127</v>
          </cell>
        </row>
        <row r="1097">
          <cell r="B1097" t="str">
            <v>В-06345/КЛ.Транш - 1</v>
          </cell>
          <cell r="C1097">
            <v>111642.09</v>
          </cell>
          <cell r="D1097">
            <v>45123</v>
          </cell>
          <cell r="E1097">
            <v>45134</v>
          </cell>
        </row>
        <row r="1098">
          <cell r="B1098" t="str">
            <v>В-19740/КЛ.Транш - 7</v>
          </cell>
          <cell r="C1098">
            <v>99975.98</v>
          </cell>
          <cell r="D1098">
            <v>45123</v>
          </cell>
          <cell r="E1098">
            <v>45134</v>
          </cell>
        </row>
        <row r="1099">
          <cell r="B1099" t="str">
            <v>В-01188/АЗ</v>
          </cell>
          <cell r="C1099">
            <v>70745.83</v>
          </cell>
          <cell r="D1099">
            <v>45123</v>
          </cell>
          <cell r="E1099">
            <v>45138</v>
          </cell>
        </row>
        <row r="1100">
          <cell r="B1100" t="str">
            <v>В-11396/КЛ.Транш - 2</v>
          </cell>
          <cell r="C1100">
            <v>281325.92</v>
          </cell>
          <cell r="D1100">
            <v>45123</v>
          </cell>
          <cell r="E1100">
            <v>45129</v>
          </cell>
        </row>
        <row r="1101">
          <cell r="B1101" t="str">
            <v>В-01675/КЛ.Транш - 3</v>
          </cell>
          <cell r="C1101">
            <v>22142.91</v>
          </cell>
          <cell r="D1101">
            <v>45124</v>
          </cell>
          <cell r="E1101">
            <v>45124</v>
          </cell>
        </row>
        <row r="1102">
          <cell r="B1102" t="str">
            <v>В-16983/КЛ.Транш - 2</v>
          </cell>
          <cell r="C1102">
            <v>58777.71</v>
          </cell>
          <cell r="D1102">
            <v>45124</v>
          </cell>
          <cell r="E1102">
            <v>45125</v>
          </cell>
        </row>
        <row r="1103">
          <cell r="B1103" t="str">
            <v>В-14198/КЛ.Транш - 1</v>
          </cell>
          <cell r="C1103">
            <v>203272.05</v>
          </cell>
          <cell r="D1103">
            <v>45124</v>
          </cell>
          <cell r="E1103">
            <v>45128</v>
          </cell>
        </row>
        <row r="1104">
          <cell r="B1104" t="str">
            <v>В-20544/КЛ.Транш - 1</v>
          </cell>
          <cell r="C1104">
            <v>551585.99</v>
          </cell>
          <cell r="D1104">
            <v>45125</v>
          </cell>
          <cell r="E1104">
            <v>45125</v>
          </cell>
        </row>
        <row r="1105">
          <cell r="B1105" t="str">
            <v>В-22683/КЛ.Транш - 1</v>
          </cell>
          <cell r="C1105">
            <v>184825.46</v>
          </cell>
          <cell r="D1105">
            <v>45125</v>
          </cell>
          <cell r="E1105">
            <v>45125</v>
          </cell>
        </row>
        <row r="1106">
          <cell r="B1106" t="str">
            <v>В-28358/КЛ.Транш - 1</v>
          </cell>
          <cell r="C1106">
            <v>874463.56</v>
          </cell>
          <cell r="D1106">
            <v>45125</v>
          </cell>
          <cell r="E1106">
            <v>45126</v>
          </cell>
        </row>
        <row r="1107">
          <cell r="B1107" t="str">
            <v>В-28368/АЗ</v>
          </cell>
          <cell r="C1107">
            <v>510316.67</v>
          </cell>
          <cell r="D1107">
            <v>45125</v>
          </cell>
          <cell r="E1107">
            <v>45132</v>
          </cell>
        </row>
        <row r="1108">
          <cell r="B1108" t="str">
            <v>В-22677/КЛ.Транш - 1</v>
          </cell>
          <cell r="C1108">
            <v>176315.99</v>
          </cell>
          <cell r="D1108">
            <v>45125</v>
          </cell>
          <cell r="G1108">
            <v>45217</v>
          </cell>
        </row>
        <row r="1109">
          <cell r="B1109" t="str">
            <v>В-07559/КЛ.Транш - 3</v>
          </cell>
          <cell r="C1109">
            <v>83586.22</v>
          </cell>
          <cell r="D1109">
            <v>45125</v>
          </cell>
          <cell r="E1109">
            <v>45132</v>
          </cell>
        </row>
        <row r="1110">
          <cell r="B1110" t="str">
            <v>В-28376/КЛ.Транш - 1</v>
          </cell>
          <cell r="C1110">
            <v>34604.120000000003</v>
          </cell>
          <cell r="D1110">
            <v>45125</v>
          </cell>
          <cell r="E1110">
            <v>45128</v>
          </cell>
        </row>
        <row r="1111">
          <cell r="B1111" t="str">
            <v>В-07595/КЛ.Транш - 1</v>
          </cell>
          <cell r="C1111">
            <v>88429.75</v>
          </cell>
          <cell r="D1111">
            <v>45125</v>
          </cell>
          <cell r="E1111">
            <v>45138</v>
          </cell>
        </row>
        <row r="1112">
          <cell r="B1112" t="str">
            <v>В-12574/КЛ.Транш - 1</v>
          </cell>
          <cell r="C1112">
            <v>60455.25</v>
          </cell>
          <cell r="D1112">
            <v>45125</v>
          </cell>
          <cell r="E1112">
            <v>45141</v>
          </cell>
        </row>
        <row r="1113">
          <cell r="B1113" t="str">
            <v>В-19355/КЛ.Транш - 1</v>
          </cell>
          <cell r="C1113">
            <v>99246.94</v>
          </cell>
          <cell r="D1113">
            <v>45126</v>
          </cell>
          <cell r="E1113">
            <v>45138</v>
          </cell>
        </row>
        <row r="1114">
          <cell r="B1114" t="str">
            <v>В-14216/КЛ.Транш - 2</v>
          </cell>
          <cell r="C1114">
            <v>74664.789999999994</v>
          </cell>
          <cell r="D1114">
            <v>45126</v>
          </cell>
          <cell r="E1114">
            <v>45126</v>
          </cell>
        </row>
        <row r="1115">
          <cell r="B1115" t="str">
            <v>В-14816/КЛ.Транш - 6</v>
          </cell>
          <cell r="C1115">
            <v>13299.84</v>
          </cell>
          <cell r="D1115">
            <v>45126</v>
          </cell>
          <cell r="E1115">
            <v>45135</v>
          </cell>
        </row>
        <row r="1116">
          <cell r="B1116" t="str">
            <v>В-16934/КЛ.Транш - 1</v>
          </cell>
          <cell r="C1116">
            <v>274076.26</v>
          </cell>
          <cell r="D1116">
            <v>45126</v>
          </cell>
          <cell r="E1116">
            <v>45126</v>
          </cell>
        </row>
        <row r="1117">
          <cell r="B1117" t="str">
            <v>В-12574/КЛ.Транш - 3</v>
          </cell>
          <cell r="C1117">
            <v>75532.240000000005</v>
          </cell>
          <cell r="D1117">
            <v>45127</v>
          </cell>
          <cell r="E1117">
            <v>45141</v>
          </cell>
        </row>
        <row r="1118">
          <cell r="B1118" t="str">
            <v>В-24956/КЛ.Транш - 1</v>
          </cell>
          <cell r="C1118">
            <v>72300.149999999994</v>
          </cell>
          <cell r="D1118">
            <v>45127</v>
          </cell>
          <cell r="E1118">
            <v>45127</v>
          </cell>
        </row>
        <row r="1119">
          <cell r="B1119" t="str">
            <v>В-22744/КЛ.Транш - 1</v>
          </cell>
          <cell r="C1119">
            <v>52095.49</v>
          </cell>
          <cell r="D1119">
            <v>45127</v>
          </cell>
          <cell r="E1119">
            <v>45140</v>
          </cell>
        </row>
        <row r="1120">
          <cell r="B1120" t="str">
            <v>В-26172/АЗ</v>
          </cell>
          <cell r="C1120">
            <v>492640.24</v>
          </cell>
          <cell r="D1120">
            <v>45128</v>
          </cell>
          <cell r="E1120">
            <v>45131</v>
          </cell>
        </row>
        <row r="1121">
          <cell r="B1121" t="str">
            <v>В-27065/АЗ</v>
          </cell>
          <cell r="C1121">
            <v>370963.16</v>
          </cell>
          <cell r="D1121">
            <v>45128</v>
          </cell>
          <cell r="E1121">
            <v>45128</v>
          </cell>
        </row>
        <row r="1122">
          <cell r="B1122" t="str">
            <v>В-22409/КЛ.Транш - 1</v>
          </cell>
          <cell r="C1122">
            <v>173551.16</v>
          </cell>
          <cell r="D1122">
            <v>45128</v>
          </cell>
          <cell r="E1122">
            <v>45142</v>
          </cell>
        </row>
        <row r="1123">
          <cell r="B1123" t="str">
            <v>В-15831/КЛ.Транш - 1</v>
          </cell>
          <cell r="C1123">
            <v>157444.1</v>
          </cell>
          <cell r="D1123">
            <v>45128</v>
          </cell>
          <cell r="E1123">
            <v>45128</v>
          </cell>
        </row>
        <row r="1124">
          <cell r="B1124" t="str">
            <v>В-21568/КЛ.Транш - 1</v>
          </cell>
          <cell r="C1124">
            <v>137147.5</v>
          </cell>
          <cell r="D1124">
            <v>45128</v>
          </cell>
          <cell r="E1124">
            <v>45141</v>
          </cell>
        </row>
        <row r="1125">
          <cell r="B1125" t="str">
            <v>В-21245/КЛ.Транш - 2</v>
          </cell>
          <cell r="C1125">
            <v>42027.98</v>
          </cell>
          <cell r="D1125">
            <v>45128</v>
          </cell>
          <cell r="E1125">
            <v>45128</v>
          </cell>
        </row>
        <row r="1126">
          <cell r="B1126" t="str">
            <v>В-23901/КЛ.Транш - 1</v>
          </cell>
          <cell r="C1126">
            <v>379602.43</v>
          </cell>
          <cell r="D1126">
            <v>45129</v>
          </cell>
          <cell r="E1126">
            <v>45131</v>
          </cell>
        </row>
        <row r="1127">
          <cell r="B1127" t="str">
            <v>В-28549/АЗ</v>
          </cell>
          <cell r="C1127">
            <v>189263.74</v>
          </cell>
          <cell r="D1127">
            <v>45129</v>
          </cell>
          <cell r="E1127">
            <v>45142</v>
          </cell>
        </row>
        <row r="1128">
          <cell r="B1128" t="str">
            <v>В-12256/КЛ.Транш - 1</v>
          </cell>
          <cell r="C1128">
            <v>133437.29</v>
          </cell>
          <cell r="D1128">
            <v>45129</v>
          </cell>
          <cell r="E1128">
            <v>45148</v>
          </cell>
        </row>
        <row r="1129">
          <cell r="B1129" t="str">
            <v>В-28538/КЛ.Транш - 1</v>
          </cell>
          <cell r="C1129">
            <v>127579</v>
          </cell>
          <cell r="D1129">
            <v>45129</v>
          </cell>
          <cell r="E1129">
            <v>45132</v>
          </cell>
        </row>
        <row r="1130">
          <cell r="B1130" t="str">
            <v>В-23370/КЛ.Транш - 1</v>
          </cell>
          <cell r="C1130">
            <v>91207.01</v>
          </cell>
          <cell r="D1130">
            <v>45129</v>
          </cell>
          <cell r="E1130">
            <v>45138</v>
          </cell>
        </row>
        <row r="1131">
          <cell r="B1131" t="str">
            <v>В-08348/КЛ.Транш - 7</v>
          </cell>
          <cell r="C1131">
            <v>43756.97</v>
          </cell>
          <cell r="D1131">
            <v>45129</v>
          </cell>
          <cell r="G1131">
            <v>45222</v>
          </cell>
        </row>
        <row r="1132">
          <cell r="B1132" t="str">
            <v>В-14816/КЛ.Транш - 1</v>
          </cell>
          <cell r="C1132">
            <v>23831.86</v>
          </cell>
          <cell r="D1132">
            <v>45129</v>
          </cell>
          <cell r="E1132">
            <v>45135</v>
          </cell>
        </row>
        <row r="1133">
          <cell r="B1133" t="str">
            <v>В-16242/КЛ.Транш - 2</v>
          </cell>
          <cell r="C1133">
            <v>232677.3</v>
          </cell>
          <cell r="D1133">
            <v>45130</v>
          </cell>
          <cell r="E1133">
            <v>45133</v>
          </cell>
        </row>
        <row r="1134">
          <cell r="B1134" t="str">
            <v>В-28598/КЛ.Транш - 1</v>
          </cell>
          <cell r="C1134">
            <v>728547.05</v>
          </cell>
          <cell r="D1134">
            <v>45131</v>
          </cell>
          <cell r="E1134">
            <v>45139</v>
          </cell>
        </row>
        <row r="1135">
          <cell r="B1135" t="str">
            <v>В-10022/КЭ.Транш - 1</v>
          </cell>
          <cell r="C1135">
            <v>343950.59</v>
          </cell>
          <cell r="D1135">
            <v>45131</v>
          </cell>
          <cell r="E1135">
            <v>45133</v>
          </cell>
        </row>
        <row r="1136">
          <cell r="B1136" t="str">
            <v>В-14913/КЛ.Транш - 1</v>
          </cell>
          <cell r="C1136">
            <v>154182.76999999999</v>
          </cell>
          <cell r="D1136">
            <v>45131</v>
          </cell>
          <cell r="E1136">
            <v>45138</v>
          </cell>
        </row>
        <row r="1137">
          <cell r="B1137" t="str">
            <v>В-00065/КЭ.Транш - 1</v>
          </cell>
          <cell r="C1137">
            <v>47978.87</v>
          </cell>
          <cell r="D1137">
            <v>45131</v>
          </cell>
          <cell r="E1137">
            <v>45160</v>
          </cell>
        </row>
        <row r="1138">
          <cell r="B1138" t="str">
            <v>В-14816/КЛ.Транш - 4</v>
          </cell>
          <cell r="C1138">
            <v>7426.26</v>
          </cell>
          <cell r="D1138">
            <v>45131</v>
          </cell>
          <cell r="E1138">
            <v>45155</v>
          </cell>
        </row>
        <row r="1139">
          <cell r="B1139" t="str">
            <v>В-10495/КЛ.Транш - 1</v>
          </cell>
          <cell r="C1139">
            <v>120526.96</v>
          </cell>
          <cell r="D1139">
            <v>45131</v>
          </cell>
          <cell r="E1139">
            <v>45131</v>
          </cell>
        </row>
        <row r="1140">
          <cell r="B1140" t="str">
            <v>В-22935/КЛ.Транш - 1</v>
          </cell>
          <cell r="C1140">
            <v>186249.58</v>
          </cell>
          <cell r="D1140">
            <v>45132</v>
          </cell>
          <cell r="E1140">
            <v>45141</v>
          </cell>
        </row>
        <row r="1141">
          <cell r="B1141" t="str">
            <v>В-12231/КЛ.Транш - 1</v>
          </cell>
          <cell r="C1141">
            <v>102582.67</v>
          </cell>
          <cell r="D1141">
            <v>45132</v>
          </cell>
          <cell r="E1141">
            <v>45134</v>
          </cell>
        </row>
        <row r="1142">
          <cell r="B1142" t="str">
            <v>В-25132/КЛ.Транш - 1</v>
          </cell>
          <cell r="C1142">
            <v>89682.95</v>
          </cell>
          <cell r="D1142">
            <v>45132</v>
          </cell>
          <cell r="E1142">
            <v>45132</v>
          </cell>
        </row>
        <row r="1143">
          <cell r="B1143" t="str">
            <v>В-14216/КЛ.Транш - 3</v>
          </cell>
          <cell r="C1143">
            <v>77893.89</v>
          </cell>
          <cell r="D1143">
            <v>45132</v>
          </cell>
          <cell r="E1143">
            <v>45133</v>
          </cell>
        </row>
        <row r="1144">
          <cell r="B1144" t="str">
            <v>В-07559/КЛ.Транш - 4</v>
          </cell>
          <cell r="C1144">
            <v>63546.39</v>
          </cell>
          <cell r="D1144">
            <v>45132</v>
          </cell>
          <cell r="E1144">
            <v>45132</v>
          </cell>
        </row>
        <row r="1145">
          <cell r="B1145" t="str">
            <v>В-00955/АЗ</v>
          </cell>
          <cell r="C1145">
            <v>277831.42</v>
          </cell>
          <cell r="D1145">
            <v>45132</v>
          </cell>
          <cell r="E1145">
            <v>45132</v>
          </cell>
        </row>
        <row r="1146">
          <cell r="B1146" t="str">
            <v>В-19548/КЛ.Транш - 1</v>
          </cell>
          <cell r="C1146">
            <v>413530.2</v>
          </cell>
          <cell r="D1146">
            <v>45133</v>
          </cell>
          <cell r="E1146">
            <v>45133</v>
          </cell>
        </row>
        <row r="1147">
          <cell r="B1147" t="str">
            <v>В-22979/КЛ.Транш - 1</v>
          </cell>
          <cell r="C1147">
            <v>279374.71000000002</v>
          </cell>
          <cell r="D1147">
            <v>45133</v>
          </cell>
          <cell r="E1147">
            <v>45149</v>
          </cell>
        </row>
        <row r="1148">
          <cell r="B1148" t="str">
            <v>В-19740/КЛ.Транш - 8</v>
          </cell>
          <cell r="C1148">
            <v>143600.20000000001</v>
          </cell>
          <cell r="D1148">
            <v>45133</v>
          </cell>
          <cell r="E1148">
            <v>45134</v>
          </cell>
        </row>
        <row r="1149">
          <cell r="B1149" t="str">
            <v>В-26517/КЛ.Транш - 1</v>
          </cell>
          <cell r="C1149">
            <v>109019.52</v>
          </cell>
          <cell r="D1149">
            <v>45133</v>
          </cell>
          <cell r="E1149">
            <v>45146</v>
          </cell>
        </row>
        <row r="1150">
          <cell r="B1150" t="str">
            <v>В-23370/КЛ.Транш - 2</v>
          </cell>
          <cell r="C1150">
            <v>98642.59</v>
          </cell>
          <cell r="D1150">
            <v>45133</v>
          </cell>
          <cell r="E1150">
            <v>45141</v>
          </cell>
        </row>
        <row r="1151">
          <cell r="B1151" t="str">
            <v>В-19354/КЛ.Транш - 1</v>
          </cell>
          <cell r="C1151">
            <v>91399.81</v>
          </cell>
          <cell r="D1151">
            <v>45133</v>
          </cell>
          <cell r="E1151">
            <v>45141</v>
          </cell>
        </row>
        <row r="1152">
          <cell r="B1152" t="str">
            <v>В-12813/КЛ.Транш - 1</v>
          </cell>
          <cell r="C1152">
            <v>604555.43000000005</v>
          </cell>
          <cell r="D1152">
            <v>45134</v>
          </cell>
          <cell r="E1152">
            <v>45141</v>
          </cell>
        </row>
        <row r="1153">
          <cell r="B1153" t="str">
            <v>В-12574/КЛ.Транш - 2</v>
          </cell>
          <cell r="C1153">
            <v>70293.259999999995</v>
          </cell>
          <cell r="D1153">
            <v>45134</v>
          </cell>
          <cell r="E1153">
            <v>45141</v>
          </cell>
        </row>
        <row r="1154">
          <cell r="B1154" t="str">
            <v>В-12269/КЛ.Транш - 1</v>
          </cell>
          <cell r="C1154">
            <v>34686.129999999997</v>
          </cell>
          <cell r="D1154">
            <v>45134</v>
          </cell>
          <cell r="E1154">
            <v>45138</v>
          </cell>
        </row>
        <row r="1155">
          <cell r="B1155" t="str">
            <v>В-26125/АЗ</v>
          </cell>
          <cell r="C1155">
            <v>821677.16</v>
          </cell>
          <cell r="D1155">
            <v>45135</v>
          </cell>
          <cell r="E1155">
            <v>45136</v>
          </cell>
        </row>
        <row r="1156">
          <cell r="B1156" t="str">
            <v>В-22864/КЛ.Транш - 1</v>
          </cell>
          <cell r="C1156">
            <v>236793.93</v>
          </cell>
          <cell r="D1156">
            <v>45135</v>
          </cell>
          <cell r="E1156">
            <v>45135</v>
          </cell>
        </row>
        <row r="1157">
          <cell r="B1157" t="str">
            <v>В-17916/КЛ.Транш - 1</v>
          </cell>
          <cell r="C1157">
            <v>148114.14000000001</v>
          </cell>
          <cell r="D1157">
            <v>45135</v>
          </cell>
          <cell r="E1157">
            <v>45148</v>
          </cell>
        </row>
        <row r="1158">
          <cell r="B1158" t="str">
            <v>В-21987/КЛ.Транш - 1</v>
          </cell>
          <cell r="C1158">
            <v>46958.95</v>
          </cell>
          <cell r="D1158">
            <v>45135</v>
          </cell>
          <cell r="E1158">
            <v>45138</v>
          </cell>
        </row>
        <row r="1159">
          <cell r="B1159" t="str">
            <v>В-27646/КЛ.Транш - 1</v>
          </cell>
          <cell r="C1159">
            <v>371490.03</v>
          </cell>
          <cell r="D1159">
            <v>45135</v>
          </cell>
          <cell r="E1159">
            <v>45135</v>
          </cell>
        </row>
        <row r="1160">
          <cell r="B1160" t="str">
            <v>В-16057/КЛ.Транш - 6</v>
          </cell>
          <cell r="C1160">
            <v>339844.64</v>
          </cell>
          <cell r="D1160">
            <v>45136</v>
          </cell>
          <cell r="E1160">
            <v>45140</v>
          </cell>
        </row>
        <row r="1161">
          <cell r="B1161" t="str">
            <v>В-25573/КЛ.Транш - 2</v>
          </cell>
          <cell r="C1161">
            <v>34707.4</v>
          </cell>
          <cell r="D1161">
            <v>45136</v>
          </cell>
          <cell r="E1161">
            <v>45144</v>
          </cell>
        </row>
        <row r="1162">
          <cell r="B1162" t="str">
            <v>В-02064/КЛ.Транш - 3</v>
          </cell>
          <cell r="C1162">
            <v>211024.91</v>
          </cell>
          <cell r="D1162">
            <v>45136</v>
          </cell>
          <cell r="E1162">
            <v>45138</v>
          </cell>
        </row>
        <row r="1163">
          <cell r="B1163" t="str">
            <v>В-21960/КЛ.Транш - 1</v>
          </cell>
          <cell r="C1163">
            <v>242197.51</v>
          </cell>
          <cell r="D1163">
            <v>45138</v>
          </cell>
          <cell r="E1163">
            <v>45141</v>
          </cell>
        </row>
        <row r="1164">
          <cell r="B1164" t="str">
            <v>В-11605/КЛ.Транш - 1</v>
          </cell>
          <cell r="C1164">
            <v>220076.52</v>
          </cell>
          <cell r="D1164">
            <v>45138</v>
          </cell>
          <cell r="E1164">
            <v>45139</v>
          </cell>
        </row>
        <row r="1165">
          <cell r="B1165" t="str">
            <v>В-05253/КЛ.Транш - 4</v>
          </cell>
          <cell r="C1165">
            <v>145546.37</v>
          </cell>
          <cell r="D1165">
            <v>45138</v>
          </cell>
          <cell r="E1165">
            <v>45140</v>
          </cell>
        </row>
        <row r="1166">
          <cell r="B1166" t="str">
            <v>В-14816/КЛ.Транш - 5</v>
          </cell>
          <cell r="C1166">
            <v>12666.17</v>
          </cell>
          <cell r="D1166">
            <v>45138</v>
          </cell>
          <cell r="E1166">
            <v>45152</v>
          </cell>
        </row>
        <row r="1167">
          <cell r="B1167" t="str">
            <v>В-02125/КЛ.Транш - 2</v>
          </cell>
          <cell r="C1167">
            <v>42321.5</v>
          </cell>
          <cell r="D1167">
            <v>45138</v>
          </cell>
          <cell r="E1167">
            <v>45138</v>
          </cell>
        </row>
        <row r="1168">
          <cell r="B1168" t="str">
            <v>В-26743/КЛ.Транш - 1</v>
          </cell>
          <cell r="C1168">
            <v>42484.480000000003</v>
          </cell>
          <cell r="D1168">
            <v>45138</v>
          </cell>
          <cell r="E1168">
            <v>45138</v>
          </cell>
        </row>
        <row r="1169">
          <cell r="B1169" t="str">
            <v>В-19880/КЛ.Транш - 1</v>
          </cell>
          <cell r="C1169">
            <v>455423.74</v>
          </cell>
          <cell r="D1169">
            <v>45140</v>
          </cell>
          <cell r="E1169">
            <v>45142</v>
          </cell>
        </row>
        <row r="1170">
          <cell r="B1170" t="str">
            <v>В-23923/КЛ.Транш - 1</v>
          </cell>
          <cell r="C1170">
            <v>254423.01</v>
          </cell>
          <cell r="D1170">
            <v>45140</v>
          </cell>
          <cell r="E1170">
            <v>45154</v>
          </cell>
        </row>
        <row r="1171">
          <cell r="B1171" t="str">
            <v>В-22163/КЛ.Транш - 1</v>
          </cell>
          <cell r="C1171">
            <v>53059.91</v>
          </cell>
          <cell r="D1171">
            <v>45140</v>
          </cell>
          <cell r="E1171">
            <v>45148</v>
          </cell>
        </row>
        <row r="1172">
          <cell r="B1172" t="str">
            <v>В-27315/КЛ.Транш - 1</v>
          </cell>
          <cell r="C1172">
            <v>396355.73</v>
          </cell>
          <cell r="D1172">
            <v>45141</v>
          </cell>
          <cell r="E1172">
            <v>45165</v>
          </cell>
        </row>
        <row r="1173">
          <cell r="B1173" t="str">
            <v>В-28906/КЛ.Транш - 1</v>
          </cell>
          <cell r="C1173">
            <v>106278.41</v>
          </cell>
          <cell r="D1173">
            <v>45141</v>
          </cell>
          <cell r="E1173">
            <v>45147</v>
          </cell>
        </row>
        <row r="1174">
          <cell r="B1174" t="str">
            <v>В-14816/КЛ.Транш - 7</v>
          </cell>
          <cell r="C1174">
            <v>20792.68</v>
          </cell>
          <cell r="D1174">
            <v>45141</v>
          </cell>
          <cell r="E1174">
            <v>45155</v>
          </cell>
        </row>
        <row r="1175">
          <cell r="B1175" t="str">
            <v>В-10841/КЛ.Транш - 1</v>
          </cell>
          <cell r="C1175">
            <v>618414.87</v>
          </cell>
          <cell r="D1175">
            <v>45142</v>
          </cell>
          <cell r="E1175">
            <v>45146</v>
          </cell>
        </row>
        <row r="1176">
          <cell r="B1176" t="str">
            <v>В-21938/КЛ.Транш - 2</v>
          </cell>
          <cell r="C1176">
            <v>147702.59</v>
          </cell>
          <cell r="D1176">
            <v>45142</v>
          </cell>
          <cell r="E1176">
            <v>45155</v>
          </cell>
        </row>
        <row r="1177">
          <cell r="B1177" t="str">
            <v>В-25494/АЗ</v>
          </cell>
          <cell r="C1177">
            <v>76308.38</v>
          </cell>
          <cell r="D1177">
            <v>45142</v>
          </cell>
          <cell r="E1177">
            <v>45142</v>
          </cell>
        </row>
        <row r="1178">
          <cell r="B1178" t="str">
            <v>В-08368/КЛ.Транш - 2</v>
          </cell>
          <cell r="C1178">
            <v>39674.44</v>
          </cell>
          <cell r="D1178">
            <v>45142</v>
          </cell>
          <cell r="E1178">
            <v>45161</v>
          </cell>
        </row>
        <row r="1179">
          <cell r="B1179" t="str">
            <v>В-14168/КЛ.Транш - 4</v>
          </cell>
          <cell r="C1179">
            <v>93296.72</v>
          </cell>
          <cell r="D1179">
            <v>45143</v>
          </cell>
          <cell r="E1179">
            <v>45148</v>
          </cell>
        </row>
        <row r="1180">
          <cell r="B1180" t="str">
            <v>В-11948/КЛ.Транш - 1</v>
          </cell>
          <cell r="C1180">
            <v>64426.41</v>
          </cell>
          <cell r="D1180">
            <v>45143</v>
          </cell>
          <cell r="E1180">
            <v>45146</v>
          </cell>
        </row>
        <row r="1181">
          <cell r="B1181" t="str">
            <v>В-10909/КЛ.Транш - 1</v>
          </cell>
          <cell r="C1181">
            <v>27694.15</v>
          </cell>
          <cell r="D1181">
            <v>45144</v>
          </cell>
          <cell r="E1181">
            <v>45144</v>
          </cell>
        </row>
        <row r="1182">
          <cell r="B1182" t="str">
            <v>В-19286/КЛ.Транш - 1</v>
          </cell>
          <cell r="C1182">
            <v>396772.08</v>
          </cell>
          <cell r="D1182">
            <v>45144</v>
          </cell>
          <cell r="E1182">
            <v>45155</v>
          </cell>
        </row>
        <row r="1183">
          <cell r="B1183" t="str">
            <v>В-16455/КЛ.Транш - 1</v>
          </cell>
          <cell r="C1183">
            <v>190644.36</v>
          </cell>
          <cell r="D1183">
            <v>45144</v>
          </cell>
          <cell r="E1183">
            <v>45148</v>
          </cell>
        </row>
        <row r="1184">
          <cell r="B1184" t="str">
            <v>В-12789/КЛ.Транш - 1</v>
          </cell>
          <cell r="C1184">
            <v>80283.899999999994</v>
          </cell>
          <cell r="D1184">
            <v>45144</v>
          </cell>
          <cell r="E1184">
            <v>45156</v>
          </cell>
        </row>
        <row r="1185">
          <cell r="B1185" t="str">
            <v>В-14627/КЛ.Транш - 3</v>
          </cell>
          <cell r="C1185">
            <v>9063.76</v>
          </cell>
          <cell r="D1185">
            <v>45144</v>
          </cell>
          <cell r="E1185">
            <v>45148</v>
          </cell>
        </row>
        <row r="1186">
          <cell r="B1186" t="str">
            <v>В-25627/КЛ.Транш - 1</v>
          </cell>
          <cell r="C1186">
            <v>800027.6</v>
          </cell>
          <cell r="D1186">
            <v>45145</v>
          </cell>
          <cell r="E1186">
            <v>45146</v>
          </cell>
        </row>
        <row r="1187">
          <cell r="B1187" t="str">
            <v>В-19740/КЛ.Транш - 5</v>
          </cell>
          <cell r="C1187">
            <v>204717.15</v>
          </cell>
          <cell r="D1187">
            <v>45145</v>
          </cell>
          <cell r="E1187">
            <v>45170</v>
          </cell>
        </row>
        <row r="1188">
          <cell r="B1188" t="str">
            <v>В-02064/КЛ.Транш - 4</v>
          </cell>
          <cell r="C1188">
            <v>119993.86</v>
          </cell>
          <cell r="D1188">
            <v>45145</v>
          </cell>
          <cell r="E1188">
            <v>45146</v>
          </cell>
        </row>
        <row r="1189">
          <cell r="B1189" t="str">
            <v>В-20329/КЛ.Транш - 2</v>
          </cell>
          <cell r="C1189">
            <v>91170.8</v>
          </cell>
          <cell r="D1189">
            <v>45145</v>
          </cell>
          <cell r="E1189">
            <v>45115</v>
          </cell>
        </row>
        <row r="1190">
          <cell r="B1190" t="str">
            <v>В-25573/КЛ.Транш - 1</v>
          </cell>
          <cell r="C1190">
            <v>30037.07</v>
          </cell>
          <cell r="D1190">
            <v>45145</v>
          </cell>
          <cell r="E1190">
            <v>45147</v>
          </cell>
        </row>
        <row r="1191">
          <cell r="B1191" t="str">
            <v>В-14430/КЛ.Транш - 2</v>
          </cell>
          <cell r="C1191">
            <v>132015.25</v>
          </cell>
          <cell r="D1191">
            <v>45146</v>
          </cell>
          <cell r="E1191">
            <v>45147</v>
          </cell>
        </row>
        <row r="1192">
          <cell r="B1192" t="str">
            <v>В-23362/КЛ.Транш - 1</v>
          </cell>
          <cell r="C1192">
            <v>128600.63</v>
          </cell>
          <cell r="D1192">
            <v>45146</v>
          </cell>
          <cell r="E1192">
            <v>45148</v>
          </cell>
        </row>
        <row r="1193">
          <cell r="B1193" t="str">
            <v>В-19585/КЛ.Транш - 1</v>
          </cell>
          <cell r="C1193">
            <v>84747.61</v>
          </cell>
          <cell r="D1193">
            <v>45146</v>
          </cell>
          <cell r="E1193">
            <v>45155</v>
          </cell>
        </row>
        <row r="1194">
          <cell r="B1194" t="str">
            <v>В-12066/КЛ.Транш - 1</v>
          </cell>
          <cell r="C1194">
            <v>77315.570000000007</v>
          </cell>
          <cell r="D1194">
            <v>45146</v>
          </cell>
          <cell r="E1194">
            <v>45147</v>
          </cell>
        </row>
        <row r="1195">
          <cell r="B1195" t="str">
            <v>В-12067/КЛ.Транш - 1</v>
          </cell>
          <cell r="C1195">
            <v>70868.7</v>
          </cell>
          <cell r="D1195">
            <v>45146</v>
          </cell>
          <cell r="E1195">
            <v>45154</v>
          </cell>
        </row>
        <row r="1196">
          <cell r="B1196" t="str">
            <v>В-24198/КЛ.Транш - 6</v>
          </cell>
          <cell r="C1196">
            <v>18756.330000000002</v>
          </cell>
          <cell r="D1196">
            <v>45146</v>
          </cell>
          <cell r="E1196">
            <v>45148</v>
          </cell>
        </row>
        <row r="1197">
          <cell r="B1197" t="str">
            <v>В-11782/КЛ.Транш - 1</v>
          </cell>
          <cell r="C1197">
            <v>57236.89</v>
          </cell>
          <cell r="D1197">
            <v>45147</v>
          </cell>
          <cell r="E1197">
            <v>45147</v>
          </cell>
        </row>
        <row r="1198">
          <cell r="B1198" t="str">
            <v>В-03761/КЛ.Транш - 1_В-20211230/Ц</v>
          </cell>
          <cell r="C1198">
            <v>36552.78</v>
          </cell>
          <cell r="D1198">
            <v>45147</v>
          </cell>
          <cell r="E1198">
            <v>45244</v>
          </cell>
        </row>
        <row r="1199">
          <cell r="B1199" t="str">
            <v>В-19740/КЛ.Транш - 6</v>
          </cell>
          <cell r="C1199">
            <v>245660.55</v>
          </cell>
          <cell r="D1199">
            <v>45148</v>
          </cell>
          <cell r="E1199">
            <v>45170</v>
          </cell>
        </row>
        <row r="1200">
          <cell r="B1200" t="str">
            <v>В-22935/КЛ.Транш - 2</v>
          </cell>
          <cell r="C1200">
            <v>80630.58</v>
          </cell>
          <cell r="D1200">
            <v>45148</v>
          </cell>
          <cell r="E1200">
            <v>45159</v>
          </cell>
        </row>
        <row r="1201">
          <cell r="B1201" t="str">
            <v>В-13449/КЛ.Транш - 1</v>
          </cell>
          <cell r="C1201">
            <v>68815.08</v>
          </cell>
          <cell r="D1201">
            <v>45148</v>
          </cell>
          <cell r="E1201">
            <v>45149</v>
          </cell>
        </row>
        <row r="1202">
          <cell r="B1202" t="str">
            <v>В-22052/КЛ.Транш - 2</v>
          </cell>
          <cell r="C1202">
            <v>59372.57</v>
          </cell>
          <cell r="D1202">
            <v>45148</v>
          </cell>
          <cell r="E1202">
            <v>45153</v>
          </cell>
        </row>
        <row r="1203">
          <cell r="B1203" t="str">
            <v>В-28968/АЗ</v>
          </cell>
          <cell r="C1203">
            <v>58303.64</v>
          </cell>
          <cell r="D1203">
            <v>45148</v>
          </cell>
          <cell r="E1203">
            <v>45175</v>
          </cell>
        </row>
        <row r="1204">
          <cell r="B1204" t="str">
            <v>В-24618/АЗ</v>
          </cell>
          <cell r="C1204">
            <v>48710.17</v>
          </cell>
          <cell r="D1204">
            <v>45149</v>
          </cell>
          <cell r="E1204">
            <v>45149</v>
          </cell>
        </row>
        <row r="1205">
          <cell r="B1205" t="str">
            <v>В-01211/АЗ</v>
          </cell>
          <cell r="C1205">
            <v>743162.65</v>
          </cell>
          <cell r="D1205">
            <v>45149</v>
          </cell>
          <cell r="E1205">
            <v>45156</v>
          </cell>
        </row>
        <row r="1206">
          <cell r="B1206" t="str">
            <v>В-25807/АЗ</v>
          </cell>
          <cell r="C1206">
            <v>719821.42</v>
          </cell>
          <cell r="D1206">
            <v>45149</v>
          </cell>
          <cell r="E1206">
            <v>45155</v>
          </cell>
        </row>
        <row r="1207">
          <cell r="B1207" t="str">
            <v>В-25810/АЗ</v>
          </cell>
          <cell r="C1207">
            <v>719821.42</v>
          </cell>
          <cell r="D1207">
            <v>45149</v>
          </cell>
          <cell r="E1207">
            <v>45155</v>
          </cell>
        </row>
        <row r="1208">
          <cell r="B1208" t="str">
            <v>В-14728/КЛ.Транш - 8</v>
          </cell>
          <cell r="C1208">
            <v>74538.83</v>
          </cell>
          <cell r="D1208">
            <v>45149</v>
          </cell>
          <cell r="E1208">
            <v>45155</v>
          </cell>
        </row>
        <row r="1209">
          <cell r="B1209" t="str">
            <v>В-12231/КЛ.Транш - 1</v>
          </cell>
          <cell r="C1209">
            <v>102565.62</v>
          </cell>
          <cell r="D1209">
            <v>45149</v>
          </cell>
          <cell r="E1209">
            <v>45162</v>
          </cell>
        </row>
        <row r="1210">
          <cell r="B1210" t="str">
            <v>В-26928/КЛ.Транш - 1</v>
          </cell>
          <cell r="C1210">
            <v>369774.92</v>
          </cell>
          <cell r="D1210">
            <v>45150</v>
          </cell>
          <cell r="E1210">
            <v>45159</v>
          </cell>
        </row>
        <row r="1211">
          <cell r="B1211" t="str">
            <v>В-21321/КЛ.Транш - 1</v>
          </cell>
          <cell r="C1211">
            <v>105215.78</v>
          </cell>
          <cell r="D1211">
            <v>45150</v>
          </cell>
          <cell r="E1211">
            <v>45163</v>
          </cell>
        </row>
        <row r="1212">
          <cell r="B1212" t="str">
            <v>В-01039/АЗ</v>
          </cell>
          <cell r="C1212">
            <v>663288.26</v>
          </cell>
          <cell r="D1212">
            <v>45151</v>
          </cell>
          <cell r="E1212">
            <v>45169</v>
          </cell>
        </row>
        <row r="1213">
          <cell r="B1213" t="str">
            <v>В-17469/КЛ.Транш - 1</v>
          </cell>
          <cell r="C1213">
            <v>661812.79</v>
          </cell>
          <cell r="D1213">
            <v>45151</v>
          </cell>
          <cell r="E1213">
            <v>45237</v>
          </cell>
        </row>
        <row r="1214">
          <cell r="B1214" t="str">
            <v>В-01038/АЗ</v>
          </cell>
          <cell r="C1214">
            <v>640740.25</v>
          </cell>
          <cell r="D1214">
            <v>45151</v>
          </cell>
          <cell r="E1214">
            <v>45169</v>
          </cell>
        </row>
        <row r="1215">
          <cell r="B1215" t="str">
            <v>В-23555/КЛ.Транш - 1</v>
          </cell>
          <cell r="C1215">
            <v>597200.91</v>
          </cell>
          <cell r="D1215">
            <v>45152</v>
          </cell>
          <cell r="E1215">
            <v>45152</v>
          </cell>
        </row>
        <row r="1216">
          <cell r="B1216" t="str">
            <v>В-01024/АЗ</v>
          </cell>
          <cell r="C1216">
            <v>585433.98</v>
          </cell>
          <cell r="D1216">
            <v>45152</v>
          </cell>
          <cell r="E1216">
            <v>45159</v>
          </cell>
        </row>
        <row r="1217">
          <cell r="B1217" t="str">
            <v>В-01023/АЗ</v>
          </cell>
          <cell r="C1217">
            <v>585433.98</v>
          </cell>
          <cell r="D1217">
            <v>45152</v>
          </cell>
          <cell r="E1217">
            <v>45156</v>
          </cell>
        </row>
        <row r="1218">
          <cell r="B1218" t="str">
            <v>В-01022/АЗ</v>
          </cell>
          <cell r="C1218">
            <v>585017.26</v>
          </cell>
          <cell r="D1218">
            <v>45152</v>
          </cell>
          <cell r="E1218">
            <v>45156</v>
          </cell>
        </row>
        <row r="1219">
          <cell r="B1219" t="str">
            <v>В-00054/КЭ.Транш - 1</v>
          </cell>
          <cell r="C1219">
            <v>113238.75</v>
          </cell>
          <cell r="D1219">
            <v>45152</v>
          </cell>
          <cell r="E1219">
            <v>45152</v>
          </cell>
        </row>
        <row r="1220">
          <cell r="B1220" t="str">
            <v>В-23362/КЛ.Транш - 2</v>
          </cell>
          <cell r="C1220">
            <v>88388.1</v>
          </cell>
          <cell r="D1220">
            <v>45152</v>
          </cell>
          <cell r="E1220">
            <v>45155</v>
          </cell>
        </row>
        <row r="1221">
          <cell r="B1221" t="str">
            <v>В-19991/КЛ.Транш - 3</v>
          </cell>
          <cell r="C1221">
            <v>86901.6</v>
          </cell>
          <cell r="D1221">
            <v>45152</v>
          </cell>
          <cell r="E1221">
            <v>45166</v>
          </cell>
        </row>
        <row r="1222">
          <cell r="B1222" t="str">
            <v>В-22052/КЛ.Транш - 1</v>
          </cell>
          <cell r="C1222">
            <v>30177.77</v>
          </cell>
          <cell r="D1222">
            <v>45152</v>
          </cell>
          <cell r="E1222">
            <v>45208</v>
          </cell>
        </row>
        <row r="1223">
          <cell r="B1223" t="str">
            <v>В-02064/КЛ.Транш - 2</v>
          </cell>
          <cell r="C1223">
            <v>251477.93</v>
          </cell>
          <cell r="D1223">
            <v>45153</v>
          </cell>
          <cell r="E1223">
            <v>45154</v>
          </cell>
        </row>
        <row r="1224">
          <cell r="B1224" t="str">
            <v>В-20384/КЛ.Транш - 1</v>
          </cell>
          <cell r="C1224">
            <v>230753.49</v>
          </cell>
          <cell r="D1224">
            <v>45153</v>
          </cell>
          <cell r="E1224">
            <v>45158</v>
          </cell>
        </row>
        <row r="1225">
          <cell r="B1225" t="str">
            <v>В-16067/КЛ.Транш - 1</v>
          </cell>
          <cell r="C1225">
            <v>101195.91</v>
          </cell>
          <cell r="D1225">
            <v>45153</v>
          </cell>
          <cell r="E1225">
            <v>45178</v>
          </cell>
        </row>
        <row r="1226">
          <cell r="B1226" t="str">
            <v>В-11396/КЛ.Транш - 2</v>
          </cell>
          <cell r="C1226">
            <v>274684.81</v>
          </cell>
          <cell r="D1226">
            <v>45154</v>
          </cell>
          <cell r="E1226">
            <v>45160</v>
          </cell>
        </row>
        <row r="1227">
          <cell r="B1227" t="str">
            <v>В-24374/КЛ.Транш - 1</v>
          </cell>
          <cell r="C1227">
            <v>236243.4</v>
          </cell>
          <cell r="D1227">
            <v>45154</v>
          </cell>
          <cell r="E1227">
            <v>45159</v>
          </cell>
        </row>
        <row r="1228">
          <cell r="B1228" t="str">
            <v>В-25981/АЗ</v>
          </cell>
          <cell r="C1228">
            <v>118097.94</v>
          </cell>
          <cell r="D1228">
            <v>45154</v>
          </cell>
          <cell r="E1228">
            <v>45155</v>
          </cell>
        </row>
        <row r="1229">
          <cell r="B1229" t="str">
            <v>В-06345/КЛ.Транш - 1</v>
          </cell>
          <cell r="C1229">
            <v>105559.6</v>
          </cell>
          <cell r="D1229">
            <v>45154</v>
          </cell>
          <cell r="E1229">
            <v>45165</v>
          </cell>
        </row>
        <row r="1230">
          <cell r="B1230" t="str">
            <v>В-19740/КЛ.Транш - 7</v>
          </cell>
          <cell r="C1230">
            <v>98264.3</v>
          </cell>
          <cell r="D1230">
            <v>45154</v>
          </cell>
          <cell r="E1230">
            <v>45170</v>
          </cell>
        </row>
        <row r="1231">
          <cell r="B1231" t="str">
            <v>В-01188/АЗ</v>
          </cell>
          <cell r="C1231">
            <v>66661.320000000007</v>
          </cell>
          <cell r="D1231">
            <v>45154</v>
          </cell>
          <cell r="E1231">
            <v>45173</v>
          </cell>
        </row>
        <row r="1232">
          <cell r="B1232" t="str">
            <v>В-25132/КЛ.Транш - 2</v>
          </cell>
          <cell r="C1232">
            <v>35453.75</v>
          </cell>
          <cell r="D1232">
            <v>45154</v>
          </cell>
          <cell r="E1232">
            <v>45154</v>
          </cell>
        </row>
        <row r="1233">
          <cell r="B1233" t="str">
            <v>В-11277/КЛ.Транш - 1</v>
          </cell>
          <cell r="C1233">
            <v>163268.54999999999</v>
          </cell>
          <cell r="D1233">
            <v>45155</v>
          </cell>
          <cell r="E1233">
            <v>45156</v>
          </cell>
        </row>
        <row r="1234">
          <cell r="B1234" t="str">
            <v>В-20544/КЛ.Транш - 1</v>
          </cell>
          <cell r="C1234">
            <v>538428.31000000006</v>
          </cell>
          <cell r="D1234">
            <v>45156</v>
          </cell>
          <cell r="E1234">
            <v>45162</v>
          </cell>
        </row>
        <row r="1235">
          <cell r="B1235" t="str">
            <v>В-28368/АЗ</v>
          </cell>
          <cell r="C1235">
            <v>458360.47</v>
          </cell>
          <cell r="D1235">
            <v>45156</v>
          </cell>
          <cell r="E1235">
            <v>45162</v>
          </cell>
        </row>
        <row r="1236">
          <cell r="B1236" t="str">
            <v>В-22683/КЛ.Транш - 1</v>
          </cell>
          <cell r="C1236">
            <v>177657.34</v>
          </cell>
          <cell r="D1236">
            <v>45156</v>
          </cell>
          <cell r="E1236">
            <v>45159</v>
          </cell>
        </row>
        <row r="1237">
          <cell r="B1237" t="str">
            <v>В-12574/КЛ.Транш - 1</v>
          </cell>
          <cell r="C1237">
            <v>58089.47</v>
          </cell>
          <cell r="D1237">
            <v>45156</v>
          </cell>
          <cell r="G1237">
            <v>45250</v>
          </cell>
        </row>
        <row r="1238">
          <cell r="B1238" t="str">
            <v>В-27260/АЗ</v>
          </cell>
          <cell r="C1238">
            <v>56177.24</v>
          </cell>
          <cell r="D1238">
            <v>45156</v>
          </cell>
          <cell r="E1238">
            <v>45156</v>
          </cell>
        </row>
        <row r="1239">
          <cell r="B1239" t="str">
            <v>В-07595/КЛ.Транш - 1</v>
          </cell>
          <cell r="C1239">
            <v>45458.559999999998</v>
          </cell>
          <cell r="D1239">
            <v>45156</v>
          </cell>
          <cell r="E1239">
            <v>45205</v>
          </cell>
        </row>
        <row r="1240">
          <cell r="B1240" t="str">
            <v>В-28376/КЛ.Транш - 1</v>
          </cell>
          <cell r="C1240">
            <v>33721.18</v>
          </cell>
          <cell r="D1240">
            <v>45156</v>
          </cell>
          <cell r="E1240">
            <v>45156</v>
          </cell>
        </row>
        <row r="1241">
          <cell r="B1241" t="str">
            <v>В-16934/КЛ.Транш - 1</v>
          </cell>
          <cell r="C1241">
            <v>266150.46999999997</v>
          </cell>
          <cell r="D1241">
            <v>45157</v>
          </cell>
          <cell r="E1241">
            <v>45160</v>
          </cell>
        </row>
        <row r="1242">
          <cell r="B1242" t="str">
            <v>В-19355/КЛ.Транш - 1</v>
          </cell>
          <cell r="C1242">
            <v>96711.62</v>
          </cell>
          <cell r="D1242">
            <v>45157</v>
          </cell>
          <cell r="E1242">
            <v>45169</v>
          </cell>
        </row>
        <row r="1243">
          <cell r="B1243" t="str">
            <v>В-14816/КЛ.Транш - 6</v>
          </cell>
          <cell r="C1243">
            <v>8689.01</v>
          </cell>
          <cell r="D1243">
            <v>45157</v>
          </cell>
          <cell r="E1243">
            <v>45161</v>
          </cell>
        </row>
        <row r="1244">
          <cell r="B1244" t="str">
            <v>В-12574/КЛ.Транш - 3</v>
          </cell>
          <cell r="C1244">
            <v>73664.179999999993</v>
          </cell>
          <cell r="D1244">
            <v>45158</v>
          </cell>
          <cell r="G1244">
            <v>45250</v>
          </cell>
        </row>
        <row r="1245">
          <cell r="B1245" t="str">
            <v>В-24956/КЛ.Транш - 1</v>
          </cell>
          <cell r="C1245">
            <v>59094.55</v>
          </cell>
          <cell r="D1245">
            <v>45158</v>
          </cell>
          <cell r="E1245">
            <v>45166</v>
          </cell>
        </row>
        <row r="1246">
          <cell r="B1246" t="str">
            <v>В-22744/КЛ.Транш - 1</v>
          </cell>
          <cell r="C1246">
            <v>49710.51</v>
          </cell>
          <cell r="D1246">
            <v>45158</v>
          </cell>
          <cell r="E1246">
            <v>45167</v>
          </cell>
        </row>
        <row r="1247">
          <cell r="B1247" t="str">
            <v>В-26172/АЗ</v>
          </cell>
          <cell r="C1247">
            <v>483784.32</v>
          </cell>
          <cell r="D1247">
            <v>45159</v>
          </cell>
          <cell r="E1247">
            <v>45161</v>
          </cell>
        </row>
        <row r="1248">
          <cell r="B1248" t="str">
            <v>В-26604/КЛ.Транш - 1</v>
          </cell>
          <cell r="C1248">
            <v>408529.8</v>
          </cell>
          <cell r="D1248">
            <v>45159</v>
          </cell>
          <cell r="E1248">
            <v>45160</v>
          </cell>
        </row>
        <row r="1249">
          <cell r="B1249" t="str">
            <v>В-27065/АЗ</v>
          </cell>
          <cell r="C1249">
            <v>326823.64</v>
          </cell>
          <cell r="D1249">
            <v>45159</v>
          </cell>
          <cell r="E1249">
            <v>45165</v>
          </cell>
        </row>
        <row r="1250">
          <cell r="B1250" t="str">
            <v>В-22409/КЛ.Транш - 1</v>
          </cell>
          <cell r="C1250">
            <v>173551.16</v>
          </cell>
          <cell r="D1250">
            <v>45159</v>
          </cell>
          <cell r="G1250">
            <v>45251</v>
          </cell>
        </row>
        <row r="1251">
          <cell r="B1251" t="str">
            <v>В-15831/КЛ.Транш - 1</v>
          </cell>
          <cell r="C1251">
            <v>153207.93</v>
          </cell>
          <cell r="D1251">
            <v>45159</v>
          </cell>
          <cell r="E1251">
            <v>45159</v>
          </cell>
        </row>
        <row r="1252">
          <cell r="B1252" t="str">
            <v>В-21568/КЛ.Транш - 1</v>
          </cell>
          <cell r="C1252">
            <v>131438.9</v>
          </cell>
          <cell r="D1252">
            <v>45159</v>
          </cell>
          <cell r="E1252">
            <v>45176</v>
          </cell>
        </row>
        <row r="1253">
          <cell r="B1253" t="str">
            <v>В-21245/КЛ.Транш - 2</v>
          </cell>
          <cell r="C1253">
            <v>34601.51</v>
          </cell>
          <cell r="D1253">
            <v>45159</v>
          </cell>
          <cell r="E1253">
            <v>45160</v>
          </cell>
        </row>
        <row r="1254">
          <cell r="B1254" t="str">
            <v>В-28549/АЗ</v>
          </cell>
          <cell r="C1254">
            <v>186366.76</v>
          </cell>
          <cell r="D1254">
            <v>45160</v>
          </cell>
          <cell r="E1254">
            <v>45222</v>
          </cell>
        </row>
        <row r="1255">
          <cell r="B1255" t="str">
            <v>В-23555/КЛ.Транш - 2</v>
          </cell>
          <cell r="C1255">
            <v>132060.85999999999</v>
          </cell>
          <cell r="D1255">
            <v>45160</v>
          </cell>
          <cell r="E1255">
            <v>45161</v>
          </cell>
        </row>
        <row r="1256">
          <cell r="B1256" t="str">
            <v>В-12256/КЛ.Транш - 1</v>
          </cell>
          <cell r="C1256">
            <v>129429.49</v>
          </cell>
          <cell r="D1256">
            <v>45160</v>
          </cell>
          <cell r="G1256">
            <v>45252</v>
          </cell>
        </row>
        <row r="1257">
          <cell r="B1257" t="str">
            <v>В-28538/КЛ.Транш - 1</v>
          </cell>
          <cell r="C1257">
            <v>114589.93</v>
          </cell>
          <cell r="D1257">
            <v>45160</v>
          </cell>
          <cell r="E1257">
            <v>45162</v>
          </cell>
        </row>
        <row r="1258">
          <cell r="B1258" t="str">
            <v>В-23370/КЛ.Транш - 1</v>
          </cell>
          <cell r="C1258">
            <v>90026.27</v>
          </cell>
          <cell r="D1258">
            <v>45160</v>
          </cell>
          <cell r="E1258">
            <v>45167</v>
          </cell>
        </row>
        <row r="1259">
          <cell r="B1259" t="str">
            <v>В-14216/КЛ.Транш - 4</v>
          </cell>
          <cell r="C1259">
            <v>81279.81</v>
          </cell>
          <cell r="D1259">
            <v>45160</v>
          </cell>
          <cell r="E1259">
            <v>45161</v>
          </cell>
        </row>
        <row r="1260">
          <cell r="B1260" t="str">
            <v>В-14816/КЛ.Транш - 1</v>
          </cell>
          <cell r="C1260">
            <v>23174.23</v>
          </cell>
          <cell r="D1260">
            <v>45160</v>
          </cell>
          <cell r="E1260">
            <v>45173</v>
          </cell>
        </row>
        <row r="1261">
          <cell r="B1261" t="str">
            <v>В-16242/КЛ.Транш - 2</v>
          </cell>
          <cell r="C1261">
            <v>227407.95</v>
          </cell>
          <cell r="D1261">
            <v>45161</v>
          </cell>
          <cell r="E1261">
            <v>45164</v>
          </cell>
        </row>
        <row r="1262">
          <cell r="B1262" t="str">
            <v>В-21245/КЛ.Транш - 3</v>
          </cell>
          <cell r="C1262">
            <v>70472.899999999994</v>
          </cell>
          <cell r="D1262">
            <v>45161</v>
          </cell>
          <cell r="E1262">
            <v>45161</v>
          </cell>
        </row>
        <row r="1263">
          <cell r="B1263" t="str">
            <v>В-28598/КЛ.Транш - 1</v>
          </cell>
          <cell r="C1263">
            <v>720582.18</v>
          </cell>
          <cell r="D1263">
            <v>45162</v>
          </cell>
          <cell r="E1263">
            <v>45206</v>
          </cell>
        </row>
        <row r="1264">
          <cell r="B1264" t="str">
            <v>В-10022/КЭ.Транш - 1</v>
          </cell>
          <cell r="C1264">
            <v>291975.17</v>
          </cell>
          <cell r="D1264">
            <v>45162</v>
          </cell>
          <cell r="E1264">
            <v>45162</v>
          </cell>
        </row>
        <row r="1265">
          <cell r="B1265" t="str">
            <v>В-10495/КЛ.Транш - 1</v>
          </cell>
          <cell r="C1265">
            <v>115003.61</v>
          </cell>
          <cell r="D1265">
            <v>45162</v>
          </cell>
          <cell r="E1265">
            <v>45166</v>
          </cell>
        </row>
        <row r="1266">
          <cell r="B1266" t="str">
            <v>В-00065/КЭ.Транш - 1</v>
          </cell>
          <cell r="C1266">
            <v>39226.699999999997</v>
          </cell>
          <cell r="D1266">
            <v>45162</v>
          </cell>
          <cell r="E1266">
            <v>45174</v>
          </cell>
        </row>
        <row r="1267">
          <cell r="B1267" t="str">
            <v>В-14816/КЛ.Транш - 4</v>
          </cell>
          <cell r="C1267">
            <v>3825.86</v>
          </cell>
          <cell r="D1267">
            <v>45162</v>
          </cell>
          <cell r="E1267">
            <v>45173</v>
          </cell>
        </row>
        <row r="1268">
          <cell r="B1268" t="str">
            <v>В-00955/АЗ</v>
          </cell>
          <cell r="C1268">
            <v>261886.36</v>
          </cell>
          <cell r="D1268">
            <v>45163</v>
          </cell>
          <cell r="E1268">
            <v>45164</v>
          </cell>
        </row>
        <row r="1269">
          <cell r="B1269" t="str">
            <v>В-22935/КЛ.Транш - 1</v>
          </cell>
          <cell r="C1269">
            <v>182834.63</v>
          </cell>
          <cell r="D1269">
            <v>45163</v>
          </cell>
          <cell r="E1269">
            <v>45189</v>
          </cell>
        </row>
        <row r="1270">
          <cell r="B1270" t="str">
            <v>В-24580/КЛ.Транш - 1</v>
          </cell>
          <cell r="C1270">
            <v>129314.42</v>
          </cell>
          <cell r="D1270">
            <v>45163</v>
          </cell>
          <cell r="E1270">
            <v>45169</v>
          </cell>
        </row>
        <row r="1271">
          <cell r="B1271" t="str">
            <v>В-22979/КЛ.Транш - 1</v>
          </cell>
          <cell r="C1271">
            <v>274252.31</v>
          </cell>
          <cell r="D1271">
            <v>45164</v>
          </cell>
          <cell r="E1271">
            <v>45182</v>
          </cell>
        </row>
        <row r="1272">
          <cell r="B1272" t="str">
            <v>В-19593/КЛ.Транш - 1</v>
          </cell>
          <cell r="C1272">
            <v>249536.73</v>
          </cell>
          <cell r="D1272">
            <v>45164</v>
          </cell>
          <cell r="E1272">
            <v>45170</v>
          </cell>
        </row>
        <row r="1273">
          <cell r="B1273" t="str">
            <v>В-19740/КЛ.Транш - 8</v>
          </cell>
          <cell r="C1273">
            <v>141256.18</v>
          </cell>
          <cell r="D1273">
            <v>45164</v>
          </cell>
          <cell r="E1273">
            <v>45170</v>
          </cell>
        </row>
        <row r="1274">
          <cell r="B1274" t="str">
            <v>В-26517/КЛ.Транш - 1</v>
          </cell>
          <cell r="C1274">
            <v>107799.97</v>
          </cell>
          <cell r="D1274">
            <v>45164</v>
          </cell>
          <cell r="E1274">
            <v>45231</v>
          </cell>
        </row>
        <row r="1275">
          <cell r="B1275" t="str">
            <v>В-23370/КЛ.Транш - 2</v>
          </cell>
          <cell r="C1275">
            <v>97246.87</v>
          </cell>
          <cell r="D1275">
            <v>45164</v>
          </cell>
          <cell r="E1275">
            <v>45169</v>
          </cell>
        </row>
        <row r="1276">
          <cell r="B1276" t="str">
            <v>В-17469/КЛ.Транш - 2</v>
          </cell>
          <cell r="C1276">
            <v>74685.58</v>
          </cell>
          <cell r="D1276">
            <v>45164</v>
          </cell>
          <cell r="E1276">
            <v>45237</v>
          </cell>
        </row>
        <row r="1277">
          <cell r="B1277" t="str">
            <v>В-12813/КЛ.Транш - 1</v>
          </cell>
          <cell r="C1277">
            <v>580897.81999999995</v>
          </cell>
          <cell r="D1277">
            <v>45165</v>
          </cell>
          <cell r="E1277">
            <v>45180</v>
          </cell>
        </row>
        <row r="1278">
          <cell r="B1278" t="str">
            <v>В-12574/КЛ.Транш - 2</v>
          </cell>
          <cell r="C1278">
            <v>68136.69</v>
          </cell>
          <cell r="D1278">
            <v>45165</v>
          </cell>
          <cell r="G1278">
            <v>45250</v>
          </cell>
        </row>
        <row r="1279">
          <cell r="B1279" t="str">
            <v>В-26125/АЗ</v>
          </cell>
          <cell r="C1279">
            <v>806915.13</v>
          </cell>
          <cell r="D1279">
            <v>45166</v>
          </cell>
          <cell r="E1279">
            <v>45167</v>
          </cell>
        </row>
        <row r="1280">
          <cell r="B1280" t="str">
            <v>В-27646/КЛ.Транш - 1</v>
          </cell>
          <cell r="C1280">
            <v>366571.12</v>
          </cell>
          <cell r="D1280">
            <v>45166</v>
          </cell>
          <cell r="E1280">
            <v>45188</v>
          </cell>
        </row>
        <row r="1281">
          <cell r="B1281" t="str">
            <v>В-22864/КЛ.Транш - 1</v>
          </cell>
          <cell r="C1281">
            <v>232723.87</v>
          </cell>
          <cell r="D1281">
            <v>45166</v>
          </cell>
          <cell r="E1281">
            <v>45169</v>
          </cell>
        </row>
        <row r="1282">
          <cell r="B1282" t="str">
            <v>В-21987/КЛ.Транш - 1</v>
          </cell>
          <cell r="C1282">
            <v>24499.919999999998</v>
          </cell>
          <cell r="D1282">
            <v>45166</v>
          </cell>
          <cell r="E1282">
            <v>45167</v>
          </cell>
        </row>
        <row r="1283">
          <cell r="B1283" t="str">
            <v>В-17916/КЛ.Транш - 1</v>
          </cell>
          <cell r="C1283">
            <v>144060.1</v>
          </cell>
          <cell r="D1283">
            <v>45166</v>
          </cell>
          <cell r="E1283">
            <v>45166</v>
          </cell>
        </row>
        <row r="1284">
          <cell r="B1284" t="str">
            <v>В-16057/КЛ.Транш - 6</v>
          </cell>
          <cell r="C1284">
            <v>326542.99</v>
          </cell>
          <cell r="D1284">
            <v>45167</v>
          </cell>
          <cell r="E1284">
            <v>45169</v>
          </cell>
        </row>
        <row r="1285">
          <cell r="B1285" t="str">
            <v>В-01160/АЗ</v>
          </cell>
          <cell r="C1285">
            <v>258502.04</v>
          </cell>
          <cell r="D1285">
            <v>45167</v>
          </cell>
          <cell r="E1285">
            <v>45169</v>
          </cell>
        </row>
        <row r="1286">
          <cell r="B1286" t="str">
            <v>В-02064/КЛ.Транш - 3</v>
          </cell>
          <cell r="C1286">
            <v>200625.14</v>
          </cell>
          <cell r="D1286">
            <v>45167</v>
          </cell>
          <cell r="E1286">
            <v>45175</v>
          </cell>
        </row>
        <row r="1287">
          <cell r="B1287" t="str">
            <v>В-08454/КЛ.Транш - 1</v>
          </cell>
          <cell r="C1287">
            <v>30244.240000000002</v>
          </cell>
          <cell r="D1287">
            <v>45167</v>
          </cell>
          <cell r="E1287">
            <v>45169</v>
          </cell>
        </row>
        <row r="1288">
          <cell r="B1288" t="str">
            <v>В-25573/КЛ.Транш - 2</v>
          </cell>
          <cell r="C1288">
            <v>29462.65</v>
          </cell>
          <cell r="D1288">
            <v>45167</v>
          </cell>
          <cell r="E1288">
            <v>45183</v>
          </cell>
        </row>
        <row r="1289">
          <cell r="B1289" t="str">
            <v>В-21960/КЛ.Транш - 1</v>
          </cell>
          <cell r="C1289">
            <v>236718.26</v>
          </cell>
          <cell r="D1289">
            <v>45169</v>
          </cell>
          <cell r="E1289">
            <v>45177</v>
          </cell>
        </row>
        <row r="1290">
          <cell r="B1290" t="str">
            <v>В-05253/КЛ.Транш - 4</v>
          </cell>
          <cell r="C1290">
            <v>123509.2</v>
          </cell>
          <cell r="D1290">
            <v>45169</v>
          </cell>
          <cell r="E1290">
            <v>45175</v>
          </cell>
        </row>
        <row r="1291">
          <cell r="B1291" t="str">
            <v>В-26743/КЛ.Транш - 1</v>
          </cell>
          <cell r="C1291">
            <v>36214.910000000003</v>
          </cell>
          <cell r="D1291">
            <v>45169</v>
          </cell>
          <cell r="E1291">
            <v>45170</v>
          </cell>
        </row>
        <row r="1292">
          <cell r="B1292" t="str">
            <v>В-14816/КЛ.Транш - 5</v>
          </cell>
          <cell r="C1292">
            <v>9782.89</v>
          </cell>
          <cell r="D1292">
            <v>45169</v>
          </cell>
          <cell r="E1292">
            <v>45177</v>
          </cell>
        </row>
        <row r="1293">
          <cell r="B1293" t="str">
            <v>В-18600/КЛ.Транш - 1</v>
          </cell>
          <cell r="C1293">
            <v>778222.23</v>
          </cell>
          <cell r="D1293">
            <v>45170</v>
          </cell>
          <cell r="E1293">
            <v>45170</v>
          </cell>
        </row>
        <row r="1294">
          <cell r="B1294" t="str">
            <v>В-25407/КЛ.Транш - 1</v>
          </cell>
          <cell r="C1294">
            <v>20420.36</v>
          </cell>
          <cell r="D1294">
            <v>45171</v>
          </cell>
          <cell r="E1294">
            <v>45171</v>
          </cell>
        </row>
        <row r="1295">
          <cell r="B1295" t="str">
            <v>В-19880/КЛ.Транш - 1</v>
          </cell>
          <cell r="C1295">
            <v>430801.19</v>
          </cell>
          <cell r="D1295">
            <v>45171</v>
          </cell>
          <cell r="E1295">
            <v>45175</v>
          </cell>
        </row>
        <row r="1296">
          <cell r="B1296" t="str">
            <v>В-23923/КЛ.Транш - 1</v>
          </cell>
          <cell r="C1296">
            <v>251065.36</v>
          </cell>
          <cell r="D1296">
            <v>45171</v>
          </cell>
          <cell r="G1296">
            <v>45260</v>
          </cell>
        </row>
        <row r="1297">
          <cell r="B1297" t="str">
            <v>В-22205/КЛ.Транш - 1</v>
          </cell>
          <cell r="C1297">
            <v>308560.51</v>
          </cell>
          <cell r="D1297">
            <v>45172</v>
          </cell>
          <cell r="E1297">
            <v>45172</v>
          </cell>
        </row>
        <row r="1298">
          <cell r="B1298" t="str">
            <v>В-23229/АЗ</v>
          </cell>
          <cell r="C1298">
            <v>181065.91</v>
          </cell>
          <cell r="D1298">
            <v>45172</v>
          </cell>
          <cell r="E1298">
            <v>45172</v>
          </cell>
        </row>
        <row r="1299">
          <cell r="B1299" t="str">
            <v>В-27315/КЛ.Транш - 1</v>
          </cell>
          <cell r="C1299">
            <v>391430.87</v>
          </cell>
          <cell r="D1299">
            <v>45172</v>
          </cell>
          <cell r="E1299">
            <v>45258</v>
          </cell>
        </row>
        <row r="1300">
          <cell r="B1300" t="str">
            <v>В-28906/КЛ.Транш - 1</v>
          </cell>
          <cell r="C1300">
            <v>105606.13</v>
          </cell>
          <cell r="D1300">
            <v>45172</v>
          </cell>
          <cell r="E1300">
            <v>45179</v>
          </cell>
        </row>
        <row r="1301">
          <cell r="B1301" t="str">
            <v>В-14816/КЛ.Транш - 7</v>
          </cell>
          <cell r="C1301">
            <v>16095.19</v>
          </cell>
          <cell r="D1301">
            <v>45172</v>
          </cell>
          <cell r="E1301">
            <v>45177</v>
          </cell>
        </row>
        <row r="1302">
          <cell r="B1302" t="str">
            <v>В-22101/КЛ.Транш - 1</v>
          </cell>
          <cell r="C1302">
            <v>11705.99</v>
          </cell>
          <cell r="D1302">
            <v>45172</v>
          </cell>
          <cell r="E1302">
            <v>45173</v>
          </cell>
        </row>
        <row r="1303">
          <cell r="B1303" t="str">
            <v>В-08368/КЛ.Транш - 2</v>
          </cell>
          <cell r="C1303">
            <v>30436.43</v>
          </cell>
          <cell r="D1303">
            <v>45173</v>
          </cell>
          <cell r="E1303">
            <v>45189</v>
          </cell>
        </row>
        <row r="1304">
          <cell r="B1304" t="str">
            <v>В-14216/КЛ.Транш - 1</v>
          </cell>
          <cell r="C1304">
            <v>46544.81</v>
          </cell>
          <cell r="D1304">
            <v>45173</v>
          </cell>
          <cell r="E1304">
            <v>45173</v>
          </cell>
        </row>
        <row r="1305">
          <cell r="B1305" t="str">
            <v>В-27929/КЛ.Транш - 1</v>
          </cell>
          <cell r="C1305">
            <v>145567.35999999999</v>
          </cell>
          <cell r="D1305">
            <v>45174</v>
          </cell>
          <cell r="E1305">
            <v>45174</v>
          </cell>
        </row>
        <row r="1306">
          <cell r="B1306" t="str">
            <v>В-14168/КЛ.Транш - 4</v>
          </cell>
          <cell r="C1306">
            <v>81968.149999999994</v>
          </cell>
          <cell r="D1306">
            <v>45174</v>
          </cell>
          <cell r="E1306">
            <v>45182</v>
          </cell>
        </row>
        <row r="1307">
          <cell r="B1307" t="str">
            <v>В-11948/КЛ.Транш - 1</v>
          </cell>
          <cell r="C1307">
            <v>62081.97</v>
          </cell>
          <cell r="D1307">
            <v>45174</v>
          </cell>
          <cell r="E1307">
            <v>45175</v>
          </cell>
        </row>
        <row r="1308">
          <cell r="B1308" t="str">
            <v>В-19286/КЛ.Транш - 1</v>
          </cell>
          <cell r="C1308">
            <v>387118.84</v>
          </cell>
          <cell r="D1308">
            <v>45175</v>
          </cell>
          <cell r="E1308">
            <v>45195</v>
          </cell>
        </row>
        <row r="1309">
          <cell r="B1309" t="str">
            <v>В-16455/КЛ.Транш - 1</v>
          </cell>
          <cell r="C1309">
            <v>184961.14</v>
          </cell>
          <cell r="D1309">
            <v>45175</v>
          </cell>
          <cell r="E1309">
            <v>45177</v>
          </cell>
        </row>
        <row r="1310">
          <cell r="B1310" t="str">
            <v>В-12789/КЛ.Транш - 1</v>
          </cell>
          <cell r="C1310">
            <v>77639.8</v>
          </cell>
          <cell r="D1310">
            <v>45175</v>
          </cell>
          <cell r="E1310">
            <v>45180</v>
          </cell>
        </row>
        <row r="1311">
          <cell r="B1311" t="str">
            <v>В-10909/КЛ.Транш - 1</v>
          </cell>
          <cell r="C1311">
            <v>21122.17</v>
          </cell>
          <cell r="D1311">
            <v>45175</v>
          </cell>
          <cell r="E1311">
            <v>45176</v>
          </cell>
        </row>
        <row r="1312">
          <cell r="B1312" t="str">
            <v>В-25573/КЛ.Транш - 1</v>
          </cell>
          <cell r="C1312">
            <v>24472.89</v>
          </cell>
          <cell r="D1312">
            <v>45176</v>
          </cell>
          <cell r="E1312">
            <v>45184</v>
          </cell>
        </row>
        <row r="1313">
          <cell r="B1313" t="str">
            <v>В-14430/КЛ.Транш - 2</v>
          </cell>
          <cell r="C1313">
            <v>116039.22</v>
          </cell>
          <cell r="D1313">
            <v>45177</v>
          </cell>
          <cell r="E1313">
            <v>45182</v>
          </cell>
        </row>
        <row r="1314">
          <cell r="B1314" t="str">
            <v>В-23362/КЛ.Транш - 1</v>
          </cell>
          <cell r="C1314">
            <v>88846.69</v>
          </cell>
          <cell r="D1314">
            <v>45177</v>
          </cell>
          <cell r="E1314">
            <v>45188</v>
          </cell>
        </row>
        <row r="1315">
          <cell r="B1315" t="str">
            <v>В-19585/КЛ.Транш - 1</v>
          </cell>
          <cell r="C1315">
            <v>79353.14</v>
          </cell>
          <cell r="D1315">
            <v>45177</v>
          </cell>
          <cell r="E1315">
            <v>45250</v>
          </cell>
        </row>
        <row r="1316">
          <cell r="B1316" t="str">
            <v>В-12066/КЛ.Транш - 1</v>
          </cell>
          <cell r="C1316">
            <v>75151.570000000007</v>
          </cell>
          <cell r="D1316">
            <v>45177</v>
          </cell>
          <cell r="E1316">
            <v>45190</v>
          </cell>
        </row>
        <row r="1317">
          <cell r="B1317" t="str">
            <v>В-12067/КЛ.Транш - 1</v>
          </cell>
          <cell r="C1317">
            <v>68289.789999999994</v>
          </cell>
          <cell r="D1317">
            <v>45177</v>
          </cell>
          <cell r="E1317">
            <v>45183</v>
          </cell>
        </row>
        <row r="1318">
          <cell r="B1318" t="str">
            <v>В-11782/КЛ.Транш - 1</v>
          </cell>
          <cell r="C1318">
            <v>46680.160000000003</v>
          </cell>
          <cell r="D1318">
            <v>45178</v>
          </cell>
          <cell r="E1318">
            <v>45179</v>
          </cell>
        </row>
        <row r="1319">
          <cell r="B1319" t="str">
            <v>В-13449/КЛ.Транш - 1</v>
          </cell>
          <cell r="C1319">
            <v>66603.64</v>
          </cell>
          <cell r="D1319">
            <v>45179</v>
          </cell>
          <cell r="E1319">
            <v>45179</v>
          </cell>
        </row>
        <row r="1320">
          <cell r="B1320" t="str">
            <v>В-18958/КЛ.Транш - 1</v>
          </cell>
          <cell r="C1320">
            <v>314016.03999999998</v>
          </cell>
          <cell r="D1320">
            <v>45179</v>
          </cell>
          <cell r="E1320">
            <v>45179</v>
          </cell>
        </row>
        <row r="1321">
          <cell r="B1321" t="str">
            <v>В-22935/КЛ.Транш - 2</v>
          </cell>
          <cell r="C1321">
            <v>79204.38</v>
          </cell>
          <cell r="D1321">
            <v>45179</v>
          </cell>
          <cell r="E1321">
            <v>45189</v>
          </cell>
        </row>
        <row r="1322">
          <cell r="B1322" t="str">
            <v>В-28968/АЗ</v>
          </cell>
          <cell r="C1322">
            <v>53311.98</v>
          </cell>
          <cell r="D1322">
            <v>45179</v>
          </cell>
          <cell r="E1322">
            <v>45204</v>
          </cell>
        </row>
        <row r="1323">
          <cell r="B1323" t="str">
            <v>В-22052/КЛ.Транш - 2</v>
          </cell>
          <cell r="C1323">
            <v>50839.45</v>
          </cell>
          <cell r="D1323">
            <v>45179</v>
          </cell>
          <cell r="E1323">
            <v>45194</v>
          </cell>
        </row>
        <row r="1324">
          <cell r="B1324" t="str">
            <v>В-00036/КЭ.Транш - 2</v>
          </cell>
          <cell r="C1324">
            <v>775532.59</v>
          </cell>
          <cell r="D1324">
            <v>45180</v>
          </cell>
          <cell r="E1324">
            <v>45182</v>
          </cell>
        </row>
        <row r="1325">
          <cell r="B1325" t="str">
            <v>В-01211/АЗ</v>
          </cell>
          <cell r="C1325">
            <v>726180.24</v>
          </cell>
          <cell r="D1325">
            <v>45180</v>
          </cell>
          <cell r="E1325">
            <v>45180</v>
          </cell>
        </row>
        <row r="1326">
          <cell r="B1326" t="str">
            <v>В-25807/АЗ</v>
          </cell>
          <cell r="C1326">
            <v>695303.71</v>
          </cell>
          <cell r="D1326">
            <v>45180</v>
          </cell>
          <cell r="E1326">
            <v>45188</v>
          </cell>
        </row>
        <row r="1327">
          <cell r="B1327" t="str">
            <v>В-25810/АЗ</v>
          </cell>
          <cell r="C1327">
            <v>695303.71</v>
          </cell>
          <cell r="D1327">
            <v>45180</v>
          </cell>
          <cell r="E1327">
            <v>45190</v>
          </cell>
        </row>
        <row r="1328">
          <cell r="B1328" t="str">
            <v>В-24071/КЛ.Транш - 1</v>
          </cell>
          <cell r="C1328">
            <v>512651.46</v>
          </cell>
          <cell r="D1328">
            <v>45180</v>
          </cell>
          <cell r="E1328">
            <v>45186</v>
          </cell>
        </row>
        <row r="1329">
          <cell r="B1329" t="str">
            <v>В-12098/КЛ.Транш - 1</v>
          </cell>
          <cell r="C1329">
            <v>372489.37</v>
          </cell>
          <cell r="D1329">
            <v>45180</v>
          </cell>
          <cell r="E1329">
            <v>45180</v>
          </cell>
        </row>
        <row r="1330">
          <cell r="B1330" t="str">
            <v>В-24618/АЗ</v>
          </cell>
          <cell r="C1330">
            <v>37219.9</v>
          </cell>
          <cell r="D1330">
            <v>45180</v>
          </cell>
          <cell r="E1330">
            <v>45180</v>
          </cell>
        </row>
        <row r="1331">
          <cell r="B1331" t="str">
            <v>В-24610/КЛ.Транш - 1</v>
          </cell>
          <cell r="C1331">
            <v>34169.519999999997</v>
          </cell>
          <cell r="D1331">
            <v>45180</v>
          </cell>
          <cell r="E1331">
            <v>45180</v>
          </cell>
        </row>
        <row r="1332">
          <cell r="B1332" t="str">
            <v>В-26928/КЛ.Транш - 1</v>
          </cell>
          <cell r="C1332">
            <v>315317.02</v>
          </cell>
          <cell r="D1332">
            <v>45181</v>
          </cell>
          <cell r="E1332">
            <v>45201</v>
          </cell>
        </row>
        <row r="1333">
          <cell r="B1333" t="str">
            <v>В-25852/КЛ.Транш - 1</v>
          </cell>
          <cell r="C1333">
            <v>116416.98</v>
          </cell>
          <cell r="D1333">
            <v>45181</v>
          </cell>
          <cell r="E1333">
            <v>45185</v>
          </cell>
        </row>
        <row r="1334">
          <cell r="B1334" t="str">
            <v>В-21321/КЛ.Транш - 1</v>
          </cell>
          <cell r="C1334">
            <v>92257.39</v>
          </cell>
          <cell r="D1334">
            <v>45181</v>
          </cell>
          <cell r="E1334">
            <v>45195</v>
          </cell>
        </row>
        <row r="1335">
          <cell r="B1335" t="str">
            <v>В-23085/КЛ.Транш - 1</v>
          </cell>
          <cell r="C1335">
            <v>133122.79999999999</v>
          </cell>
          <cell r="D1335">
            <v>45181</v>
          </cell>
          <cell r="E1335">
            <v>45181</v>
          </cell>
        </row>
        <row r="1336">
          <cell r="B1336" t="str">
            <v>В-01039/АЗ</v>
          </cell>
          <cell r="C1336">
            <v>638536.80000000005</v>
          </cell>
          <cell r="D1336">
            <v>45182</v>
          </cell>
          <cell r="E1336">
            <v>45210</v>
          </cell>
        </row>
        <row r="1337">
          <cell r="B1337" t="str">
            <v>В-01038/АЗ</v>
          </cell>
          <cell r="C1337">
            <v>615836.44999999995</v>
          </cell>
          <cell r="D1337">
            <v>45182</v>
          </cell>
          <cell r="E1337">
            <v>45201</v>
          </cell>
        </row>
        <row r="1338">
          <cell r="B1338" t="str">
            <v>В-23555/КЛ.Транш - 1</v>
          </cell>
          <cell r="C1338">
            <v>587785.99</v>
          </cell>
          <cell r="D1338">
            <v>45183</v>
          </cell>
          <cell r="E1338">
            <v>45183</v>
          </cell>
        </row>
        <row r="1339">
          <cell r="B1339" t="str">
            <v>В-01024/АЗ</v>
          </cell>
          <cell r="C1339">
            <v>559394.4</v>
          </cell>
          <cell r="D1339">
            <v>45183</v>
          </cell>
          <cell r="E1339">
            <v>45183</v>
          </cell>
        </row>
        <row r="1340">
          <cell r="B1340" t="str">
            <v>В-01023/АЗ</v>
          </cell>
          <cell r="C1340">
            <v>533149.5</v>
          </cell>
          <cell r="D1340">
            <v>45183</v>
          </cell>
          <cell r="E1340">
            <v>45184</v>
          </cell>
        </row>
        <row r="1341">
          <cell r="B1341" t="str">
            <v>В-28235/АЗ</v>
          </cell>
          <cell r="C1341">
            <v>168244.8</v>
          </cell>
          <cell r="D1341">
            <v>45183</v>
          </cell>
          <cell r="E1341">
            <v>45183</v>
          </cell>
        </row>
        <row r="1342">
          <cell r="B1342" t="str">
            <v>В-23362/КЛ.Транш - 2</v>
          </cell>
          <cell r="C1342">
            <v>72128.34</v>
          </cell>
          <cell r="D1342">
            <v>45183</v>
          </cell>
          <cell r="E1342">
            <v>45183</v>
          </cell>
        </row>
        <row r="1343">
          <cell r="B1343" t="str">
            <v>В-00054/КЭ.Транш - 1</v>
          </cell>
          <cell r="C1343">
            <v>57395.12</v>
          </cell>
          <cell r="D1343">
            <v>45183</v>
          </cell>
          <cell r="E1343">
            <v>45189</v>
          </cell>
        </row>
        <row r="1344">
          <cell r="B1344" t="str">
            <v>В-26197/КЛ.Транш - 2</v>
          </cell>
          <cell r="C1344">
            <v>148128.87</v>
          </cell>
          <cell r="D1344">
            <v>45183</v>
          </cell>
          <cell r="E1344">
            <v>45183</v>
          </cell>
        </row>
        <row r="1345">
          <cell r="B1345" t="str">
            <v>В-02064/КЛ.Транш - 2</v>
          </cell>
          <cell r="C1345">
            <v>234075.74</v>
          </cell>
          <cell r="D1345">
            <v>45184</v>
          </cell>
          <cell r="E1345">
            <v>45212</v>
          </cell>
        </row>
        <row r="1346">
          <cell r="B1346" t="str">
            <v>В-20384/КЛ.Транш - 1</v>
          </cell>
          <cell r="C1346">
            <v>230753.49</v>
          </cell>
          <cell r="D1346">
            <v>45184</v>
          </cell>
          <cell r="E1346">
            <v>45189</v>
          </cell>
        </row>
        <row r="1347">
          <cell r="B1347" t="str">
            <v>В-16067/КЛ.Транш - 1</v>
          </cell>
          <cell r="C1347">
            <v>98160.13</v>
          </cell>
          <cell r="D1347">
            <v>45184</v>
          </cell>
          <cell r="E1347">
            <v>45210</v>
          </cell>
        </row>
        <row r="1348">
          <cell r="B1348" t="str">
            <v>В-06345/КЛ.Транш - 1</v>
          </cell>
          <cell r="C1348">
            <v>99371.75</v>
          </cell>
          <cell r="D1348">
            <v>45185</v>
          </cell>
          <cell r="E1348">
            <v>45186</v>
          </cell>
        </row>
        <row r="1349">
          <cell r="B1349" t="str">
            <v>В-01188/АЗ</v>
          </cell>
          <cell r="C1349">
            <v>62452.81</v>
          </cell>
          <cell r="D1349">
            <v>45185</v>
          </cell>
          <cell r="E1349">
            <v>45198</v>
          </cell>
        </row>
        <row r="1350">
          <cell r="B1350" t="str">
            <v>В-21306/КЛ.Транш - 1</v>
          </cell>
          <cell r="C1350">
            <v>144446.07</v>
          </cell>
          <cell r="D1350">
            <v>45185</v>
          </cell>
          <cell r="E1350">
            <v>45187</v>
          </cell>
        </row>
        <row r="1351">
          <cell r="B1351" t="str">
            <v>В-24687/КЛ.Транш - 1</v>
          </cell>
          <cell r="C1351">
            <v>157050.59</v>
          </cell>
          <cell r="D1351">
            <v>45185</v>
          </cell>
          <cell r="E1351">
            <v>45187</v>
          </cell>
        </row>
        <row r="1352">
          <cell r="B1352" t="str">
            <v>В-19740/КЛ.Транш - 7</v>
          </cell>
          <cell r="C1352">
            <v>96616.89</v>
          </cell>
          <cell r="D1352">
            <v>45185</v>
          </cell>
          <cell r="E1352">
            <v>45191</v>
          </cell>
        </row>
        <row r="1353">
          <cell r="B1353" t="str">
            <v>В-11396/КЛ.Транш - 2</v>
          </cell>
          <cell r="C1353">
            <v>268196.67</v>
          </cell>
          <cell r="D1353">
            <v>45185</v>
          </cell>
          <cell r="E1353">
            <v>45192</v>
          </cell>
        </row>
        <row r="1354">
          <cell r="B1354" t="str">
            <v>В-24374/КЛ.Транш - 1</v>
          </cell>
          <cell r="C1354">
            <v>231631.42</v>
          </cell>
          <cell r="D1354">
            <v>45185</v>
          </cell>
          <cell r="E1354">
            <v>45189</v>
          </cell>
        </row>
        <row r="1355">
          <cell r="B1355" t="str">
            <v>В-20544/КЛ.Транш - 1</v>
          </cell>
          <cell r="C1355">
            <v>525467.47</v>
          </cell>
          <cell r="D1355">
            <v>45187</v>
          </cell>
          <cell r="E1355">
            <v>45197</v>
          </cell>
        </row>
        <row r="1356">
          <cell r="B1356" t="str">
            <v>В-28376/КЛ.Транш - 1</v>
          </cell>
          <cell r="C1356">
            <v>32854.879999999997</v>
          </cell>
          <cell r="D1356">
            <v>45187</v>
          </cell>
          <cell r="E1356">
            <v>45188</v>
          </cell>
        </row>
        <row r="1357">
          <cell r="B1357" t="str">
            <v>В-28368/АЗ</v>
          </cell>
          <cell r="C1357">
            <v>403872.02</v>
          </cell>
          <cell r="D1357">
            <v>45187</v>
          </cell>
          <cell r="E1357">
            <v>45190</v>
          </cell>
        </row>
        <row r="1358">
          <cell r="B1358" t="str">
            <v>В-22683/КЛ.Транш - 1</v>
          </cell>
          <cell r="C1358">
            <v>170393.97</v>
          </cell>
          <cell r="D1358">
            <v>45187</v>
          </cell>
          <cell r="E1358">
            <v>45187</v>
          </cell>
        </row>
        <row r="1359">
          <cell r="B1359" t="str">
            <v>В-28358/КЛ.Транш - 1</v>
          </cell>
          <cell r="C1359">
            <v>850063.67</v>
          </cell>
          <cell r="D1359">
            <v>45187</v>
          </cell>
          <cell r="E1359">
            <v>45203</v>
          </cell>
        </row>
        <row r="1360">
          <cell r="B1360" t="str">
            <v>В-16934/КЛ.Транш - 1</v>
          </cell>
          <cell r="C1360">
            <v>258263.55</v>
          </cell>
          <cell r="D1360">
            <v>45188</v>
          </cell>
          <cell r="E1360">
            <v>45195</v>
          </cell>
        </row>
        <row r="1361">
          <cell r="B1361" t="str">
            <v>В-18496/КЛ.Транш - 1</v>
          </cell>
          <cell r="C1361">
            <v>96858.8</v>
          </cell>
          <cell r="D1361">
            <v>45188</v>
          </cell>
          <cell r="E1361">
            <v>45189</v>
          </cell>
        </row>
        <row r="1362">
          <cell r="B1362" t="str">
            <v>В-19355/КЛ.Транш - 1</v>
          </cell>
          <cell r="C1362">
            <v>94204.59</v>
          </cell>
          <cell r="D1362">
            <v>45188</v>
          </cell>
          <cell r="E1362">
            <v>45191</v>
          </cell>
        </row>
        <row r="1363">
          <cell r="B1363" t="str">
            <v>В-14216/КЛ.Транш - 2</v>
          </cell>
          <cell r="C1363">
            <v>70684.070000000007</v>
          </cell>
          <cell r="D1363">
            <v>45188</v>
          </cell>
          <cell r="E1363">
            <v>45188</v>
          </cell>
        </row>
        <row r="1364">
          <cell r="B1364" t="str">
            <v>В-09100/КЛ.Транш - 1</v>
          </cell>
          <cell r="C1364">
            <v>47686.1</v>
          </cell>
          <cell r="D1364">
            <v>45188</v>
          </cell>
          <cell r="E1364">
            <v>45188</v>
          </cell>
        </row>
        <row r="1365">
          <cell r="B1365" t="str">
            <v>В-14816/КЛ.Транш - 6</v>
          </cell>
          <cell r="C1365">
            <v>6978.77</v>
          </cell>
          <cell r="D1365">
            <v>45188</v>
          </cell>
          <cell r="E1365">
            <v>45213</v>
          </cell>
        </row>
        <row r="1366">
          <cell r="B1366" t="str">
            <v>В-22744/КЛ.Транш - 1</v>
          </cell>
          <cell r="C1366">
            <v>47287.23</v>
          </cell>
          <cell r="D1366">
            <v>45189</v>
          </cell>
          <cell r="E1366">
            <v>45190</v>
          </cell>
        </row>
        <row r="1367">
          <cell r="B1367" t="str">
            <v>В-27065/АЗ_В-21082023/Ц</v>
          </cell>
          <cell r="C1367">
            <v>280388.82</v>
          </cell>
          <cell r="D1367">
            <v>45190</v>
          </cell>
          <cell r="G1367">
            <v>45281</v>
          </cell>
        </row>
        <row r="1368">
          <cell r="B1368" t="str">
            <v>В-15831/КЛ.Транш - 1</v>
          </cell>
          <cell r="C1368">
            <v>149019.71</v>
          </cell>
          <cell r="D1368">
            <v>45190</v>
          </cell>
          <cell r="E1368">
            <v>45190</v>
          </cell>
        </row>
        <row r="1369">
          <cell r="B1369" t="str">
            <v>В-21568/КЛ.Транш - 1</v>
          </cell>
          <cell r="C1369">
            <v>125641.94</v>
          </cell>
          <cell r="D1369">
            <v>45190</v>
          </cell>
          <cell r="E1369">
            <v>45190</v>
          </cell>
        </row>
        <row r="1370">
          <cell r="B1370" t="str">
            <v>В-21245/КЛ.Транш - 2</v>
          </cell>
          <cell r="C1370">
            <v>26757.4</v>
          </cell>
          <cell r="D1370">
            <v>45190</v>
          </cell>
          <cell r="E1370">
            <v>45191</v>
          </cell>
        </row>
        <row r="1371">
          <cell r="B1371" t="str">
            <v>В-28538/КЛ.Транш - 1</v>
          </cell>
          <cell r="C1371">
            <v>100967.8</v>
          </cell>
          <cell r="D1371">
            <v>45191</v>
          </cell>
          <cell r="E1371">
            <v>45191</v>
          </cell>
        </row>
        <row r="1372">
          <cell r="B1372" t="str">
            <v>В-23370/КЛ.Транш - 1</v>
          </cell>
          <cell r="C1372">
            <v>88977.18</v>
          </cell>
          <cell r="D1372">
            <v>45191</v>
          </cell>
          <cell r="E1372">
            <v>45202</v>
          </cell>
        </row>
        <row r="1373">
          <cell r="B1373" t="str">
            <v>В-14216/КЛ.Транш - 4</v>
          </cell>
          <cell r="C1373">
            <v>79851.77</v>
          </cell>
          <cell r="D1373">
            <v>45191</v>
          </cell>
          <cell r="E1373">
            <v>45191</v>
          </cell>
        </row>
        <row r="1374">
          <cell r="B1374" t="str">
            <v>В-14816/КЛ.Транш - 1</v>
          </cell>
          <cell r="C1374">
            <v>22523.58</v>
          </cell>
          <cell r="D1374">
            <v>45191</v>
          </cell>
          <cell r="E1374">
            <v>45213</v>
          </cell>
        </row>
        <row r="1375">
          <cell r="B1375" t="str">
            <v>В-16242/КЛ.Транш - 2</v>
          </cell>
          <cell r="C1375">
            <v>222265.86</v>
          </cell>
          <cell r="D1375">
            <v>45192</v>
          </cell>
          <cell r="E1375">
            <v>45196</v>
          </cell>
        </row>
        <row r="1376">
          <cell r="B1376" t="str">
            <v>В-23383/КЛ.Транш - 1</v>
          </cell>
          <cell r="C1376">
            <v>90831.16</v>
          </cell>
          <cell r="D1376">
            <v>45192</v>
          </cell>
          <cell r="E1376">
            <v>45194</v>
          </cell>
        </row>
        <row r="1377">
          <cell r="B1377" t="str">
            <v>В-23979/КЛ.Транш - 1</v>
          </cell>
          <cell r="C1377">
            <v>23048.17</v>
          </cell>
          <cell r="D1377">
            <v>45192</v>
          </cell>
          <cell r="E1377">
            <v>45204</v>
          </cell>
        </row>
        <row r="1378">
          <cell r="B1378" t="str">
            <v>В-10022/КЭ.Транш - 1</v>
          </cell>
          <cell r="C1378">
            <v>238263.74</v>
          </cell>
          <cell r="D1378">
            <v>45193</v>
          </cell>
          <cell r="E1378">
            <v>45195</v>
          </cell>
        </row>
        <row r="1379">
          <cell r="B1379" t="str">
            <v>В-16934/КЛ.Транш - 5</v>
          </cell>
          <cell r="C1379">
            <v>112384.95</v>
          </cell>
          <cell r="D1379">
            <v>45193</v>
          </cell>
          <cell r="E1379">
            <v>45195</v>
          </cell>
        </row>
        <row r="1380">
          <cell r="B1380" t="str">
            <v>В-09172/КЛ.Транш - 1</v>
          </cell>
          <cell r="C1380">
            <v>85835.89</v>
          </cell>
          <cell r="D1380">
            <v>45193</v>
          </cell>
          <cell r="E1380">
            <v>45194</v>
          </cell>
        </row>
        <row r="1381">
          <cell r="B1381" t="str">
            <v>В-00065/КЭ.Транш - 1</v>
          </cell>
          <cell r="C1381">
            <v>30076.81</v>
          </cell>
          <cell r="D1381">
            <v>45193</v>
          </cell>
          <cell r="E1381">
            <v>45195</v>
          </cell>
        </row>
        <row r="1382">
          <cell r="B1382" t="str">
            <v>В-00955/АЗ</v>
          </cell>
          <cell r="C1382">
            <v>245591.4</v>
          </cell>
          <cell r="D1382">
            <v>45194</v>
          </cell>
          <cell r="E1382">
            <v>45196</v>
          </cell>
        </row>
        <row r="1383">
          <cell r="B1383" t="str">
            <v>В-22935/КЛ.Транш - 1</v>
          </cell>
          <cell r="C1383">
            <v>179560.63</v>
          </cell>
          <cell r="D1383">
            <v>45194</v>
          </cell>
          <cell r="E1383">
            <v>45197</v>
          </cell>
        </row>
        <row r="1384">
          <cell r="B1384" t="str">
            <v>В-12231/КЛ.Транш - 1</v>
          </cell>
          <cell r="C1384">
            <v>97985.34</v>
          </cell>
          <cell r="D1384">
            <v>45194</v>
          </cell>
          <cell r="E1384">
            <v>45194</v>
          </cell>
        </row>
        <row r="1385">
          <cell r="B1385" t="str">
            <v>В-14216/КЛ.Транш - 3</v>
          </cell>
          <cell r="C1385">
            <v>74341.240000000005</v>
          </cell>
          <cell r="D1385">
            <v>45194</v>
          </cell>
          <cell r="E1385">
            <v>45195</v>
          </cell>
        </row>
        <row r="1386">
          <cell r="B1386" t="str">
            <v>В-25132/КЛ.Транш - 1</v>
          </cell>
          <cell r="C1386">
            <v>55829.97</v>
          </cell>
          <cell r="D1386">
            <v>45194</v>
          </cell>
          <cell r="E1386">
            <v>45195</v>
          </cell>
        </row>
        <row r="1387">
          <cell r="B1387" t="str">
            <v>В-00431/КЛ.Транш - 2</v>
          </cell>
          <cell r="C1387">
            <v>49620.41</v>
          </cell>
          <cell r="D1387">
            <v>45194</v>
          </cell>
          <cell r="E1387">
            <v>45197</v>
          </cell>
        </row>
        <row r="1388">
          <cell r="B1388" t="str">
            <v>В-19548/КЛ.Транш - 1</v>
          </cell>
          <cell r="C1388">
            <v>392520.54</v>
          </cell>
          <cell r="D1388">
            <v>45195</v>
          </cell>
          <cell r="E1388">
            <v>45195</v>
          </cell>
        </row>
        <row r="1389">
          <cell r="B1389" t="str">
            <v>В-22979/КЛ.Транш - 1</v>
          </cell>
          <cell r="C1389">
            <v>269341.33</v>
          </cell>
          <cell r="D1389">
            <v>45195</v>
          </cell>
          <cell r="E1389">
            <v>45205</v>
          </cell>
        </row>
        <row r="1390">
          <cell r="B1390" t="str">
            <v>В-19593/КЛ.Транш - 1</v>
          </cell>
          <cell r="C1390">
            <v>231324.65</v>
          </cell>
          <cell r="D1390">
            <v>45195</v>
          </cell>
          <cell r="E1390">
            <v>45207</v>
          </cell>
        </row>
        <row r="1391">
          <cell r="B1391" t="str">
            <v>В-19740/КЛ.Транш - 8</v>
          </cell>
          <cell r="C1391">
            <v>139009.32999999999</v>
          </cell>
          <cell r="D1391">
            <v>45195</v>
          </cell>
          <cell r="E1391">
            <v>45211</v>
          </cell>
        </row>
        <row r="1392">
          <cell r="B1392" t="str">
            <v>В-23370/КЛ.Транш - 2</v>
          </cell>
          <cell r="C1392">
            <v>95948.25</v>
          </cell>
          <cell r="D1392">
            <v>45195</v>
          </cell>
          <cell r="E1392">
            <v>45204</v>
          </cell>
        </row>
        <row r="1393">
          <cell r="B1393" t="str">
            <v>В-12813/КЛ.Транш - 1</v>
          </cell>
          <cell r="C1393">
            <v>557063.73</v>
          </cell>
          <cell r="D1393">
            <v>45196</v>
          </cell>
          <cell r="E1393">
            <v>45210</v>
          </cell>
        </row>
        <row r="1394">
          <cell r="B1394" t="str">
            <v>В-26125/АЗ</v>
          </cell>
          <cell r="C1394">
            <v>792651.81</v>
          </cell>
          <cell r="D1394">
            <v>45197</v>
          </cell>
          <cell r="E1394">
            <v>45198</v>
          </cell>
        </row>
        <row r="1395">
          <cell r="B1395" t="str">
            <v>В-27646/КЛ.Транш - 1</v>
          </cell>
          <cell r="C1395">
            <v>362066.22</v>
          </cell>
          <cell r="D1395">
            <v>45197</v>
          </cell>
          <cell r="E1395">
            <v>45201</v>
          </cell>
        </row>
        <row r="1396">
          <cell r="B1396" t="str">
            <v>В-02849/КЛ.Транш - 1</v>
          </cell>
          <cell r="C1396">
            <v>49839.42</v>
          </cell>
          <cell r="D1396">
            <v>45197</v>
          </cell>
          <cell r="E1396">
            <v>45202</v>
          </cell>
        </row>
        <row r="1397">
          <cell r="B1397" t="str">
            <v>В-17916/КЛ.Транш - 1</v>
          </cell>
          <cell r="C1397">
            <v>140036.81</v>
          </cell>
          <cell r="D1397">
            <v>45197</v>
          </cell>
          <cell r="E1397">
            <v>45197</v>
          </cell>
        </row>
        <row r="1398">
          <cell r="B1398" t="str">
            <v>В-22864/КЛ.Транш - 1</v>
          </cell>
          <cell r="C1398">
            <v>228862.92</v>
          </cell>
          <cell r="D1398">
            <v>45197</v>
          </cell>
          <cell r="E1398">
            <v>45197</v>
          </cell>
        </row>
        <row r="1399">
          <cell r="B1399" t="str">
            <v>В-16057/КЛ.Транш - 6_В-21082023/Ц</v>
          </cell>
          <cell r="C1399">
            <v>313142.01</v>
          </cell>
          <cell r="D1399">
            <v>45198</v>
          </cell>
          <cell r="E1399">
            <v>45209</v>
          </cell>
        </row>
        <row r="1400">
          <cell r="B1400" t="str">
            <v>В-02064/КЛ.Транш - 3_В-21082023/Ц</v>
          </cell>
          <cell r="C1400">
            <v>190063.66</v>
          </cell>
          <cell r="D1400">
            <v>45198</v>
          </cell>
          <cell r="E1400">
            <v>45212</v>
          </cell>
        </row>
        <row r="1401">
          <cell r="B1401" t="str">
            <v>В-13235/КЛ.Транш - 1_В-21082023/Ц</v>
          </cell>
          <cell r="C1401">
            <v>65194.25</v>
          </cell>
          <cell r="D1401">
            <v>45199</v>
          </cell>
          <cell r="E1401">
            <v>45199</v>
          </cell>
        </row>
        <row r="1402">
          <cell r="B1402" t="str">
            <v>В-21960/КЛ.Транш - 1_В-21082023/Ц</v>
          </cell>
          <cell r="C1402">
            <v>231338.1</v>
          </cell>
          <cell r="D1402">
            <v>45200</v>
          </cell>
          <cell r="E1402">
            <v>45210</v>
          </cell>
        </row>
        <row r="1403">
          <cell r="B1403" t="str">
            <v>В-11605/КЛ.Транш - 1_В-21082023/Ц</v>
          </cell>
          <cell r="C1403">
            <v>183766.78</v>
          </cell>
          <cell r="D1403">
            <v>45200</v>
          </cell>
          <cell r="E1403">
            <v>45201</v>
          </cell>
        </row>
        <row r="1404">
          <cell r="B1404" t="str">
            <v>В-05253/КЛ.Транш - 4_В-21082023/Ц</v>
          </cell>
          <cell r="C1404">
            <v>100735.59</v>
          </cell>
          <cell r="D1404">
            <v>45200</v>
          </cell>
          <cell r="E1404">
            <v>45208</v>
          </cell>
        </row>
        <row r="1405">
          <cell r="B1405" t="str">
            <v>В-14816/КЛ.Транш - 5_В-21082023/Ц</v>
          </cell>
          <cell r="C1405">
            <v>6733.58</v>
          </cell>
          <cell r="D1405">
            <v>45200</v>
          </cell>
          <cell r="E1405">
            <v>45226</v>
          </cell>
        </row>
        <row r="1406">
          <cell r="B1406" t="str">
            <v>В-18600/КЛ.Транш - 1_В-21082023/Ц</v>
          </cell>
          <cell r="C1406">
            <v>761768.8</v>
          </cell>
          <cell r="D1406">
            <v>45200</v>
          </cell>
          <cell r="E1406">
            <v>45201</v>
          </cell>
        </row>
        <row r="1407">
          <cell r="B1407" t="str">
            <v>В-19880/КЛ.Транш - 1_В-21082023/Ц</v>
          </cell>
          <cell r="C1407">
            <v>404484.74</v>
          </cell>
          <cell r="D1407">
            <v>45201</v>
          </cell>
          <cell r="E1407">
            <v>45212</v>
          </cell>
        </row>
        <row r="1408">
          <cell r="B1408" t="str">
            <v>В-12523/КЛ.Транш - 2_В-21082023/Ц</v>
          </cell>
          <cell r="C1408">
            <v>242214.21</v>
          </cell>
          <cell r="D1408">
            <v>45201</v>
          </cell>
          <cell r="E1408">
            <v>45201</v>
          </cell>
        </row>
        <row r="1409">
          <cell r="B1409" t="str">
            <v>В-28906/КЛ.Транш - 1_В-21082023/Ц</v>
          </cell>
          <cell r="C1409">
            <v>104882.45</v>
          </cell>
          <cell r="D1409">
            <v>45202</v>
          </cell>
          <cell r="E1409">
            <v>45205</v>
          </cell>
        </row>
        <row r="1410">
          <cell r="B1410" t="str">
            <v>В-14816/КЛ.Транш - 7_В-21082023/Ц</v>
          </cell>
          <cell r="C1410">
            <v>11082.52</v>
          </cell>
          <cell r="D1410">
            <v>45202</v>
          </cell>
          <cell r="E1410">
            <v>45226</v>
          </cell>
        </row>
        <row r="1411">
          <cell r="B1411" t="str">
            <v>В-27788/КЛ.Транш - 1_В-21082023/Ц</v>
          </cell>
          <cell r="C1411">
            <v>413482.46</v>
          </cell>
          <cell r="D1411">
            <v>45203</v>
          </cell>
          <cell r="E1411">
            <v>45203</v>
          </cell>
        </row>
        <row r="1412">
          <cell r="B1412" t="str">
            <v>В-00953/АЗ_В-21082023/Ц</v>
          </cell>
          <cell r="C1412">
            <v>197253.25</v>
          </cell>
          <cell r="D1412">
            <v>45203</v>
          </cell>
          <cell r="E1412">
            <v>45203</v>
          </cell>
        </row>
        <row r="1413">
          <cell r="B1413" t="str">
            <v>В-19354/КЛ.Транш - 1_В-21082023/Ц</v>
          </cell>
          <cell r="C1413">
            <v>72082.37</v>
          </cell>
          <cell r="D1413">
            <v>45203</v>
          </cell>
          <cell r="E1413">
            <v>45206</v>
          </cell>
        </row>
        <row r="1414">
          <cell r="B1414" t="str">
            <v>В-25494/АЗ_В-21082023/Ц</v>
          </cell>
          <cell r="C1414">
            <v>47637.06</v>
          </cell>
          <cell r="D1414">
            <v>45203</v>
          </cell>
          <cell r="E1414">
            <v>45203</v>
          </cell>
        </row>
        <row r="1415">
          <cell r="B1415" t="str">
            <v>В-14216/КЛ.Транш - 1_В-21082023/Ц</v>
          </cell>
          <cell r="C1415">
            <v>39438.71</v>
          </cell>
          <cell r="D1415">
            <v>45203</v>
          </cell>
          <cell r="E1415">
            <v>45203</v>
          </cell>
        </row>
        <row r="1416">
          <cell r="B1416" t="str">
            <v>В-08368/КЛ.Транш - 2_В-21082023/Ц</v>
          </cell>
          <cell r="C1416">
            <v>20672.73</v>
          </cell>
          <cell r="D1416">
            <v>45203</v>
          </cell>
          <cell r="E1416">
            <v>45209</v>
          </cell>
        </row>
        <row r="1417">
          <cell r="B1417" t="str">
            <v>В-14168/КЛ.Транш - 4_В-21082023/Ц</v>
          </cell>
          <cell r="C1417">
            <v>70052.66</v>
          </cell>
          <cell r="D1417">
            <v>45204</v>
          </cell>
          <cell r="E1417">
            <v>45204</v>
          </cell>
        </row>
        <row r="1418">
          <cell r="B1418" t="str">
            <v>В-11948/КЛ.Транш - 1_В-21082023/Ц</v>
          </cell>
          <cell r="C1418">
            <v>59606.11</v>
          </cell>
          <cell r="D1418">
            <v>45204</v>
          </cell>
          <cell r="E1418">
            <v>45205</v>
          </cell>
        </row>
        <row r="1419">
          <cell r="B1419" t="str">
            <v>В-19286/КЛ.Транш - 1_В-21082023/Ц</v>
          </cell>
          <cell r="C1419">
            <v>377055.67</v>
          </cell>
          <cell r="D1419">
            <v>45205</v>
          </cell>
          <cell r="E1419">
            <v>45223</v>
          </cell>
        </row>
        <row r="1420">
          <cell r="B1420" t="str">
            <v>В-16455/КЛ.Транш - 1_В-21082023/Ц</v>
          </cell>
          <cell r="C1420">
            <v>179036.57</v>
          </cell>
          <cell r="D1420">
            <v>45205</v>
          </cell>
          <cell r="E1420">
            <v>45209</v>
          </cell>
        </row>
        <row r="1421">
          <cell r="B1421" t="str">
            <v>В-12789/КЛ.Транш - 1_В-21082023/Ц</v>
          </cell>
          <cell r="C1421">
            <v>74847.490000000005</v>
          </cell>
          <cell r="D1421">
            <v>45205</v>
          </cell>
          <cell r="E1421">
            <v>45211</v>
          </cell>
        </row>
        <row r="1422">
          <cell r="B1422" t="str">
            <v>В-14291/КЛ.Транш - 7_В-21082023/Ц</v>
          </cell>
          <cell r="C1422">
            <v>57024.29</v>
          </cell>
          <cell r="D1422">
            <v>45205</v>
          </cell>
          <cell r="E1422">
            <v>45205</v>
          </cell>
        </row>
        <row r="1423">
          <cell r="B1423" t="str">
            <v>В-20035/КЛ.Транш - 1_В-21082023/Ц</v>
          </cell>
          <cell r="C1423">
            <v>7181.61</v>
          </cell>
          <cell r="D1423">
            <v>45205</v>
          </cell>
          <cell r="E1423">
            <v>45206</v>
          </cell>
        </row>
        <row r="1424">
          <cell r="B1424" t="str">
            <v>В-19740/КЛ.Транш - 5_В-21082023/Ц</v>
          </cell>
          <cell r="C1424">
            <v>197707.16</v>
          </cell>
          <cell r="D1424">
            <v>45206</v>
          </cell>
          <cell r="E1424">
            <v>45211</v>
          </cell>
        </row>
        <row r="1425">
          <cell r="B1425" t="str">
            <v>В-02064/КЛ.Транш - 4_В-21082023/Ц</v>
          </cell>
          <cell r="C1425">
            <v>109954.25</v>
          </cell>
          <cell r="D1425">
            <v>45206</v>
          </cell>
          <cell r="E1425">
            <v>45212</v>
          </cell>
        </row>
        <row r="1426">
          <cell r="B1426" t="str">
            <v>В-14430/КЛ.Транш - 2_В-21082023/Ц</v>
          </cell>
          <cell r="C1426">
            <v>99059.11</v>
          </cell>
          <cell r="D1426">
            <v>45207</v>
          </cell>
          <cell r="E1426">
            <v>45209</v>
          </cell>
        </row>
        <row r="1427">
          <cell r="B1427" t="str">
            <v>В-12067/КЛ.Транш - 1_В-21082023/Ц</v>
          </cell>
          <cell r="C1427">
            <v>65566.320000000007</v>
          </cell>
          <cell r="D1427">
            <v>45207</v>
          </cell>
          <cell r="E1427">
            <v>45215</v>
          </cell>
        </row>
        <row r="1428">
          <cell r="B1428" t="str">
            <v>В-25425/КЛ.Транш - 1_В-21082023/Ц</v>
          </cell>
          <cell r="C1428">
            <v>56303.22</v>
          </cell>
          <cell r="D1428">
            <v>45207</v>
          </cell>
          <cell r="E1428">
            <v>45208</v>
          </cell>
        </row>
        <row r="1429">
          <cell r="B1429" t="str">
            <v>В-23362/КЛ.Транш - 1_В-21082023/Ц</v>
          </cell>
          <cell r="C1429">
            <v>46121.55</v>
          </cell>
          <cell r="D1429">
            <v>45207</v>
          </cell>
          <cell r="E1429">
            <v>45211</v>
          </cell>
        </row>
        <row r="1430">
          <cell r="B1430" t="str">
            <v>В-12066/КЛ.Транш - 1_В-21082023/Ц</v>
          </cell>
          <cell r="C1430">
            <v>72322.05</v>
          </cell>
          <cell r="D1430">
            <v>45207</v>
          </cell>
          <cell r="E1430">
            <v>45216</v>
          </cell>
        </row>
        <row r="1431">
          <cell r="B1431" t="str">
            <v>В-21960/КЛ.Транш - 2_В-21082023/Ц</v>
          </cell>
          <cell r="C1431">
            <v>146526.06</v>
          </cell>
          <cell r="D1431">
            <v>45208</v>
          </cell>
          <cell r="E1431">
            <v>45210</v>
          </cell>
        </row>
        <row r="1432">
          <cell r="B1432" t="str">
            <v>В-12098/КЛ.Транш - 2_В-21082023/Ц</v>
          </cell>
          <cell r="C1432">
            <v>93218.05</v>
          </cell>
          <cell r="D1432">
            <v>45208</v>
          </cell>
          <cell r="E1432">
            <v>45208</v>
          </cell>
        </row>
        <row r="1433">
          <cell r="B1433" t="str">
            <v>В-11782/КЛ.Транш - 1_В-21082023/Ц</v>
          </cell>
          <cell r="C1433">
            <v>35675.129999999997</v>
          </cell>
          <cell r="D1433">
            <v>45208</v>
          </cell>
          <cell r="E1433">
            <v>45209</v>
          </cell>
        </row>
        <row r="1434">
          <cell r="B1434" t="str">
            <v>В-18958/КЛ.Транш - 1_В-21082023/Ц</v>
          </cell>
          <cell r="C1434">
            <v>305304.44</v>
          </cell>
          <cell r="D1434">
            <v>45209</v>
          </cell>
          <cell r="E1434">
            <v>45212</v>
          </cell>
        </row>
        <row r="1435">
          <cell r="B1435" t="str">
            <v>В-19740/КЛ.Транш - 6_В-21082023/Ц</v>
          </cell>
          <cell r="C1435">
            <v>237248.55</v>
          </cell>
          <cell r="D1435">
            <v>45209</v>
          </cell>
          <cell r="E1435">
            <v>45211</v>
          </cell>
        </row>
        <row r="1436">
          <cell r="B1436" t="str">
            <v>В-26950/КЛ.Транш - 1_В-21082023/Ц</v>
          </cell>
          <cell r="C1436">
            <v>131640.76</v>
          </cell>
          <cell r="D1436">
            <v>45209</v>
          </cell>
          <cell r="E1436">
            <v>45229</v>
          </cell>
        </row>
        <row r="1437">
          <cell r="B1437" t="str">
            <v>В-22935/КЛ.Транш - 2_В-21082023/Ц</v>
          </cell>
          <cell r="C1437">
            <v>77717.61</v>
          </cell>
          <cell r="D1437">
            <v>45209</v>
          </cell>
          <cell r="E1437">
            <v>45211</v>
          </cell>
        </row>
        <row r="1438">
          <cell r="B1438" t="str">
            <v>В-13449/КЛ.Транш - 1_В-21082023/Ц</v>
          </cell>
          <cell r="C1438">
            <v>64253.21</v>
          </cell>
          <cell r="D1438">
            <v>45209</v>
          </cell>
          <cell r="E1438">
            <v>45219</v>
          </cell>
        </row>
        <row r="1439">
          <cell r="B1439" t="str">
            <v>В-28968/АЗ_В-21082023/Ц</v>
          </cell>
          <cell r="C1439">
            <v>47853.97</v>
          </cell>
          <cell r="D1439">
            <v>45209</v>
          </cell>
          <cell r="E1439">
            <v>45233</v>
          </cell>
        </row>
        <row r="1440">
          <cell r="B1440" t="str">
            <v>В-22052/КЛ.Транш - 2_В-21082023/Ц</v>
          </cell>
          <cell r="C1440">
            <v>41748.29</v>
          </cell>
          <cell r="D1440">
            <v>45209</v>
          </cell>
          <cell r="E1440">
            <v>45226</v>
          </cell>
        </row>
        <row r="1441">
          <cell r="B1441" t="str">
            <v>В-01211/АЗ_В-21082023/Ц</v>
          </cell>
          <cell r="C1441">
            <v>708476.66</v>
          </cell>
          <cell r="D1441">
            <v>45210</v>
          </cell>
          <cell r="E1441">
            <v>45224</v>
          </cell>
        </row>
        <row r="1442">
          <cell r="B1442" t="str">
            <v>В-25807/АЗ_В-21082023/Ц</v>
          </cell>
          <cell r="C1442">
            <v>669245.09</v>
          </cell>
          <cell r="D1442">
            <v>45210</v>
          </cell>
          <cell r="E1442">
            <v>45230</v>
          </cell>
        </row>
        <row r="1443">
          <cell r="B1443" t="str">
            <v>В-25810/АЗ_В-21082023/Ц</v>
          </cell>
          <cell r="C1443">
            <v>669245.09</v>
          </cell>
          <cell r="D1443">
            <v>45210</v>
          </cell>
          <cell r="E1443">
            <v>45230</v>
          </cell>
        </row>
        <row r="1444">
          <cell r="B1444" t="str">
            <v>В-25671/АЗ_В-21082023/Ц</v>
          </cell>
          <cell r="C1444">
            <v>267698.28000000003</v>
          </cell>
          <cell r="D1444">
            <v>45210</v>
          </cell>
          <cell r="E1444">
            <v>45212</v>
          </cell>
        </row>
        <row r="1445">
          <cell r="B1445" t="str">
            <v>В-26928/КЛ.Транш - 1_В-21082023/Ц</v>
          </cell>
          <cell r="C1445">
            <v>257945.25</v>
          </cell>
          <cell r="D1445">
            <v>45211</v>
          </cell>
          <cell r="G1445">
            <v>45281</v>
          </cell>
        </row>
        <row r="1446">
          <cell r="B1446" t="str">
            <v>В-25852/КЛ.Транш - 1_В-21082023/Ц</v>
          </cell>
          <cell r="C1446">
            <v>89683.99</v>
          </cell>
          <cell r="D1446">
            <v>45211</v>
          </cell>
          <cell r="E1446">
            <v>45213</v>
          </cell>
        </row>
        <row r="1447">
          <cell r="B1447" t="str">
            <v>В-21321/КЛ.Транш - 1_В-21082023/Ц</v>
          </cell>
          <cell r="C1447">
            <v>78638.66</v>
          </cell>
          <cell r="D1447">
            <v>45211</v>
          </cell>
          <cell r="E1447">
            <v>45225</v>
          </cell>
        </row>
        <row r="1448">
          <cell r="B1448" t="str">
            <v>В-01039/АЗ_В-21082023/Ц</v>
          </cell>
          <cell r="C1448">
            <v>612103.59</v>
          </cell>
          <cell r="D1448">
            <v>45212</v>
          </cell>
          <cell r="E1448">
            <v>45229</v>
          </cell>
        </row>
        <row r="1449">
          <cell r="B1449" t="str">
            <v>В-01038/АЗ_В-21082023/Ц</v>
          </cell>
          <cell r="C1449">
            <v>589388.61</v>
          </cell>
          <cell r="D1449">
            <v>45212</v>
          </cell>
          <cell r="E1449">
            <v>45229</v>
          </cell>
        </row>
        <row r="1450">
          <cell r="B1450" t="str">
            <v>В-23362/КЛ.Транш - 2_В-21082023/Ц</v>
          </cell>
          <cell r="C1450">
            <v>55178.1</v>
          </cell>
          <cell r="D1450">
            <v>45213</v>
          </cell>
          <cell r="E1450">
            <v>45213</v>
          </cell>
        </row>
        <row r="1451">
          <cell r="B1451" t="str">
            <v>В-23555/КЛ.Транш - 1_В-21082023/Ц</v>
          </cell>
          <cell r="C1451">
            <v>577835.31999999995</v>
          </cell>
          <cell r="D1451">
            <v>45213</v>
          </cell>
          <cell r="E1451">
            <v>45215</v>
          </cell>
        </row>
        <row r="1452">
          <cell r="B1452" t="str">
            <v>В-01024/АЗ_В-21082023/Ц</v>
          </cell>
          <cell r="C1452">
            <v>532249.03</v>
          </cell>
          <cell r="D1452">
            <v>45213</v>
          </cell>
          <cell r="E1452">
            <v>45250</v>
          </cell>
        </row>
        <row r="1453">
          <cell r="B1453" t="str">
            <v>В-01023/АЗ_В-21082023/Ц</v>
          </cell>
          <cell r="C1453">
            <v>532249.03</v>
          </cell>
          <cell r="D1453">
            <v>45213</v>
          </cell>
          <cell r="E1453">
            <v>45250</v>
          </cell>
        </row>
        <row r="1454">
          <cell r="B1454" t="str">
            <v>В-01022/АЗ_В-21082023/Ц</v>
          </cell>
          <cell r="C1454">
            <v>531870.16</v>
          </cell>
          <cell r="D1454">
            <v>45213</v>
          </cell>
          <cell r="E1454">
            <v>45250</v>
          </cell>
        </row>
        <row r="1455">
          <cell r="B1455" t="str">
            <v>В-20384/КЛ.Транш - 1_В-21082023/Ц</v>
          </cell>
          <cell r="C1455">
            <v>230753.49</v>
          </cell>
          <cell r="D1455">
            <v>45214</v>
          </cell>
          <cell r="E1455">
            <v>45230</v>
          </cell>
        </row>
        <row r="1456">
          <cell r="B1456" t="str">
            <v>В-02064/КЛ.Транш - 2_В-21082023/Ц</v>
          </cell>
          <cell r="C1456">
            <v>215786.75</v>
          </cell>
          <cell r="D1456">
            <v>45214</v>
          </cell>
          <cell r="E1456">
            <v>45217</v>
          </cell>
        </row>
        <row r="1457">
          <cell r="B1457" t="str">
            <v>В-16067/КЛ.Транш - 1_В-21082023/Ц</v>
          </cell>
          <cell r="C1457">
            <v>94995.43</v>
          </cell>
          <cell r="D1457">
            <v>45214</v>
          </cell>
          <cell r="E1457">
            <v>45223</v>
          </cell>
        </row>
        <row r="1458">
          <cell r="B1458" t="str">
            <v>В-11396/КЛ.Транш - 2_В-21082023/Ц</v>
          </cell>
          <cell r="C1458">
            <v>261300.76</v>
          </cell>
          <cell r="D1458">
            <v>45215</v>
          </cell>
          <cell r="E1458">
            <v>45215</v>
          </cell>
        </row>
        <row r="1459">
          <cell r="B1459" t="str">
            <v>В-25981/АЗ_В-21082023/Ц</v>
          </cell>
          <cell r="C1459">
            <v>74992.149999999994</v>
          </cell>
          <cell r="D1459">
            <v>45215</v>
          </cell>
          <cell r="E1459">
            <v>45218</v>
          </cell>
        </row>
        <row r="1460">
          <cell r="B1460" t="str">
            <v>В-01188/АЗ_В-21082023/Ц</v>
          </cell>
          <cell r="C1460">
            <v>57954.78</v>
          </cell>
          <cell r="D1460">
            <v>45215</v>
          </cell>
          <cell r="E1460">
            <v>45306</v>
          </cell>
        </row>
        <row r="1461">
          <cell r="B1461" t="str">
            <v>В-00033/КЭ.Транш - 2_В-21082023/Ц</v>
          </cell>
          <cell r="C1461">
            <v>386246.24</v>
          </cell>
          <cell r="D1461">
            <v>45216</v>
          </cell>
          <cell r="E1461">
            <v>45216</v>
          </cell>
        </row>
        <row r="1462">
          <cell r="B1462" t="str">
            <v>В-28358/КЛ.Транш - 1_В-21082023/Ц</v>
          </cell>
          <cell r="C1462">
            <v>837669.77</v>
          </cell>
          <cell r="D1462">
            <v>45217</v>
          </cell>
          <cell r="E1462">
            <v>45219</v>
          </cell>
        </row>
        <row r="1463">
          <cell r="B1463" t="str">
            <v>В-28376/КЛ.Транш - 1_В-21082023/Ц</v>
          </cell>
          <cell r="C1463">
            <v>31926.77</v>
          </cell>
          <cell r="D1463">
            <v>45217</v>
          </cell>
          <cell r="E1463">
            <v>45219</v>
          </cell>
        </row>
        <row r="1464">
          <cell r="B1464" t="str">
            <v>В-16934/КЛ.Транш - 1_В-21082023/Ц</v>
          </cell>
          <cell r="C1464">
            <v>250041.71</v>
          </cell>
          <cell r="D1464">
            <v>45218</v>
          </cell>
          <cell r="E1464">
            <v>45218</v>
          </cell>
        </row>
        <row r="1465">
          <cell r="B1465" t="str">
            <v>В-19355/КЛ.Транш - 1_В-21082023/Ц</v>
          </cell>
          <cell r="C1465">
            <v>91591.1</v>
          </cell>
          <cell r="D1465">
            <v>45218</v>
          </cell>
          <cell r="E1465">
            <v>45293</v>
          </cell>
        </row>
        <row r="1466">
          <cell r="B1466" t="str">
            <v>В-09100/КЛ.Транш - 1_В-21082023/Ц</v>
          </cell>
          <cell r="C1466">
            <v>44860.89</v>
          </cell>
          <cell r="D1466">
            <v>45218</v>
          </cell>
          <cell r="E1466">
            <v>45222</v>
          </cell>
        </row>
        <row r="1467">
          <cell r="B1467" t="str">
            <v>В-14816/КЛ.Транш - 6_В-21082023/Ц</v>
          </cell>
          <cell r="C1467">
            <v>3558.52</v>
          </cell>
          <cell r="D1467">
            <v>45218</v>
          </cell>
          <cell r="E1467">
            <v>45226</v>
          </cell>
        </row>
        <row r="1468">
          <cell r="B1468" t="str">
            <v>В-22744/КЛ.Транш - 1_В-21082023/Ц</v>
          </cell>
          <cell r="C1468">
            <v>40373.449999999997</v>
          </cell>
          <cell r="D1468">
            <v>45219</v>
          </cell>
          <cell r="E1468">
            <v>45222</v>
          </cell>
        </row>
        <row r="1469">
          <cell r="B1469" t="str">
            <v>В-26172/АЗ_В-21082023/Ц</v>
          </cell>
          <cell r="C1469">
            <v>466306.65</v>
          </cell>
          <cell r="D1469">
            <v>45220</v>
          </cell>
          <cell r="E1469">
            <v>45250</v>
          </cell>
        </row>
        <row r="1470">
          <cell r="B1470" t="str">
            <v>В-21568/КЛ.Транш - 1_В-21082023/Ц</v>
          </cell>
          <cell r="C1470">
            <v>119446.18</v>
          </cell>
          <cell r="D1470">
            <v>45220</v>
          </cell>
          <cell r="E1470">
            <v>45233</v>
          </cell>
        </row>
        <row r="1471">
          <cell r="B1471" t="str">
            <v>В-21245/КЛ.Транш - 2_В-21082023/Ц</v>
          </cell>
          <cell r="C1471">
            <v>18373.66</v>
          </cell>
          <cell r="D1471">
            <v>45220</v>
          </cell>
          <cell r="E1471">
            <v>45220</v>
          </cell>
        </row>
        <row r="1472">
          <cell r="B1472" t="str">
            <v>В-15831/КЛ.Транш - 1_В-21082023/Ц</v>
          </cell>
          <cell r="C1472">
            <v>144593.16</v>
          </cell>
          <cell r="D1472">
            <v>45220</v>
          </cell>
          <cell r="E1472">
            <v>45220</v>
          </cell>
        </row>
        <row r="1473">
          <cell r="B1473" t="str">
            <v>В-23901/КЛ.Транш - 1_В-21082023/Ц</v>
          </cell>
          <cell r="C1473">
            <v>360529.18</v>
          </cell>
          <cell r="D1473">
            <v>45221</v>
          </cell>
          <cell r="E1473">
            <v>45222</v>
          </cell>
        </row>
        <row r="1474">
          <cell r="B1474" t="str">
            <v>В-23555/КЛ.Транш - 2_В-21082023/Ц</v>
          </cell>
          <cell r="C1474">
            <v>128135.44</v>
          </cell>
          <cell r="D1474">
            <v>45221</v>
          </cell>
          <cell r="E1474">
            <v>45223</v>
          </cell>
        </row>
        <row r="1475">
          <cell r="B1475" t="str">
            <v>В-23370/КЛ.Транш - 1_В-21082023/Ц</v>
          </cell>
          <cell r="C1475">
            <v>87849.68</v>
          </cell>
          <cell r="D1475">
            <v>45221</v>
          </cell>
          <cell r="E1475">
            <v>45238</v>
          </cell>
        </row>
        <row r="1476">
          <cell r="B1476" t="str">
            <v>В-28538/КЛ.Транш - 1_В-21082023/Ц</v>
          </cell>
          <cell r="C1476">
            <v>86373.83</v>
          </cell>
          <cell r="D1476">
            <v>45221</v>
          </cell>
          <cell r="E1476">
            <v>45223</v>
          </cell>
        </row>
        <row r="1477">
          <cell r="B1477" t="str">
            <v>В-14216/КЛ.Транш - 4_В-21082023/Ц</v>
          </cell>
          <cell r="C1477">
            <v>78333.98</v>
          </cell>
          <cell r="D1477">
            <v>45221</v>
          </cell>
          <cell r="E1477">
            <v>45222</v>
          </cell>
        </row>
        <row r="1478">
          <cell r="B1478" t="str">
            <v>В-14816/КЛ.Транш - 1_В-21082023/Ц</v>
          </cell>
          <cell r="C1478">
            <v>21832.04</v>
          </cell>
          <cell r="D1478">
            <v>45221</v>
          </cell>
          <cell r="E1478">
            <v>45226</v>
          </cell>
        </row>
        <row r="1479">
          <cell r="B1479" t="str">
            <v>В-16242/КЛ.Транш - 2_В-21082023/Ц</v>
          </cell>
          <cell r="C1479">
            <v>216831.15</v>
          </cell>
          <cell r="D1479">
            <v>45222</v>
          </cell>
          <cell r="E1479">
            <v>45223</v>
          </cell>
        </row>
        <row r="1480">
          <cell r="B1480" t="str">
            <v>В-23383/КЛ.Транш - 1_В-21082023/Ц</v>
          </cell>
          <cell r="C1480">
            <v>46581.35</v>
          </cell>
          <cell r="D1480">
            <v>45222</v>
          </cell>
          <cell r="E1480">
            <v>45225</v>
          </cell>
        </row>
        <row r="1481">
          <cell r="B1481" t="str">
            <v>В-10474/КЛ.Транш - 3_В-21082023/Ц</v>
          </cell>
          <cell r="C1481">
            <v>104167.74</v>
          </cell>
          <cell r="D1481">
            <v>45222</v>
          </cell>
          <cell r="E1481">
            <v>45222</v>
          </cell>
        </row>
        <row r="1482">
          <cell r="B1482" t="str">
            <v>В-10495/КЛ.Транш - 1_В-21082023/Ц</v>
          </cell>
          <cell r="C1482">
            <v>103580.51</v>
          </cell>
          <cell r="D1482">
            <v>45222</v>
          </cell>
          <cell r="E1482">
            <v>45222</v>
          </cell>
        </row>
        <row r="1483">
          <cell r="B1483" t="str">
            <v>В-28598/КЛ.Транш - 1_В-21082023/Ц</v>
          </cell>
          <cell r="C1483">
            <v>706380.12</v>
          </cell>
          <cell r="D1483">
            <v>45223</v>
          </cell>
          <cell r="E1483">
            <v>45228</v>
          </cell>
        </row>
        <row r="1484">
          <cell r="B1484" t="str">
            <v>В-10022/КЭ.Транш - 1_В-21082023/Ц</v>
          </cell>
          <cell r="C1484">
            <v>182271.4</v>
          </cell>
          <cell r="D1484">
            <v>45223</v>
          </cell>
          <cell r="E1484">
            <v>45225</v>
          </cell>
        </row>
        <row r="1485">
          <cell r="B1485" t="str">
            <v>В-14913/КЛ.Транш - 1_В-21082023/Ц</v>
          </cell>
          <cell r="C1485">
            <v>110246.83</v>
          </cell>
          <cell r="D1485">
            <v>45223</v>
          </cell>
          <cell r="E1485">
            <v>45224</v>
          </cell>
        </row>
        <row r="1486">
          <cell r="B1486" t="str">
            <v>В-16934/КЛ.Транш - 5_В-21082023/Ц</v>
          </cell>
          <cell r="C1486">
            <v>107233.77</v>
          </cell>
          <cell r="D1486">
            <v>45223</v>
          </cell>
          <cell r="E1486">
            <v>45230</v>
          </cell>
        </row>
        <row r="1487">
          <cell r="B1487" t="str">
            <v>В-00065/КЭ.Транш - 1_В-21082023/Ц</v>
          </cell>
          <cell r="C1487">
            <v>20421.79</v>
          </cell>
          <cell r="D1487">
            <v>45223</v>
          </cell>
          <cell r="E1487">
            <v>45230</v>
          </cell>
        </row>
        <row r="1488">
          <cell r="B1488" t="str">
            <v>В-00955/АЗ_В-21082023/Ц</v>
          </cell>
          <cell r="C1488">
            <v>228479.9</v>
          </cell>
          <cell r="D1488">
            <v>45224</v>
          </cell>
          <cell r="E1488">
            <v>45238</v>
          </cell>
        </row>
        <row r="1489">
          <cell r="B1489" t="str">
            <v>В-22935/КЛ.Транш - 1_В-21082023/Ц</v>
          </cell>
          <cell r="C1489">
            <v>176108.67</v>
          </cell>
          <cell r="D1489">
            <v>45224</v>
          </cell>
          <cell r="E1489">
            <v>45232</v>
          </cell>
        </row>
        <row r="1490">
          <cell r="B1490" t="str">
            <v>В-14216/КЛ.Транш - 3_В-21082023/Ц</v>
          </cell>
          <cell r="C1490">
            <v>72477.119999999995</v>
          </cell>
          <cell r="D1490">
            <v>45224</v>
          </cell>
          <cell r="E1490">
            <v>45225</v>
          </cell>
        </row>
        <row r="1491">
          <cell r="B1491" t="str">
            <v>В-22979/КЛ.Транш - 1_В-21082023/Ц</v>
          </cell>
          <cell r="C1491">
            <v>264163.40999999997</v>
          </cell>
          <cell r="D1491">
            <v>45225</v>
          </cell>
          <cell r="E1491">
            <v>45247</v>
          </cell>
        </row>
        <row r="1492">
          <cell r="B1492" t="str">
            <v>В-28539/КЛ.Транш - 1_В-21082023/Ц</v>
          </cell>
          <cell r="C1492">
            <v>203024.14</v>
          </cell>
          <cell r="D1492">
            <v>45225</v>
          </cell>
          <cell r="E1492">
            <v>45233</v>
          </cell>
        </row>
        <row r="1493">
          <cell r="B1493" t="str">
            <v>В-19740/КЛ.Транш - 8_В-21082023/Ц</v>
          </cell>
          <cell r="C1493">
            <v>136667.07</v>
          </cell>
          <cell r="D1493">
            <v>45225</v>
          </cell>
          <cell r="E1493">
            <v>45232</v>
          </cell>
        </row>
        <row r="1494">
          <cell r="B1494" t="str">
            <v>В-23370/КЛ.Транш - 2_В-21082023/Ц</v>
          </cell>
          <cell r="C1494">
            <v>94579.04</v>
          </cell>
          <cell r="D1494">
            <v>45225</v>
          </cell>
          <cell r="E1494">
            <v>45239</v>
          </cell>
        </row>
        <row r="1495">
          <cell r="B1495" t="str">
            <v>В-12813/КЛ.Транш - 1_В-21082023/Ц</v>
          </cell>
          <cell r="C1495">
            <v>532217.51</v>
          </cell>
          <cell r="D1495">
            <v>45226</v>
          </cell>
          <cell r="E1495">
            <v>45233</v>
          </cell>
        </row>
        <row r="1496">
          <cell r="B1496" t="str">
            <v>В-12269/КЛ.Транш - 1_В-21082023/Ц</v>
          </cell>
          <cell r="C1496">
            <v>26657.83</v>
          </cell>
          <cell r="D1496">
            <v>45226</v>
          </cell>
          <cell r="E1496">
            <v>45232</v>
          </cell>
        </row>
        <row r="1497">
          <cell r="B1497" t="str">
            <v>В-26125/АЗ_В-21082023/Ц</v>
          </cell>
          <cell r="C1497">
            <v>777782.79</v>
          </cell>
          <cell r="D1497">
            <v>45227</v>
          </cell>
          <cell r="E1497">
            <v>45250</v>
          </cell>
        </row>
        <row r="1498">
          <cell r="B1498" t="str">
            <v>В-22864/КЛ.Транш - 1_В-21082023/Ц</v>
          </cell>
          <cell r="C1498">
            <v>224775.71</v>
          </cell>
          <cell r="D1498">
            <v>45227</v>
          </cell>
          <cell r="E1498">
            <v>45232</v>
          </cell>
        </row>
        <row r="1499">
          <cell r="B1499" t="str">
            <v>В-17916/КЛ.Транш - 1_В-21082023/Ц</v>
          </cell>
          <cell r="C1499">
            <v>135842.66</v>
          </cell>
          <cell r="D1499">
            <v>45227</v>
          </cell>
          <cell r="E1499">
            <v>45233</v>
          </cell>
        </row>
        <row r="1500">
          <cell r="B1500" t="str">
            <v>В-27646/КЛ.Транш - 1_В-21082023/Ц</v>
          </cell>
          <cell r="C1500">
            <v>351573.23</v>
          </cell>
          <cell r="D1500">
            <v>45227</v>
          </cell>
          <cell r="E1500">
            <v>45229</v>
          </cell>
        </row>
        <row r="1501">
          <cell r="B1501" t="str">
            <v>В-02064/КЛ.Транш - 3_В-21082023/Ц</v>
          </cell>
          <cell r="C1501">
            <v>179026.77</v>
          </cell>
          <cell r="D1501">
            <v>45228</v>
          </cell>
          <cell r="E1501">
            <v>45246</v>
          </cell>
        </row>
        <row r="1502">
          <cell r="B1502" t="str">
            <v>В-25573/КЛ.Транш - 2_В-21082023/Ц</v>
          </cell>
          <cell r="C1502">
            <v>18392.64</v>
          </cell>
          <cell r="D1502">
            <v>45228</v>
          </cell>
          <cell r="E1502">
            <v>45232</v>
          </cell>
        </row>
        <row r="1503">
          <cell r="B1503" t="str">
            <v>В-21960/КЛ.Транш - 1_В-21082023/Ц</v>
          </cell>
          <cell r="C1503">
            <v>225729.48</v>
          </cell>
          <cell r="D1503">
            <v>45230</v>
          </cell>
          <cell r="E1503">
            <v>45232</v>
          </cell>
        </row>
        <row r="1504">
          <cell r="B1504" t="str">
            <v>В-11605/КЛ.Транш - 1_В-21082023/Ц</v>
          </cell>
          <cell r="C1504">
            <v>175759.91</v>
          </cell>
          <cell r="D1504">
            <v>45230</v>
          </cell>
          <cell r="E1504">
            <v>45231</v>
          </cell>
        </row>
        <row r="1505">
          <cell r="B1505" t="str">
            <v>В-05253/КЛ.Транш - 4_В-21082023/Ц</v>
          </cell>
          <cell r="C1505">
            <v>76994.87</v>
          </cell>
          <cell r="D1505">
            <v>45230</v>
          </cell>
          <cell r="E1505">
            <v>45242</v>
          </cell>
        </row>
        <row r="1506">
          <cell r="B1506" t="str">
            <v>В-26743/КЛ.Транш - 1_В-21082023/Ц</v>
          </cell>
          <cell r="C1506">
            <v>22787.91</v>
          </cell>
          <cell r="D1506">
            <v>45230</v>
          </cell>
          <cell r="E1506">
            <v>45233</v>
          </cell>
        </row>
        <row r="1507">
          <cell r="B1507" t="str">
            <v>В-14816/КЛ.Транш - 5_В-21082023/Ц</v>
          </cell>
          <cell r="C1507">
            <v>3479.67</v>
          </cell>
          <cell r="D1507">
            <v>45230</v>
          </cell>
          <cell r="E1507">
            <v>45231</v>
          </cell>
        </row>
        <row r="1508">
          <cell r="B1508" t="str">
            <v>В-18600/КЛ.Транш - 1_В-21082023/Ц</v>
          </cell>
          <cell r="C1508">
            <v>742736.88</v>
          </cell>
          <cell r="D1508">
            <v>45231</v>
          </cell>
          <cell r="E1508">
            <v>45231</v>
          </cell>
        </row>
        <row r="1509">
          <cell r="B1509" t="str">
            <v>В-12523/КЛ.Транш - 2_В-21082023/Ц</v>
          </cell>
          <cell r="C1509">
            <v>238370.65</v>
          </cell>
          <cell r="D1509">
            <v>45232</v>
          </cell>
          <cell r="E1509">
            <v>45232</v>
          </cell>
        </row>
        <row r="1510">
          <cell r="B1510" t="str">
            <v>В-14816/КЛ.Транш - 7_В-21082023/Ц</v>
          </cell>
          <cell r="C1510">
            <v>5709.53</v>
          </cell>
          <cell r="D1510">
            <v>45233</v>
          </cell>
          <cell r="E1510">
            <v>45245</v>
          </cell>
        </row>
        <row r="1511">
          <cell r="B1511" t="str">
            <v>В-28906/КЛ.Транш - 1_В-21082023/Ц</v>
          </cell>
          <cell r="C1511">
            <v>103844.85</v>
          </cell>
          <cell r="D1511">
            <v>45233</v>
          </cell>
          <cell r="E1511">
            <v>45233</v>
          </cell>
        </row>
        <row r="1512">
          <cell r="B1512" t="str">
            <v>В-27929/КЛ.Транш - 1_В-21082023/Ц</v>
          </cell>
          <cell r="C1512">
            <v>141213.71</v>
          </cell>
          <cell r="D1512">
            <v>45235</v>
          </cell>
          <cell r="E1512">
            <v>45235</v>
          </cell>
        </row>
        <row r="1513">
          <cell r="B1513" t="str">
            <v>В-10841/КЛ.Транш - 1_В-21082023/Ц</v>
          </cell>
          <cell r="C1513">
            <v>536382.71</v>
          </cell>
          <cell r="D1513">
            <v>45234</v>
          </cell>
          <cell r="E1513">
            <v>45239</v>
          </cell>
        </row>
        <row r="1514">
          <cell r="B1514" t="str">
            <v>В-27788/КЛ.Транш - 1_В-21082023/Ц</v>
          </cell>
          <cell r="C1514">
            <v>406694.45</v>
          </cell>
          <cell r="D1514">
            <v>45234</v>
          </cell>
          <cell r="E1514">
            <v>45237</v>
          </cell>
        </row>
        <row r="1515">
          <cell r="B1515" t="str">
            <v>В-08368/КЛ.Транш - 2_В-21082023/Ц</v>
          </cell>
          <cell r="C1515">
            <v>10315.5</v>
          </cell>
          <cell r="D1515">
            <v>45234</v>
          </cell>
          <cell r="E1515">
            <v>45251</v>
          </cell>
        </row>
        <row r="1516">
          <cell r="B1516" t="str">
            <v>В-14168/КЛ.Транш - 4_В-21082023/Ц</v>
          </cell>
          <cell r="C1516">
            <v>57402.78</v>
          </cell>
          <cell r="D1516">
            <v>45235</v>
          </cell>
          <cell r="E1516">
            <v>45239</v>
          </cell>
        </row>
        <row r="1517">
          <cell r="B1517" t="str">
            <v>В-11948/КЛ.Транш - 1_В-21082023/Ц</v>
          </cell>
          <cell r="C1517">
            <v>56883.69</v>
          </cell>
          <cell r="D1517">
            <v>45235</v>
          </cell>
          <cell r="E1517">
            <v>45238</v>
          </cell>
        </row>
        <row r="1518">
          <cell r="B1518" t="str">
            <v>В-19286/КЛ.Транш - 1_В-21082023/Ц</v>
          </cell>
          <cell r="C1518">
            <v>366048.64</v>
          </cell>
          <cell r="D1518">
            <v>45236</v>
          </cell>
          <cell r="E1518">
            <v>45261</v>
          </cell>
        </row>
        <row r="1519">
          <cell r="B1519" t="str">
            <v>В-16455/КЛ.Транш - 1_В-21082023/Ц</v>
          </cell>
          <cell r="C1519">
            <v>172615.16</v>
          </cell>
          <cell r="D1519">
            <v>45236</v>
          </cell>
          <cell r="E1519">
            <v>45240</v>
          </cell>
        </row>
        <row r="1520">
          <cell r="B1520" t="str">
            <v>В-12789/КЛ.Транш - 1_В-21082023/Ц</v>
          </cell>
          <cell r="C1520">
            <v>71763.31</v>
          </cell>
          <cell r="D1520">
            <v>45236</v>
          </cell>
          <cell r="E1520">
            <v>45243</v>
          </cell>
        </row>
        <row r="1521">
          <cell r="B1521" t="str">
            <v>В-14291/КЛ.Транш - 7_В-21082023/Ц</v>
          </cell>
          <cell r="C1521">
            <v>55823.96</v>
          </cell>
          <cell r="D1521">
            <v>45236</v>
          </cell>
          <cell r="E1521">
            <v>45206</v>
          </cell>
        </row>
        <row r="1522">
          <cell r="B1522" t="str">
            <v>В-20035/КЛ.Транш - 1_В-21082023/Ц</v>
          </cell>
          <cell r="C1522">
            <v>7019.26</v>
          </cell>
          <cell r="D1522">
            <v>45236</v>
          </cell>
          <cell r="E1522">
            <v>45237</v>
          </cell>
        </row>
        <row r="1523">
          <cell r="B1523" t="str">
            <v>В-19740/КЛ.Транш - 5_В-21082023/Ц</v>
          </cell>
          <cell r="C1523">
            <v>193706.52</v>
          </cell>
          <cell r="D1523">
            <v>45237</v>
          </cell>
          <cell r="E1523">
            <v>45250</v>
          </cell>
        </row>
        <row r="1524">
          <cell r="B1524" t="str">
            <v>В-02064/КЛ.Транш - 4_В-21082023/Ц</v>
          </cell>
          <cell r="C1524">
            <v>104461.85</v>
          </cell>
          <cell r="D1524">
            <v>45237</v>
          </cell>
          <cell r="E1524">
            <v>45246</v>
          </cell>
        </row>
        <row r="1525">
          <cell r="B1525" t="str">
            <v>В-10474/КЛ.Транш - 6_В-21082023/Ц</v>
          </cell>
          <cell r="C1525">
            <v>64938.06</v>
          </cell>
          <cell r="D1525">
            <v>45237</v>
          </cell>
          <cell r="E1525">
            <v>45238</v>
          </cell>
        </row>
        <row r="1526">
          <cell r="B1526" t="str">
            <v>В-14430/КЛ.Транш - 2_В-21082023/Ц</v>
          </cell>
          <cell r="C1526">
            <v>80810.98</v>
          </cell>
          <cell r="D1526">
            <v>45238</v>
          </cell>
          <cell r="E1526">
            <v>45243</v>
          </cell>
        </row>
        <row r="1527">
          <cell r="B1527" t="str">
            <v>В-12066/КЛ.Транш - 1_В-21082023/Ц</v>
          </cell>
          <cell r="C1527">
            <v>68730.64</v>
          </cell>
          <cell r="D1527">
            <v>45238</v>
          </cell>
          <cell r="E1527">
            <v>45240</v>
          </cell>
        </row>
        <row r="1528">
          <cell r="B1528" t="str">
            <v>В-12067/КЛ.Транш - 1_В-21082023/Ц</v>
          </cell>
          <cell r="C1528">
            <v>62571.63</v>
          </cell>
          <cell r="D1528">
            <v>45238</v>
          </cell>
          <cell r="E1528">
            <v>45245</v>
          </cell>
        </row>
        <row r="1529">
          <cell r="B1529" t="str">
            <v>В-11782/КЛ.Транш - 1_В-21082023/Ц</v>
          </cell>
          <cell r="C1529">
            <v>24153.89</v>
          </cell>
          <cell r="D1529">
            <v>45239</v>
          </cell>
          <cell r="E1529">
            <v>45239</v>
          </cell>
        </row>
        <row r="1530">
          <cell r="B1530" t="str">
            <v>В-18921/КЛ.Транш - 1_В-21082023/Ц</v>
          </cell>
          <cell r="C1530">
            <v>825696.82</v>
          </cell>
          <cell r="D1530">
            <v>45239</v>
          </cell>
          <cell r="E1530">
            <v>45325</v>
          </cell>
        </row>
        <row r="1531">
          <cell r="B1531" t="str">
            <v>В-18958/КЛ.Транш - 1_В-21082023/Ц</v>
          </cell>
          <cell r="C1531">
            <v>295804.67</v>
          </cell>
          <cell r="D1531">
            <v>45240</v>
          </cell>
          <cell r="E1531">
            <v>45243</v>
          </cell>
        </row>
        <row r="1532">
          <cell r="B1532" t="str">
            <v>В-19740/КЛ.Транш - 6_В-21082023/Ц</v>
          </cell>
          <cell r="C1532">
            <v>232447.78</v>
          </cell>
          <cell r="D1532">
            <v>45240</v>
          </cell>
          <cell r="E1532">
            <v>45250</v>
          </cell>
        </row>
        <row r="1533">
          <cell r="B1533" t="str">
            <v>В-22935/КЛ.Транш - 2_В-21082023/Ц</v>
          </cell>
          <cell r="C1533">
            <v>76061.240000000005</v>
          </cell>
          <cell r="D1533">
            <v>45240</v>
          </cell>
          <cell r="E1533">
            <v>45244</v>
          </cell>
        </row>
        <row r="1534">
          <cell r="B1534" t="str">
            <v>В-13449/КЛ.Транш - 1_В-21082023/Ц</v>
          </cell>
          <cell r="C1534">
            <v>61624.79</v>
          </cell>
          <cell r="D1534">
            <v>45240</v>
          </cell>
          <cell r="E1534">
            <v>45240</v>
          </cell>
        </row>
        <row r="1535">
          <cell r="B1535" t="str">
            <v>В-28968/АЗ_В-21082023/Ц</v>
          </cell>
          <cell r="C1535">
            <v>41741.83</v>
          </cell>
          <cell r="D1535">
            <v>45240</v>
          </cell>
          <cell r="G1535">
            <v>45348</v>
          </cell>
        </row>
        <row r="1536">
          <cell r="B1536" t="str">
            <v>В-22052/КЛ.Транш - 2_В-21082023/Ц</v>
          </cell>
          <cell r="C1536">
            <v>31974.52</v>
          </cell>
          <cell r="D1536">
            <v>45240</v>
          </cell>
          <cell r="E1536">
            <v>45251</v>
          </cell>
        </row>
        <row r="1537">
          <cell r="B1537" t="str">
            <v>В-17095/КЛ.Транш - 1_В-21082023/Ц</v>
          </cell>
          <cell r="C1537">
            <v>37361.949999999997</v>
          </cell>
          <cell r="D1537">
            <v>45240</v>
          </cell>
          <cell r="E1537">
            <v>45240</v>
          </cell>
        </row>
        <row r="1538">
          <cell r="B1538" t="str">
            <v>В-01211/АЗ_В-21082023/Ц</v>
          </cell>
          <cell r="C1538">
            <v>689050.77</v>
          </cell>
          <cell r="D1538">
            <v>45241</v>
          </cell>
          <cell r="E1538">
            <v>45244</v>
          </cell>
        </row>
        <row r="1539">
          <cell r="B1539" t="str">
            <v>В-25807/АЗ_В-21082023/Ц</v>
          </cell>
          <cell r="C1539">
            <v>640191.87</v>
          </cell>
          <cell r="D1539">
            <v>45241</v>
          </cell>
          <cell r="E1539">
            <v>45258</v>
          </cell>
        </row>
        <row r="1540">
          <cell r="B1540" t="str">
            <v>В-25810/АЗ_В-21082023/Ц</v>
          </cell>
          <cell r="C1540">
            <v>640191.87</v>
          </cell>
          <cell r="D1540">
            <v>45241</v>
          </cell>
          <cell r="E1540">
            <v>45249</v>
          </cell>
        </row>
        <row r="1541">
          <cell r="B1541" t="str">
            <v>В-25671/АЗ_В-21082023/Ц</v>
          </cell>
          <cell r="C1541">
            <v>256077.01</v>
          </cell>
          <cell r="D1541">
            <v>45241</v>
          </cell>
          <cell r="E1541">
            <v>45247</v>
          </cell>
        </row>
        <row r="1542">
          <cell r="B1542" t="str">
            <v>В-22205/КЛ.Транш - 2_В-21082023/Ц</v>
          </cell>
          <cell r="C1542">
            <v>115997.01</v>
          </cell>
          <cell r="D1542">
            <v>45241</v>
          </cell>
          <cell r="E1542">
            <v>45244</v>
          </cell>
        </row>
        <row r="1543">
          <cell r="B1543" t="str">
            <v>В-27661/КЛ.Транш - 2_В-21082023/Ц</v>
          </cell>
          <cell r="C1543">
            <v>226978.15</v>
          </cell>
          <cell r="D1543">
            <v>45242</v>
          </cell>
          <cell r="E1543">
            <v>45242</v>
          </cell>
        </row>
        <row r="1544">
          <cell r="B1544" t="str">
            <v>В-16057/КЛ.Транш - 6_В-21082023/Ц</v>
          </cell>
          <cell r="C1544">
            <v>313021.40000000002</v>
          </cell>
          <cell r="D1544">
            <v>45242</v>
          </cell>
          <cell r="E1544">
            <v>45247</v>
          </cell>
        </row>
        <row r="1545">
          <cell r="B1545" t="str">
            <v>В-21321/КЛ.Транш - 1_В-21082023/Ц</v>
          </cell>
          <cell r="C1545">
            <v>64196.66</v>
          </cell>
          <cell r="D1545">
            <v>45242</v>
          </cell>
          <cell r="E1545">
            <v>45252</v>
          </cell>
        </row>
        <row r="1546">
          <cell r="B1546" t="str">
            <v>В-25852/КЛ.Транш - 1_В-21082023/Ц</v>
          </cell>
          <cell r="C1546">
            <v>61189.68</v>
          </cell>
          <cell r="D1546">
            <v>45242</v>
          </cell>
          <cell r="E1546">
            <v>45244</v>
          </cell>
        </row>
        <row r="1547">
          <cell r="B1547" t="str">
            <v>В-20133/КЛ.Транш - 1_В-21082023/Ц/01</v>
          </cell>
          <cell r="C1547">
            <v>152662.57</v>
          </cell>
          <cell r="D1547">
            <v>45242</v>
          </cell>
          <cell r="E1547">
            <v>45243</v>
          </cell>
        </row>
        <row r="1548">
          <cell r="B1548" t="str">
            <v>В-01039/АЗ_В-21082023/Ц</v>
          </cell>
          <cell r="C1548">
            <v>582532.78</v>
          </cell>
          <cell r="D1548">
            <v>45243</v>
          </cell>
          <cell r="E1548">
            <v>45258</v>
          </cell>
        </row>
        <row r="1549">
          <cell r="B1549" t="str">
            <v>В-01038/АЗ_В-21082023/Ц</v>
          </cell>
          <cell r="C1549">
            <v>560122.23</v>
          </cell>
          <cell r="D1549">
            <v>45243</v>
          </cell>
          <cell r="E1549">
            <v>45245</v>
          </cell>
        </row>
        <row r="1550">
          <cell r="B1550" t="str">
            <v>В-23555/КЛ.Транш - 1_В-21082023/Ц</v>
          </cell>
          <cell r="C1550">
            <v>566257.73</v>
          </cell>
          <cell r="D1550">
            <v>45244</v>
          </cell>
          <cell r="E1550">
            <v>45245</v>
          </cell>
        </row>
        <row r="1551">
          <cell r="B1551" t="str">
            <v>В-23362/КЛ.Транш - 2_В-21082023/Ц</v>
          </cell>
          <cell r="C1551">
            <v>37432.46</v>
          </cell>
          <cell r="D1551">
            <v>45244</v>
          </cell>
          <cell r="E1551">
            <v>45244</v>
          </cell>
        </row>
        <row r="1552">
          <cell r="B1552" t="str">
            <v>В-20384/КЛ.Транш - 1_В-21082023/Ц</v>
          </cell>
          <cell r="C1552">
            <v>230753.49</v>
          </cell>
          <cell r="D1552">
            <v>45245</v>
          </cell>
          <cell r="E1552">
            <v>45250</v>
          </cell>
        </row>
        <row r="1553">
          <cell r="B1553" t="str">
            <v>В-02064/КЛ.Транш - 2_В-21082023/Ц</v>
          </cell>
          <cell r="C1553">
            <v>196211.06</v>
          </cell>
          <cell r="D1553">
            <v>45245</v>
          </cell>
          <cell r="E1553">
            <v>45246</v>
          </cell>
        </row>
        <row r="1554">
          <cell r="B1554" t="str">
            <v>В-22309/АЗ_В-21082023/Ц</v>
          </cell>
          <cell r="C1554">
            <v>113237.41</v>
          </cell>
          <cell r="D1554">
            <v>45245</v>
          </cell>
          <cell r="E1554">
            <v>45244</v>
          </cell>
        </row>
        <row r="1555">
          <cell r="B1555" t="str">
            <v>В-16067/КЛ.Транш - 1_В-21082023/Ц</v>
          </cell>
          <cell r="C1555">
            <v>91566.21</v>
          </cell>
          <cell r="D1555">
            <v>45245</v>
          </cell>
          <cell r="E1555">
            <v>45250</v>
          </cell>
        </row>
        <row r="1556">
          <cell r="B1556" t="str">
            <v>В-11396/КЛ.Транш - 2_В-21082023/Ц</v>
          </cell>
          <cell r="C1556">
            <v>253441.68</v>
          </cell>
          <cell r="D1556">
            <v>45246</v>
          </cell>
          <cell r="E1556">
            <v>45248</v>
          </cell>
        </row>
        <row r="1557">
          <cell r="B1557" t="str">
            <v>В-21306/КЛ.Транш - 1_В-21082023/Ц</v>
          </cell>
          <cell r="C1557">
            <v>137075.93</v>
          </cell>
          <cell r="D1557">
            <v>45246</v>
          </cell>
          <cell r="E1557">
            <v>45254</v>
          </cell>
        </row>
        <row r="1558">
          <cell r="B1558" t="str">
            <v>В-19740/КЛ.Транш - 7_В-21082023/Ц</v>
          </cell>
          <cell r="C1558">
            <v>92979.22</v>
          </cell>
          <cell r="D1558">
            <v>45246</v>
          </cell>
          <cell r="E1558">
            <v>45250</v>
          </cell>
        </row>
        <row r="1559">
          <cell r="B1559" t="str">
            <v>В-25981/АЗ_В-21082023/Ц</v>
          </cell>
          <cell r="C1559">
            <v>51234.71</v>
          </cell>
          <cell r="D1559">
            <v>45246</v>
          </cell>
          <cell r="E1559">
            <v>45246</v>
          </cell>
        </row>
        <row r="1560">
          <cell r="B1560" t="str">
            <v>Т-01872/АЗ_Т-20211028/Ц</v>
          </cell>
          <cell r="C1560">
            <v>19630.63</v>
          </cell>
          <cell r="D1560">
            <v>45246</v>
          </cell>
          <cell r="E1560">
            <v>45247</v>
          </cell>
        </row>
        <row r="1561">
          <cell r="B1561" t="str">
            <v>В-28358/КЛ.Транш - 1_В-21082023/Ц</v>
          </cell>
          <cell r="C1561">
            <v>823367.72</v>
          </cell>
          <cell r="D1561">
            <v>45248</v>
          </cell>
          <cell r="E1561">
            <v>45256</v>
          </cell>
        </row>
        <row r="1562">
          <cell r="B1562" t="str">
            <v>В-28376/КЛ.Транш - 1_В-21082023/Ц</v>
          </cell>
          <cell r="C1562">
            <v>30858.98</v>
          </cell>
          <cell r="D1562">
            <v>45248</v>
          </cell>
          <cell r="E1562">
            <v>45250</v>
          </cell>
        </row>
        <row r="1563">
          <cell r="B1563" t="str">
            <v>В-09100/КЛ.Транш - 1_В-21082023/Ц</v>
          </cell>
          <cell r="C1563">
            <v>41854.25</v>
          </cell>
          <cell r="D1563">
            <v>45249</v>
          </cell>
          <cell r="E1563">
            <v>45264</v>
          </cell>
        </row>
        <row r="1564">
          <cell r="B1564" t="str">
            <v>В-12662/КЛ.Транш - 1_В-21082023/Ц</v>
          </cell>
          <cell r="C1564">
            <v>39131.11</v>
          </cell>
          <cell r="D1564">
            <v>45249</v>
          </cell>
          <cell r="E1564">
            <v>45249</v>
          </cell>
        </row>
        <row r="1565">
          <cell r="B1565" t="str">
            <v>В-16934/КЛ.Транш - 1_В-21082023/Ц</v>
          </cell>
          <cell r="C1565">
            <v>241128.2</v>
          </cell>
          <cell r="D1565">
            <v>45249</v>
          </cell>
          <cell r="E1565">
            <v>45258</v>
          </cell>
        </row>
        <row r="1566">
          <cell r="B1566" t="str">
            <v>В-26172/АЗ_В-21082023/Ц</v>
          </cell>
          <cell r="C1566">
            <v>456368.53</v>
          </cell>
          <cell r="D1566">
            <v>45251</v>
          </cell>
          <cell r="E1566">
            <v>45253</v>
          </cell>
        </row>
        <row r="1567">
          <cell r="B1567" t="str">
            <v>В-21568/КЛ.Транш - 1_В-21082023/Ц</v>
          </cell>
          <cell r="C1567">
            <v>112559.11</v>
          </cell>
          <cell r="D1567">
            <v>45251</v>
          </cell>
          <cell r="E1567">
            <v>45264</v>
          </cell>
        </row>
        <row r="1568">
          <cell r="B1568" t="str">
            <v>В-21245/КЛ.Транш - 2_В-21082023/Ц</v>
          </cell>
          <cell r="C1568">
            <v>9372.39</v>
          </cell>
          <cell r="D1568">
            <v>45251</v>
          </cell>
          <cell r="E1568">
            <v>45252</v>
          </cell>
        </row>
        <row r="1569">
          <cell r="B1569" t="str">
            <v>В-23901/КЛ.Транш - 1_В-21082023/Ц</v>
          </cell>
          <cell r="C1569">
            <v>353069.62</v>
          </cell>
          <cell r="D1569">
            <v>45252</v>
          </cell>
          <cell r="E1569">
            <v>45252</v>
          </cell>
        </row>
        <row r="1570">
          <cell r="B1570" t="str">
            <v>В-28549/АЗ_В-21082023/Ц</v>
          </cell>
          <cell r="C1570">
            <v>177462.1</v>
          </cell>
          <cell r="D1570">
            <v>45252</v>
          </cell>
          <cell r="G1570">
            <v>45348</v>
          </cell>
        </row>
        <row r="1571">
          <cell r="B1571" t="str">
            <v>В-23370/КЛ.Транш - 1_В-21082023/Ц</v>
          </cell>
          <cell r="C1571">
            <v>86426.11</v>
          </cell>
          <cell r="D1571">
            <v>45252</v>
          </cell>
          <cell r="E1571">
            <v>45260</v>
          </cell>
        </row>
        <row r="1572">
          <cell r="B1572" t="str">
            <v>В-28538/КЛ.Транш - 1_В-21082023/Ц</v>
          </cell>
          <cell r="C1572">
            <v>70539.91</v>
          </cell>
          <cell r="D1572">
            <v>45252</v>
          </cell>
          <cell r="E1572">
            <v>45255</v>
          </cell>
        </row>
        <row r="1573">
          <cell r="B1573" t="str">
            <v>В-14816/КЛ.Транш - 1_В-21082023/Ц</v>
          </cell>
          <cell r="C1573">
            <v>21052.78</v>
          </cell>
          <cell r="D1573">
            <v>45252</v>
          </cell>
          <cell r="E1573">
            <v>45252</v>
          </cell>
        </row>
        <row r="1574">
          <cell r="B1574" t="str">
            <v>В-16242/КЛ.Транш - 2_В-21082023/Ц</v>
          </cell>
          <cell r="C1574">
            <v>210689.17</v>
          </cell>
          <cell r="D1574">
            <v>45253</v>
          </cell>
          <cell r="E1574">
            <v>45254</v>
          </cell>
        </row>
        <row r="1575">
          <cell r="B1575" t="str">
            <v>В-28598/КЛ.Транш - 1_В-21082023/Ц</v>
          </cell>
          <cell r="C1575">
            <v>696884.82</v>
          </cell>
          <cell r="D1575">
            <v>45254</v>
          </cell>
          <cell r="E1575">
            <v>45258</v>
          </cell>
        </row>
        <row r="1576">
          <cell r="B1576" t="str">
            <v>В-10022/КЭ.Транш - 1_В-21082023/Ц</v>
          </cell>
          <cell r="C1576">
            <v>123651.63</v>
          </cell>
          <cell r="D1576">
            <v>45254</v>
          </cell>
          <cell r="E1576">
            <v>45259</v>
          </cell>
        </row>
        <row r="1577">
          <cell r="B1577" t="str">
            <v>В-16934/КЛ.Транш - 5_В-21082023/Ц</v>
          </cell>
          <cell r="C1577">
            <v>101643.81</v>
          </cell>
          <cell r="D1577">
            <v>45254</v>
          </cell>
          <cell r="E1577">
            <v>45258</v>
          </cell>
        </row>
        <row r="1578">
          <cell r="B1578" t="str">
            <v>В-00065/КЭ.Транш - 1_В-21082023/Ц</v>
          </cell>
          <cell r="C1578">
            <v>10197.4</v>
          </cell>
          <cell r="D1578">
            <v>45254</v>
          </cell>
          <cell r="E1578">
            <v>45272</v>
          </cell>
        </row>
        <row r="1579">
          <cell r="B1579" t="str">
            <v>В-00955/АЗ_В-21082023/Ц</v>
          </cell>
          <cell r="C1579">
            <v>210141.63</v>
          </cell>
          <cell r="D1579">
            <v>45255</v>
          </cell>
          <cell r="E1579">
            <v>45271</v>
          </cell>
        </row>
        <row r="1580">
          <cell r="B1580" t="str">
            <v>В-22935/КЛ.Транш - 1_В-21082023/Ц</v>
          </cell>
          <cell r="C1580">
            <v>172160.28</v>
          </cell>
          <cell r="D1580">
            <v>45255</v>
          </cell>
          <cell r="E1580">
            <v>45261</v>
          </cell>
        </row>
        <row r="1581">
          <cell r="B1581" t="str">
            <v>В-25132/КЛ.Транш - 1_В-21082023/Ц</v>
          </cell>
          <cell r="C1581">
            <v>18941.87</v>
          </cell>
          <cell r="D1581">
            <v>45255</v>
          </cell>
          <cell r="E1581">
            <v>45257</v>
          </cell>
        </row>
        <row r="1582">
          <cell r="B1582" t="str">
            <v>В-22979/КЛ.Транш - 1_В-21082023/Ц</v>
          </cell>
          <cell r="C1582">
            <v>258240.85</v>
          </cell>
          <cell r="D1582">
            <v>45256</v>
          </cell>
          <cell r="E1582">
            <v>45268</v>
          </cell>
        </row>
        <row r="1583">
          <cell r="B1583" t="str">
            <v>В-28539/КЛ.Транш - 1_В-21082023/Ц</v>
          </cell>
          <cell r="C1583">
            <v>199746.24</v>
          </cell>
          <cell r="D1583">
            <v>45256</v>
          </cell>
          <cell r="E1583">
            <v>45259</v>
          </cell>
        </row>
        <row r="1584">
          <cell r="B1584" t="str">
            <v>В-19593/КЛ.Транш - 1_В-21082023/Ц</v>
          </cell>
          <cell r="C1584">
            <v>192256.59</v>
          </cell>
          <cell r="D1584">
            <v>45256</v>
          </cell>
          <cell r="E1584">
            <v>45257</v>
          </cell>
        </row>
        <row r="1585">
          <cell r="B1585" t="str">
            <v>В-23370/КЛ.Транш - 2_В-21082023/Ц</v>
          </cell>
          <cell r="C1585">
            <v>92969.57</v>
          </cell>
          <cell r="D1585">
            <v>45256</v>
          </cell>
          <cell r="E1585">
            <v>45264</v>
          </cell>
        </row>
        <row r="1586">
          <cell r="B1586" t="str">
            <v>В-12813/КЛ.Транш - 1_В-21082023/Ц</v>
          </cell>
          <cell r="C1586">
            <v>505587.11</v>
          </cell>
          <cell r="D1586">
            <v>45257</v>
          </cell>
          <cell r="E1586">
            <v>45259</v>
          </cell>
        </row>
        <row r="1587">
          <cell r="B1587" t="str">
            <v>В-26125/АЗ_В-21082023/Ц</v>
          </cell>
          <cell r="C1587">
            <v>761216.89</v>
          </cell>
          <cell r="D1587">
            <v>45258</v>
          </cell>
          <cell r="E1587">
            <v>45264</v>
          </cell>
        </row>
        <row r="1588">
          <cell r="B1588" t="str">
            <v>В-27646/КЛ.Транш - 1_В-21082023/Ц</v>
          </cell>
          <cell r="C1588">
            <v>351573.23</v>
          </cell>
          <cell r="D1588">
            <v>45258</v>
          </cell>
          <cell r="E1588">
            <v>45260</v>
          </cell>
        </row>
        <row r="1589">
          <cell r="B1589" t="str">
            <v>В-22864/КЛ.Транш - 1_В-21082023/Ц</v>
          </cell>
          <cell r="C1589">
            <v>220024.06</v>
          </cell>
          <cell r="D1589">
            <v>45258</v>
          </cell>
          <cell r="E1589">
            <v>45261</v>
          </cell>
        </row>
        <row r="1590">
          <cell r="B1590" t="str">
            <v>В-17916/КЛ.Транш - 1_В-21082023/Ц</v>
          </cell>
          <cell r="C1590">
            <v>131284.32</v>
          </cell>
          <cell r="D1590">
            <v>45258</v>
          </cell>
          <cell r="E1590">
            <v>45273</v>
          </cell>
        </row>
        <row r="1591">
          <cell r="B1591" t="str">
            <v>В-02064/КЛ.Транш - 3_В-21082023/Ц</v>
          </cell>
          <cell r="C1591">
            <v>167233.10999999999</v>
          </cell>
          <cell r="D1591">
            <v>45259</v>
          </cell>
          <cell r="E1591">
            <v>45272</v>
          </cell>
        </row>
        <row r="1592">
          <cell r="B1592" t="str">
            <v>В-25573/КЛ.Транш - 2_В-21082023/Ц</v>
          </cell>
          <cell r="C1592">
            <v>12477.42</v>
          </cell>
          <cell r="D1592">
            <v>45259</v>
          </cell>
          <cell r="E1592">
            <v>45265</v>
          </cell>
        </row>
        <row r="1593">
          <cell r="B1593" t="str">
            <v>В-13235/КЛ.Транш - 1_В-21082023/Ц</v>
          </cell>
          <cell r="C1593">
            <v>60237.36</v>
          </cell>
          <cell r="D1593">
            <v>45260</v>
          </cell>
          <cell r="E1593">
            <v>45260</v>
          </cell>
        </row>
        <row r="1594">
          <cell r="B1594" t="str">
            <v>В-18600/КЛ.Транш - 1_В-21082023/Ц</v>
          </cell>
          <cell r="C1594">
            <v>724053.22</v>
          </cell>
          <cell r="D1594">
            <v>45261</v>
          </cell>
          <cell r="E1594">
            <v>45261</v>
          </cell>
        </row>
        <row r="1595">
          <cell r="B1595" t="str">
            <v>В-11605/КЛ.Транш - 1_В-21082023/Ц</v>
          </cell>
          <cell r="C1595">
            <v>166986.4</v>
          </cell>
          <cell r="D1595">
            <v>45261</v>
          </cell>
          <cell r="E1595">
            <v>45261</v>
          </cell>
        </row>
        <row r="1596">
          <cell r="B1596" t="str">
            <v>В-05253/КЛ.Транш - 4_В-21082023/Ц</v>
          </cell>
          <cell r="C1596">
            <v>52140.51</v>
          </cell>
          <cell r="D1596">
            <v>45261</v>
          </cell>
          <cell r="E1596">
            <v>45267</v>
          </cell>
        </row>
        <row r="1597">
          <cell r="B1597" t="str">
            <v>В-26743/КЛ.Транш - 1_В-21082023/Ц</v>
          </cell>
          <cell r="C1597">
            <v>15482.25</v>
          </cell>
          <cell r="D1597">
            <v>45261</v>
          </cell>
          <cell r="E1597">
            <v>45261</v>
          </cell>
        </row>
        <row r="1598">
          <cell r="B1598" t="str">
            <v>В-12523/КЛ.Транш - 2_В-21082023/Ц</v>
          </cell>
          <cell r="C1598">
            <v>234776.59</v>
          </cell>
          <cell r="D1598">
            <v>45261</v>
          </cell>
          <cell r="E1598">
            <v>45262</v>
          </cell>
        </row>
        <row r="1599">
          <cell r="B1599" t="str">
            <v>В-19880/КЛ.Транш - 1_В-21082023/Ц</v>
          </cell>
          <cell r="C1599">
            <v>345336.64</v>
          </cell>
          <cell r="D1599">
            <v>45262</v>
          </cell>
          <cell r="E1599">
            <v>45272</v>
          </cell>
        </row>
        <row r="1600">
          <cell r="B1600" t="str">
            <v>В-27315/КЛ.Транш - 1_В-21082023/Ц</v>
          </cell>
          <cell r="C1600">
            <v>386511.69</v>
          </cell>
          <cell r="D1600">
            <v>45263</v>
          </cell>
          <cell r="G1600">
            <v>45385</v>
          </cell>
        </row>
        <row r="1601">
          <cell r="B1601" t="str">
            <v>В-28906/КЛ.Транш - 1_В-21082023/Ц</v>
          </cell>
          <cell r="C1601">
            <v>102986.55</v>
          </cell>
          <cell r="D1601">
            <v>45263</v>
          </cell>
          <cell r="E1601">
            <v>45276</v>
          </cell>
        </row>
        <row r="1602">
          <cell r="B1602" t="str">
            <v>В-10841/КЛ.Транш - 1_В-21082023/Ц</v>
          </cell>
          <cell r="C1602">
            <v>506543.63</v>
          </cell>
          <cell r="D1602">
            <v>45264</v>
          </cell>
          <cell r="E1602">
            <v>45267</v>
          </cell>
        </row>
        <row r="1603">
          <cell r="B1603" t="str">
            <v>В-27788/КЛ.Транш - 1_В-21082023/Ц</v>
          </cell>
          <cell r="C1603">
            <v>400262.48</v>
          </cell>
          <cell r="D1603">
            <v>45264</v>
          </cell>
          <cell r="E1603">
            <v>45266</v>
          </cell>
        </row>
        <row r="1604">
          <cell r="B1604" t="str">
            <v>В-00953/АЗ_В-21082023/Ц</v>
          </cell>
          <cell r="C1604">
            <v>165188.28</v>
          </cell>
          <cell r="D1604">
            <v>45264</v>
          </cell>
          <cell r="E1604">
            <v>45264</v>
          </cell>
        </row>
        <row r="1605">
          <cell r="B1605" t="str">
            <v>В-19354/КЛ.Транш - 1_В-21082023/Ц</v>
          </cell>
          <cell r="C1605">
            <v>63951.82</v>
          </cell>
          <cell r="D1605">
            <v>45264</v>
          </cell>
          <cell r="E1605">
            <v>45264</v>
          </cell>
        </row>
        <row r="1606">
          <cell r="B1606" t="str">
            <v>В-14216/КЛ.Транш - 1_В-21082023/Ц</v>
          </cell>
          <cell r="C1606">
            <v>23913.89</v>
          </cell>
          <cell r="D1606">
            <v>45264</v>
          </cell>
          <cell r="E1606">
            <v>45264</v>
          </cell>
        </row>
        <row r="1607">
          <cell r="B1607" t="str">
            <v>В-14168/КЛ.Транш - 4_В-21082023/Ц</v>
          </cell>
          <cell r="C1607">
            <v>44214.61</v>
          </cell>
          <cell r="D1607">
            <v>45265</v>
          </cell>
          <cell r="E1607">
            <v>45265</v>
          </cell>
        </row>
        <row r="1608">
          <cell r="B1608" t="str">
            <v>В-19286/КЛ.Транш - 1_В-21082023/Ц</v>
          </cell>
          <cell r="C1608">
            <v>355090.7</v>
          </cell>
          <cell r="D1608">
            <v>45266</v>
          </cell>
          <cell r="E1608">
            <v>45280</v>
          </cell>
        </row>
        <row r="1609">
          <cell r="B1609" t="str">
            <v>В-16455/КЛ.Транш - 1_В-21082023/Ц</v>
          </cell>
          <cell r="C1609">
            <v>166166.31</v>
          </cell>
          <cell r="D1609">
            <v>45266</v>
          </cell>
          <cell r="E1609">
            <v>45268</v>
          </cell>
        </row>
        <row r="1610">
          <cell r="B1610" t="str">
            <v>В-20035/КЛ.Транш - 1_В-21082023/Ц</v>
          </cell>
          <cell r="C1610">
            <v>6861.68</v>
          </cell>
          <cell r="D1610">
            <v>45266</v>
          </cell>
          <cell r="E1610">
            <v>45266</v>
          </cell>
        </row>
        <row r="1611">
          <cell r="B1611" t="str">
            <v>В-19740/КЛ.Транш - 5_В-21082023/Ц</v>
          </cell>
          <cell r="C1611">
            <v>189806.82</v>
          </cell>
          <cell r="D1611">
            <v>45267</v>
          </cell>
          <cell r="E1611">
            <v>45276</v>
          </cell>
        </row>
        <row r="1612">
          <cell r="B1612" t="str">
            <v>В-02064/КЛ.Транш - 4_В-21082023/Ц</v>
          </cell>
          <cell r="C1612">
            <v>98886.83</v>
          </cell>
          <cell r="D1612">
            <v>45267</v>
          </cell>
          <cell r="E1612">
            <v>45272</v>
          </cell>
        </row>
        <row r="1613">
          <cell r="B1613" t="str">
            <v>В-25573/КЛ.Транш - 1_В-21082023/Ц</v>
          </cell>
          <cell r="C1613">
            <v>6295.39</v>
          </cell>
          <cell r="D1613">
            <v>45267</v>
          </cell>
          <cell r="E1613">
            <v>45271</v>
          </cell>
        </row>
        <row r="1614">
          <cell r="B1614" t="str">
            <v>В-14430/КЛ.Транш - 2_В-21082023/Ц</v>
          </cell>
          <cell r="C1614">
            <v>61616.79</v>
          </cell>
          <cell r="D1614">
            <v>45268</v>
          </cell>
          <cell r="E1614">
            <v>45272</v>
          </cell>
        </row>
        <row r="1615">
          <cell r="B1615" t="str">
            <v>В-19585/КЛ.Транш - 1_В-21082023/Ц</v>
          </cell>
          <cell r="C1615">
            <v>61493.91</v>
          </cell>
          <cell r="D1615">
            <v>45268</v>
          </cell>
          <cell r="E1615">
            <v>45423</v>
          </cell>
        </row>
        <row r="1616">
          <cell r="B1616" t="str">
            <v>В-12067/КЛ.Транш - 1_В-21082023/Ц</v>
          </cell>
          <cell r="C1616">
            <v>59527.63</v>
          </cell>
          <cell r="D1616">
            <v>45268</v>
          </cell>
          <cell r="E1616">
            <v>45279</v>
          </cell>
        </row>
        <row r="1617">
          <cell r="B1617" t="str">
            <v>В-25425/КЛ.Транш - 1_В-21082023/Ц</v>
          </cell>
          <cell r="C1617">
            <v>18943.55</v>
          </cell>
          <cell r="D1617">
            <v>45268</v>
          </cell>
          <cell r="E1617">
            <v>45274</v>
          </cell>
        </row>
        <row r="1618">
          <cell r="B1618" t="str">
            <v>В-11782/КЛ.Транш - 1_В-21082023/Ц</v>
          </cell>
          <cell r="C1618">
            <v>12192.26</v>
          </cell>
          <cell r="D1618">
            <v>45270</v>
          </cell>
          <cell r="E1618">
            <v>45270</v>
          </cell>
        </row>
        <row r="1619">
          <cell r="B1619" t="str">
            <v>В-19740/КЛ.Транш - 6_В-21082023/Ц</v>
          </cell>
          <cell r="C1619">
            <v>227768.14</v>
          </cell>
          <cell r="D1619">
            <v>45270</v>
          </cell>
          <cell r="E1619">
            <v>45276</v>
          </cell>
        </row>
        <row r="1620">
          <cell r="B1620" t="str">
            <v>В-26950/КЛ.Транш - 1_В-21082023/Ц</v>
          </cell>
          <cell r="C1620">
            <v>128140.77</v>
          </cell>
          <cell r="D1620">
            <v>45270</v>
          </cell>
          <cell r="E1620">
            <v>45280</v>
          </cell>
        </row>
        <row r="1621">
          <cell r="B1621" t="str">
            <v>В-22935/КЛ.Транш - 2_В-21082023/Ц</v>
          </cell>
          <cell r="C1621">
            <v>74441</v>
          </cell>
          <cell r="D1621">
            <v>45270</v>
          </cell>
          <cell r="E1621">
            <v>45274</v>
          </cell>
        </row>
        <row r="1622">
          <cell r="B1622" t="str">
            <v>В-17095/КЛ.Транш - 1_В-21082023/Ц</v>
          </cell>
          <cell r="C1622">
            <v>32743.03</v>
          </cell>
          <cell r="D1622">
            <v>45270</v>
          </cell>
          <cell r="E1622">
            <v>45281</v>
          </cell>
        </row>
        <row r="1623">
          <cell r="B1623" t="str">
            <v>В-22052/КЛ.Транш - 2_В-21082023/Ц</v>
          </cell>
          <cell r="C1623">
            <v>21649.65</v>
          </cell>
          <cell r="D1623">
            <v>45270</v>
          </cell>
          <cell r="E1623">
            <v>45315</v>
          </cell>
        </row>
        <row r="1624">
          <cell r="B1624" t="str">
            <v>В-01211/АЗ_В-21082023/Ц</v>
          </cell>
          <cell r="C1624">
            <v>669770.46</v>
          </cell>
          <cell r="D1624">
            <v>45271</v>
          </cell>
          <cell r="E1624">
            <v>45274</v>
          </cell>
        </row>
        <row r="1625">
          <cell r="B1625" t="str">
            <v>В-25807/АЗ_В-21082023/Ц</v>
          </cell>
          <cell r="C1625">
            <v>610669.5</v>
          </cell>
          <cell r="D1625">
            <v>45271</v>
          </cell>
          <cell r="E1625">
            <v>45280</v>
          </cell>
        </row>
        <row r="1626">
          <cell r="B1626" t="str">
            <v>В-25810/АЗ_В-21082023/Ц</v>
          </cell>
          <cell r="C1626">
            <v>610669.5</v>
          </cell>
          <cell r="D1626">
            <v>45271</v>
          </cell>
          <cell r="E1626">
            <v>45280</v>
          </cell>
        </row>
        <row r="1627">
          <cell r="B1627" t="str">
            <v>В-16057/КЛ.Транш - 6_В-21082023/Ц</v>
          </cell>
          <cell r="C1627">
            <v>298195.12</v>
          </cell>
          <cell r="D1627">
            <v>45272</v>
          </cell>
          <cell r="E1627">
            <v>45278</v>
          </cell>
        </row>
        <row r="1628">
          <cell r="B1628" t="str">
            <v>В-21321/КЛ.Транш - 1_В-21082023/Ц</v>
          </cell>
          <cell r="C1628">
            <v>49147.98</v>
          </cell>
          <cell r="D1628">
            <v>45272</v>
          </cell>
          <cell r="E1628">
            <v>45286</v>
          </cell>
        </row>
        <row r="1629">
          <cell r="B1629" t="str">
            <v>В-25852/КЛ.Транш - 1_В-21082023/Ц</v>
          </cell>
          <cell r="C1629">
            <v>31173.32</v>
          </cell>
          <cell r="D1629">
            <v>45272</v>
          </cell>
          <cell r="E1629">
            <v>45275</v>
          </cell>
        </row>
        <row r="1630">
          <cell r="B1630" t="str">
            <v>В-01039/АЗ_В-21082023/Ц</v>
          </cell>
          <cell r="C1630">
            <v>552294.37</v>
          </cell>
          <cell r="D1630">
            <v>45273</v>
          </cell>
          <cell r="E1630">
            <v>45274</v>
          </cell>
        </row>
        <row r="1631">
          <cell r="B1631" t="str">
            <v>В-23555/КЛ.Транш - 1_В-21082023/Ц</v>
          </cell>
          <cell r="C1631">
            <v>555082.01</v>
          </cell>
          <cell r="D1631">
            <v>45274</v>
          </cell>
          <cell r="E1631">
            <v>45308</v>
          </cell>
        </row>
        <row r="1632">
          <cell r="B1632" t="str">
            <v>В-01024/АЗ_В-21082023/Ц</v>
          </cell>
          <cell r="C1632">
            <v>473691.01</v>
          </cell>
          <cell r="D1632">
            <v>45274</v>
          </cell>
          <cell r="E1632">
            <v>45274</v>
          </cell>
        </row>
        <row r="1633">
          <cell r="B1633" t="str">
            <v>В-01023/АЗ_В-21082023/Ц</v>
          </cell>
          <cell r="C1633">
            <v>473691.01</v>
          </cell>
          <cell r="D1633">
            <v>45274</v>
          </cell>
          <cell r="E1633">
            <v>45274</v>
          </cell>
        </row>
        <row r="1634">
          <cell r="B1634" t="str">
            <v>В-01022/АЗ_В-21082023/Ц</v>
          </cell>
          <cell r="C1634">
            <v>473353.82</v>
          </cell>
          <cell r="D1634">
            <v>45274</v>
          </cell>
          <cell r="E1634">
            <v>45274</v>
          </cell>
        </row>
        <row r="1635">
          <cell r="B1635" t="str">
            <v>В-23362/КЛ.Транш - 2_В-21082023/Ц</v>
          </cell>
          <cell r="C1635">
            <v>19008.830000000002</v>
          </cell>
          <cell r="D1635">
            <v>45274</v>
          </cell>
          <cell r="E1635">
            <v>45275</v>
          </cell>
        </row>
        <row r="1636">
          <cell r="B1636" t="str">
            <v>В-20384/КЛ.Транш - 1_В-21082023/Ц</v>
          </cell>
          <cell r="C1636">
            <v>204183.48</v>
          </cell>
          <cell r="D1636">
            <v>45275</v>
          </cell>
          <cell r="E1636">
            <v>45280</v>
          </cell>
        </row>
        <row r="1637">
          <cell r="B1637" t="str">
            <v>В-02064/КЛ.Транш - 2_В-21082023/Ц</v>
          </cell>
          <cell r="C1637">
            <v>175992.53</v>
          </cell>
          <cell r="D1637">
            <v>45275</v>
          </cell>
          <cell r="E1637">
            <v>45286</v>
          </cell>
        </row>
        <row r="1638">
          <cell r="B1638" t="str">
            <v>В-16067/КЛ.Транш - 1_В-21082023/Ц</v>
          </cell>
          <cell r="C1638">
            <v>88121.5</v>
          </cell>
          <cell r="D1638">
            <v>45275</v>
          </cell>
          <cell r="E1638">
            <v>45286</v>
          </cell>
        </row>
        <row r="1639">
          <cell r="B1639" t="str">
            <v>В-19740/КЛ.Транш - 7_В-21082023/Ц</v>
          </cell>
          <cell r="C1639">
            <v>91107.37</v>
          </cell>
          <cell r="D1639">
            <v>45276</v>
          </cell>
          <cell r="E1639">
            <v>45276</v>
          </cell>
        </row>
        <row r="1640">
          <cell r="B1640" t="str">
            <v>В-11396/КЛ.Транш - 2_В-21082023/Ц</v>
          </cell>
          <cell r="C1640">
            <v>245618.43</v>
          </cell>
          <cell r="D1640">
            <v>45276</v>
          </cell>
          <cell r="E1640">
            <v>45287</v>
          </cell>
        </row>
        <row r="1641">
          <cell r="B1641" t="str">
            <v>В-20544/КЛ.Транш - 1_В-21082023/Ц</v>
          </cell>
          <cell r="C1641">
            <v>487648.95</v>
          </cell>
          <cell r="D1641">
            <v>45278</v>
          </cell>
          <cell r="E1641">
            <v>45280</v>
          </cell>
        </row>
        <row r="1642">
          <cell r="B1642" t="str">
            <v>В-28376/КЛ.Транш - 1_В-21082023/Ц</v>
          </cell>
          <cell r="C1642">
            <v>29788.49</v>
          </cell>
          <cell r="D1642">
            <v>45278</v>
          </cell>
          <cell r="E1642">
            <v>45281</v>
          </cell>
        </row>
        <row r="1643">
          <cell r="B1643" t="str">
            <v>В-09100/КЛ.Транш - 1_В-21082023/Ц</v>
          </cell>
          <cell r="C1643">
            <v>38781.379999999997</v>
          </cell>
          <cell r="D1643">
            <v>45279</v>
          </cell>
          <cell r="E1643">
            <v>45285</v>
          </cell>
        </row>
        <row r="1644">
          <cell r="B1644" t="str">
            <v>В-16934/КЛ.Транш - 1_В-21082023/Ц</v>
          </cell>
          <cell r="C1644">
            <v>232178.69</v>
          </cell>
          <cell r="D1644">
            <v>45279</v>
          </cell>
          <cell r="E1644">
            <v>45279</v>
          </cell>
        </row>
        <row r="1645">
          <cell r="B1645" t="str">
            <v>В-22744/КЛ.Транш - 1_В-21082023/Ц</v>
          </cell>
          <cell r="C1645">
            <v>33382.21</v>
          </cell>
          <cell r="D1645">
            <v>45280</v>
          </cell>
          <cell r="E1645">
            <v>45286</v>
          </cell>
        </row>
        <row r="1646">
          <cell r="B1646" t="str">
            <v>В-26172/АЗ_В-21082023/Ц</v>
          </cell>
          <cell r="C1646">
            <v>446647.15</v>
          </cell>
          <cell r="D1646">
            <v>45281</v>
          </cell>
          <cell r="E1646">
            <v>45282</v>
          </cell>
        </row>
        <row r="1647">
          <cell r="B1647" t="str">
            <v>В-23901/КЛ.Транш - 1_В-21082023/Ц</v>
          </cell>
          <cell r="C1647">
            <v>345836.75</v>
          </cell>
          <cell r="D1647">
            <v>45282</v>
          </cell>
          <cell r="E1647">
            <v>45282</v>
          </cell>
        </row>
        <row r="1648">
          <cell r="B1648" t="str">
            <v>В-23555/КЛ.Транш - 2_В-21082023/Ц</v>
          </cell>
          <cell r="C1648">
            <v>123621.8</v>
          </cell>
          <cell r="D1648">
            <v>45282</v>
          </cell>
          <cell r="E1648">
            <v>45308</v>
          </cell>
        </row>
        <row r="1649">
          <cell r="B1649" t="str">
            <v>В-23370/КЛ.Транш - 1_В-21082023/Ц</v>
          </cell>
          <cell r="C1649">
            <v>85107.94</v>
          </cell>
          <cell r="D1649">
            <v>45282</v>
          </cell>
          <cell r="E1649">
            <v>45301</v>
          </cell>
        </row>
        <row r="1650">
          <cell r="B1650" t="str">
            <v>В-14216/КЛ.Транш - 4_В-21082023/Ц</v>
          </cell>
          <cell r="C1650">
            <v>74837.429999999993</v>
          </cell>
          <cell r="D1650">
            <v>45282</v>
          </cell>
          <cell r="E1650">
            <v>45282</v>
          </cell>
        </row>
        <row r="1651">
          <cell r="B1651" t="str">
            <v>В-28538/КЛ.Транш - 1_В-21082023/Ц</v>
          </cell>
          <cell r="C1651">
            <v>53775.14</v>
          </cell>
          <cell r="D1651">
            <v>45282</v>
          </cell>
          <cell r="E1651">
            <v>45289</v>
          </cell>
        </row>
        <row r="1652">
          <cell r="B1652" t="str">
            <v>В-14816/КЛ.Транш - 1_В-21082023/Ц</v>
          </cell>
          <cell r="C1652">
            <v>20268.8</v>
          </cell>
          <cell r="D1652">
            <v>45282</v>
          </cell>
          <cell r="E1652">
            <v>45288</v>
          </cell>
        </row>
        <row r="1653">
          <cell r="B1653" t="str">
            <v>В-16242/КЛ.Транш - 2_В-21082023/Ц</v>
          </cell>
          <cell r="C1653">
            <v>204595.71</v>
          </cell>
          <cell r="D1653">
            <v>45283</v>
          </cell>
          <cell r="E1653">
            <v>45287</v>
          </cell>
        </row>
        <row r="1654">
          <cell r="B1654" t="str">
            <v>В-21245/КЛ.Транш - 3_В-21082023/Ц</v>
          </cell>
          <cell r="C1654">
            <v>34245.33</v>
          </cell>
          <cell r="D1654">
            <v>45283</v>
          </cell>
          <cell r="E1654">
            <v>45289</v>
          </cell>
        </row>
        <row r="1655">
          <cell r="B1655" t="str">
            <v>В-28598/КЛ.Транш - 1_В-21082023/Ц</v>
          </cell>
          <cell r="C1655">
            <v>688337.74</v>
          </cell>
          <cell r="D1655">
            <v>45284</v>
          </cell>
          <cell r="E1655">
            <v>45306</v>
          </cell>
        </row>
        <row r="1656">
          <cell r="B1656" t="str">
            <v>В-10022/КЭ.Транш - 1_В-21082023/Ц</v>
          </cell>
          <cell r="C1656">
            <v>62792.21</v>
          </cell>
          <cell r="D1656">
            <v>45284</v>
          </cell>
          <cell r="E1656">
            <v>45286</v>
          </cell>
        </row>
        <row r="1657">
          <cell r="B1657" t="str">
            <v>В-00955/АЗ_В-21082023/Ц</v>
          </cell>
          <cell r="C1657">
            <v>191253.76000000001</v>
          </cell>
          <cell r="D1657">
            <v>45285</v>
          </cell>
          <cell r="E1657">
            <v>45337</v>
          </cell>
        </row>
        <row r="1658">
          <cell r="B1658" t="str">
            <v>В-22935/КЛ.Транш - 1_В-21082023/Ц</v>
          </cell>
          <cell r="C1658">
            <v>168306.06</v>
          </cell>
          <cell r="D1658">
            <v>45285</v>
          </cell>
          <cell r="E1658">
            <v>45289</v>
          </cell>
        </row>
        <row r="1659">
          <cell r="B1659" t="str">
            <v>В-24580/КЛ.Транш - 1_В-21082023/Ц</v>
          </cell>
          <cell r="C1659">
            <v>118777.28</v>
          </cell>
          <cell r="D1659">
            <v>45285</v>
          </cell>
          <cell r="E1659">
            <v>45313</v>
          </cell>
        </row>
        <row r="1660">
          <cell r="B1660" t="str">
            <v>В-14216/КЛ.Транш - 3_В-21082023/Ц</v>
          </cell>
          <cell r="C1660">
            <v>68233.86</v>
          </cell>
          <cell r="D1660">
            <v>45285</v>
          </cell>
          <cell r="E1660">
            <v>45286</v>
          </cell>
        </row>
        <row r="1661">
          <cell r="B1661" t="str">
            <v>В-19548/КЛ.Транш - 1_В-21082023/Ц</v>
          </cell>
          <cell r="C1661">
            <v>357900.2</v>
          </cell>
          <cell r="D1661">
            <v>45286</v>
          </cell>
          <cell r="E1661">
            <v>45286</v>
          </cell>
        </row>
        <row r="1662">
          <cell r="B1662" t="str">
            <v>В-22979/КЛ.Транш - 1_В-21082023/Ц</v>
          </cell>
          <cell r="C1662">
            <v>252459.55</v>
          </cell>
          <cell r="D1662">
            <v>45286</v>
          </cell>
          <cell r="E1662">
            <v>45313</v>
          </cell>
        </row>
        <row r="1663">
          <cell r="B1663" t="str">
            <v>В-19740/КЛ.Транш - 8_В-21082023/Ц</v>
          </cell>
          <cell r="C1663">
            <v>131484.75</v>
          </cell>
          <cell r="D1663">
            <v>45286</v>
          </cell>
          <cell r="E1663">
            <v>45289</v>
          </cell>
        </row>
        <row r="1664">
          <cell r="B1664" t="str">
            <v>В-23370/КЛ.Транш - 2_В-21082023/Ц</v>
          </cell>
          <cell r="C1664">
            <v>91438.45</v>
          </cell>
          <cell r="D1664">
            <v>45286</v>
          </cell>
          <cell r="E1664">
            <v>45307</v>
          </cell>
        </row>
        <row r="1665">
          <cell r="B1665" t="str">
            <v>В-12813/КЛ.Транш - 1_В-21082023/Ц</v>
          </cell>
          <cell r="C1665">
            <v>478554.9</v>
          </cell>
          <cell r="D1665">
            <v>45287</v>
          </cell>
          <cell r="E1665">
            <v>45308</v>
          </cell>
        </row>
        <row r="1666">
          <cell r="B1666" t="str">
            <v>В-12269/КЛ.Транш - 1_В-21082023/Ц</v>
          </cell>
          <cell r="C1666">
            <v>23977.599999999999</v>
          </cell>
          <cell r="D1666">
            <v>45287</v>
          </cell>
          <cell r="E1666">
            <v>45264</v>
          </cell>
        </row>
        <row r="1667">
          <cell r="B1667" t="str">
            <v>В-13545/КЛ.Транш - 1_В-21082023/Ц</v>
          </cell>
          <cell r="C1667">
            <v>12577.21</v>
          </cell>
          <cell r="D1667">
            <v>45287</v>
          </cell>
          <cell r="E1667">
            <v>45302</v>
          </cell>
        </row>
        <row r="1668">
          <cell r="B1668" t="str">
            <v>В-26125/АЗ_В-21082023/Ц</v>
          </cell>
          <cell r="C1668">
            <v>745012.96</v>
          </cell>
          <cell r="D1668">
            <v>45288</v>
          </cell>
          <cell r="E1668">
            <v>45292</v>
          </cell>
        </row>
        <row r="1669">
          <cell r="B1669" t="str">
            <v>В-27646/КЛ.Транш - 1_В-21082023/Ц</v>
          </cell>
          <cell r="C1669">
            <v>346189.41</v>
          </cell>
          <cell r="D1669">
            <v>45288</v>
          </cell>
          <cell r="E1669">
            <v>45300</v>
          </cell>
        </row>
        <row r="1670">
          <cell r="B1670" t="str">
            <v>В-22864/КЛ.Транш - 1_В-21082023/Ц</v>
          </cell>
          <cell r="C1670">
            <v>215418.87</v>
          </cell>
          <cell r="D1670">
            <v>45288</v>
          </cell>
          <cell r="E1670">
            <v>45289</v>
          </cell>
        </row>
        <row r="1671">
          <cell r="B1671" t="str">
            <v>В-08454/КЛ.Транш - 1_В-21082023/Ц</v>
          </cell>
          <cell r="C1671">
            <v>23068.21</v>
          </cell>
          <cell r="D1671">
            <v>45289</v>
          </cell>
          <cell r="E1671">
            <v>45289</v>
          </cell>
        </row>
        <row r="1672">
          <cell r="B1672" t="str">
            <v>В-25573/КЛ.Транш - 2_В-21082023/Ц</v>
          </cell>
          <cell r="C1672">
            <v>6336.2</v>
          </cell>
          <cell r="D1672">
            <v>45289</v>
          </cell>
          <cell r="E1672">
            <v>45306</v>
          </cell>
        </row>
        <row r="1673">
          <cell r="B1673" t="str">
            <v>В-11605/КЛ.Транш - 1_В-21082023/Ц</v>
          </cell>
          <cell r="C1673">
            <v>158038.91</v>
          </cell>
          <cell r="D1673">
            <v>45291</v>
          </cell>
          <cell r="E1673">
            <v>45294</v>
          </cell>
        </row>
        <row r="1674">
          <cell r="B1674" t="str">
            <v>В-26743/КЛ.Транш - 1_В-21082023/Ц</v>
          </cell>
          <cell r="C1674">
            <v>7819.44</v>
          </cell>
          <cell r="D1674">
            <v>45291</v>
          </cell>
          <cell r="E1674">
            <v>45295</v>
          </cell>
        </row>
        <row r="1675">
          <cell r="B1675" t="str">
            <v>В-28906/КЛ.Транш - 1_В-21082023/Ц</v>
          </cell>
          <cell r="C1675">
            <v>101808.7</v>
          </cell>
          <cell r="D1675">
            <v>45294</v>
          </cell>
          <cell r="E1675">
            <v>45304</v>
          </cell>
        </row>
        <row r="1676">
          <cell r="B1676" t="str">
            <v>В-27788/КЛ.Транш - 1_В-21082023/Ц</v>
          </cell>
          <cell r="C1676">
            <v>392779.06</v>
          </cell>
          <cell r="D1676">
            <v>45295</v>
          </cell>
          <cell r="E1676">
            <v>45303</v>
          </cell>
        </row>
        <row r="1677">
          <cell r="B1677" t="str">
            <v>В-00953/АЗ_В-21082023/Ц</v>
          </cell>
          <cell r="C1677">
            <v>147949.4</v>
          </cell>
          <cell r="D1677">
            <v>45295</v>
          </cell>
          <cell r="E1677">
            <v>45306</v>
          </cell>
        </row>
        <row r="1678">
          <cell r="B1678" t="str">
            <v>В-19354/КЛ.Транш - 1_В-21082023/Ц</v>
          </cell>
          <cell r="C1678">
            <v>57017.37</v>
          </cell>
          <cell r="D1678">
            <v>45295</v>
          </cell>
          <cell r="E1678">
            <v>45306</v>
          </cell>
        </row>
        <row r="1679">
          <cell r="B1679" t="str">
            <v>В-27929/КЛ.Транш - 1_В-21082023/Ц</v>
          </cell>
          <cell r="C1679">
            <v>136381.96</v>
          </cell>
          <cell r="D1679">
            <v>45296</v>
          </cell>
          <cell r="E1679">
            <v>45296</v>
          </cell>
        </row>
        <row r="1680">
          <cell r="B1680" t="str">
            <v>В-14168/КЛ.Транш - 4_В-21082023/Ц</v>
          </cell>
          <cell r="C1680">
            <v>30269.29</v>
          </cell>
          <cell r="D1680">
            <v>45296</v>
          </cell>
          <cell r="E1680">
            <v>45313</v>
          </cell>
        </row>
        <row r="1681">
          <cell r="B1681" t="str">
            <v>В-19286/КЛ.Транш - 1_В-21082023/Ц</v>
          </cell>
          <cell r="C1681">
            <v>343181</v>
          </cell>
          <cell r="D1681">
            <v>45297</v>
          </cell>
          <cell r="E1681">
            <v>45351</v>
          </cell>
        </row>
        <row r="1682">
          <cell r="B1682" t="str">
            <v>В-16455/КЛ.Транш - 1_В-21082023/Ц</v>
          </cell>
          <cell r="C1682">
            <v>159215.98000000001</v>
          </cell>
          <cell r="D1682">
            <v>45297</v>
          </cell>
          <cell r="E1682">
            <v>45301</v>
          </cell>
        </row>
        <row r="1683">
          <cell r="B1683" t="str">
            <v>В-20035/КЛ.Транш - 1_В-21082023/Ц</v>
          </cell>
          <cell r="C1683">
            <v>6678.03</v>
          </cell>
          <cell r="D1683">
            <v>45297</v>
          </cell>
          <cell r="E1683">
            <v>45300</v>
          </cell>
        </row>
        <row r="1684">
          <cell r="B1684" t="str">
            <v>В-19740/КЛ.Транш - 5_В-21082023/Ц</v>
          </cell>
          <cell r="C1684">
            <v>185481.51</v>
          </cell>
          <cell r="D1684">
            <v>45298</v>
          </cell>
          <cell r="E1684">
            <v>45301</v>
          </cell>
        </row>
        <row r="1685">
          <cell r="B1685" t="str">
            <v>В-12066/КЛ.Транш - 1_В-21082023/Ц</v>
          </cell>
          <cell r="C1685">
            <v>62227.61</v>
          </cell>
          <cell r="D1685">
            <v>45299</v>
          </cell>
          <cell r="E1685">
            <v>45302</v>
          </cell>
        </row>
        <row r="1686">
          <cell r="B1686" t="str">
            <v>В-12067/КЛ.Транш - 1_В-21082023/Ц</v>
          </cell>
          <cell r="C1686">
            <v>56205.36</v>
          </cell>
          <cell r="D1686">
            <v>45299</v>
          </cell>
          <cell r="E1686">
            <v>45307</v>
          </cell>
        </row>
        <row r="1687">
          <cell r="B1687" t="str">
            <v>В-14430/КЛ.Транш - 2_В-21082023/Ц</v>
          </cell>
          <cell r="C1687">
            <v>41091.339999999997</v>
          </cell>
          <cell r="D1687">
            <v>45299</v>
          </cell>
          <cell r="E1687">
            <v>45301</v>
          </cell>
        </row>
        <row r="1688">
          <cell r="B1688" t="str">
            <v>В-28062/КЛ.Транш - 1_В-21082023/Ц</v>
          </cell>
          <cell r="C1688">
            <v>138690</v>
          </cell>
          <cell r="D1688">
            <v>45300</v>
          </cell>
          <cell r="E1688">
            <v>45300</v>
          </cell>
        </row>
        <row r="1689">
          <cell r="B1689" t="str">
            <v>В-19740/КЛ.Транш - 6_В-21082023/Ц</v>
          </cell>
          <cell r="C1689">
            <v>222577.76</v>
          </cell>
          <cell r="D1689">
            <v>45301</v>
          </cell>
          <cell r="E1689">
            <v>45315</v>
          </cell>
        </row>
        <row r="1690">
          <cell r="B1690" t="str">
            <v>В-26950/КЛ.Транш - 1_В-21082023/Ц</v>
          </cell>
          <cell r="C1690">
            <v>126063.15</v>
          </cell>
          <cell r="D1690">
            <v>45301</v>
          </cell>
          <cell r="E1690">
            <v>45314</v>
          </cell>
        </row>
        <row r="1691">
          <cell r="B1691" t="str">
            <v>В-22935/КЛ.Транш - 2_В-21082023/Ц</v>
          </cell>
          <cell r="C1691">
            <v>72649.98</v>
          </cell>
          <cell r="D1691">
            <v>45301</v>
          </cell>
          <cell r="E1691">
            <v>45303</v>
          </cell>
        </row>
        <row r="1692">
          <cell r="B1692" t="str">
            <v>В-17095/КЛ.Транш - 1_В-21082023/Ц</v>
          </cell>
          <cell r="C1692">
            <v>27859.01</v>
          </cell>
          <cell r="D1692">
            <v>45301</v>
          </cell>
          <cell r="E1692">
            <v>45306</v>
          </cell>
        </row>
        <row r="1693">
          <cell r="B1693" t="str">
            <v>В-01211/АЗ_В-21082023/Ц</v>
          </cell>
          <cell r="C1693">
            <v>648753.9</v>
          </cell>
          <cell r="D1693">
            <v>45302</v>
          </cell>
          <cell r="E1693">
            <v>45303</v>
          </cell>
        </row>
        <row r="1694">
          <cell r="B1694" t="str">
            <v>В-25807/АЗ_В-21082023/Ц</v>
          </cell>
          <cell r="C1694">
            <v>578053.6</v>
          </cell>
          <cell r="D1694">
            <v>45302</v>
          </cell>
          <cell r="E1694">
            <v>45316</v>
          </cell>
        </row>
        <row r="1695">
          <cell r="B1695" t="str">
            <v>В-25810/АЗ_В-21082023/Ц</v>
          </cell>
          <cell r="C1695">
            <v>578053.6</v>
          </cell>
          <cell r="D1695">
            <v>45302</v>
          </cell>
          <cell r="E1695">
            <v>45316</v>
          </cell>
        </row>
        <row r="1696">
          <cell r="B1696" t="str">
            <v>В-25671/АЗ_В-21082023/Ц</v>
          </cell>
          <cell r="C1696">
            <v>231221.74</v>
          </cell>
          <cell r="D1696">
            <v>45302</v>
          </cell>
          <cell r="E1696">
            <v>45315</v>
          </cell>
        </row>
        <row r="1697">
          <cell r="B1697" t="str">
            <v>В-16057/КЛ.Транш - 6_В-21082023/Ц</v>
          </cell>
          <cell r="C1697">
            <v>281901.94</v>
          </cell>
          <cell r="D1697">
            <v>45303</v>
          </cell>
          <cell r="E1697">
            <v>45313</v>
          </cell>
        </row>
        <row r="1698">
          <cell r="B1698" t="str">
            <v>В-21321/КЛ.Транш - 1_В-21082023/Ц</v>
          </cell>
          <cell r="C1698">
            <v>33251.65</v>
          </cell>
          <cell r="D1698">
            <v>45303</v>
          </cell>
          <cell r="E1698">
            <v>45315</v>
          </cell>
        </row>
        <row r="1699">
          <cell r="B1699" t="str">
            <v>В-01039/АЗ_В-21082023/Ц</v>
          </cell>
          <cell r="C1699">
            <v>518790.9</v>
          </cell>
          <cell r="D1699">
            <v>45304</v>
          </cell>
          <cell r="E1699">
            <v>45351</v>
          </cell>
        </row>
        <row r="1700">
          <cell r="B1700" t="str">
            <v>В-17469/КЛ.Транш - 1_В-21082023/Ц</v>
          </cell>
          <cell r="C1700">
            <v>661812.79</v>
          </cell>
          <cell r="D1700">
            <v>45304</v>
          </cell>
          <cell r="E1700">
            <v>45328</v>
          </cell>
        </row>
        <row r="1701">
          <cell r="B1701" t="str">
            <v>В-01038/АЗ_В-21082023/Ц</v>
          </cell>
          <cell r="C1701">
            <v>497403.62</v>
          </cell>
          <cell r="D1701">
            <v>45304</v>
          </cell>
          <cell r="E1701">
            <v>45321</v>
          </cell>
        </row>
        <row r="1702">
          <cell r="B1702" t="str">
            <v>В-01022/АЗ_В-21082023/Ц</v>
          </cell>
          <cell r="C1702">
            <v>441942.47</v>
          </cell>
          <cell r="D1702">
            <v>45305</v>
          </cell>
          <cell r="E1702">
            <v>45306</v>
          </cell>
        </row>
        <row r="1703">
          <cell r="B1703" t="str">
            <v>В-01023/АЗ_В-21082023/Ц</v>
          </cell>
          <cell r="C1703">
            <v>442257.28</v>
          </cell>
          <cell r="D1703">
            <v>45305</v>
          </cell>
          <cell r="E1703">
            <v>45327</v>
          </cell>
        </row>
        <row r="1704">
          <cell r="B1704" t="str">
            <v>В-01024/АЗ_В-21082023/Ц</v>
          </cell>
          <cell r="C1704">
            <v>442257.28</v>
          </cell>
          <cell r="D1704">
            <v>45305</v>
          </cell>
          <cell r="E1704">
            <v>45320</v>
          </cell>
        </row>
        <row r="1705">
          <cell r="B1705" t="str">
            <v>В-20384/КЛ.Транш - 1_В-21082023/Ц</v>
          </cell>
          <cell r="C1705">
            <v>175332.48000000001</v>
          </cell>
          <cell r="D1705">
            <v>45306</v>
          </cell>
          <cell r="E1705">
            <v>45309</v>
          </cell>
        </row>
        <row r="1706">
          <cell r="B1706" t="str">
            <v>В-16067/КЛ.Транш - 1_В-21082023/Ц</v>
          </cell>
          <cell r="C1706">
            <v>84409.79</v>
          </cell>
          <cell r="D1706">
            <v>45306</v>
          </cell>
          <cell r="E1706">
            <v>45335</v>
          </cell>
        </row>
        <row r="1707">
          <cell r="B1707" t="str">
            <v>В-02064/КЛ.Транш - 2_В-21082023/Ц</v>
          </cell>
          <cell r="C1707">
            <v>154454.38</v>
          </cell>
          <cell r="D1707">
            <v>45306</v>
          </cell>
          <cell r="E1707">
            <v>45357</v>
          </cell>
        </row>
        <row r="1708">
          <cell r="B1708" t="str">
            <v>В-11396/КЛ.Транш - 2_В-21082023/Ц</v>
          </cell>
          <cell r="C1708">
            <v>236805.52</v>
          </cell>
          <cell r="D1708">
            <v>45307</v>
          </cell>
          <cell r="E1708">
            <v>45311</v>
          </cell>
        </row>
        <row r="1709">
          <cell r="B1709" t="str">
            <v>В-21306/КЛ.Транш - 1_В-21082023/Ц</v>
          </cell>
          <cell r="C1709">
            <v>129077.07</v>
          </cell>
          <cell r="D1709">
            <v>45307</v>
          </cell>
          <cell r="E1709">
            <v>45309</v>
          </cell>
        </row>
        <row r="1710">
          <cell r="B1710" t="str">
            <v>В-19740/КЛ.Транш - 7_В-21082023/Ц</v>
          </cell>
          <cell r="C1710">
            <v>89031.23</v>
          </cell>
          <cell r="D1710">
            <v>45307</v>
          </cell>
          <cell r="E1710">
            <v>45315</v>
          </cell>
        </row>
        <row r="1711">
          <cell r="B1711" t="str">
            <v>В-01188/АЗ_В-21082023/Ц</v>
          </cell>
          <cell r="C1711">
            <v>42264.29</v>
          </cell>
          <cell r="D1711">
            <v>45307</v>
          </cell>
          <cell r="G1711">
            <v>45398</v>
          </cell>
        </row>
        <row r="1712">
          <cell r="B1712" t="str">
            <v>В-25132/КЛ.Транш - 2_В-21082023/Ц</v>
          </cell>
          <cell r="C1712">
            <v>12494.54</v>
          </cell>
          <cell r="D1712">
            <v>45307</v>
          </cell>
          <cell r="E1712">
            <v>45307</v>
          </cell>
        </row>
        <row r="1713">
          <cell r="B1713" t="str">
            <v>В-11277/КЛ.Транш - 1_В-21082023/Ц</v>
          </cell>
          <cell r="C1713">
            <v>143205.79999999999</v>
          </cell>
          <cell r="D1713">
            <v>45308</v>
          </cell>
          <cell r="E1713">
            <v>45313</v>
          </cell>
        </row>
        <row r="1714">
          <cell r="B1714" t="str">
            <v>В-20544/КЛ.Транш - 1_В-21082023/Ц</v>
          </cell>
          <cell r="C1714">
            <v>471268.61</v>
          </cell>
          <cell r="D1714">
            <v>45309</v>
          </cell>
          <cell r="E1714">
            <v>45324</v>
          </cell>
        </row>
        <row r="1715">
          <cell r="B1715" t="str">
            <v>В-28376/КЛ.Транш - 1_В-21082023/Ц</v>
          </cell>
          <cell r="C1715">
            <v>28573.07</v>
          </cell>
          <cell r="D1715">
            <v>45309</v>
          </cell>
          <cell r="E1715">
            <v>45310</v>
          </cell>
        </row>
        <row r="1716">
          <cell r="B1716" t="str">
            <v>В-19355/КЛ.Транш - 1_В-21082023/Ц</v>
          </cell>
          <cell r="C1716">
            <v>82811.66</v>
          </cell>
          <cell r="D1716">
            <v>45310</v>
          </cell>
          <cell r="E1716">
            <v>45387</v>
          </cell>
        </row>
        <row r="1717">
          <cell r="B1717" t="str">
            <v>В-14216/КЛ.Транш - 2_В-21082023/Ц</v>
          </cell>
          <cell r="C1717">
            <v>61319</v>
          </cell>
          <cell r="D1717">
            <v>45310</v>
          </cell>
          <cell r="E1717">
            <v>45310</v>
          </cell>
        </row>
        <row r="1718">
          <cell r="B1718" t="str">
            <v>В-09100/КЛ.Транш - 1_В-21082023/Ц</v>
          </cell>
          <cell r="C1718">
            <v>35524.9</v>
          </cell>
          <cell r="D1718">
            <v>45310</v>
          </cell>
          <cell r="E1718">
            <v>45320</v>
          </cell>
        </row>
        <row r="1719">
          <cell r="B1719" t="str">
            <v>В-22744/КЛ.Транш - 1_В-21082023/Ц</v>
          </cell>
          <cell r="C1719">
            <v>30012.86</v>
          </cell>
          <cell r="D1719">
            <v>45311</v>
          </cell>
          <cell r="E1719">
            <v>45317</v>
          </cell>
        </row>
        <row r="1720">
          <cell r="B1720" t="str">
            <v>В-15831/КЛ.Транш - 1_В-21082023/Ц</v>
          </cell>
          <cell r="C1720">
            <v>72107.320000000007</v>
          </cell>
          <cell r="D1720">
            <v>45312</v>
          </cell>
          <cell r="E1720">
            <v>45312</v>
          </cell>
        </row>
        <row r="1721">
          <cell r="B1721" t="str">
            <v>В-26172/АЗ_В-21082023/Ц</v>
          </cell>
          <cell r="C1721">
            <v>435901.1</v>
          </cell>
          <cell r="D1721">
            <v>45312</v>
          </cell>
          <cell r="E1721">
            <v>45320</v>
          </cell>
        </row>
        <row r="1722">
          <cell r="B1722" t="str">
            <v>В-21568/КЛ.Транш - 1_В-21082023/Ц</v>
          </cell>
          <cell r="C1722">
            <v>97645.34</v>
          </cell>
          <cell r="D1722">
            <v>45312</v>
          </cell>
          <cell r="E1722">
            <v>45334</v>
          </cell>
        </row>
        <row r="1723">
          <cell r="B1723" t="str">
            <v>В-23901/КЛ.Транш - 1_В-21082023/Ц</v>
          </cell>
          <cell r="C1723">
            <v>337604.33</v>
          </cell>
          <cell r="D1723">
            <v>45313</v>
          </cell>
          <cell r="E1723">
            <v>45313</v>
          </cell>
        </row>
        <row r="1724">
          <cell r="B1724" t="str">
            <v>В-23555/КЛ.Транш - 2_В-21082023/Ц</v>
          </cell>
          <cell r="C1724">
            <v>121113.64</v>
          </cell>
          <cell r="D1724">
            <v>45313</v>
          </cell>
          <cell r="E1724">
            <v>45315</v>
          </cell>
        </row>
        <row r="1725">
          <cell r="B1725" t="str">
            <v>В-23370/КЛ.Транш - 1_В-21082023/Ц</v>
          </cell>
          <cell r="C1725">
            <v>83486.06</v>
          </cell>
          <cell r="D1725">
            <v>45313</v>
          </cell>
          <cell r="E1725">
            <v>45323</v>
          </cell>
        </row>
        <row r="1726">
          <cell r="B1726" t="str">
            <v>В-28538/КЛ.Транш - 1_В-21082023/Ц</v>
          </cell>
          <cell r="C1726">
            <v>35690.57</v>
          </cell>
          <cell r="D1726">
            <v>45313</v>
          </cell>
          <cell r="E1726">
            <v>45313</v>
          </cell>
        </row>
        <row r="1727">
          <cell r="B1727" t="str">
            <v>В-16242/КЛ.Транш - 2_В-21082023/Ц</v>
          </cell>
          <cell r="C1727">
            <v>197779.95</v>
          </cell>
          <cell r="D1727">
            <v>45314</v>
          </cell>
          <cell r="E1727">
            <v>45315</v>
          </cell>
        </row>
        <row r="1728">
          <cell r="B1728" t="str">
            <v>В-28598/КЛ.Транш - 1_В-21082023/Ц</v>
          </cell>
          <cell r="C1728">
            <v>677596.77</v>
          </cell>
          <cell r="D1728">
            <v>45315</v>
          </cell>
          <cell r="E1728">
            <v>45327</v>
          </cell>
        </row>
        <row r="1729">
          <cell r="B1729" t="str">
            <v>В-22935/КЛ.Транш - 1_В-21082023/Ц</v>
          </cell>
          <cell r="C1729">
            <v>163947.23000000001</v>
          </cell>
          <cell r="D1729">
            <v>45316</v>
          </cell>
          <cell r="E1729">
            <v>45324</v>
          </cell>
        </row>
        <row r="1730">
          <cell r="B1730" t="str">
            <v>В-24580/КЛ.Транш - 1_В-21082023/Ц</v>
          </cell>
          <cell r="C1730">
            <v>115736.47</v>
          </cell>
          <cell r="D1730">
            <v>45316</v>
          </cell>
          <cell r="E1730">
            <v>45342</v>
          </cell>
        </row>
        <row r="1731">
          <cell r="B1731" t="str">
            <v>В-22979/КЛ.Транш - 1_В-21082023/Ц</v>
          </cell>
          <cell r="C1731">
            <v>245921.33</v>
          </cell>
          <cell r="D1731">
            <v>45317</v>
          </cell>
          <cell r="E1731">
            <v>45328</v>
          </cell>
        </row>
        <row r="1732">
          <cell r="B1732" t="str">
            <v>В-19740/КЛ.Транш - 8_В-21082023/Ц</v>
          </cell>
          <cell r="C1732">
            <v>128642.83</v>
          </cell>
          <cell r="D1732">
            <v>45317</v>
          </cell>
          <cell r="E1732">
            <v>45333</v>
          </cell>
        </row>
        <row r="1733">
          <cell r="B1733" t="str">
            <v>В-23370/КЛ.Транш - 2_В-21082023/Ц</v>
          </cell>
          <cell r="C1733">
            <v>89663.77</v>
          </cell>
          <cell r="D1733">
            <v>45317</v>
          </cell>
          <cell r="E1733">
            <v>45324</v>
          </cell>
        </row>
        <row r="1734">
          <cell r="B1734" t="str">
            <v>В-17469/КЛ.Транш - 2_В-21082023/Ц</v>
          </cell>
          <cell r="C1734">
            <v>64890.85</v>
          </cell>
          <cell r="D1734">
            <v>45317</v>
          </cell>
          <cell r="E1734">
            <v>45328</v>
          </cell>
        </row>
        <row r="1735">
          <cell r="B1735" t="str">
            <v>В-12813/КЛ.Транш - 1_В-21082023/Ц</v>
          </cell>
          <cell r="C1735">
            <v>449719.19</v>
          </cell>
          <cell r="D1735">
            <v>45318</v>
          </cell>
          <cell r="E1735">
            <v>45321</v>
          </cell>
        </row>
        <row r="1736">
          <cell r="B1736" t="str">
            <v>В-26125/АЗ_В-21082023/Ц</v>
          </cell>
          <cell r="C1736">
            <v>727100.35</v>
          </cell>
          <cell r="D1736">
            <v>45319</v>
          </cell>
          <cell r="E1736">
            <v>45342</v>
          </cell>
        </row>
        <row r="1737">
          <cell r="B1737" t="str">
            <v>В-27646/КЛ.Транш - 1_В-21082023/Ц</v>
          </cell>
          <cell r="C1737">
            <v>339835.65</v>
          </cell>
          <cell r="D1737">
            <v>45319</v>
          </cell>
          <cell r="E1737">
            <v>45331</v>
          </cell>
        </row>
        <row r="1738">
          <cell r="B1738" t="str">
            <v>В-22864/КЛ.Транш - 1_В-21082023/Ц</v>
          </cell>
          <cell r="C1738">
            <v>210136.58</v>
          </cell>
          <cell r="D1738">
            <v>45319</v>
          </cell>
          <cell r="E1738">
            <v>45327</v>
          </cell>
        </row>
        <row r="1739">
          <cell r="B1739" t="str">
            <v>В-17916/КЛ.Транш - 1_В-21082023/Ц</v>
          </cell>
          <cell r="C1739">
            <v>121785.18</v>
          </cell>
          <cell r="D1739">
            <v>45319</v>
          </cell>
          <cell r="E1739">
            <v>45356</v>
          </cell>
        </row>
        <row r="1740">
          <cell r="B1740" t="str">
            <v>В-02064/КЛ.Транш - 3_В-21082023/Ц</v>
          </cell>
          <cell r="C1740">
            <v>142335.57</v>
          </cell>
          <cell r="D1740">
            <v>45320</v>
          </cell>
          <cell r="E1740">
            <v>45349</v>
          </cell>
        </row>
        <row r="1741">
          <cell r="B1741" t="str">
            <v>В-08454/КЛ.Транш - 1_В-21082023/Ц</v>
          </cell>
          <cell r="C1741">
            <v>20986.03</v>
          </cell>
          <cell r="D1741">
            <v>45320</v>
          </cell>
          <cell r="E1741">
            <v>45324</v>
          </cell>
        </row>
        <row r="1742">
          <cell r="B1742" t="str">
            <v>В-12523/КЛ.Транш - 2_В-21082023/Ц</v>
          </cell>
          <cell r="C1742">
            <v>226390.72</v>
          </cell>
          <cell r="D1742">
            <v>45324</v>
          </cell>
          <cell r="E1742">
            <v>45324</v>
          </cell>
        </row>
        <row r="1743">
          <cell r="B1743" t="str">
            <v>В-28906/КЛ.Транш - 1_В-21082023/Ц</v>
          </cell>
          <cell r="C1743">
            <v>100794.76</v>
          </cell>
          <cell r="D1743">
            <v>45325</v>
          </cell>
          <cell r="E1743">
            <v>45331</v>
          </cell>
        </row>
        <row r="1744">
          <cell r="B1744" t="str">
            <v>В-27788/КЛ.Транш - 1_В-21082023/Ц</v>
          </cell>
          <cell r="C1744">
            <v>385590.7</v>
          </cell>
          <cell r="D1744">
            <v>45326</v>
          </cell>
          <cell r="E1744">
            <v>45331</v>
          </cell>
        </row>
        <row r="1745">
          <cell r="B1745" t="str">
            <v>В-00953/АЗ_В-21082023/Ц</v>
          </cell>
          <cell r="C1745">
            <v>130164.29</v>
          </cell>
          <cell r="D1745">
            <v>45326</v>
          </cell>
          <cell r="E1745">
            <v>45330</v>
          </cell>
        </row>
        <row r="1746">
          <cell r="B1746" t="str">
            <v>В-19354/КЛ.Транш - 1_В-21082023/Ц</v>
          </cell>
          <cell r="C1746">
            <v>49876.05</v>
          </cell>
          <cell r="D1746">
            <v>45326</v>
          </cell>
          <cell r="E1746">
            <v>45328</v>
          </cell>
        </row>
        <row r="1747">
          <cell r="B1747" t="str">
            <v>В-14168/КЛ.Транш - 4_В-21082023/Ц</v>
          </cell>
          <cell r="C1747">
            <v>15675.38</v>
          </cell>
          <cell r="D1747">
            <v>45327</v>
          </cell>
          <cell r="E1747">
            <v>45330</v>
          </cell>
        </row>
        <row r="1748">
          <cell r="B1748" t="str">
            <v>В-16455/КЛ.Транш - 1_В-21082023/Ц</v>
          </cell>
          <cell r="C1748">
            <v>152198.13</v>
          </cell>
          <cell r="D1748">
            <v>45328</v>
          </cell>
          <cell r="E1748">
            <v>45331</v>
          </cell>
        </row>
        <row r="1749">
          <cell r="B1749" t="str">
            <v>В-14291/КЛ.Транш - 7_В-21082023/Ц</v>
          </cell>
          <cell r="C1749">
            <v>52074.79</v>
          </cell>
          <cell r="D1749">
            <v>45328</v>
          </cell>
          <cell r="E1749">
            <v>45328</v>
          </cell>
        </row>
        <row r="1750">
          <cell r="B1750" t="str">
            <v>В-20035/КЛ.Транш - 1_В-21082023/Ц</v>
          </cell>
          <cell r="C1750">
            <v>6496.97</v>
          </cell>
          <cell r="D1750">
            <v>45328</v>
          </cell>
          <cell r="E1750">
            <v>45328</v>
          </cell>
        </row>
        <row r="1751">
          <cell r="B1751" t="str">
            <v>В-25627/КЛ.Транш - 1_В-21082023/Ц</v>
          </cell>
          <cell r="C1751">
            <v>702667.56</v>
          </cell>
          <cell r="D1751">
            <v>45329</v>
          </cell>
          <cell r="E1751">
            <v>45329</v>
          </cell>
        </row>
        <row r="1752">
          <cell r="B1752" t="str">
            <v>В-19740/КЛ.Транш - 5_В-21082023/Ц</v>
          </cell>
          <cell r="C1752">
            <v>181232.53</v>
          </cell>
          <cell r="D1752">
            <v>45329</v>
          </cell>
          <cell r="E1752">
            <v>45342</v>
          </cell>
        </row>
        <row r="1753">
          <cell r="B1753" t="str">
            <v>В-02064/КЛ.Транш - 4_В-21082023/Ц</v>
          </cell>
          <cell r="C1753">
            <v>86875.28</v>
          </cell>
          <cell r="D1753">
            <v>45329</v>
          </cell>
          <cell r="E1753">
            <v>45366</v>
          </cell>
        </row>
        <row r="1754">
          <cell r="B1754" t="str">
            <v>В-12067/КЛ.Транш - 1_В-21082023/Ц</v>
          </cell>
          <cell r="C1754">
            <v>52804.5</v>
          </cell>
          <cell r="D1754">
            <v>45330</v>
          </cell>
          <cell r="E1754">
            <v>45338</v>
          </cell>
        </row>
        <row r="1755">
          <cell r="B1755" t="str">
            <v>В-14430/КЛ.Транш - 2_В-21082023/Ц</v>
          </cell>
          <cell r="C1755">
            <v>19400.8</v>
          </cell>
          <cell r="D1755">
            <v>45330</v>
          </cell>
          <cell r="E1755">
            <v>45330</v>
          </cell>
        </row>
        <row r="1756">
          <cell r="B1756" t="str">
            <v>В-28062/КЛ.Транш - 1_В-21082023/Ц</v>
          </cell>
          <cell r="C1756">
            <v>73228.149999999994</v>
          </cell>
          <cell r="D1756">
            <v>45331</v>
          </cell>
          <cell r="E1756">
            <v>45331</v>
          </cell>
        </row>
        <row r="1757">
          <cell r="B1757" t="str">
            <v>В-17095/КЛ.Транш - 1_В-21082023/Ц</v>
          </cell>
          <cell r="C1757">
            <v>22796.19</v>
          </cell>
          <cell r="D1757">
            <v>45332</v>
          </cell>
          <cell r="E1757">
            <v>45332</v>
          </cell>
        </row>
        <row r="1758">
          <cell r="B1758" t="str">
            <v>В-19740/КЛ.Транш - 6_В-21082023/Ц</v>
          </cell>
          <cell r="C1758">
            <v>217478.98</v>
          </cell>
          <cell r="D1758">
            <v>45332</v>
          </cell>
          <cell r="E1758">
            <v>45342</v>
          </cell>
        </row>
        <row r="1759">
          <cell r="B1759" t="str">
            <v>В-26950/КЛ.Транш - 1_В-21082023/Ц</v>
          </cell>
          <cell r="C1759">
            <v>124132.21</v>
          </cell>
          <cell r="D1759">
            <v>45332</v>
          </cell>
          <cell r="E1759">
            <v>45348</v>
          </cell>
        </row>
        <row r="1760">
          <cell r="B1760" t="str">
            <v>В-22935/КЛ.Транш - 2_В-21082023/Ц</v>
          </cell>
          <cell r="C1760">
            <v>70884.88</v>
          </cell>
          <cell r="D1760">
            <v>45332</v>
          </cell>
          <cell r="E1760">
            <v>45335</v>
          </cell>
        </row>
        <row r="1761">
          <cell r="B1761" t="str">
            <v>В-01211/АЗ_В-21082023/Ц</v>
          </cell>
          <cell r="C1761">
            <v>627762.35</v>
          </cell>
          <cell r="D1761">
            <v>45333</v>
          </cell>
          <cell r="E1761">
            <v>45342</v>
          </cell>
        </row>
        <row r="1762">
          <cell r="B1762" t="str">
            <v>В-25807/АЗ_В-21082023/Ц</v>
          </cell>
          <cell r="C1762">
            <v>544625.88</v>
          </cell>
          <cell r="D1762">
            <v>45333</v>
          </cell>
          <cell r="E1762">
            <v>45426</v>
          </cell>
        </row>
        <row r="1763">
          <cell r="B1763" t="str">
            <v>В-25810/АЗ_В-21082023/Ц</v>
          </cell>
          <cell r="C1763">
            <v>544625.88</v>
          </cell>
          <cell r="D1763">
            <v>45333</v>
          </cell>
          <cell r="E1763">
            <v>45426</v>
          </cell>
        </row>
        <row r="1764">
          <cell r="B1764" t="str">
            <v>В-25671/АЗ_В-21082023/Ц</v>
          </cell>
          <cell r="C1764">
            <v>217850.68</v>
          </cell>
          <cell r="D1764">
            <v>45333</v>
          </cell>
          <cell r="E1764">
            <v>45337</v>
          </cell>
        </row>
        <row r="1765">
          <cell r="B1765" t="str">
            <v>В-16057/КЛ.Транш - 6_В-21082023/Ц</v>
          </cell>
          <cell r="C1765">
            <v>265325.34999999998</v>
          </cell>
          <cell r="D1765">
            <v>45334</v>
          </cell>
          <cell r="E1765">
            <v>45342</v>
          </cell>
        </row>
        <row r="1766">
          <cell r="B1766" t="str">
            <v>В-21321/КЛ.Транш - 1_В-21082023/Ц</v>
          </cell>
          <cell r="C1766">
            <v>16626.05</v>
          </cell>
          <cell r="D1766">
            <v>45334</v>
          </cell>
          <cell r="E1766">
            <v>45377</v>
          </cell>
        </row>
        <row r="1767">
          <cell r="B1767" t="str">
            <v>В-17469/КЛ.Транш - 1_В-21082023/Ц</v>
          </cell>
          <cell r="C1767">
            <v>661812.79</v>
          </cell>
          <cell r="D1767">
            <v>45335</v>
          </cell>
          <cell r="E1767">
            <v>45361</v>
          </cell>
        </row>
        <row r="1768">
          <cell r="B1768" t="str">
            <v>В-01038/АЗ_В-21082023/Ц</v>
          </cell>
          <cell r="C1768">
            <v>463612.94</v>
          </cell>
          <cell r="D1768">
            <v>45335</v>
          </cell>
          <cell r="E1768">
            <v>45391</v>
          </cell>
        </row>
        <row r="1769">
          <cell r="B1769" t="str">
            <v>В-23555/КЛ.Транш - 1_В-21082023/Ц</v>
          </cell>
          <cell r="C1769">
            <v>529709.65</v>
          </cell>
          <cell r="D1769">
            <v>45336</v>
          </cell>
          <cell r="E1769">
            <v>45357</v>
          </cell>
        </row>
        <row r="1770">
          <cell r="B1770" t="str">
            <v>В-01024/АЗ_В-21082023/Ц</v>
          </cell>
          <cell r="C1770">
            <v>410137.59</v>
          </cell>
          <cell r="D1770">
            <v>45336</v>
          </cell>
          <cell r="E1770">
            <v>45344</v>
          </cell>
        </row>
        <row r="1771">
          <cell r="B1771" t="str">
            <v>В-01023/АЗ_В-21082023/Ц</v>
          </cell>
          <cell r="C1771">
            <v>410137.59</v>
          </cell>
          <cell r="D1771">
            <v>45336</v>
          </cell>
          <cell r="E1771">
            <v>45344</v>
          </cell>
        </row>
        <row r="1772">
          <cell r="B1772" t="str">
            <v>В-01022/АЗ_В-21082023/Ц</v>
          </cell>
          <cell r="C1772">
            <v>409845.64</v>
          </cell>
          <cell r="D1772">
            <v>45336</v>
          </cell>
          <cell r="E1772">
            <v>45344</v>
          </cell>
        </row>
        <row r="1773">
          <cell r="B1773" t="str">
            <v>В-25764/КЛ.Транш - 1_В-21082023/Ц</v>
          </cell>
          <cell r="C1773">
            <v>255236.38</v>
          </cell>
          <cell r="D1773">
            <v>45337</v>
          </cell>
          <cell r="E1773">
            <v>45343</v>
          </cell>
        </row>
        <row r="1774">
          <cell r="B1774" t="str">
            <v>В-20384/КЛ.Транш - 1_В-21082023/Ц</v>
          </cell>
          <cell r="C1774">
            <v>144949.79999999999</v>
          </cell>
          <cell r="D1774">
            <v>45337</v>
          </cell>
          <cell r="E1774">
            <v>45337</v>
          </cell>
        </row>
        <row r="1775">
          <cell r="B1775" t="str">
            <v>В-16067/КЛ.Транш - 1_В-21082023/Ц</v>
          </cell>
          <cell r="C1775">
            <v>80661.179999999993</v>
          </cell>
          <cell r="D1775">
            <v>45337</v>
          </cell>
          <cell r="E1775">
            <v>45363</v>
          </cell>
        </row>
        <row r="1776">
          <cell r="B1776" t="str">
            <v>В-11396/КЛ.Транш - 2_В-21082023/Ц</v>
          </cell>
          <cell r="C1776">
            <v>227936.69</v>
          </cell>
          <cell r="D1776">
            <v>45338</v>
          </cell>
          <cell r="E1776">
            <v>45342</v>
          </cell>
        </row>
        <row r="1777">
          <cell r="B1777" t="str">
            <v>В-19740/КЛ.Транш - 7_В-21082023/Ц</v>
          </cell>
          <cell r="C1777">
            <v>86991.73</v>
          </cell>
          <cell r="D1777">
            <v>45338</v>
          </cell>
          <cell r="E1777">
            <v>45342</v>
          </cell>
        </row>
        <row r="1778">
          <cell r="B1778" t="str">
            <v>Т-01872/АЗ_Т-20211028/Ц</v>
          </cell>
          <cell r="C1778">
            <v>10260.379999999999</v>
          </cell>
          <cell r="D1778">
            <v>45338</v>
          </cell>
          <cell r="E1778">
            <v>45342</v>
          </cell>
        </row>
        <row r="1779">
          <cell r="B1779" t="str">
            <v>В-22683/КЛ.Транш - 1_В-21082023/Ц</v>
          </cell>
          <cell r="C1779">
            <v>69574.14</v>
          </cell>
          <cell r="D1779">
            <v>45340</v>
          </cell>
          <cell r="E1779">
            <v>45340</v>
          </cell>
        </row>
        <row r="1780">
          <cell r="B1780" t="str">
            <v>В-28358/КЛ.Транш - 1_В-21082023/Ц</v>
          </cell>
          <cell r="C1780">
            <v>778963.46</v>
          </cell>
          <cell r="D1780">
            <v>45340</v>
          </cell>
          <cell r="E1780">
            <v>45341</v>
          </cell>
        </row>
        <row r="1781">
          <cell r="B1781" t="str">
            <v>В-28376/КЛ.Транш - 1_В-21082023/Ц</v>
          </cell>
          <cell r="C1781">
            <v>27339.49</v>
          </cell>
          <cell r="D1781">
            <v>45340</v>
          </cell>
          <cell r="E1781">
            <v>45341</v>
          </cell>
        </row>
        <row r="1782">
          <cell r="B1782" t="str">
            <v>В-12662/КЛ.Транш - 1_В-21082023/Ц</v>
          </cell>
          <cell r="C1782">
            <v>33403.72</v>
          </cell>
          <cell r="D1782">
            <v>45341</v>
          </cell>
          <cell r="E1782">
            <v>45341</v>
          </cell>
        </row>
        <row r="1783">
          <cell r="B1783" t="str">
            <v>В-09100/КЛ.Транш - 1_В-21082023/Ц</v>
          </cell>
          <cell r="C1783">
            <v>32183.25</v>
          </cell>
          <cell r="D1783">
            <v>45341</v>
          </cell>
          <cell r="G1783">
            <v>45433</v>
          </cell>
        </row>
        <row r="1784">
          <cell r="B1784" t="str">
            <v>В-22744/КЛ.Транш - 1_В-21082023/Ц</v>
          </cell>
          <cell r="C1784">
            <v>26518.89</v>
          </cell>
          <cell r="D1784">
            <v>45342</v>
          </cell>
          <cell r="E1784">
            <v>45353</v>
          </cell>
        </row>
        <row r="1785">
          <cell r="B1785" t="str">
            <v>В-26172/АЗ_В-21082023/Ц</v>
          </cell>
          <cell r="C1785">
            <v>425310.56</v>
          </cell>
          <cell r="D1785">
            <v>45343</v>
          </cell>
          <cell r="E1785">
            <v>45344</v>
          </cell>
        </row>
        <row r="1786">
          <cell r="B1786" t="str">
            <v>В-21568/КЛ.Транш - 1_В-21082023/Ц</v>
          </cell>
          <cell r="C1786">
            <v>89523.56</v>
          </cell>
          <cell r="D1786">
            <v>45343</v>
          </cell>
          <cell r="E1786">
            <v>45362</v>
          </cell>
        </row>
        <row r="1787">
          <cell r="B1787" t="str">
            <v>В-23555/КЛ.Транш - 2_В-21082023/Ц</v>
          </cell>
          <cell r="C1787">
            <v>118675.85</v>
          </cell>
          <cell r="D1787">
            <v>45344</v>
          </cell>
          <cell r="E1787">
            <v>45350</v>
          </cell>
        </row>
        <row r="1788">
          <cell r="B1788" t="str">
            <v>В-23370/КЛ.Транш - 1_В-21082023/Ц</v>
          </cell>
          <cell r="C1788">
            <v>81948.160000000003</v>
          </cell>
          <cell r="D1788">
            <v>45344</v>
          </cell>
          <cell r="E1788">
            <v>45348</v>
          </cell>
        </row>
        <row r="1789">
          <cell r="B1789" t="str">
            <v>В-14216/КЛ.Транш - 4_В-21082023/Ц</v>
          </cell>
          <cell r="C1789">
            <v>70895.100000000006</v>
          </cell>
          <cell r="D1789">
            <v>45344</v>
          </cell>
          <cell r="E1789">
            <v>45351</v>
          </cell>
        </row>
        <row r="1790">
          <cell r="B1790" t="str">
            <v>В-28538/КЛ.Транш - 1_В-21082023/Ц</v>
          </cell>
          <cell r="C1790">
            <v>16439.560000000001</v>
          </cell>
          <cell r="D1790">
            <v>45344</v>
          </cell>
          <cell r="E1790">
            <v>45349</v>
          </cell>
        </row>
        <row r="1791">
          <cell r="B1791" t="str">
            <v>В-16242/КЛ.Транш - 2_В-21082023/Ц</v>
          </cell>
          <cell r="C1791">
            <v>190951.9</v>
          </cell>
          <cell r="D1791">
            <v>45345</v>
          </cell>
          <cell r="E1791">
            <v>45348</v>
          </cell>
        </row>
        <row r="1792">
          <cell r="B1792" t="str">
            <v>В-28598/КЛ.Транш - 1_В-21082023/Ц</v>
          </cell>
          <cell r="C1792">
            <v>667673.63</v>
          </cell>
          <cell r="D1792">
            <v>45346</v>
          </cell>
          <cell r="E1792">
            <v>45354</v>
          </cell>
        </row>
        <row r="1793">
          <cell r="B1793" t="str">
            <v>В-22935/КЛ.Транш - 1_В-21082023/Ц</v>
          </cell>
          <cell r="C1793">
            <v>159646.57999999999</v>
          </cell>
          <cell r="D1793">
            <v>45347</v>
          </cell>
          <cell r="E1793">
            <v>45350</v>
          </cell>
        </row>
        <row r="1794">
          <cell r="B1794" t="str">
            <v>В-00955/АЗ_В-21082023/Ц</v>
          </cell>
          <cell r="C1794">
            <v>150266.57</v>
          </cell>
          <cell r="D1794">
            <v>45347</v>
          </cell>
          <cell r="E1794">
            <v>45439</v>
          </cell>
        </row>
        <row r="1795">
          <cell r="B1795" t="str">
            <v>В-24580/КЛ.Транш - 1_В-21082023/Ц</v>
          </cell>
          <cell r="C1795">
            <v>112729.24</v>
          </cell>
          <cell r="D1795">
            <v>45347</v>
          </cell>
          <cell r="E1795">
            <v>45407</v>
          </cell>
        </row>
        <row r="1796">
          <cell r="B1796" t="str">
            <v>В-14216/КЛ.Транш - 3_В-21082023/Ц</v>
          </cell>
          <cell r="C1796">
            <v>63449.599999999999</v>
          </cell>
          <cell r="D1796">
            <v>45347</v>
          </cell>
          <cell r="E1796">
            <v>45351</v>
          </cell>
        </row>
        <row r="1797">
          <cell r="B1797" t="str">
            <v>В-19548/КЛ.Транш - 1_В-21082023/Ц</v>
          </cell>
          <cell r="C1797">
            <v>332144.93</v>
          </cell>
          <cell r="D1797">
            <v>45348</v>
          </cell>
          <cell r="E1797">
            <v>45349</v>
          </cell>
        </row>
        <row r="1798">
          <cell r="B1798" t="str">
            <v>В-22979/КЛ.Транш - 1_В-21082023/Ц</v>
          </cell>
          <cell r="C1798">
            <v>239470.39</v>
          </cell>
          <cell r="D1798">
            <v>45348</v>
          </cell>
          <cell r="E1798">
            <v>45390</v>
          </cell>
        </row>
        <row r="1799">
          <cell r="B1799" t="str">
            <v>В-19593/КЛ.Транш - 1_В-21082023/Ц</v>
          </cell>
          <cell r="C1799">
            <v>127410.65</v>
          </cell>
          <cell r="D1799">
            <v>45348</v>
          </cell>
          <cell r="E1799">
            <v>45348</v>
          </cell>
        </row>
        <row r="1800">
          <cell r="B1800" t="str">
            <v>В-23370/КЛ.Транш - 2_В-21082023/Ц</v>
          </cell>
          <cell r="C1800">
            <v>87952.960000000006</v>
          </cell>
          <cell r="D1800">
            <v>45348</v>
          </cell>
          <cell r="E1800">
            <v>45350</v>
          </cell>
        </row>
        <row r="1801">
          <cell r="B1801" t="str">
            <v>В-12813/КЛ.Транш - 1_В-21082023/Ц</v>
          </cell>
          <cell r="C1801">
            <v>420314.5</v>
          </cell>
          <cell r="D1801">
            <v>45349</v>
          </cell>
          <cell r="E1801">
            <v>45355</v>
          </cell>
        </row>
        <row r="1802">
          <cell r="B1802" t="str">
            <v>В-27646/КЛ.Транш - 1_В-21082023/Ц</v>
          </cell>
          <cell r="C1802">
            <v>333763.98</v>
          </cell>
          <cell r="D1802">
            <v>45350</v>
          </cell>
          <cell r="E1802">
            <v>45354</v>
          </cell>
        </row>
        <row r="1803">
          <cell r="B1803" t="str">
            <v>В-22864/КЛ.Транш - 1_В-21082023/Ц</v>
          </cell>
          <cell r="C1803">
            <v>204951.96</v>
          </cell>
          <cell r="D1803">
            <v>45350</v>
          </cell>
          <cell r="E1803">
            <v>45350</v>
          </cell>
        </row>
        <row r="1804">
          <cell r="B1804" t="str">
            <v>В-02064/КЛ.Транш - 3_В-21082023/Ц</v>
          </cell>
          <cell r="C1804">
            <v>129150.26</v>
          </cell>
          <cell r="D1804">
            <v>45351</v>
          </cell>
          <cell r="E1804">
            <v>45366</v>
          </cell>
        </row>
        <row r="1805">
          <cell r="B1805" t="str">
            <v>В-08454/КЛ.Транш - 1_В-21082023/Ц</v>
          </cell>
          <cell r="C1805">
            <v>18828.849999999999</v>
          </cell>
          <cell r="D1805">
            <v>45351</v>
          </cell>
          <cell r="E1805">
            <v>45355</v>
          </cell>
        </row>
        <row r="1806">
          <cell r="B1806" t="str">
            <v>В-28906/КЛ.Транш - 1_В-21082023/Ц</v>
          </cell>
          <cell r="C1806">
            <v>99703.32</v>
          </cell>
          <cell r="D1806">
            <v>45354</v>
          </cell>
          <cell r="E1806">
            <v>45358</v>
          </cell>
        </row>
        <row r="1807">
          <cell r="B1807" t="str">
            <v>В-27788/КЛ.Транш - 1_В-21082023/Ц</v>
          </cell>
          <cell r="C1807">
            <v>378011.61</v>
          </cell>
          <cell r="D1807">
            <v>45355</v>
          </cell>
          <cell r="E1807">
            <v>45356</v>
          </cell>
        </row>
        <row r="1808">
          <cell r="B1808" t="str">
            <v>В-00953/АЗ_В-21082023/Ц</v>
          </cell>
          <cell r="C1808">
            <v>111563.5</v>
          </cell>
          <cell r="D1808">
            <v>45355</v>
          </cell>
          <cell r="E1808">
            <v>45355</v>
          </cell>
        </row>
        <row r="1809">
          <cell r="B1809" t="str">
            <v>В-19286/КЛ.Транш - 1_В-21082023/Ц</v>
          </cell>
          <cell r="C1809">
            <v>318816.36</v>
          </cell>
          <cell r="D1809">
            <v>45357</v>
          </cell>
          <cell r="E1809">
            <v>45387</v>
          </cell>
        </row>
        <row r="1810">
          <cell r="B1810" t="str">
            <v>В-16455/КЛ.Транш - 1_В-21082023/Ц</v>
          </cell>
          <cell r="C1810">
            <v>144882.26</v>
          </cell>
          <cell r="D1810">
            <v>45357</v>
          </cell>
          <cell r="E1810">
            <v>45358</v>
          </cell>
        </row>
        <row r="1811">
          <cell r="B1811" t="str">
            <v>В-20035/КЛ.Транш - 1_В-21082023/Ц</v>
          </cell>
          <cell r="C1811">
            <v>6303.46</v>
          </cell>
          <cell r="D1811">
            <v>45357</v>
          </cell>
          <cell r="E1811">
            <v>45358</v>
          </cell>
        </row>
        <row r="1812">
          <cell r="B1812" t="str">
            <v>В-25627/КЛ.Транш - 1_В-21082023/Ц</v>
          </cell>
          <cell r="C1812">
            <v>684282.82</v>
          </cell>
          <cell r="D1812">
            <v>45358</v>
          </cell>
          <cell r="E1812">
            <v>45360</v>
          </cell>
        </row>
        <row r="1813">
          <cell r="B1813" t="str">
            <v>В-19740/КЛ.Транш - 5_В-21082023/Ц</v>
          </cell>
          <cell r="C1813">
            <v>176803.12</v>
          </cell>
          <cell r="D1813">
            <v>45358</v>
          </cell>
          <cell r="E1813">
            <v>45387</v>
          </cell>
        </row>
        <row r="1814">
          <cell r="B1814" t="str">
            <v>В-12066/КЛ.Транш - 1_В-21082023/Ц</v>
          </cell>
          <cell r="C1814">
            <v>54317.57</v>
          </cell>
          <cell r="D1814">
            <v>45359</v>
          </cell>
          <cell r="E1814">
            <v>45365</v>
          </cell>
        </row>
        <row r="1815">
          <cell r="B1815" t="str">
            <v>В-12067/КЛ.Транш - 1_В-21082023/Ц</v>
          </cell>
          <cell r="C1815">
            <v>49213.01</v>
          </cell>
          <cell r="D1815">
            <v>45359</v>
          </cell>
          <cell r="E1815">
            <v>45369</v>
          </cell>
        </row>
        <row r="1816">
          <cell r="B1816" t="str">
            <v>В-18921/КЛ.Транш - 1_В-21082023/Ц</v>
          </cell>
          <cell r="C1816">
            <v>742627.39</v>
          </cell>
          <cell r="D1816">
            <v>45361</v>
          </cell>
          <cell r="G1816">
            <v>45454</v>
          </cell>
        </row>
        <row r="1817">
          <cell r="B1817" t="str">
            <v>В-19740/КЛ.Транш - 6_В-21082023/Ц</v>
          </cell>
          <cell r="C1817">
            <v>212163.68</v>
          </cell>
          <cell r="D1817">
            <v>45361</v>
          </cell>
          <cell r="E1817">
            <v>45387</v>
          </cell>
        </row>
        <row r="1818">
          <cell r="B1818" t="str">
            <v>В-22935/КЛ.Транш - 2_В-21082023/Ц</v>
          </cell>
          <cell r="C1818">
            <v>69044.820000000007</v>
          </cell>
          <cell r="D1818">
            <v>45361</v>
          </cell>
          <cell r="E1818">
            <v>45362</v>
          </cell>
        </row>
        <row r="1819">
          <cell r="B1819" t="str">
            <v>В-13449/КЛ.Транш - 1_В-21082023/Ц</v>
          </cell>
          <cell r="C1819">
            <v>49789.3</v>
          </cell>
          <cell r="D1819">
            <v>45361</v>
          </cell>
          <cell r="E1819">
            <v>45378</v>
          </cell>
        </row>
        <row r="1820">
          <cell r="B1820" t="str">
            <v>В-17095/КЛ.Транш - 1_В-21082023/Ц</v>
          </cell>
          <cell r="C1820">
            <v>17496.87</v>
          </cell>
          <cell r="D1820">
            <v>45361</v>
          </cell>
          <cell r="E1820">
            <v>45371</v>
          </cell>
        </row>
        <row r="1821">
          <cell r="B1821" t="str">
            <v>В-24071/КЛ.Транш - 1_В-21082023/Ц</v>
          </cell>
          <cell r="C1821">
            <v>361936.86</v>
          </cell>
          <cell r="D1821">
            <v>45362</v>
          </cell>
          <cell r="E1821">
            <v>45362</v>
          </cell>
        </row>
        <row r="1822">
          <cell r="B1822" t="str">
            <v>В-12098/КЛ.Транш - 1_В-21082023/Ц</v>
          </cell>
          <cell r="C1822">
            <v>268434</v>
          </cell>
          <cell r="D1822">
            <v>45362</v>
          </cell>
          <cell r="E1822">
            <v>45362</v>
          </cell>
        </row>
        <row r="1823">
          <cell r="B1823" t="str">
            <v>В-25671/АЗ_В-21082023/Ц</v>
          </cell>
          <cell r="C1823">
            <v>203639.26</v>
          </cell>
          <cell r="D1823">
            <v>45362</v>
          </cell>
          <cell r="E1823">
            <v>45363</v>
          </cell>
        </row>
        <row r="1824">
          <cell r="B1824" t="str">
            <v>В-22205/КЛ.Транш - 2_В-21082023/Ц</v>
          </cell>
          <cell r="C1824">
            <v>88402.66</v>
          </cell>
          <cell r="D1824">
            <v>45362</v>
          </cell>
          <cell r="E1824">
            <v>45363</v>
          </cell>
        </row>
        <row r="1825">
          <cell r="B1825" t="str">
            <v>В-16057/КЛ.Транш - 6_В-21082023/Ц</v>
          </cell>
          <cell r="C1825">
            <v>248044.82</v>
          </cell>
          <cell r="D1825">
            <v>45363</v>
          </cell>
          <cell r="E1825">
            <v>45378</v>
          </cell>
        </row>
        <row r="1826">
          <cell r="B1826" t="str">
            <v>В-17469/КЛ.Транш - 1_В-21082023/Ц</v>
          </cell>
          <cell r="C1826">
            <v>634693.74</v>
          </cell>
          <cell r="D1826">
            <v>45364</v>
          </cell>
          <cell r="E1826">
            <v>45365</v>
          </cell>
        </row>
        <row r="1827">
          <cell r="B1827" t="str">
            <v>В-01039/АЗ_В-21082023/Ц</v>
          </cell>
          <cell r="C1827">
            <v>447303.34</v>
          </cell>
          <cell r="D1827">
            <v>45364</v>
          </cell>
          <cell r="E1827">
            <v>45428</v>
          </cell>
        </row>
        <row r="1828">
          <cell r="B1828" t="str">
            <v>В-23555/КЛ.Транш - 1_В-21082023/Ц</v>
          </cell>
          <cell r="C1828">
            <v>516454.2</v>
          </cell>
          <cell r="D1828">
            <v>45365</v>
          </cell>
          <cell r="E1828">
            <v>45365</v>
          </cell>
        </row>
        <row r="1829">
          <cell r="B1829" t="str">
            <v>В-01023/АЗ_В-21082023/Ц</v>
          </cell>
          <cell r="C1829">
            <v>376653.91</v>
          </cell>
          <cell r="D1829">
            <v>45365</v>
          </cell>
          <cell r="E1829">
            <v>45372</v>
          </cell>
        </row>
        <row r="1830">
          <cell r="B1830" t="str">
            <v>В-20384/КЛ.Транш - 1_В-21082023/Ц</v>
          </cell>
          <cell r="C1830" t="str">
            <v>112 476,96</v>
          </cell>
          <cell r="D1830">
            <v>45366</v>
          </cell>
          <cell r="E1830">
            <v>45370</v>
          </cell>
        </row>
        <row r="1831">
          <cell r="B1831" t="str">
            <v>В-02064/КЛ.Транш - 2_В-21082023/Ц</v>
          </cell>
          <cell r="C1831" t="str">
            <v>108 622,83</v>
          </cell>
          <cell r="D1831">
            <v>45366</v>
          </cell>
          <cell r="E1831">
            <v>45366</v>
          </cell>
        </row>
        <row r="1832">
          <cell r="B1832" t="str">
            <v>В-16067/КЛ.Транш - 1_В-21082023/Ц</v>
          </cell>
          <cell r="C1832" t="str">
            <v>76 753,38</v>
          </cell>
          <cell r="D1832">
            <v>45366</v>
          </cell>
          <cell r="E1832">
            <v>45461</v>
          </cell>
        </row>
        <row r="1833">
          <cell r="B1833" t="str">
            <v>В-11396/КЛ.Транш - 2_В-21082023/Ц</v>
          </cell>
          <cell r="C1833">
            <v>218510.46</v>
          </cell>
          <cell r="D1833">
            <v>45367</v>
          </cell>
          <cell r="E1833">
            <v>45372</v>
          </cell>
        </row>
        <row r="1834">
          <cell r="B1834" t="str">
            <v>В-21306/КЛ.Транш - 1_В-21082023/Ц</v>
          </cell>
          <cell r="C1834">
            <v>120566.97</v>
          </cell>
          <cell r="D1834">
            <v>45367</v>
          </cell>
          <cell r="E1834">
            <v>45371</v>
          </cell>
        </row>
        <row r="1835">
          <cell r="B1835" t="str">
            <v>В-19740/КЛ.Транш - 7_В-21082023/Ц</v>
          </cell>
          <cell r="C1835">
            <v>84865.62</v>
          </cell>
          <cell r="D1835">
            <v>45367</v>
          </cell>
          <cell r="E1835">
            <v>45387</v>
          </cell>
        </row>
        <row r="1836">
          <cell r="B1836" t="str">
            <v>В-28358/КЛ.Транш - 1_В-21082023/Ц</v>
          </cell>
          <cell r="C1836">
            <v>757206.36</v>
          </cell>
          <cell r="D1836">
            <v>45369</v>
          </cell>
          <cell r="E1836">
            <v>45380</v>
          </cell>
        </row>
        <row r="1837">
          <cell r="B1837" t="str">
            <v>В-22683/КЛ.Транш - 1_В-21082023/Ц</v>
          </cell>
          <cell r="C1837">
            <v>63096.59</v>
          </cell>
          <cell r="D1837">
            <v>45369</v>
          </cell>
          <cell r="E1837">
            <v>45369</v>
          </cell>
        </row>
        <row r="1838">
          <cell r="B1838" t="str">
            <v>В-28376/КЛ.Транш - 1_В-21082023/Ц</v>
          </cell>
          <cell r="C1838">
            <v>26017.91</v>
          </cell>
          <cell r="D1838">
            <v>45369</v>
          </cell>
          <cell r="E1838">
            <v>45372</v>
          </cell>
        </row>
        <row r="1839">
          <cell r="B1839" t="str">
            <v>В-14216/КЛ.Транш - 2_В-21082023/Ц</v>
          </cell>
          <cell r="C1839">
            <v>55921.05</v>
          </cell>
          <cell r="D1839">
            <v>45370</v>
          </cell>
          <cell r="E1839">
            <v>45370</v>
          </cell>
        </row>
        <row r="1840">
          <cell r="B1840" t="str">
            <v>В-12662/КЛ.Транш - 1_В-21082023/Ц</v>
          </cell>
          <cell r="C1840">
            <v>31277.99</v>
          </cell>
          <cell r="D1840">
            <v>45370</v>
          </cell>
          <cell r="E1840">
            <v>45370</v>
          </cell>
        </row>
        <row r="1841">
          <cell r="B1841" t="str">
            <v>В-22744/КЛ.Транш - 1_В-21082023/Ц</v>
          </cell>
          <cell r="C1841">
            <v>22835.01</v>
          </cell>
          <cell r="D1841">
            <v>45371</v>
          </cell>
          <cell r="E1841">
            <v>45377</v>
          </cell>
        </row>
        <row r="1842">
          <cell r="B1842" t="str">
            <v>В-26172/АЗ_В-21082023/Ц</v>
          </cell>
          <cell r="C1842">
            <v>414270.28</v>
          </cell>
          <cell r="D1842">
            <v>45372</v>
          </cell>
          <cell r="E1842">
            <v>45372</v>
          </cell>
        </row>
        <row r="1843">
          <cell r="B1843" t="str">
            <v>В-21568/КЛ.Транш - 1_В-21082023/Ц</v>
          </cell>
          <cell r="C1843">
            <v>80843.05</v>
          </cell>
          <cell r="D1843">
            <v>45372</v>
          </cell>
          <cell r="E1843">
            <v>45383</v>
          </cell>
        </row>
        <row r="1844">
          <cell r="B1844" t="str">
            <v>В-23901/КЛ.Транш - 1_В-21082023/Ц</v>
          </cell>
          <cell r="C1844" t="str">
            <v>321 018,48</v>
          </cell>
          <cell r="D1844">
            <v>45373</v>
          </cell>
          <cell r="E1844">
            <v>45373</v>
          </cell>
        </row>
        <row r="1845">
          <cell r="B1845" t="str">
            <v>В-23555/КЛ.Транш - 2_В-21082023/Ц</v>
          </cell>
          <cell r="C1845" t="str">
            <v>116 122,12</v>
          </cell>
          <cell r="D1845">
            <v>45373</v>
          </cell>
          <cell r="E1845">
            <v>45373</v>
          </cell>
        </row>
        <row r="1846">
          <cell r="B1846" t="str">
            <v>В-14216/КЛ.Транш - 4_В-21082023/Ц</v>
          </cell>
          <cell r="C1846" t="str">
            <v>68 814,39</v>
          </cell>
          <cell r="D1846">
            <v>45373</v>
          </cell>
          <cell r="E1846">
            <v>45380</v>
          </cell>
        </row>
        <row r="1847">
          <cell r="B1847" t="str">
            <v>В-16242/КЛ.Транш - 2_В-21082023/Ц</v>
          </cell>
          <cell r="C1847">
            <v>183735.31</v>
          </cell>
          <cell r="D1847">
            <v>45374</v>
          </cell>
          <cell r="E1847">
            <v>45377</v>
          </cell>
        </row>
        <row r="1848">
          <cell r="B1848" t="str">
            <v>В-28598/КЛ.Транш - 1_В-21082023/Ц</v>
          </cell>
          <cell r="C1848">
            <v>657042.55000000005</v>
          </cell>
          <cell r="D1848">
            <v>45375</v>
          </cell>
          <cell r="E1848">
            <v>45387</v>
          </cell>
        </row>
        <row r="1849">
          <cell r="B1849" t="str">
            <v>В-26950/КЛ.Транш - 1_В-21082023/Ц</v>
          </cell>
          <cell r="C1849">
            <v>122063.51</v>
          </cell>
          <cell r="D1849">
            <v>45375</v>
          </cell>
          <cell r="G1849">
            <v>45468</v>
          </cell>
        </row>
        <row r="1850">
          <cell r="B1850" t="str">
            <v>В-22935/КЛ.Транш - 1_В-21082023/Ц</v>
          </cell>
          <cell r="C1850">
            <v>155112.17000000001</v>
          </cell>
          <cell r="D1850">
            <v>45376</v>
          </cell>
          <cell r="E1850">
            <v>45385</v>
          </cell>
        </row>
        <row r="1851">
          <cell r="B1851" t="str">
            <v>В-14216/КЛ.Транш - 3_В-21082023/Ц</v>
          </cell>
          <cell r="C1851">
            <v>60900.94</v>
          </cell>
          <cell r="D1851">
            <v>45376</v>
          </cell>
          <cell r="E1851">
            <v>45380</v>
          </cell>
        </row>
        <row r="1852">
          <cell r="B1852" t="str">
            <v>В-19548/КЛ.Транш - 1_В-21082023/Ц</v>
          </cell>
          <cell r="C1852">
            <v>318691.55</v>
          </cell>
          <cell r="D1852">
            <v>45377</v>
          </cell>
          <cell r="E1852">
            <v>45380</v>
          </cell>
        </row>
        <row r="1853">
          <cell r="B1853" t="str">
            <v>В-28539/КЛ.Транш - 1_В-21082023/Ц</v>
          </cell>
          <cell r="C1853">
            <v>185925.91</v>
          </cell>
          <cell r="D1853">
            <v>45377</v>
          </cell>
          <cell r="E1853">
            <v>45384</v>
          </cell>
        </row>
        <row r="1854">
          <cell r="B1854" t="str">
            <v>В-19740/КЛ.Транш - 8_В-21082023/Ц</v>
          </cell>
          <cell r="C1854">
            <v>122959.69</v>
          </cell>
          <cell r="D1854">
            <v>45377</v>
          </cell>
          <cell r="E1854">
            <v>45387</v>
          </cell>
        </row>
        <row r="1855">
          <cell r="B1855" t="str">
            <v>В-19593/КЛ.Транш - 1_В-21082023/Ц</v>
          </cell>
          <cell r="C1855">
            <v>104012.39</v>
          </cell>
          <cell r="D1855">
            <v>45377</v>
          </cell>
          <cell r="E1855">
            <v>45378</v>
          </cell>
        </row>
        <row r="1856">
          <cell r="B1856" t="str">
            <v>В-26125/АЗ_В-21082023/Ц</v>
          </cell>
          <cell r="C1856">
            <v>691045.28</v>
          </cell>
          <cell r="D1856">
            <v>45379</v>
          </cell>
          <cell r="E1856">
            <v>45379</v>
          </cell>
        </row>
        <row r="1857">
          <cell r="B1857" t="str">
            <v>В-27646/КЛ.Транш - 1_В-21082023/Ц</v>
          </cell>
          <cell r="C1857">
            <v>327336.49</v>
          </cell>
          <cell r="D1857">
            <v>45379</v>
          </cell>
          <cell r="E1857">
            <v>45386</v>
          </cell>
        </row>
        <row r="1858">
          <cell r="B1858" t="str">
            <v>В-22864/КЛ.Транш - 1_В-21082023/Ц</v>
          </cell>
          <cell r="C1858">
            <v>199463.51</v>
          </cell>
          <cell r="D1858">
            <v>45379</v>
          </cell>
          <cell r="E1858">
            <v>45423</v>
          </cell>
        </row>
        <row r="1859">
          <cell r="B1859" t="str">
            <v>В-17916/КЛ.Транш - 1_В-21082023/Ц</v>
          </cell>
          <cell r="C1859">
            <v>111635.72</v>
          </cell>
          <cell r="D1859">
            <v>45379</v>
          </cell>
          <cell r="E1859">
            <v>45384</v>
          </cell>
        </row>
        <row r="1860">
          <cell r="B1860" t="str">
            <v>В-02064/КЛ.Транш - 3_В-21082023/Ц</v>
          </cell>
          <cell r="C1860">
            <v>115371.43</v>
          </cell>
          <cell r="D1860">
            <v>45380</v>
          </cell>
          <cell r="E1860">
            <v>45406</v>
          </cell>
        </row>
        <row r="1861">
          <cell r="B1861" t="str">
            <v>В-08454/КЛ.Транш - 1_В-21082023/Ц</v>
          </cell>
          <cell r="C1861">
            <v>16550.75</v>
          </cell>
          <cell r="D1861">
            <v>45380</v>
          </cell>
          <cell r="E1861">
            <v>45385</v>
          </cell>
        </row>
        <row r="1862">
          <cell r="B1862" t="str">
            <v>В-28906/КЛ.Транш - 1_В-21082023/Ц</v>
          </cell>
          <cell r="C1862">
            <v>98036.76</v>
          </cell>
          <cell r="D1862">
            <v>45385</v>
          </cell>
          <cell r="E1862">
            <v>45387</v>
          </cell>
        </row>
        <row r="1863">
          <cell r="B1863" t="str">
            <v>В-27788/КЛ.Транш - 1_В-21082023/Ц</v>
          </cell>
          <cell r="C1863">
            <v>368694.92</v>
          </cell>
          <cell r="D1863">
            <v>45386</v>
          </cell>
          <cell r="E1863">
            <v>45387</v>
          </cell>
        </row>
        <row r="1864">
          <cell r="B1864" t="str">
            <v>В-19286/КЛ.Транш - 1_В-21082023/Ц</v>
          </cell>
          <cell r="C1864">
            <v>304979.20000000001</v>
          </cell>
          <cell r="D1864">
            <v>45388</v>
          </cell>
          <cell r="E1864">
            <v>45400</v>
          </cell>
        </row>
        <row r="1865">
          <cell r="B1865" t="str">
            <v>В-16455/КЛ.Транш - 1_В-21082023/Ц</v>
          </cell>
          <cell r="C1865">
            <v>136858.78</v>
          </cell>
          <cell r="D1865">
            <v>45388</v>
          </cell>
          <cell r="E1865">
            <v>45392</v>
          </cell>
        </row>
        <row r="1866">
          <cell r="B1866" t="str">
            <v>В-20035/КЛ.Транш - 1_В-21082023/Ц</v>
          </cell>
          <cell r="C1866">
            <v>6068.66</v>
          </cell>
          <cell r="D1866">
            <v>45388</v>
          </cell>
          <cell r="E1866">
            <v>45392</v>
          </cell>
        </row>
        <row r="1867">
          <cell r="B1867" t="str">
            <v>В-25627/КЛ.Транш - 1_В-21082023/Ц</v>
          </cell>
          <cell r="C1867">
            <v>658768.04</v>
          </cell>
          <cell r="D1867">
            <v>45389</v>
          </cell>
          <cell r="E1867">
            <v>45390</v>
          </cell>
        </row>
        <row r="1868">
          <cell r="B1868" t="str">
            <v>В-02064/КЛ.Транш - 4_В-21082023/Ц</v>
          </cell>
          <cell r="C1868">
            <v>73742.429999999993</v>
          </cell>
          <cell r="D1868">
            <v>45389</v>
          </cell>
          <cell r="E1868">
            <v>45406</v>
          </cell>
        </row>
        <row r="1869">
          <cell r="B1869" t="str">
            <v>В-12066/КЛ.Транш - 1_В-21082023/Ц</v>
          </cell>
          <cell r="C1869">
            <v>49790.57</v>
          </cell>
          <cell r="D1869">
            <v>45390</v>
          </cell>
          <cell r="E1869">
            <v>45392</v>
          </cell>
        </row>
        <row r="1870">
          <cell r="B1870" t="str">
            <v>В-12067/КЛ.Транш - 1_В-21082023/Ц</v>
          </cell>
          <cell r="C1870">
            <v>45242.22</v>
          </cell>
          <cell r="D1870">
            <v>45390</v>
          </cell>
          <cell r="E1870">
            <v>45401</v>
          </cell>
        </row>
        <row r="1871">
          <cell r="B1871" t="str">
            <v>В-12098/КЛ.Транш - 2_В-21082023/Ц</v>
          </cell>
          <cell r="C1871">
            <v>78926.34</v>
          </cell>
          <cell r="D1871">
            <v>45391</v>
          </cell>
          <cell r="E1871">
            <v>45391</v>
          </cell>
        </row>
        <row r="1872">
          <cell r="B1872" t="str">
            <v>В-19740/КЛ.Транш - 6_В-21082023/Ц</v>
          </cell>
          <cell r="C1872">
            <v>206041.39</v>
          </cell>
          <cell r="D1872">
            <v>45392</v>
          </cell>
          <cell r="E1872">
            <v>45394</v>
          </cell>
        </row>
        <row r="1873">
          <cell r="B1873" t="str">
            <v>В-22935/КЛ.Транш - 2_В-21082023/Ц</v>
          </cell>
          <cell r="C1873">
            <v>66937.460000000006</v>
          </cell>
          <cell r="D1873">
            <v>45392</v>
          </cell>
          <cell r="E1873">
            <v>45399</v>
          </cell>
        </row>
        <row r="1874">
          <cell r="B1874" t="str">
            <v>В-17095/КЛ.Транш - 1_В-21082023/Ц</v>
          </cell>
          <cell r="C1874">
            <v>11897.28</v>
          </cell>
          <cell r="D1874">
            <v>45392</v>
          </cell>
          <cell r="E1874">
            <v>45394</v>
          </cell>
        </row>
        <row r="1875">
          <cell r="B1875" t="str">
            <v>В-12098/КЛ.Транш - 1_В-21082023/Ц</v>
          </cell>
          <cell r="C1875">
            <v>246775.11</v>
          </cell>
          <cell r="D1875">
            <v>45393</v>
          </cell>
          <cell r="E1875">
            <v>45393</v>
          </cell>
        </row>
        <row r="1876">
          <cell r="B1876" t="str">
            <v>В-25671/АЗ_В-21082023/Ц</v>
          </cell>
          <cell r="C1876">
            <v>187708.94</v>
          </cell>
          <cell r="D1876">
            <v>45393</v>
          </cell>
          <cell r="E1876">
            <v>45401</v>
          </cell>
        </row>
        <row r="1877">
          <cell r="B1877" t="str">
            <v>В-16057/КЛ.Транш - 6_В-21082023/Ц</v>
          </cell>
          <cell r="C1877">
            <v>229350.89</v>
          </cell>
          <cell r="D1877">
            <v>45394</v>
          </cell>
          <cell r="E1877">
            <v>45419</v>
          </cell>
        </row>
        <row r="1878">
          <cell r="B1878" t="str">
            <v>В-01038/АЗ_В-21082023/Ц</v>
          </cell>
          <cell r="C1878">
            <v>387905.72</v>
          </cell>
          <cell r="D1878">
            <v>45395</v>
          </cell>
          <cell r="E1878">
            <v>45401</v>
          </cell>
        </row>
        <row r="1879">
          <cell r="B1879" t="str">
            <v>В-23555/КЛ.Транш - 1_В-21082023/Ц</v>
          </cell>
          <cell r="C1879">
            <v>500548.43</v>
          </cell>
          <cell r="D1879">
            <v>45396</v>
          </cell>
          <cell r="E1879">
            <v>45406</v>
          </cell>
        </row>
        <row r="1880">
          <cell r="B1880" t="str">
            <v>В-25922/КЛ.Транш - 1_В-21082023/Ц</v>
          </cell>
          <cell r="C1880">
            <v>100406.67</v>
          </cell>
          <cell r="D1880">
            <v>45396</v>
          </cell>
          <cell r="E1880">
            <v>45397</v>
          </cell>
        </row>
        <row r="1881">
          <cell r="B1881" t="str">
            <v>В-19991/КЛ.Транш - 3_В-21082023/Ц</v>
          </cell>
          <cell r="C1881">
            <v>75285.8</v>
          </cell>
          <cell r="D1881">
            <v>45396</v>
          </cell>
          <cell r="E1881">
            <v>45402</v>
          </cell>
        </row>
        <row r="1882">
          <cell r="B1882" t="str">
            <v>В-02064/КЛ.Транш - 2_В-21082023/Ц</v>
          </cell>
          <cell r="C1882">
            <v>83583.78</v>
          </cell>
          <cell r="D1882">
            <v>45397</v>
          </cell>
          <cell r="E1882">
            <v>45417</v>
          </cell>
        </row>
        <row r="1883">
          <cell r="B1883" t="str">
            <v>В-20384/КЛ.Транш - 1_В-21082023/Ц</v>
          </cell>
          <cell r="C1883">
            <v>77270.960000000006</v>
          </cell>
          <cell r="D1883">
            <v>45397</v>
          </cell>
          <cell r="E1883">
            <v>45403</v>
          </cell>
        </row>
        <row r="1884">
          <cell r="B1884" t="str">
            <v>В-11396/КЛ.Транш - 2_В-21082023/Ц</v>
          </cell>
          <cell r="C1884">
            <v>207605.79</v>
          </cell>
          <cell r="D1884">
            <v>45398</v>
          </cell>
          <cell r="E1884">
            <v>45405</v>
          </cell>
        </row>
        <row r="1885">
          <cell r="B1885" t="str">
            <v>В-21306/КЛ.Транш - 1_В-21082023/Ц</v>
          </cell>
          <cell r="C1885">
            <v>115708.68</v>
          </cell>
          <cell r="D1885">
            <v>45398</v>
          </cell>
          <cell r="E1885">
            <v>45399</v>
          </cell>
        </row>
        <row r="1886">
          <cell r="B1886" t="str">
            <v>В-28358/КЛ.Транш - 1_В-21082023/Ц</v>
          </cell>
          <cell r="C1886">
            <v>744141.5</v>
          </cell>
          <cell r="D1886">
            <v>45400</v>
          </cell>
          <cell r="E1886">
            <v>45414</v>
          </cell>
        </row>
        <row r="1887">
          <cell r="B1887" t="str">
            <v>В-28376/КЛ.Транш - 1_В-21082023/Ц</v>
          </cell>
          <cell r="C1887">
            <v>24482.29</v>
          </cell>
          <cell r="D1887">
            <v>45400</v>
          </cell>
          <cell r="E1887">
            <v>45401</v>
          </cell>
        </row>
        <row r="1888">
          <cell r="B1888" t="str">
            <v>В-19355/КЛ.Транш - 1_В-21082023/Ц</v>
          </cell>
          <cell r="C1888">
            <v>82778.91</v>
          </cell>
          <cell r="D1888">
            <v>45401</v>
          </cell>
          <cell r="E1888">
            <v>45490</v>
          </cell>
        </row>
        <row r="1889">
          <cell r="B1889" t="str">
            <v>В-18496/КЛ.Транш - 1_В-21082023/Ц</v>
          </cell>
          <cell r="C1889">
            <v>33314.32</v>
          </cell>
          <cell r="D1889">
            <v>45401</v>
          </cell>
          <cell r="E1889">
            <v>45401</v>
          </cell>
        </row>
        <row r="1890">
          <cell r="B1890" t="str">
            <v>В-22744/КЛ.Транш - 1_В-21082023/Ц</v>
          </cell>
          <cell r="C1890">
            <v>18870.8</v>
          </cell>
          <cell r="D1890">
            <v>45401</v>
          </cell>
          <cell r="E1890">
            <v>45407</v>
          </cell>
        </row>
        <row r="1891">
          <cell r="B1891" t="str">
            <v>В-14216/КЛ.Транш - 4_В-21082023/Ц</v>
          </cell>
          <cell r="C1891">
            <v>66323.88</v>
          </cell>
          <cell r="D1891">
            <v>45403</v>
          </cell>
          <cell r="E1891">
            <v>45407</v>
          </cell>
        </row>
        <row r="1892">
          <cell r="B1892" t="str">
            <v>В-23555/КЛ.Транш - 2_В-21082023/Ц</v>
          </cell>
          <cell r="C1892">
            <v>113090.61</v>
          </cell>
          <cell r="D1892">
            <v>45403</v>
          </cell>
          <cell r="E1892">
            <v>45406</v>
          </cell>
        </row>
        <row r="1893">
          <cell r="B1893" t="str">
            <v>В-16242/КЛ.Транш - 2_В-21082023/Ц</v>
          </cell>
          <cell r="C1893">
            <v>175433.53</v>
          </cell>
          <cell r="D1893">
            <v>45405</v>
          </cell>
          <cell r="E1893">
            <v>45407</v>
          </cell>
        </row>
        <row r="1894">
          <cell r="B1894" t="str">
            <v>В-28598/КЛ.Транш - 1_В-21082023/Ц</v>
          </cell>
          <cell r="C1894">
            <v>642628.82999999996</v>
          </cell>
          <cell r="D1894">
            <v>45406</v>
          </cell>
          <cell r="E1894">
            <v>45463</v>
          </cell>
        </row>
        <row r="1895">
          <cell r="B1895" t="str">
            <v>В-22935/КЛ.Транш - 1_В-21082023/Ц</v>
          </cell>
          <cell r="C1895">
            <v>149787.32999999999</v>
          </cell>
          <cell r="D1895">
            <v>45407</v>
          </cell>
          <cell r="E1895">
            <v>45419</v>
          </cell>
        </row>
        <row r="1896">
          <cell r="B1896" t="str">
            <v>В-14216/КЛ.Транш - 3_В-21082023/Ц</v>
          </cell>
          <cell r="C1896">
            <v>57945.16</v>
          </cell>
          <cell r="D1896">
            <v>45407</v>
          </cell>
          <cell r="E1896">
            <v>45408</v>
          </cell>
        </row>
        <row r="1897">
          <cell r="B1897" t="str">
            <v>В-22979/КЛ.Транш - 1_В-21082023/Ц</v>
          </cell>
          <cell r="C1897">
            <v>239427.03</v>
          </cell>
          <cell r="D1897">
            <v>45408</v>
          </cell>
          <cell r="E1897">
            <v>45499</v>
          </cell>
        </row>
        <row r="1898">
          <cell r="B1898" t="str">
            <v>В-27646/КЛ.Транш - 1_В-21082023/Ц</v>
          </cell>
          <cell r="C1898">
            <v>319294.73</v>
          </cell>
          <cell r="D1898">
            <v>45410</v>
          </cell>
          <cell r="E1898">
            <v>45427</v>
          </cell>
        </row>
        <row r="1899">
          <cell r="B1899" t="str">
            <v>В-17916/КЛ.Транш - 1_В-21082023/Ц</v>
          </cell>
          <cell r="C1899">
            <v>105929.64</v>
          </cell>
          <cell r="D1899">
            <v>45410</v>
          </cell>
          <cell r="E1899">
            <v>45423</v>
          </cell>
        </row>
        <row r="1900">
          <cell r="B1900" t="str">
            <v>В-02064/КЛ.Транш - 3_В-21082023/Ц</v>
          </cell>
          <cell r="C1900">
            <v>100637.31</v>
          </cell>
          <cell r="D1900">
            <v>45411</v>
          </cell>
          <cell r="E1900">
            <v>45423</v>
          </cell>
        </row>
        <row r="1901">
          <cell r="B1901" t="str">
            <v>В-08454/КЛ.Транш - 1_В-21082023/Ц</v>
          </cell>
          <cell r="C1901">
            <v>14085.09</v>
          </cell>
          <cell r="D1901">
            <v>45411</v>
          </cell>
          <cell r="E1901">
            <v>45415</v>
          </cell>
        </row>
        <row r="1902">
          <cell r="B1902" t="str">
            <v>В-12523/КЛ.Транш - 2_В-21082023/Ц</v>
          </cell>
          <cell r="C1902">
            <v>211556.03</v>
          </cell>
          <cell r="D1902">
            <v>45414</v>
          </cell>
          <cell r="E1902">
            <v>45414</v>
          </cell>
        </row>
        <row r="1903">
          <cell r="B1903" t="str">
            <v>В-10474/КЛ.Транш - 5_В-21082023/Ц</v>
          </cell>
          <cell r="C1903">
            <v>123665.44</v>
          </cell>
          <cell r="D1903">
            <v>45415</v>
          </cell>
          <cell r="E1903">
            <v>45415</v>
          </cell>
        </row>
        <row r="1904">
          <cell r="B1904" t="str">
            <v>В-28906/КЛ.Транш - 1_В-21082023/Ц</v>
          </cell>
          <cell r="C1904">
            <v>96734.5</v>
          </cell>
          <cell r="D1904">
            <v>45415</v>
          </cell>
          <cell r="E1904">
            <v>45420</v>
          </cell>
        </row>
        <row r="1905">
          <cell r="B1905" t="str">
            <v>В-27788/КЛ.Транш - 1_В-21082023/Ц</v>
          </cell>
          <cell r="C1905">
            <v>360197.44</v>
          </cell>
          <cell r="D1905">
            <v>45416</v>
          </cell>
          <cell r="E1905">
            <v>45429</v>
          </cell>
        </row>
        <row r="1906">
          <cell r="B1906" t="str">
            <v>В-00953/АЗ_В-21082023/Ц</v>
          </cell>
          <cell r="C1906">
            <v>71418.27</v>
          </cell>
          <cell r="D1906">
            <v>45416</v>
          </cell>
          <cell r="E1906">
            <v>45435</v>
          </cell>
        </row>
        <row r="1907">
          <cell r="B1907" t="str">
            <v>В-19286/КЛ.Транш - 1_В-21082023/Ц</v>
          </cell>
          <cell r="C1907">
            <v>291427.90000000002</v>
          </cell>
          <cell r="D1907">
            <v>45418</v>
          </cell>
          <cell r="E1907">
            <v>45460</v>
          </cell>
        </row>
        <row r="1908">
          <cell r="B1908" t="str">
            <v>В-16455/КЛ.Транш - 1_В-21082023/Ц</v>
          </cell>
          <cell r="C1908">
            <v>128891.51</v>
          </cell>
          <cell r="D1908">
            <v>45418</v>
          </cell>
          <cell r="E1908">
            <v>45420</v>
          </cell>
        </row>
        <row r="1909">
          <cell r="B1909" t="str">
            <v>В-14291/КЛ.Транш - 7_В-21082023/Ц</v>
          </cell>
          <cell r="C1909">
            <v>47760.54</v>
          </cell>
          <cell r="D1909">
            <v>45418</v>
          </cell>
          <cell r="E1909">
            <v>45418</v>
          </cell>
        </row>
        <row r="1910">
          <cell r="B1910" t="str">
            <v>В-20035/КЛ.Транш - 1_В-21082023/Ц</v>
          </cell>
          <cell r="C1910">
            <v>5845.68</v>
          </cell>
          <cell r="D1910">
            <v>45418</v>
          </cell>
          <cell r="E1910">
            <v>45420</v>
          </cell>
        </row>
        <row r="1911">
          <cell r="B1911" t="str">
            <v>В-02064/КЛ.Транш - 4_В-21082023/Ц</v>
          </cell>
          <cell r="C1911">
            <v>66862.89</v>
          </cell>
          <cell r="D1911">
            <v>45419</v>
          </cell>
          <cell r="E1911">
            <v>45423</v>
          </cell>
        </row>
        <row r="1912">
          <cell r="B1912" t="str">
            <v>В-12066/КЛ.Транш - 1_В-21082023/Ц</v>
          </cell>
          <cell r="C1912">
            <v>44855.92</v>
          </cell>
          <cell r="D1912">
            <v>45420</v>
          </cell>
          <cell r="E1912">
            <v>45426</v>
          </cell>
        </row>
        <row r="1913">
          <cell r="B1913" t="str">
            <v>В-12067/КЛ.Транш - 1_В-21082023/Ц</v>
          </cell>
          <cell r="C1913">
            <v>41226.82</v>
          </cell>
          <cell r="D1913">
            <v>45420</v>
          </cell>
          <cell r="E1913">
            <v>45432</v>
          </cell>
        </row>
        <row r="1914">
          <cell r="B1914" t="str">
            <v>В-22935/КЛ.Транш - 2_В-21082023/Ц</v>
          </cell>
          <cell r="C1914">
            <v>64929.77</v>
          </cell>
          <cell r="D1914">
            <v>45422</v>
          </cell>
          <cell r="E1914">
            <v>45428</v>
          </cell>
        </row>
        <row r="1915">
          <cell r="B1915" t="str">
            <v>В-17095/КЛ.Транш - 1_В-21082023/Ц</v>
          </cell>
          <cell r="C1915">
            <v>6088.85</v>
          </cell>
          <cell r="D1915">
            <v>45422</v>
          </cell>
          <cell r="E1915">
            <v>45429</v>
          </cell>
        </row>
        <row r="1916">
          <cell r="B1916" t="str">
            <v>В-16057/КЛ.Транш - 6_В-21082023/Ц</v>
          </cell>
          <cell r="C1916">
            <v>210542.68</v>
          </cell>
          <cell r="D1916">
            <v>45424</v>
          </cell>
          <cell r="E1916">
            <v>45442</v>
          </cell>
        </row>
        <row r="1917">
          <cell r="B1917" t="str">
            <v>В-17469/КЛ.Транш - 1_В-21082023/Ц</v>
          </cell>
          <cell r="C1917">
            <v>576927.80000000005</v>
          </cell>
          <cell r="D1917">
            <v>45425</v>
          </cell>
          <cell r="G1917">
            <v>45513</v>
          </cell>
        </row>
        <row r="1918">
          <cell r="B1918" t="str">
            <v>В-23555/КЛ.Транш - 1_В-21082023/Ц</v>
          </cell>
          <cell r="C1918">
            <v>485633.58</v>
          </cell>
          <cell r="D1918">
            <v>45426</v>
          </cell>
          <cell r="E1918">
            <v>45435</v>
          </cell>
        </row>
        <row r="1919">
          <cell r="B1919" t="str">
            <v>В-02064/КЛ.Транш - 2_В-21082023/Ц</v>
          </cell>
          <cell r="C1919">
            <v>57625.89</v>
          </cell>
          <cell r="D1919">
            <v>45427</v>
          </cell>
          <cell r="E1919">
            <v>45427</v>
          </cell>
        </row>
        <row r="1920">
          <cell r="B1920" t="str">
            <v>В-11396/КЛ.Транш - 2_В-21082023/Ц</v>
          </cell>
          <cell r="C1920">
            <v>196901.78</v>
          </cell>
          <cell r="D1920">
            <v>45428</v>
          </cell>
          <cell r="E1920">
            <v>45433</v>
          </cell>
        </row>
        <row r="1921">
          <cell r="B1921" t="str">
            <v>В-21306/КЛ.Транш - 1_В-21082023/Ц</v>
          </cell>
          <cell r="C1921">
            <v>110974.39999999999</v>
          </cell>
          <cell r="D1921">
            <v>45428</v>
          </cell>
          <cell r="E1921">
            <v>45428</v>
          </cell>
        </row>
        <row r="1922">
          <cell r="B1922" t="str">
            <v>В-19740/КЛ.Транш - 7_В-21082023/Ц</v>
          </cell>
          <cell r="C1922">
            <v>80096.320000000007</v>
          </cell>
          <cell r="D1922">
            <v>45428</v>
          </cell>
          <cell r="E1922">
            <v>45429</v>
          </cell>
        </row>
        <row r="1923">
          <cell r="B1923" t="str">
            <v>В-28358/КЛ.Транш - 1_В-21082023/Ц</v>
          </cell>
          <cell r="C1923">
            <v>726619.8</v>
          </cell>
          <cell r="D1923">
            <v>45430</v>
          </cell>
          <cell r="E1923">
            <v>45457</v>
          </cell>
        </row>
        <row r="1924">
          <cell r="B1924" t="str">
            <v>В-16934/КЛ.Транш - 1_В-21082023/Ц</v>
          </cell>
          <cell r="C1924">
            <v>180442.82</v>
          </cell>
          <cell r="D1924">
            <v>45431</v>
          </cell>
          <cell r="E1924">
            <v>45435</v>
          </cell>
        </row>
        <row r="1925">
          <cell r="B1925" t="str">
            <v>В-14216/КЛ.Транш - 2_В-21082023/Ц</v>
          </cell>
          <cell r="C1925">
            <v>49674.31</v>
          </cell>
          <cell r="D1925">
            <v>45431</v>
          </cell>
          <cell r="E1925">
            <v>45432</v>
          </cell>
        </row>
        <row r="1926">
          <cell r="B1926" t="str">
            <v>В-12662/КЛ.Транш - 1_В-21082023/Ц</v>
          </cell>
          <cell r="C1926">
            <v>26490.1</v>
          </cell>
          <cell r="D1926">
            <v>45431</v>
          </cell>
          <cell r="E1926">
            <v>45434</v>
          </cell>
        </row>
        <row r="1927">
          <cell r="B1927" t="str">
            <v>В-18496/КЛ.Транш - 1_В-21082023/Ц</v>
          </cell>
          <cell r="C1927">
            <v>22678.41</v>
          </cell>
          <cell r="D1927">
            <v>45431</v>
          </cell>
          <cell r="E1927">
            <v>45439</v>
          </cell>
        </row>
        <row r="1928">
          <cell r="B1928" t="str">
            <v>В-22744/КЛ.Транш - 1_В-21082023/Ц</v>
          </cell>
          <cell r="C1928">
            <v>14771.19</v>
          </cell>
          <cell r="D1928">
            <v>45432</v>
          </cell>
          <cell r="E1928">
            <v>45439</v>
          </cell>
        </row>
        <row r="1929">
          <cell r="B1929" t="str">
            <v>В-21568/КЛ.Транш - 1_В-21082023/Ц</v>
          </cell>
          <cell r="C1929">
            <v>61265.94</v>
          </cell>
          <cell r="D1929">
            <v>45433</v>
          </cell>
          <cell r="E1929">
            <v>45453</v>
          </cell>
        </row>
        <row r="1930">
          <cell r="B1930" t="str">
            <v>В-23901/КЛ.Транш - 1_В-21082023/Ц</v>
          </cell>
          <cell r="C1930">
            <v>301393.58</v>
          </cell>
          <cell r="D1930">
            <v>45434</v>
          </cell>
          <cell r="E1930">
            <v>45434</v>
          </cell>
        </row>
        <row r="1931">
          <cell r="B1931" t="str">
            <v>В-16242/КЛ.Транш - 2_В-21082023/Ц</v>
          </cell>
          <cell r="C1931">
            <v>167333.88</v>
          </cell>
          <cell r="D1931">
            <v>45435</v>
          </cell>
          <cell r="E1931">
            <v>45441</v>
          </cell>
        </row>
        <row r="1932">
          <cell r="B1932" t="str">
            <v>В-22935/КЛ.Транш - 1_В-21082023/Ц</v>
          </cell>
          <cell r="C1932">
            <v>144717</v>
          </cell>
          <cell r="D1932">
            <v>45437</v>
          </cell>
          <cell r="E1932">
            <v>45449</v>
          </cell>
        </row>
        <row r="1933">
          <cell r="B1933" t="str">
            <v>В-14216/КЛ.Транш - 3_В-21082023/Ц</v>
          </cell>
          <cell r="C1933">
            <v>55050.55</v>
          </cell>
          <cell r="D1933">
            <v>45437</v>
          </cell>
          <cell r="E1933">
            <v>45443</v>
          </cell>
        </row>
        <row r="1934">
          <cell r="B1934" t="str">
            <v>В-19548/КЛ.Транш - 1_В-21082023/Ц</v>
          </cell>
          <cell r="C1934">
            <v>289136.40999999997</v>
          </cell>
          <cell r="D1934">
            <v>45438</v>
          </cell>
          <cell r="E1934">
            <v>45439</v>
          </cell>
        </row>
        <row r="1935">
          <cell r="B1935" t="str">
            <v>В-19740/КЛ.Транш - 8_В-21082023/Ц</v>
          </cell>
          <cell r="C1935">
            <v>116432.45</v>
          </cell>
          <cell r="D1935">
            <v>45438</v>
          </cell>
          <cell r="E1935">
            <v>45442</v>
          </cell>
        </row>
        <row r="1936">
          <cell r="B1936" t="str">
            <v>В-17469/КЛ.Транш - 2_В-21082023/Ц</v>
          </cell>
          <cell r="C1936">
            <v>55078.39</v>
          </cell>
          <cell r="D1936">
            <v>45438</v>
          </cell>
          <cell r="G1936">
            <v>45513</v>
          </cell>
        </row>
        <row r="1937">
          <cell r="B1937" t="str">
            <v>В-19593/КЛ.Транш - 1_В-21082023/Ц</v>
          </cell>
          <cell r="C1937">
            <v>53895.73</v>
          </cell>
          <cell r="D1937">
            <v>45438</v>
          </cell>
          <cell r="E1937">
            <v>45439</v>
          </cell>
        </row>
        <row r="1938">
          <cell r="B1938" t="str">
            <v>В-12553/КЛ.Транш - 1_В-21082023/Ц</v>
          </cell>
          <cell r="C1938">
            <v>100191.93</v>
          </cell>
          <cell r="D1938">
            <v>45439</v>
          </cell>
          <cell r="E1938">
            <v>45439</v>
          </cell>
        </row>
        <row r="1939">
          <cell r="B1939" t="str">
            <v>В-12269/КЛ.Транш - 1_В-21082023/Ц</v>
          </cell>
          <cell r="C1939">
            <v>16222.24</v>
          </cell>
          <cell r="D1939">
            <v>45439</v>
          </cell>
          <cell r="E1939">
            <v>45439</v>
          </cell>
        </row>
        <row r="1940">
          <cell r="B1940" t="str">
            <v>В-27646/КЛ.Транш - 1_В-21082023/Ц</v>
          </cell>
          <cell r="C1940">
            <v>312019.31</v>
          </cell>
          <cell r="D1940">
            <v>45440</v>
          </cell>
          <cell r="E1940">
            <v>45449</v>
          </cell>
        </row>
        <row r="1941">
          <cell r="B1941" t="str">
            <v>В-08454/КЛ.Транш - 1_В-21082023/Ц</v>
          </cell>
          <cell r="C1941">
            <v>11541.08</v>
          </cell>
          <cell r="D1941">
            <v>45441</v>
          </cell>
          <cell r="E1941">
            <v>45443</v>
          </cell>
        </row>
        <row r="1942">
          <cell r="B1942" t="str">
            <v>В-28906/КЛ.Транш - 1_В-21082023/Ц</v>
          </cell>
          <cell r="C1942">
            <v>95094.17</v>
          </cell>
          <cell r="D1942">
            <v>45446</v>
          </cell>
          <cell r="E1942">
            <v>45452</v>
          </cell>
        </row>
        <row r="1943">
          <cell r="B1943" t="str">
            <v>В-27788/КЛ.Транш - 1_В-21082023/Ц</v>
          </cell>
          <cell r="C1943">
            <v>350606.49</v>
          </cell>
          <cell r="D1943">
            <v>45447</v>
          </cell>
          <cell r="E1943">
            <v>45471</v>
          </cell>
        </row>
        <row r="1944">
          <cell r="B1944" t="str">
            <v>В-00953/АЗ_В-21082023/Ц</v>
          </cell>
          <cell r="C1944">
            <v>50017.55</v>
          </cell>
          <cell r="D1944">
            <v>45447</v>
          </cell>
          <cell r="E1944">
            <v>45449</v>
          </cell>
        </row>
        <row r="1945">
          <cell r="B1945" t="str">
            <v>В-19354/КЛ.Транш - 1_В-21082023/Ц</v>
          </cell>
          <cell r="C1945">
            <v>17984.009999999998</v>
          </cell>
          <cell r="D1945">
            <v>45447</v>
          </cell>
          <cell r="E1945">
            <v>45468</v>
          </cell>
        </row>
        <row r="1946">
          <cell r="B1946" t="str">
            <v>В-16455/КЛ.Транш - 1_В-21082023/Ц</v>
          </cell>
          <cell r="C1946">
            <v>120409.34</v>
          </cell>
          <cell r="D1946">
            <v>45449</v>
          </cell>
          <cell r="E1946">
            <v>45453</v>
          </cell>
        </row>
        <row r="1947">
          <cell r="B1947" t="str">
            <v>В-14291/КЛ.Транш - 7_В-21082023/Ц</v>
          </cell>
          <cell r="C1947">
            <v>46179.51</v>
          </cell>
          <cell r="D1947">
            <v>45449</v>
          </cell>
          <cell r="E1947">
            <v>45449</v>
          </cell>
        </row>
        <row r="1948">
          <cell r="B1948" t="str">
            <v>В-20035/КЛ.Транш - 1_В-21082023/Ц</v>
          </cell>
          <cell r="C1948">
            <v>5594.39</v>
          </cell>
          <cell r="D1948">
            <v>45449</v>
          </cell>
          <cell r="E1948">
            <v>45450</v>
          </cell>
        </row>
        <row r="1949">
          <cell r="B1949" t="str">
            <v>В-10474/КЛ.Транш - 6_В-21082023/Ц</v>
          </cell>
          <cell r="C1949">
            <v>46374.15</v>
          </cell>
          <cell r="D1949">
            <v>45450</v>
          </cell>
          <cell r="E1949">
            <v>45450</v>
          </cell>
        </row>
        <row r="1950">
          <cell r="B1950" t="str">
            <v>В-12066/КЛ.Транш - 1_В-21082023/Ц</v>
          </cell>
          <cell r="C1950">
            <v>39686.04</v>
          </cell>
          <cell r="D1950">
            <v>45451</v>
          </cell>
          <cell r="E1950">
            <v>45455</v>
          </cell>
        </row>
        <row r="1951">
          <cell r="B1951" t="str">
            <v>В-12067/КЛ.Транш - 1_В-21082023/Ц</v>
          </cell>
          <cell r="C1951">
            <v>36911.79</v>
          </cell>
          <cell r="D1951">
            <v>45451</v>
          </cell>
          <cell r="E1951">
            <v>45464</v>
          </cell>
        </row>
        <row r="1952">
          <cell r="B1952" t="str">
            <v>В-19585/КЛ.Транш - 1_В-21082023/Ц</v>
          </cell>
          <cell r="C1952">
            <v>17485.23</v>
          </cell>
          <cell r="D1952">
            <v>45451</v>
          </cell>
          <cell r="E1952">
            <v>45470</v>
          </cell>
        </row>
        <row r="1953">
          <cell r="B1953" t="str">
            <v>В-22935/КЛ.Транш - 2_В-21082023/Ц</v>
          </cell>
          <cell r="C1953">
            <v>62747.88</v>
          </cell>
          <cell r="D1953">
            <v>45453</v>
          </cell>
          <cell r="E1953">
            <v>45456</v>
          </cell>
        </row>
        <row r="1954">
          <cell r="B1954" t="str">
            <v>В-25810/АЗ_В-21082023/Ц</v>
          </cell>
          <cell r="C1954">
            <v>385341.82</v>
          </cell>
          <cell r="D1954">
            <v>45454</v>
          </cell>
          <cell r="E1954">
            <v>45506</v>
          </cell>
        </row>
        <row r="1955">
          <cell r="B1955" t="str">
            <v>В-25807/АЗ_В-21082023/Ц</v>
          </cell>
          <cell r="C1955">
            <v>323793.43</v>
          </cell>
          <cell r="D1955">
            <v>45454</v>
          </cell>
          <cell r="E1955">
            <v>45496</v>
          </cell>
        </row>
        <row r="1956">
          <cell r="B1956" t="str">
            <v>В-12098/КЛ.Транш - 1_В-21082023/Ц</v>
          </cell>
          <cell r="C1956">
            <v>201336.37</v>
          </cell>
          <cell r="D1956">
            <v>45454</v>
          </cell>
          <cell r="E1956">
            <v>45454</v>
          </cell>
        </row>
        <row r="1957">
          <cell r="B1957" t="str">
            <v>В-16057/КЛ.Транш - 6_В-21082023/Ц</v>
          </cell>
          <cell r="C1957">
            <v>28603.8</v>
          </cell>
          <cell r="D1957">
            <v>45455</v>
          </cell>
          <cell r="E1957">
            <v>45468</v>
          </cell>
        </row>
        <row r="1958">
          <cell r="B1958" t="str">
            <v>В-01039/АЗ_В-21082023/Ц</v>
          </cell>
          <cell r="C1958">
            <v>69924.42</v>
          </cell>
          <cell r="D1958">
            <v>45456</v>
          </cell>
          <cell r="E1958">
            <v>45485</v>
          </cell>
        </row>
        <row r="1959">
          <cell r="B1959" t="str">
            <v>В-01038/АЗ_В-21082023/Ц</v>
          </cell>
          <cell r="C1959">
            <v>64721.32</v>
          </cell>
          <cell r="D1959">
            <v>45456</v>
          </cell>
          <cell r="E1959">
            <v>45467</v>
          </cell>
        </row>
        <row r="1960">
          <cell r="B1960" t="str">
            <v>В-23555/КЛ.Транш - 1_В-21082023/Ц</v>
          </cell>
          <cell r="C1960">
            <v>468978.58</v>
          </cell>
          <cell r="D1960">
            <v>45457</v>
          </cell>
          <cell r="E1960">
            <v>45464</v>
          </cell>
        </row>
        <row r="1961">
          <cell r="B1961" t="str">
            <v>В-11396/КЛ.Транш - 2_В-21082023/Ц</v>
          </cell>
          <cell r="C1961">
            <v>185125.83</v>
          </cell>
          <cell r="D1961">
            <v>45459</v>
          </cell>
          <cell r="E1961">
            <v>45464</v>
          </cell>
        </row>
        <row r="1962">
          <cell r="B1962" t="str">
            <v>В-21306/КЛ.Транш - 1_В-21082023/Ц</v>
          </cell>
          <cell r="C1962">
            <v>105887.05</v>
          </cell>
          <cell r="D1962">
            <v>45459</v>
          </cell>
          <cell r="E1962">
            <v>45462</v>
          </cell>
        </row>
        <row r="1963">
          <cell r="B1963" t="str">
            <v>В-28358/КЛ.Транш - 1_В-21082023/Ц</v>
          </cell>
          <cell r="C1963">
            <v>707115.14</v>
          </cell>
          <cell r="D1963">
            <v>45461</v>
          </cell>
          <cell r="E1963">
            <v>45472</v>
          </cell>
        </row>
        <row r="1964">
          <cell r="B1964" t="str">
            <v>В-18496/КЛ.Транш - 1_В-21082023/Ц</v>
          </cell>
          <cell r="C1964">
            <v>11559.77</v>
          </cell>
          <cell r="D1964">
            <v>45462</v>
          </cell>
          <cell r="E1964">
            <v>45464</v>
          </cell>
        </row>
        <row r="1965">
          <cell r="B1965" t="str">
            <v>В-22744/КЛ.Транш - 1_В-21082023/Ц</v>
          </cell>
          <cell r="C1965">
            <v>10422.85</v>
          </cell>
          <cell r="D1965">
            <v>45463</v>
          </cell>
          <cell r="E1965">
            <v>45465</v>
          </cell>
        </row>
        <row r="1966">
          <cell r="B1966" t="str">
            <v>В-21568/КЛ.Транш - 1_В-21082023/Ц</v>
          </cell>
          <cell r="C1966">
            <v>50505.5</v>
          </cell>
          <cell r="D1966">
            <v>45464</v>
          </cell>
          <cell r="E1966">
            <v>45474</v>
          </cell>
        </row>
        <row r="1967">
          <cell r="B1967" t="str">
            <v>В-23555/КЛ.Транш - 2_В-21082023/Ц</v>
          </cell>
          <cell r="C1967">
            <v>107148.59</v>
          </cell>
          <cell r="D1967">
            <v>45465</v>
          </cell>
        </row>
        <row r="1968">
          <cell r="B1968" t="str">
            <v>В-16242/КЛ.Транш - 2_В-21082023/Ц</v>
          </cell>
          <cell r="C1968">
            <v>158466.16</v>
          </cell>
          <cell r="D1968">
            <v>45466</v>
          </cell>
          <cell r="E1968">
            <v>45470</v>
          </cell>
        </row>
        <row r="1969">
          <cell r="B1969" t="str">
            <v>В-28598/КЛ.Транш - 1_В-21082023/Ц</v>
          </cell>
          <cell r="C1969">
            <v>615456.9</v>
          </cell>
          <cell r="D1969">
            <v>45467</v>
          </cell>
          <cell r="E1969">
            <v>45477</v>
          </cell>
        </row>
        <row r="1970">
          <cell r="B1970" t="str">
            <v>В-22935/КЛ.Транш - 1_В-21082023/Ц</v>
          </cell>
          <cell r="C1970">
            <v>139117.32</v>
          </cell>
          <cell r="D1970">
            <v>45468</v>
          </cell>
          <cell r="E1970">
            <v>45474</v>
          </cell>
        </row>
        <row r="1971">
          <cell r="B1971" t="str">
            <v>В-00955/АЗ_В-21082023/Ц</v>
          </cell>
          <cell r="C1971">
            <v>55322.09</v>
          </cell>
          <cell r="D1971">
            <v>45468</v>
          </cell>
        </row>
        <row r="1972">
          <cell r="B1972" t="str">
            <v>В-14216/КЛ.Транш - 3_В-21082023/Ц</v>
          </cell>
          <cell r="C1972">
            <v>51862.41</v>
          </cell>
          <cell r="D1972">
            <v>45468</v>
          </cell>
          <cell r="E1972">
            <v>45471</v>
          </cell>
        </row>
        <row r="1973">
          <cell r="B1973" t="str">
            <v>В-28539/КЛ.Транш - 1_В-21082023/Ц</v>
          </cell>
          <cell r="C1973">
            <v>172752.61</v>
          </cell>
          <cell r="D1973">
            <v>45469</v>
          </cell>
          <cell r="E1973">
            <v>45470</v>
          </cell>
        </row>
        <row r="1974">
          <cell r="B1974" t="str">
            <v>В-27646/КЛ.Транш - 1_В-21082023/Ц</v>
          </cell>
          <cell r="C1974">
            <v>303727.68</v>
          </cell>
          <cell r="D1974">
            <v>45471</v>
          </cell>
          <cell r="E1974">
            <v>45488</v>
          </cell>
        </row>
        <row r="1975">
          <cell r="B1975" t="str">
            <v>В-18414/КЛ.Транш - 1_В-21082023/Ц</v>
          </cell>
          <cell r="C1975">
            <v>248771.93</v>
          </cell>
          <cell r="D1975">
            <v>45471</v>
          </cell>
          <cell r="E1975">
            <v>45499</v>
          </cell>
        </row>
        <row r="1976">
          <cell r="B1976" t="str">
            <v>В-17916/КЛ.Транш - 1_В-21082023/Ц</v>
          </cell>
          <cell r="C1976">
            <v>94267.57</v>
          </cell>
          <cell r="D1976">
            <v>45471</v>
          </cell>
          <cell r="E1976">
            <v>45478</v>
          </cell>
        </row>
        <row r="1977">
          <cell r="B1977" t="str">
            <v>В-08454/КЛ.Транш - 1_В-21082023/Ц</v>
          </cell>
          <cell r="C1977">
            <v>8833.59</v>
          </cell>
          <cell r="D1977">
            <v>45472</v>
          </cell>
          <cell r="E1977">
            <v>45478</v>
          </cell>
        </row>
        <row r="1978">
          <cell r="B1978" t="str">
            <v>В-22205/КЛ.Транш - 1_В-21082023/Ц</v>
          </cell>
          <cell r="C1978">
            <v>212653.15</v>
          </cell>
          <cell r="D1978">
            <v>45476</v>
          </cell>
          <cell r="E1978">
            <v>45480</v>
          </cell>
        </row>
        <row r="1979">
          <cell r="B1979" t="str">
            <v>В-28906/КЛ.Транш - 1_В-21082023/Ц</v>
          </cell>
          <cell r="C1979">
            <v>93566.98</v>
          </cell>
          <cell r="D1979">
            <v>45476</v>
          </cell>
          <cell r="E1979">
            <v>45478</v>
          </cell>
        </row>
        <row r="1980">
          <cell r="B1980" t="str">
            <v>В-19354/КЛ.Транш - 1_В-21082023/Ц</v>
          </cell>
          <cell r="C1980">
            <v>9185.1</v>
          </cell>
          <cell r="D1980">
            <v>45477</v>
          </cell>
          <cell r="E1980">
            <v>45481</v>
          </cell>
        </row>
        <row r="1981">
          <cell r="B1981" t="str">
            <v>В-27929/КЛ.Транш - 1_В-21082023/Ц</v>
          </cell>
          <cell r="C1981">
            <v>118446.7</v>
          </cell>
          <cell r="D1981">
            <v>45478</v>
          </cell>
          <cell r="E1981">
            <v>45478</v>
          </cell>
        </row>
        <row r="1982">
          <cell r="B1982" t="str">
            <v>В-19286/КЛ.Транш - 1_В-21082023/Ц</v>
          </cell>
          <cell r="C1982">
            <v>246443.48</v>
          </cell>
          <cell r="D1982">
            <v>45479</v>
          </cell>
          <cell r="E1982">
            <v>45481</v>
          </cell>
        </row>
        <row r="1983">
          <cell r="B1983" t="str">
            <v>В-16455/КЛ.Транш - 1_В-21082023/Ц</v>
          </cell>
          <cell r="C1983">
            <v>111743.53</v>
          </cell>
          <cell r="D1983">
            <v>45479</v>
          </cell>
          <cell r="E1983">
            <v>45483</v>
          </cell>
        </row>
        <row r="1984">
          <cell r="B1984" t="str">
            <v>В-20035/КЛ.Транш - 1_В-21082023/Ц</v>
          </cell>
          <cell r="C1984">
            <v>5338.78</v>
          </cell>
          <cell r="D1984">
            <v>45479</v>
          </cell>
          <cell r="E1984">
            <v>45482</v>
          </cell>
        </row>
        <row r="1985">
          <cell r="B1985" t="str">
            <v>В-25627/КЛ.Транш - 1_В-21082023/Ц</v>
          </cell>
          <cell r="C1985">
            <v>599555.64</v>
          </cell>
          <cell r="D1985">
            <v>45480</v>
          </cell>
          <cell r="E1985">
            <v>45481</v>
          </cell>
        </row>
        <row r="1986">
          <cell r="B1986" t="str">
            <v>В-12066/КЛ.Транш - 1_В-21082023/Ц</v>
          </cell>
          <cell r="C1986">
            <v>33422.57</v>
          </cell>
          <cell r="D1986">
            <v>45481</v>
          </cell>
          <cell r="E1986">
            <v>45486</v>
          </cell>
        </row>
        <row r="1987">
          <cell r="B1987" t="str">
            <v>В-12067/КЛ.Транш - 1_В-21082023/Ц</v>
          </cell>
          <cell r="C1987">
            <v>32429.43</v>
          </cell>
          <cell r="D1987">
            <v>45481</v>
          </cell>
          <cell r="E1987">
            <v>45495</v>
          </cell>
        </row>
        <row r="1988">
          <cell r="B1988" t="str">
            <v>В-12098/КЛ.Транш - 2_В-21082023/Ц</v>
          </cell>
          <cell r="C1988">
            <v>69766.320000000007</v>
          </cell>
          <cell r="D1988">
            <v>45482</v>
          </cell>
          <cell r="E1988">
            <v>45482</v>
          </cell>
        </row>
        <row r="1989">
          <cell r="B1989" t="str">
            <v>В-22935/КЛ.Транш - 2_В-21082023/Ц</v>
          </cell>
          <cell r="C1989">
            <v>60562.28</v>
          </cell>
          <cell r="D1989">
            <v>45483</v>
          </cell>
          <cell r="E1989">
            <v>45458</v>
          </cell>
        </row>
        <row r="1990">
          <cell r="B1990" t="str">
            <v>В-22205/КЛ.Транш - 2_В-21082023/Ц</v>
          </cell>
          <cell r="C1990">
            <v>53672.94</v>
          </cell>
          <cell r="D1990">
            <v>45484</v>
          </cell>
          <cell r="E1990">
            <v>45493</v>
          </cell>
        </row>
        <row r="1991">
          <cell r="B1991" t="str">
            <v>В-16057/КЛ.Транш - 6_В-21082023/Ц</v>
          </cell>
          <cell r="C1991">
            <v>170195.56</v>
          </cell>
          <cell r="D1991">
            <v>45485</v>
          </cell>
          <cell r="E1991">
            <v>45490</v>
          </cell>
        </row>
        <row r="1992">
          <cell r="B1992" t="str">
            <v>В-23555/КЛ.Транш - 1_В-21082023/Ц</v>
          </cell>
          <cell r="C1992">
            <v>452267.28</v>
          </cell>
          <cell r="D1992">
            <v>45487</v>
          </cell>
        </row>
        <row r="1993">
          <cell r="B1993" t="str">
            <v>В-25922/КЛ.Транш - 1_В-21082023/Ц</v>
          </cell>
          <cell r="C1993">
            <v>90843.98</v>
          </cell>
          <cell r="D1993">
            <v>45487</v>
          </cell>
          <cell r="E1993">
            <v>45488</v>
          </cell>
        </row>
        <row r="1994">
          <cell r="B1994" t="str">
            <v>В-25764/КЛ.Транш - 1_В-21082023/Ц</v>
          </cell>
          <cell r="C1994">
            <v>219628.41</v>
          </cell>
          <cell r="D1994">
            <v>45488</v>
          </cell>
          <cell r="E1994">
            <v>45505</v>
          </cell>
        </row>
        <row r="1995">
          <cell r="B1995" t="str">
            <v>В-16067/КЛ.Транш - 1_В-21082023/Ц</v>
          </cell>
          <cell r="C1995">
            <v>59055.08</v>
          </cell>
          <cell r="D1995">
            <v>45488</v>
          </cell>
        </row>
        <row r="1996">
          <cell r="B1996" t="str">
            <v>В-11396/КЛ.Транш - 2_В-21082023/Ц</v>
          </cell>
          <cell r="C1996">
            <v>173008.97</v>
          </cell>
          <cell r="D1996">
            <v>45489</v>
          </cell>
          <cell r="E1996">
            <v>45493</v>
          </cell>
        </row>
        <row r="1997">
          <cell r="B1997" t="str">
            <v>В-21306/КЛ.Транш - 1_В-21082023/Ц</v>
          </cell>
          <cell r="C1997">
            <v>100735.67999999999</v>
          </cell>
          <cell r="D1997">
            <v>45489</v>
          </cell>
          <cell r="E1997">
            <v>45490</v>
          </cell>
        </row>
        <row r="1998">
          <cell r="B1998" t="str">
            <v>В-28358/КЛ.Транш - 1_В-21082023/Ц</v>
          </cell>
          <cell r="C1998">
            <v>687800.96</v>
          </cell>
          <cell r="D1998">
            <v>45491</v>
          </cell>
          <cell r="E1998">
            <v>45509</v>
          </cell>
        </row>
        <row r="1999">
          <cell r="B1999" t="str">
            <v>В-27788/КЛ.Транш - 1_В-21082023/Ц</v>
          </cell>
          <cell r="C1999">
            <v>350176.26</v>
          </cell>
          <cell r="D1999">
            <v>45491</v>
          </cell>
          <cell r="E1999">
            <v>45505</v>
          </cell>
        </row>
        <row r="2000">
          <cell r="B2000" t="str">
            <v>В-12662/КЛ.Транш - 1_В-21082023/Ц</v>
          </cell>
          <cell r="C2000">
            <v>18239.96</v>
          </cell>
          <cell r="D2000">
            <v>45492</v>
          </cell>
          <cell r="E2000">
            <v>45491</v>
          </cell>
        </row>
        <row r="2001">
          <cell r="B2001" t="str">
            <v>В-19355/КЛ.Транш - 1_В-21082023/Ц</v>
          </cell>
          <cell r="C2001">
            <v>82778.91</v>
          </cell>
          <cell r="D2001">
            <v>45492</v>
          </cell>
        </row>
        <row r="2002">
          <cell r="B2002" t="str">
            <v>В-21568/КЛ.Транш - 1_В-21082023/Ц</v>
          </cell>
          <cell r="C2002">
            <v>39140.76</v>
          </cell>
          <cell r="D2002">
            <v>45494</v>
          </cell>
          <cell r="E2002">
            <v>45517</v>
          </cell>
        </row>
        <row r="2003">
          <cell r="B2003" t="str">
            <v>В-23901/КЛ.Транш - 1_В-21082023/Ц</v>
          </cell>
          <cell r="C2003">
            <v>280206.99</v>
          </cell>
          <cell r="D2003">
            <v>45495</v>
          </cell>
          <cell r="E2003">
            <v>45496</v>
          </cell>
        </row>
        <row r="2004">
          <cell r="B2004" t="str">
            <v>В-16242/КЛ.Транш - 2_В-21082023/Ц</v>
          </cell>
          <cell r="C2004">
            <v>149401</v>
          </cell>
          <cell r="D2004">
            <v>45496</v>
          </cell>
          <cell r="E2004">
            <v>45504</v>
          </cell>
        </row>
        <row r="2005">
          <cell r="B2005" t="str">
            <v>В-28598/КЛ.Транш - 1_В-21082023/Ц</v>
          </cell>
          <cell r="C2005">
            <v>601100.55000000005</v>
          </cell>
          <cell r="D2005">
            <v>45497</v>
          </cell>
        </row>
        <row r="2006">
          <cell r="B2006" t="str">
            <v>В-22935/КЛ.Транш - 1_В-21082023/Ц</v>
          </cell>
          <cell r="C2006">
            <v>133467.01</v>
          </cell>
          <cell r="D2006">
            <v>45498</v>
          </cell>
          <cell r="E2006">
            <v>45506</v>
          </cell>
        </row>
        <row r="2007">
          <cell r="B2007" t="str">
            <v>В-24580/КЛ.Транш - 1_В-21082023/Ц</v>
          </cell>
          <cell r="C2007">
            <v>110795.66</v>
          </cell>
          <cell r="D2007">
            <v>45498</v>
          </cell>
        </row>
        <row r="2008">
          <cell r="B2008" t="str">
            <v>В-14216/КЛ.Транш - 3_В-21082023/Ц</v>
          </cell>
          <cell r="C2008">
            <v>48585.51</v>
          </cell>
          <cell r="D2008">
            <v>45498</v>
          </cell>
          <cell r="E2008">
            <v>45504</v>
          </cell>
        </row>
        <row r="2009">
          <cell r="B2009" t="str">
            <v>В-19548/КЛ.Транш - 1_В-21082023/Ц</v>
          </cell>
          <cell r="C2009">
            <v>257515.12</v>
          </cell>
          <cell r="D2009">
            <v>45499</v>
          </cell>
          <cell r="E2009">
            <v>45499</v>
          </cell>
        </row>
        <row r="2010">
          <cell r="B2010" t="str">
            <v>В-27646/КЛ.Транш - 1_В-21082023/Ц</v>
          </cell>
          <cell r="C2010">
            <v>295539.98</v>
          </cell>
          <cell r="D2010">
            <v>45501</v>
          </cell>
          <cell r="E2010">
            <v>45510</v>
          </cell>
        </row>
        <row r="2011">
          <cell r="B2011" t="str">
            <v>В-18414/КЛ.Транш - 1_В-21082023/Ц</v>
          </cell>
          <cell r="C2011">
            <v>232880.39</v>
          </cell>
          <cell r="D2011">
            <v>45501</v>
          </cell>
          <cell r="E2011">
            <v>45518</v>
          </cell>
        </row>
        <row r="2012">
          <cell r="B2012" t="str">
            <v>В-17916/КЛ.Транш - 1_В-21082023/Ц</v>
          </cell>
          <cell r="C2012">
            <v>88129.79</v>
          </cell>
          <cell r="D2012">
            <v>45501</v>
          </cell>
          <cell r="E2012">
            <v>45502</v>
          </cell>
        </row>
        <row r="2013">
          <cell r="B2013" t="str">
            <v>В-08454/КЛ.Транш - 1_В-21082023/Ц</v>
          </cell>
          <cell r="C2013">
            <v>5995.21</v>
          </cell>
          <cell r="D2013">
            <v>45502</v>
          </cell>
          <cell r="E2013">
            <v>45506</v>
          </cell>
        </row>
        <row r="2014">
          <cell r="B2014" t="str">
            <v>В-22205/КЛ.Транш - 1_В-21082023/Ц</v>
          </cell>
          <cell r="C2014">
            <v>191168.16</v>
          </cell>
          <cell r="D2014">
            <v>45507</v>
          </cell>
          <cell r="E2014">
            <v>45507</v>
          </cell>
        </row>
        <row r="2015">
          <cell r="B2015" t="str">
            <v>В-28906/КЛ.Транш - 1_В-21082023/Ц</v>
          </cell>
          <cell r="C2015">
            <v>91692.34</v>
          </cell>
          <cell r="D2015">
            <v>45507</v>
          </cell>
          <cell r="E2015">
            <v>45510</v>
          </cell>
        </row>
        <row r="2016">
          <cell r="B2016" t="str">
            <v>В-19286/КЛ.Транш - 1_В-21082023/Ц</v>
          </cell>
          <cell r="C2016">
            <v>246429.46</v>
          </cell>
          <cell r="D2016">
            <v>45510</v>
          </cell>
        </row>
        <row r="2017">
          <cell r="B2017" t="str">
            <v>В-16455/КЛ.Транш - 1_В-21082023/Ц</v>
          </cell>
          <cell r="C2017">
            <v>102556.65</v>
          </cell>
          <cell r="D2017">
            <v>45510</v>
          </cell>
          <cell r="E2017">
            <v>45513</v>
          </cell>
        </row>
        <row r="2018">
          <cell r="B2018" t="str">
            <v>В-20035/КЛ.Транш - 1_В-21082023/Ц</v>
          </cell>
          <cell r="C2018">
            <v>5053.74</v>
          </cell>
          <cell r="D2018">
            <v>45510</v>
          </cell>
          <cell r="E2018">
            <v>45512</v>
          </cell>
        </row>
        <row r="2019">
          <cell r="B2019" t="str">
            <v>В-25627/КЛ.Транш - 1_В-21082023/Ц</v>
          </cell>
          <cell r="C2019">
            <v>575970.86</v>
          </cell>
          <cell r="D2019">
            <v>45511</v>
          </cell>
          <cell r="E2019">
            <v>45513</v>
          </cell>
        </row>
        <row r="2020">
          <cell r="B2020" t="str">
            <v>В-02064/КЛ.Транш - 4_В-21082023/Ц</v>
          </cell>
          <cell r="C2020">
            <v>44250.31</v>
          </cell>
          <cell r="D2020">
            <v>45511</v>
          </cell>
          <cell r="E2020">
            <v>45511</v>
          </cell>
        </row>
        <row r="2021">
          <cell r="B2021" t="str">
            <v>В-12066/КЛ.Транш - 1_В-21082023/Ц</v>
          </cell>
          <cell r="C2021">
            <v>29086.98</v>
          </cell>
          <cell r="D2021">
            <v>45512</v>
          </cell>
        </row>
        <row r="2022">
          <cell r="B2022" t="str">
            <v>В-12067/КЛ.Транш - 1_В-21082023/Ц</v>
          </cell>
          <cell r="C2022">
            <v>27637.18</v>
          </cell>
          <cell r="D2022">
            <v>45512</v>
          </cell>
        </row>
        <row r="2023">
          <cell r="B2023" t="str">
            <v>В-12098/КЛ.Транш - 2_В-21082023/Ц</v>
          </cell>
          <cell r="C2023">
            <v>66231.31</v>
          </cell>
          <cell r="D2023">
            <v>45513</v>
          </cell>
          <cell r="E2023">
            <v>45513</v>
          </cell>
        </row>
        <row r="2024">
          <cell r="B2024" t="str">
            <v>В-22935/КЛ.Транш - 2_В-21082023/Ц</v>
          </cell>
          <cell r="C2024">
            <v>58200.9</v>
          </cell>
          <cell r="D2024">
            <v>45514</v>
          </cell>
          <cell r="E2024">
            <v>45524</v>
          </cell>
        </row>
        <row r="2025">
          <cell r="B2025" t="str">
            <v>В-25807/АЗ_В-21082023/Ц</v>
          </cell>
          <cell r="C2025">
            <v>237634.06</v>
          </cell>
          <cell r="D2025">
            <v>45515</v>
          </cell>
        </row>
        <row r="2026">
          <cell r="B2026" t="str">
            <v>В-25810/АЗ_В-21082023/Ц</v>
          </cell>
          <cell r="C2026">
            <v>290711.74</v>
          </cell>
          <cell r="D2026">
            <v>45515</v>
          </cell>
        </row>
        <row r="2027">
          <cell r="B2027" t="str">
            <v>В-16057/КЛ.Транш - 6_В-21082023/Ц</v>
          </cell>
          <cell r="C2027">
            <v>148642.13</v>
          </cell>
          <cell r="D2027">
            <v>45516</v>
          </cell>
          <cell r="E2027">
            <v>45524</v>
          </cell>
        </row>
        <row r="2028">
          <cell r="B2028" t="str">
            <v>В-01039/АЗ_В-21082023/Ц</v>
          </cell>
          <cell r="C2028">
            <v>217448.65</v>
          </cell>
          <cell r="D2028">
            <v>45517</v>
          </cell>
        </row>
        <row r="2029">
          <cell r="B2029" t="str">
            <v>В-01038/АЗ_В-21082023/Ц</v>
          </cell>
          <cell r="C2029">
            <v>208559.4</v>
          </cell>
          <cell r="D2029">
            <v>45517</v>
          </cell>
          <cell r="E2029">
            <v>45520</v>
          </cell>
        </row>
        <row r="2030">
          <cell r="B2030" t="str">
            <v>В-10474/КЛ.Транш - 4_В-21082023/Ц</v>
          </cell>
          <cell r="C2030">
            <v>110632.96000000001</v>
          </cell>
          <cell r="D2030">
            <v>45517</v>
          </cell>
          <cell r="E2030">
            <v>45517</v>
          </cell>
        </row>
        <row r="2031">
          <cell r="B2031" t="str">
            <v>В-25764/КЛ.Транш - 1_В-21082023/Ц</v>
          </cell>
          <cell r="C2031">
            <v>219628.41</v>
          </cell>
          <cell r="D2031">
            <v>45519</v>
          </cell>
          <cell r="E2031">
            <v>45524</v>
          </cell>
        </row>
        <row r="2032">
          <cell r="B2032" t="str">
            <v>В-11396/КЛ.Транш - 2_В-21082023/Ц</v>
          </cell>
          <cell r="C2032">
            <v>159779.82</v>
          </cell>
          <cell r="D2032">
            <v>45520</v>
          </cell>
          <cell r="E2032">
            <v>45524</v>
          </cell>
        </row>
        <row r="2033">
          <cell r="B2033" t="str">
            <v>В-21306/КЛ.Транш - 1_В-21082023/Ц</v>
          </cell>
          <cell r="C2033">
            <v>95227.56</v>
          </cell>
          <cell r="D2033">
            <v>45520</v>
          </cell>
          <cell r="E2033">
            <v>45522</v>
          </cell>
        </row>
        <row r="2034">
          <cell r="B2034" t="str">
            <v>В-28358/КЛ.Транш - 1_В-21082023/Ц</v>
          </cell>
          <cell r="C2034">
            <v>666477.66</v>
          </cell>
          <cell r="D2034">
            <v>45522</v>
          </cell>
        </row>
        <row r="2035">
          <cell r="B2035" t="str">
            <v>В-21568/КЛ.Транш - 1_В-21082023/Ц</v>
          </cell>
          <cell r="C2035">
            <v>26907.33</v>
          </cell>
          <cell r="D2035">
            <v>45524</v>
          </cell>
        </row>
        <row r="2036">
          <cell r="B2036" t="str">
            <v>В-28358/КЛ.Транш - 1_В-21082023/Ц</v>
          </cell>
          <cell r="C2036">
            <v>666477.66</v>
          </cell>
          <cell r="D2036">
            <v>45521</v>
          </cell>
        </row>
        <row r="2037">
          <cell r="B2037" t="str">
            <v>В-25807/АЗ_В-21082023/Ц</v>
          </cell>
          <cell r="C2037">
            <v>237634.06</v>
          </cell>
          <cell r="D2037">
            <v>45514</v>
          </cell>
        </row>
        <row r="2038">
          <cell r="B2038" t="str">
            <v>В-16067/КЛ.Транш - 1_В-21082023/Ц</v>
          </cell>
          <cell r="C2038">
            <v>59055.08</v>
          </cell>
          <cell r="D2038">
            <v>45487</v>
          </cell>
        </row>
      </sheetData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AO27"/>
  <sheetViews>
    <sheetView tabSelected="1" topLeftCell="A7" workbookViewId="0">
      <selection activeCell="B20" sqref="B20"/>
    </sheetView>
  </sheetViews>
  <sheetFormatPr defaultRowHeight="15" outlineLevelCol="1" x14ac:dyDescent="0.25"/>
  <cols>
    <col min="1" max="1" width="53.28515625" style="29" bestFit="1" customWidth="1"/>
    <col min="2" max="2" width="76.28515625" style="29" bestFit="1" customWidth="1"/>
    <col min="3" max="3" width="9.140625" style="29"/>
    <col min="4" max="4" width="14.85546875" style="29" bestFit="1" customWidth="1"/>
    <col min="5" max="5" width="12.140625" style="29" bestFit="1" customWidth="1"/>
    <col min="6" max="6" width="11.42578125" style="29" bestFit="1" customWidth="1"/>
    <col min="7" max="9" width="9.140625" style="29"/>
    <col min="10" max="10" width="18.140625" style="29" customWidth="1"/>
    <col min="11" max="11" width="12" style="29" bestFit="1" customWidth="1"/>
    <col min="12" max="12" width="29.140625" style="29" bestFit="1" customWidth="1"/>
    <col min="13" max="13" width="10.85546875" style="29" customWidth="1"/>
    <col min="14" max="14" width="9.7109375" style="29" customWidth="1"/>
    <col min="15" max="15" width="9.140625" style="29"/>
    <col min="16" max="16" width="13.7109375" style="29" customWidth="1"/>
    <col min="17" max="17" width="12.7109375" style="29" customWidth="1"/>
    <col min="18" max="26" width="9.140625" style="29"/>
    <col min="27" max="30" width="9.140625" style="29" hidden="1" customWidth="1" outlineLevel="1"/>
    <col min="31" max="31" width="9.140625" style="29" collapsed="1"/>
    <col min="32" max="35" width="9.140625" style="29" hidden="1" customWidth="1" outlineLevel="1"/>
    <col min="36" max="36" width="9.140625" style="29" collapsed="1"/>
    <col min="37" max="40" width="0" style="29" hidden="1" customWidth="1" outlineLevel="1"/>
    <col min="41" max="41" width="9.140625" style="29" collapsed="1"/>
    <col min="42" max="16384" width="9.140625" style="29"/>
  </cols>
  <sheetData>
    <row r="2" spans="1:40" x14ac:dyDescent="0.25">
      <c r="A2" s="29" t="s">
        <v>285</v>
      </c>
    </row>
    <row r="4" spans="1:40" x14ac:dyDescent="0.25">
      <c r="A4" s="29" t="s">
        <v>3</v>
      </c>
      <c r="B4" s="29" t="s">
        <v>1789</v>
      </c>
    </row>
    <row r="5" spans="1:40" x14ac:dyDescent="0.25">
      <c r="B5" s="29" t="s">
        <v>287</v>
      </c>
    </row>
    <row r="6" spans="1:40" x14ac:dyDescent="0.25">
      <c r="B6" s="29" t="s">
        <v>288</v>
      </c>
    </row>
    <row r="7" spans="1:40" x14ac:dyDescent="0.25">
      <c r="B7" s="29" t="s">
        <v>289</v>
      </c>
    </row>
    <row r="8" spans="1:40" x14ac:dyDescent="0.25">
      <c r="A8" s="29" t="s">
        <v>4</v>
      </c>
      <c r="B8" s="29" t="s">
        <v>290</v>
      </c>
    </row>
    <row r="9" spans="1:40" x14ac:dyDescent="0.25">
      <c r="B9" s="29" t="s">
        <v>291</v>
      </c>
    </row>
    <row r="10" spans="1:40" x14ac:dyDescent="0.25">
      <c r="B10" s="29" t="s">
        <v>292</v>
      </c>
    </row>
    <row r="11" spans="1:40" x14ac:dyDescent="0.25">
      <c r="B11" s="29" t="s">
        <v>293</v>
      </c>
    </row>
    <row r="12" spans="1:40" x14ac:dyDescent="0.25">
      <c r="B12" s="29" t="s">
        <v>294</v>
      </c>
    </row>
    <row r="14" spans="1:40" ht="15" customHeight="1" x14ac:dyDescent="0.25">
      <c r="A14" s="29" t="s">
        <v>278</v>
      </c>
      <c r="B14" s="29" t="s">
        <v>295</v>
      </c>
      <c r="C14" s="29" t="s">
        <v>296</v>
      </c>
      <c r="D14" s="29" t="s">
        <v>297</v>
      </c>
      <c r="E14" s="29" t="s">
        <v>298</v>
      </c>
      <c r="F14" s="29" t="s">
        <v>299</v>
      </c>
      <c r="K14" s="29" t="s">
        <v>1782</v>
      </c>
      <c r="L14" s="29" t="s">
        <v>1783</v>
      </c>
      <c r="M14" s="29" t="s">
        <v>1784</v>
      </c>
      <c r="N14" s="29" t="s">
        <v>1785</v>
      </c>
      <c r="O14" s="29" t="s">
        <v>1786</v>
      </c>
      <c r="P14" s="29" t="s">
        <v>1787</v>
      </c>
      <c r="Q14" s="29" t="s">
        <v>1788</v>
      </c>
    </row>
    <row r="15" spans="1:40" x14ac:dyDescent="0.25">
      <c r="A15" s="29" t="s">
        <v>99</v>
      </c>
      <c r="B15" s="29" t="s">
        <v>100</v>
      </c>
      <c r="C15" s="29">
        <v>2</v>
      </c>
      <c r="D15" s="30">
        <v>45524</v>
      </c>
      <c r="E15" s="29">
        <v>14894.95</v>
      </c>
      <c r="F15" s="29">
        <v>26907.33</v>
      </c>
      <c r="G15" s="29" t="str">
        <f>IFERROR(IF(VLOOKUP(LEFT(B15,10),[1]Лист1!$A:$A,1,0)&lt;&gt;"","КО"),"ОСК")</f>
        <v>ОСК</v>
      </c>
      <c r="H15" s="29">
        <f t="array" ref="H15">ROW(INDEX([4]База_ОАПО!$B:$B,MAX(IF([4]База_ОАПО!$B:$B=B15,ROW([4]База_ОАПО!$B:$B)))))</f>
        <v>2035</v>
      </c>
      <c r="I15" s="29" t="str">
        <f>IF(AND(INDEX([4]База_ОАПО!$B:$E,H15,4)="",INDEX([4]База_ОАПО!$B:$G,H15,6)=""),"","Добавить")</f>
        <v/>
      </c>
      <c r="K15" s="29">
        <f>IFERROR(VLOOKUP(A15,[2]DataBase!$A:$B,2,0),"")</f>
        <v>79197535350</v>
      </c>
      <c r="L15" s="29" t="str">
        <f>IFERROR(IF(AND(VLOOKUP(A15,'[3]email(заем)'!A:D,3,0)="",VLOOKUP(A15,'[3]email(заем)'!A:D,4,0)=""),"мыла нет",IF(VLOOKUP(A15,'[3]email(заем)'!A:D,3,0)&lt;&gt;"",VLOOKUP(A15,'[3]email(заем)'!A:D,3,0),VLOOKUP(A15,'[3]email(заем)'!A:D,4,0))),"")</f>
        <v>govoryna17_88@mail.ru</v>
      </c>
      <c r="M15" s="29" t="str">
        <f ca="1">IF(OR(C15=1,AND(WEEKDAY(TODAY(),2)=1,C15&lt;4)),1,IF(OR(C15=10,AND(WEEKDAY(TODAY(),2)=1,C15&gt;8,C15&lt;14)),2,IF(OR(C15=30,AND(DAY(TODAY())=DAY(E15),C15&lt;60),AND(WEEKDAY(TODAY(),2)=1,C15&gt;30,C15&lt;34)),3,IF(OR(C15=60,DAY(TODAY())=DAY(E15),AND(WEEKDAY(TODAY(),2)=1,C15&gt;60,C15&lt;64)),4,""))))</f>
        <v/>
      </c>
      <c r="N15" s="29" t="str">
        <f ca="1">IF(M15=1,AA15,IF(M15=2,AB15,IF(M15=3,AC15,IF(M15=4,AD15,""))))</f>
        <v/>
      </c>
      <c r="O15" s="29" t="str">
        <f ca="1">_xlfn.IFNA(IF(VLOOKUP(MID(K15,2,3)+0,мегафон!$A$1:$A$30,1,0)&lt;&gt;"",""),IF(M15=1,AF15,IF(M15=2,AG15,IF(M15=3,AH15,IF(M15=4,AI15,"")))))</f>
        <v/>
      </c>
      <c r="P15" s="29" t="str">
        <f ca="1">IF(M15=1,"Ежемесячный платеж просрочен!",IF(M15=2,"Просрочка платежа достигла 10 дней!",IF(M15=3,"Просрочено уже 2 платежа подряд!",IF(M15=4,"Просрочено уже 3 платежа подряд!",""))))</f>
        <v/>
      </c>
      <c r="Q15" s="29" t="str">
        <f ca="1">TRIM(IF(M15=1,RIGHT(AK15,LEN(AK15)-FIND("!",AK15)),IF(M15=2,RIGHT(AL15,LEN(AL15)-FIND("!",AL15)),IF(M15=3,RIGHT(AM15,LEN(AM15)-FIND("!",AM15)),IF(M15=4,RIGHT(AN15,LEN(AN15)-FIND("!",AN15)),"")))))</f>
        <v/>
      </c>
      <c r="AA15" s="29" t="str">
        <f ca="1">IF(M15=1,"*Ежемесячный платеж просрочен!*"&amp;"%0A%0A"&amp;RIGHT(A15,LEN(A15)-SEARCH(" ",A15))&amp;", _x000D_
здравствуйте!"&amp;"%0A"&amp;TEXT(D15,"ДД.ММ.ГГГГ")&amp;" , наступила дата очередного ежемесячного платежа по договору № "&amp;B15&amp;", платеж не состоялся."&amp;"%0A"&amp;"Сегодня("&amp;TEXT(TODAY(),"ДД.ММ.ГГГГ")&amp;") , срок просрочки по Договору № "&amp;B15&amp;" составил "&amp;C15&amp;" день/дня, сумма просроченной задолженности"&amp;TEXT(E15," # ##0,00")&amp;" руб. (*без учета пени*)."&amp;"%0A"&amp;"Просим погасить просроченную задолженность в ближайшее время."&amp;"%0A"&amp;"Подробности в Вашем личном кабинете https://www.mfovzaimno.ru/login."&amp;"%0A%0A"&amp;"ООО КА «АЭК»","")</f>
        <v/>
      </c>
      <c r="AB15" s="29" t="str">
        <f ca="1">IF(M15=2,"*Просрочка платежа достигла 10 дней*"&amp;"%0A%0A"&amp;RIGHT(A15,LEN(A15)-SEARCH(" ",A15))&amp;", _x000D_
здравствуйте!"&amp;"%0A"&amp;"Сегодня("&amp;TEXT(TODAY(),"ДД.ММ.ГГГГ")&amp;") , срок просрочки по Договору № "&amp;B15&amp;" составил "&amp;C15&amp;" день/дня, сумма просроченной задолженности"&amp;TEXT(E15," # ##0,00")&amp;" руб.  (*без учета пени*)."&amp;"%0A"&amp;"Убедительная просьба погасить просроченную задолженность в кратчайшие сроки!"&amp;"%0A"&amp;"Подробности в Вашем личном кабинете https://www.mfovzaimno.ru/login."&amp;"%0A%0A"&amp;"ООО КА «АЭК»","")</f>
        <v/>
      </c>
      <c r="AC15" s="29" t="str">
        <f ca="1">IF(M15=3,"*Просрочено уже 2 платежа подряд!*"&amp;"%0A%0A"&amp;RIGHT(A15,LEN(A15)-SEARCH(" ",A15))&amp;", 
добрый день!"&amp;"%0A"&amp;"Сегодня ("&amp;TEXT(TODAY(),"ДД.ММ.ГГГГ")&amp;"), срок просрочки по Договору № "&amp;B15&amp;" составил "&amp;C15&amp;" день/дня, сумма просроченной задолженности"&amp;TEXT(E15," # ##0,00")&amp;" руб.  (*без учета пени*)."&amp;"%0A"&amp;"*Требуем погасить просроченную задолженность не позднее "&amp;TEXT(TODAY()+3,"ДД.ММ.ГГГГ")&amp;"!*"&amp;"%0A"&amp;"Подробности в Вашем личном кабинете https://www.mfovzaimno.ru/login."&amp;"%0A%0A"&amp;"ООО КА «АЭК»","")</f>
        <v/>
      </c>
      <c r="AD15" s="29" t="str">
        <f ca="1">IF(M15=4,"*Просрочено уже 3 платежа подряд!*"&amp;"%0A%0A"&amp;RIGHT(A15,LEN(A15)-SEARCH(" ",A15))&amp;", уведомляем Вас!"&amp;"%0A"&amp;"Сегодня ("&amp;TEXT(TODAY(),"ДД.ММ.ГГГГ")&amp;"), срок просрочки по Договору № "&amp;B15&amp;" составил "&amp;C15&amp;" день/дня, сумма просроченной задолженности"&amp;TEXT(E15," # ##0,00")&amp;" руб.  (*без учета пени*)."&amp;"%0A"&amp;"*Во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"&amp;TEXT(TODAY()+3,"ДД.ММ.ГГГГ")&amp;"!*"&amp;"%0A"&amp;"Подробности в Вашем личном кабинете https://www.mfovzaimno.ru/login."&amp;"%0A%0A"&amp;"ООО КА «АЭК»","")</f>
        <v/>
      </c>
      <c r="AF15" s="29" t="str">
        <f ca="1">IF(M15=1,"Ежемесячный платеж просрочен! "&amp;RIGHT(A15,LEN(A15)-SEARCH(" ",A15))&amp;", здравствуйте! "&amp;TEXT(D15,"ДД.ММ.ГГГГ")&amp;", наступила дата очередного ежемесячного платежа по Договору "&amp;B15&amp;", платеж не состоялся. Сегодня("&amp;TEXT(TODAY(),"ДД.ММ.ГГГГ")&amp;"), срок просрочки по Договору составил "&amp;C15&amp;" день/дня, сумма просроченной задолженности"&amp;TEXT(E15," # ##0,00")&amp;" руб. (без учета пени). Просим погасить просроченную задолженность в ближайшее время. Подробности в Вашем личном кабинете https://www.mfovzaimno.ru/login."&amp;" ООО КА «АЭК».","")</f>
        <v/>
      </c>
      <c r="AG15" s="29" t="str">
        <f ca="1">IF(M15=2,"Просрочка платежа достигла 10 дней! "&amp;RIGHT(A15,LEN(A15)-SEARCH(" ",A15))&amp;", здравствуйте! Сегодня("&amp;TEXT(TODAY(),"ДД.ММ.ГГГГ")&amp;"), срок просрочки по Договору "&amp;B15&amp;" составил "&amp;C15&amp;" день/дня, сумма просроченной задолженности"&amp;TEXT(E15," # ##0,00")&amp;" руб.  (без учета пени). Убедительная просьба погасить просроченную задолженность в кратчайшие сроки! Подробности в Вашем личном кабинете https://www.mfovzaimno.ru/login. ООО КА «АЭК»","")</f>
        <v/>
      </c>
      <c r="AH15" s="29" t="str">
        <f ca="1">IF(L15=4,"Просрочено уже 3 платежа подряд! "&amp;RIGHT(XFD15,LEN(XFD15)-SEARCH(" ",XFD15))&amp;", уведомляем Вас! Сегодня ("&amp;TEXT(TODAY(),"ДД.ММ.ГГГГ")&amp;"), срок просрочки по Договору "&amp;A15&amp;" составил "&amp;B15&amp;" день/дня, сумма просроченной задолженности"&amp;TEXT(D15," # ##0,00")&amp;" руб.  (без учета пени). 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"&amp;TEXT(TODAY()+3,"ДД.ММ.ГГГГ")&amp;"! Подробности в Вашем личном кабинете https://www.mfovzaimno.ru/login. ООО КА «АЭК»","")</f>
        <v/>
      </c>
      <c r="AI15" s="29" t="str">
        <f ca="1">IF(N15=3,"Просрочено уже 2 платежа подряд! "&amp;RIGHT(B15,LEN(B15)-SEARCH(" ",B15))&amp;", добрый день! Сегодня ("&amp;TEXT(TODAY(),"ДД.ММ.ГГГГ")&amp;"), срок просрочки по Договору "&amp;C15&amp;" составил "&amp;D15&amp;" день/дня, сумма просроченной задолженности"&amp;TEXT(F15," # ##0,00")&amp;" руб.  (без учета пени). Требуем погасить просроченную задолженность не позднее "&amp;TEXT(TODAY()+3,"ДД.ММ.ГГГГ")&amp;"! Подробности в Вашем личном кабинете https://www.mfovzaimno.ru/login. ООО КА «АЭК»","")</f>
        <v/>
      </c>
      <c r="AK15" s="29" t="str">
        <f ca="1">IF(M15=1,"Ежемесячный платеж просрочен! "&amp;RIGHT(A15,LEN(A15)-SEARCH(" ",A15))&amp;", здравствуйте! &lt;br&gt;"&amp;TEXT(D15,"ДД.ММ.ГГГГ")&amp;", наступила дата очередного ежемесячного платежа по договору "&amp;B15&amp;", платеж не состоялся. &lt;strong&gt;Сегодня("&amp;TEXT(TODAY(),"ДД.ММ.ГГГГ")&amp;"), срок просрочки по Договору № "&amp;B15&amp;" составил "&amp;C15&amp;" день/дня, сумма просроченной задолженности"&amp;TEXT(E15," # ##0,00")&amp;" руб. (без учета пени). &lt;/strong&gt;&lt;br&gt;Просим погасить просроченную задолженность в ближайшее время. &lt;br&gt;Подробности в Вашем личном кабинете https://www.mfovzaimno.ru/login."&amp;xforms!$A$1,"")</f>
        <v/>
      </c>
      <c r="AL15" s="29" t="str">
        <f ca="1">IF(M15=2,"Просрочка платежа достигла 10 дней! "&amp;RIGHT(A15,LEN(A15)-SEARCH(" ",A15))&amp;", здравствуйте! &lt;br&gt;&lt;strong&gt;Сегодня("&amp;TEXT(TODAY(),"ДД.ММ.ГГГГ")&amp;"), срок просрочки по Договору "&amp;B15&amp;" составил "&amp;C15&amp;" день/дня, сумма просроченной задолженности"&amp;TEXT(E15," # ##0,00")&amp;" руб.  (без учета пени). &lt;/strong&gt;&lt;br&gt;Убедительная просьба погасить просроченную задолженность в кратчайшие сроки! Подробности в Вашем личном кабинете https://www.mfovzaimno.ru/login."&amp;xforms!$A$1,"")</f>
        <v/>
      </c>
      <c r="AM15" s="29" t="str">
        <f ca="1">IF(M15=3,"Просрочено уже 2 платежа подряд! "&amp;RIGHT(A15,LEN(A15)-SEARCH(" ",A15))&amp;", добрый день! &lt;br&gt;&lt;strong&gt;Сегодня ("&amp;TEXT(TODAY(),"ДД.ММ.ГГГГ")&amp;"), срок просрочки по Договору "&amp;B15&amp;" составил "&amp;C15&amp;" день/дня, сумма просроченной задолженности"&amp;TEXT(E15," # ##0,00")&amp;" руб.  (без учета пени). Требуем погасить просроченную задолженность не позднее "&amp;TEXT(TODAY()+3,"ДД.ММ.ГГГГ")&amp;"!"&amp;"&lt;br&gt;&lt;/strong&gt; Подробности в Вашем личном кабинете https://www.mfovzaimno.ru/login."&amp;xforms!$A$1,"")</f>
        <v/>
      </c>
      <c r="AN15" s="29" t="str">
        <f ca="1">IF(M15=4,"Просрочено уже 3 платежа подряд! "&amp;RIGHT(A15,LEN(A15)-SEARCH(" ",A15))&amp;", уведомляем Вас! &lt;br&gt;&lt;strong&gt;Сегодня ("&amp;TEXT(TODAY(),"ДД.ММ.ГГГГ")&amp;"), срок просрочки по Договору "&amp;B15&amp;" составил "&amp;C15&amp;" день/дня, сумма просроченной задолженности"&amp;TEXT(E15," # ##0,00")&amp;" руб.  (без учета пени). 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"&amp;TEXT(TODAY()+3,"ДД.ММ.ГГГГ")&amp;"!&lt;br&gt;&lt;/strong&gt; Подробности в Вашем личном кабинете https://www.mfovzaimno.ru/login."&amp;xforms!$A$1,"")</f>
        <v/>
      </c>
    </row>
    <row r="16" spans="1:40" x14ac:dyDescent="0.25">
      <c r="A16" s="29" t="s">
        <v>76</v>
      </c>
      <c r="B16" s="29" t="s">
        <v>77</v>
      </c>
      <c r="C16" s="29">
        <v>5</v>
      </c>
      <c r="D16" s="30">
        <v>45521</v>
      </c>
      <c r="E16" s="29">
        <v>53612.15</v>
      </c>
      <c r="F16" s="29">
        <v>666477.66</v>
      </c>
      <c r="G16" s="29" t="str">
        <f>IFERROR(IF(VLOOKUP(LEFT(B16,10),[1]Лист1!$A:$A,1,0)&lt;&gt;"","КО"),"ОСК")</f>
        <v>ОСК</v>
      </c>
      <c r="H16" s="29">
        <f t="array" ref="H16">ROW(INDEX([4]База_ОАПО!$B:$B,MAX(IF([4]База_ОАПО!$B:$B=B16,ROW([4]База_ОАПО!$B:$B)))))</f>
        <v>2036</v>
      </c>
      <c r="I16" s="29" t="s">
        <v>1790</v>
      </c>
      <c r="K16" s="29">
        <f>IFERROR(VLOOKUP(A16,[2]DataBase!$A:$B,2,0),"")</f>
        <v>79035900820</v>
      </c>
      <c r="L16" s="29" t="str">
        <f>IFERROR(IF(AND(VLOOKUP(A16,'[3]email(заем)'!A:D,3,0)="",VLOOKUP(A16,'[3]email(заем)'!A:D,4,0)=""),"мыла нет",IF(VLOOKUP(A16,'[3]email(заем)'!A:D,3,0)&lt;&gt;"",VLOOKUP(A16,'[3]email(заем)'!A:D,3,0),VLOOKUP(A16,'[3]email(заем)'!A:D,4,0))),"")</f>
        <v>gevorg79@bk.ru</v>
      </c>
      <c r="M16" s="29" t="str">
        <f t="shared" ref="M16:M27" ca="1" si="0">IF(OR(C16=1,AND(WEEKDAY(TODAY(),2)=1,C16&lt;4)),1,IF(OR(C16=10,AND(WEEKDAY(TODAY(),2)=1,C16&gt;8,C16&lt;14)),2,IF(OR(C16=30,AND(DAY(TODAY())=DAY(E16),C16&lt;60),AND(WEEKDAY(TODAY(),2)=1,C16&gt;30,C16&lt;34)),3,IF(OR(C16=60,DAY(TODAY())=DAY(E16),AND(WEEKDAY(TODAY(),2)=1,C16&gt;60,C16&lt;64)),4,""))))</f>
        <v/>
      </c>
      <c r="N16" s="29" t="str">
        <f t="shared" ref="N16:N27" ca="1" si="1">IF(M16=1,AA16,IF(M16=2,AB16,IF(M16=3,AC16,IF(M16=4,AD16,""))))</f>
        <v/>
      </c>
      <c r="O16" s="29" t="str">
        <f ca="1">_xlfn.IFNA(IF(VLOOKUP(MID(K16,2,3)+0,мегафон!$A$1:$A$30,1,0)&lt;&gt;"",""),IF(M16=1,AF16,IF(M16=2,AG16,IF(M16=3,AH16,IF(M16=4,AI16,"")))))</f>
        <v/>
      </c>
      <c r="P16" s="29" t="str">
        <f t="shared" ref="P16:P27" ca="1" si="2">IF(M16=1,"Ежемесячный платеж просрочен!",IF(M16=2,"Просрочка платежа достигла 10 дней!",IF(M16=3,"Просрочено уже 2 платежа подряд!",IF(M16=4,"Просрочено уже 3 платежа подряд!",""))))</f>
        <v/>
      </c>
      <c r="Q16" s="29" t="str">
        <f t="shared" ref="Q16:Q27" ca="1" si="3">TRIM(IF(M16=1,RIGHT(AK16,LEN(AK16)-FIND("!",AK16)),IF(M16=2,RIGHT(AL16,LEN(AL16)-FIND("!",AL16)),IF(M16=3,RIGHT(AM16,LEN(AM16)-FIND("!",AM16)),IF(M16=4,RIGHT(AN16,LEN(AN16)-FIND("!",AN16)),"")))))</f>
        <v/>
      </c>
      <c r="AA16" s="29" t="str">
        <f t="shared" ref="AA16:AA27" ca="1" si="4">IF(M16=1,"*Ежемесячный платеж просрочен!*"&amp;"%0A%0A"&amp;RIGHT(A16,LEN(A16)-SEARCH(" ",A16))&amp;", _x000D_
здравствуйте!"&amp;"%0A"&amp;TEXT(D16,"ДД.ММ.ГГГГ")&amp;" , наступила дата очередного ежемесячного платежа по договору № "&amp;B16&amp;", платеж не состоялся."&amp;"%0A"&amp;"Сегодня("&amp;TEXT(TODAY(),"ДД.ММ.ГГГГ")&amp;") , срок просрочки по Договору № "&amp;B16&amp;" составил "&amp;C16&amp;" день/дня, сумма просроченной задолженности"&amp;TEXT(E16," # ##0,00")&amp;" руб. (*без учета пени*)."&amp;"%0A"&amp;"Просим погасить просроченную задолженность в ближайшее время."&amp;"%0A"&amp;"Подробности в Вашем личном кабинете https://www.mfovzaimno.ru/login."&amp;"%0A%0A"&amp;"ООО КА «АЭК»","")</f>
        <v/>
      </c>
      <c r="AB16" s="29" t="str">
        <f t="shared" ref="AB16:AB27" ca="1" si="5">IF(M16=2,"*Просрочка платежа достигла 10 дней*"&amp;"%0A%0A"&amp;RIGHT(A16,LEN(A16)-SEARCH(" ",A16))&amp;", _x000D_
здравствуйте!"&amp;"%0A"&amp;"Сегодня("&amp;TEXT(TODAY(),"ДД.ММ.ГГГГ")&amp;") , срок просрочки по Договору № "&amp;B16&amp;" составил "&amp;C16&amp;" день/дня, сумма просроченной задолженности"&amp;TEXT(E16," # ##0,00")&amp;" руб.  (*без учета пени*)."&amp;"%0A"&amp;"Убедительная просьба погасить просроченную задолженность в кратчайшие сроки!"&amp;"%0A"&amp;"Подробности в Вашем личном кабинете https://www.mfovzaimno.ru/login."&amp;"%0A%0A"&amp;"ООО КА «АЭК»","")</f>
        <v/>
      </c>
      <c r="AC16" s="29" t="str">
        <f t="shared" ref="AC16:AC27" ca="1" si="6">IF(M16=3,"*Просрочено уже 2 платежа подряд!*"&amp;"%0A%0A"&amp;RIGHT(A16,LEN(A16)-SEARCH(" ",A16))&amp;", 
добрый день!"&amp;"%0A"&amp;"Сегодня ("&amp;TEXT(TODAY(),"ДД.ММ.ГГГГ")&amp;"), срок просрочки по Договору № "&amp;B16&amp;" составил "&amp;C16&amp;" день/дня, сумма просроченной задолженности"&amp;TEXT(E16," # ##0,00")&amp;" руб.  (*без учета пени*)."&amp;"%0A"&amp;"*Требуем погасить просроченную задолженность не позднее "&amp;TEXT(TODAY()+3,"ДД.ММ.ГГГГ")&amp;"!*"&amp;"%0A"&amp;"Подробности в Вашем личном кабинете https://www.mfovzaimno.ru/login."&amp;"%0A%0A"&amp;"ООО КА «АЭК»","")</f>
        <v/>
      </c>
      <c r="AD16" s="29" t="str">
        <f t="shared" ref="AD16:AD27" ca="1" si="7">IF(M16=4,"*Просрочено уже 3 платежа подряд!*"&amp;"%0A%0A"&amp;RIGHT(A16,LEN(A16)-SEARCH(" ",A16))&amp;", уведомляем Вас!"&amp;"%0A"&amp;"Сегодня ("&amp;TEXT(TODAY(),"ДД.ММ.ГГГГ")&amp;"), срок просрочки по Договору № "&amp;B16&amp;" составил "&amp;C16&amp;" день/дня, сумма просроченной задолженности"&amp;TEXT(E16," # ##0,00")&amp;" руб.  (*без учета пени*)."&amp;"%0A"&amp;"*Во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"&amp;TEXT(TODAY()+3,"ДД.ММ.ГГГГ")&amp;"!*"&amp;"%0A"&amp;"Подробности в Вашем личном кабинете https://www.mfovzaimno.ru/login."&amp;"%0A%0A"&amp;"ООО КА «АЭК»","")</f>
        <v/>
      </c>
      <c r="AF16" s="29" t="str">
        <f t="shared" ref="AF16:AF27" ca="1" si="8">IF(M16=1,"Ежемесячный платеж просрочен! "&amp;RIGHT(A16,LEN(A16)-SEARCH(" ",A16))&amp;", здравствуйте! "&amp;TEXT(D16,"ДД.ММ.ГГГГ")&amp;", наступила дата очередного ежемесячного платежа по Договору "&amp;B16&amp;", платеж не состоялся. Сегодня("&amp;TEXT(TODAY(),"ДД.ММ.ГГГГ")&amp;"), срок просрочки по Договору составил "&amp;C16&amp;" день/дня, сумма просроченной задолженности"&amp;TEXT(E16," # ##0,00")&amp;" руб. (без учета пени). Просим погасить просроченную задолженность в ближайшее время. Подробности в Вашем личном кабинете https://www.mfovzaimno.ru/login."&amp;" ООО КА «АЭК».","")</f>
        <v/>
      </c>
      <c r="AG16" s="29" t="str">
        <f t="shared" ref="AG16:AG27" ca="1" si="9">IF(M16=2,"Просрочка платежа достигла 10 дней! "&amp;RIGHT(A16,LEN(A16)-SEARCH(" ",A16))&amp;", здравствуйте! Сегодня("&amp;TEXT(TODAY(),"ДД.ММ.ГГГГ")&amp;"), срок просрочки по Договору "&amp;B16&amp;" составил "&amp;C16&amp;" день/дня, сумма просроченной задолженности"&amp;TEXT(E16," # ##0,00")&amp;" руб.  (без учета пени). Убедительная просьба погасить просроченную задолженность в кратчайшие сроки! Подробности в Вашем личном кабинете https://www.mfovzaimno.ru/login. ООО КА «АЭК»","")</f>
        <v/>
      </c>
      <c r="AH16" s="29" t="str">
        <f t="shared" ref="AH16:AH27" ca="1" si="10">IF(L16=4,"Просрочено уже 3 платежа подряд! "&amp;RIGHT(XFD16,LEN(XFD16)-SEARCH(" ",XFD16))&amp;", уведомляем Вас! Сегодня ("&amp;TEXT(TODAY(),"ДД.ММ.ГГГГ")&amp;"), срок просрочки по Договору "&amp;A16&amp;" составил "&amp;B16&amp;" день/дня, сумма просроченной задолженности"&amp;TEXT(D16," # ##0,00")&amp;" руб.  (без учета пени). 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"&amp;TEXT(TODAY()+3,"ДД.ММ.ГГГГ")&amp;"! Подробности в Вашем личном кабинете https://www.mfovzaimno.ru/login. ООО КА «АЭК»","")</f>
        <v/>
      </c>
      <c r="AI16" s="29" t="str">
        <f t="shared" ref="AI16:AI27" ca="1" si="11">IF(N16=3,"Просрочено уже 2 платежа подряд! "&amp;RIGHT(B16,LEN(B16)-SEARCH(" ",B16))&amp;", добрый день! Сегодня ("&amp;TEXT(TODAY(),"ДД.ММ.ГГГГ")&amp;"), срок просрочки по Договору "&amp;C16&amp;" составил "&amp;D16&amp;" день/дня, сумма просроченной задолженности"&amp;TEXT(F16," # ##0,00")&amp;" руб.  (без учета пени). Требуем погасить просроченную задолженность не позднее "&amp;TEXT(TODAY()+3,"ДД.ММ.ГГГГ")&amp;"! Подробности в Вашем личном кабинете https://www.mfovzaimno.ru/login. ООО КА «АЭК»","")</f>
        <v/>
      </c>
      <c r="AK16" s="29" t="str">
        <f ca="1">IF(M16=1,"Ежемесячный платеж просрочен! "&amp;RIGHT(A16,LEN(A16)-SEARCH(" ",A16))&amp;", здравствуйте! &lt;br&gt;"&amp;TEXT(D16,"ДД.ММ.ГГГГ")&amp;", наступила дата очередного ежемесячного платежа по договору "&amp;B16&amp;", платеж не состоялся. &lt;strong&gt;Сегодня("&amp;TEXT(TODAY(),"ДД.ММ.ГГГГ")&amp;"), срок просрочки по Договору № "&amp;B16&amp;" составил "&amp;C16&amp;" день/дня, сумма просроченной задолженности"&amp;TEXT(E16," # ##0,00")&amp;" руб. (без учета пени). &lt;/strong&gt;&lt;br&gt;Просим погасить просроченную задолженность в ближайшее время. &lt;br&gt;Подробности в Вашем личном кабинете https://www.mfovzaimno.ru/login."&amp;xforms!$A$1,"")</f>
        <v/>
      </c>
      <c r="AL16" s="29" t="str">
        <f ca="1">IF(M16=2,"Просрочка платежа достигла 10 дней! "&amp;RIGHT(A16,LEN(A16)-SEARCH(" ",A16))&amp;", здравствуйте! &lt;br&gt;&lt;strong&gt;Сегодня("&amp;TEXT(TODAY(),"ДД.ММ.ГГГГ")&amp;"), срок просрочки по Договору "&amp;B16&amp;" составил "&amp;C16&amp;" день/дня, сумма просроченной задолженности"&amp;TEXT(E16," # ##0,00")&amp;" руб.  (без учета пени). &lt;/strong&gt;&lt;br&gt;Убедительная просьба погасить просроченную задолженность в кратчайшие сроки! Подробности в Вашем личном кабинете https://www.mfovzaimno.ru/login."&amp;xforms!$A$1,"")</f>
        <v/>
      </c>
      <c r="AM16" s="29" t="str">
        <f ca="1">IF(M16=3,"Просрочено уже 2 платежа подряд! "&amp;RIGHT(A16,LEN(A16)-SEARCH(" ",A16))&amp;", добрый день! &lt;br&gt;&lt;strong&gt;Сегодня ("&amp;TEXT(TODAY(),"ДД.ММ.ГГГГ")&amp;"), срок просрочки по Договору "&amp;B16&amp;" составил "&amp;C16&amp;" день/дня, сумма просроченной задолженности"&amp;TEXT(E16," # ##0,00")&amp;" руб.  (без учета пени). Требуем погасить просроченную задолженность не позднее "&amp;TEXT(TODAY()+3,"ДД.ММ.ГГГГ")&amp;"!"&amp;"&lt;br&gt;&lt;/strong&gt; Подробности в Вашем личном кабинете https://www.mfovzaimno.ru/login."&amp;xforms!$A$1,"")</f>
        <v/>
      </c>
      <c r="AN16" s="29" t="str">
        <f ca="1">IF(M16=4,"Просрочено уже 3 платежа подряд! "&amp;RIGHT(A16,LEN(A16)-SEARCH(" ",A16))&amp;", уведомляем Вас! &lt;br&gt;&lt;strong&gt;Сегодня ("&amp;TEXT(TODAY(),"ДД.ММ.ГГГГ")&amp;"), срок просрочки по Договору "&amp;B16&amp;" составил "&amp;C16&amp;" день/дня, сумма просроченной задолженности"&amp;TEXT(E16," # ##0,00")&amp;" руб.  (без учета пени). 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"&amp;TEXT(TODAY()+3,"ДД.ММ.ГГГГ")&amp;"!&lt;br&gt;&lt;/strong&gt; Подробности в Вашем личном кабинете https://www.mfovzaimno.ru/login."&amp;xforms!$A$1,"")</f>
        <v/>
      </c>
    </row>
    <row r="17" spans="1:40" x14ac:dyDescent="0.25">
      <c r="A17" s="29" t="s">
        <v>41</v>
      </c>
      <c r="B17" s="29" t="s">
        <v>42</v>
      </c>
      <c r="C17" s="29">
        <v>10</v>
      </c>
      <c r="D17" s="30">
        <v>45516</v>
      </c>
      <c r="E17" s="29">
        <v>71025.17</v>
      </c>
      <c r="F17" s="29">
        <v>217448.65</v>
      </c>
      <c r="G17" s="29" t="str">
        <f>IFERROR(IF(VLOOKUP(LEFT(B17,10),[1]Лист1!$A:$A,1,0)&lt;&gt;"","КО"),"ОСК")</f>
        <v>ОСК</v>
      </c>
      <c r="H17" s="29">
        <f t="array" ref="H17">ROW(INDEX([4]База_ОАПО!$B:$B,MAX(IF([4]База_ОАПО!$B:$B=B17,ROW([4]База_ОАПО!$B:$B)))))</f>
        <v>2028</v>
      </c>
      <c r="I17" s="29" t="str">
        <f>IF(AND(INDEX([4]База_ОАПО!$B:$E,H17,4)="",INDEX([4]База_ОАПО!$B:$G,H17,6)=""),"","Добавить")</f>
        <v/>
      </c>
      <c r="K17" s="29">
        <v>89257393920</v>
      </c>
      <c r="L17" s="29" t="str">
        <f>IFERROR(IF(AND(VLOOKUP(A17,'[3]email(заем)'!A:D,3,0)="",VLOOKUP(A17,'[3]email(заем)'!A:D,4,0)=""),"мыла нет",IF(VLOOKUP(A17,'[3]email(заем)'!A:D,3,0)&lt;&gt;"",VLOOKUP(A17,'[3]email(заем)'!A:D,3,0),VLOOKUP(A17,'[3]email(заем)'!A:D,4,0))),"")</f>
        <v>мыла нет</v>
      </c>
      <c r="M17" s="29">
        <f t="shared" ca="1" si="0"/>
        <v>2</v>
      </c>
      <c r="N17" s="28" t="str">
        <f t="shared" ca="1" si="1"/>
        <v>*Просрочка платежа достигла 10 дней*%0A%0AГеворк Мамбреович, _x000D_
здравствуйте!%0AСегодня(22.08.2024) , срок просрочки по Договору № В-01039/АЗ_В-21082023/Ц составил 10 день/дня, сумма просроченной задолженности 71 025,17 руб.  (*без учета пени*).%0AУбедительная просьба погасить просроченную задолженность в кратчайшие сроки!%0AПодробности в Вашем личном кабинете https://www.mfovzaimno.ru/login.%0A%0AООО КА «АЭК»</v>
      </c>
      <c r="O17" s="29" t="str">
        <f>_xlfn.IFNA(IF(VLOOKUP(MID(K17,2,3)+0,мегафон!$A$1:$A$30,1,0)&lt;&gt;"",""),IF(M17=1,AF17,IF(M17=2,AG17,IF(M17=3,AH17,IF(M17=4,AI17,"")))))</f>
        <v/>
      </c>
      <c r="P17" s="29" t="str">
        <f t="shared" ca="1" si="2"/>
        <v>Просрочка платежа достигла 10 дней!</v>
      </c>
      <c r="Q17" s="29" t="str">
        <f t="shared" ca="1" si="3"/>
        <v>Геворк Мамбреович, здравствуйте! &lt;br&gt;&lt;strong&gt;Сегодня(22.08.2024), срок просрочки по Договору В-01039/АЗ_В-21082023/Ц составил 10 день/дня, сумма просроченной задолженности 71 025,17 руб. (без учета пени). &lt;/strong&gt;&lt;br&gt;Убедительная просьба погасить просроченную задолженность в кратчайшие сроки! Подробности в Вашем личном кабинете https://www.mfovzaimno.ru/login.&lt;br&gt;&lt;br&gt;&lt;i&gt;ООО КА «АЭК»&lt;br&gt;https://kaaek.ru/&lt;br&gt;123290 г. Москва вн. тер. Г. муниципальный округ Хорошевский&lt;br&gt; 1-ый Магистральный тупик д. 5а офис 39&lt;/i&gt;</v>
      </c>
      <c r="AA17" s="29" t="str">
        <f t="shared" ca="1" si="4"/>
        <v/>
      </c>
      <c r="AB17" s="29" t="str">
        <f t="shared" ca="1" si="5"/>
        <v>*Просрочка платежа достигла 10 дней*%0A%0AГеворк Мамбреович, _x000D_
здравствуйте!%0AСегодня(22.08.2024) , срок просрочки по Договору № В-01039/АЗ_В-21082023/Ц составил 10 день/дня, сумма просроченной задолженности 71 025,17 руб.  (*без учета пени*).%0AУбедительная просьба погасить просроченную задолженность в кратчайшие сроки!%0AПодробности в Вашем личном кабинете https://www.mfovzaimno.ru/login.%0A%0AООО КА «АЭК»</v>
      </c>
      <c r="AC17" s="29" t="str">
        <f t="shared" ca="1" si="6"/>
        <v/>
      </c>
      <c r="AD17" s="29" t="str">
        <f t="shared" ca="1" si="7"/>
        <v/>
      </c>
      <c r="AF17" s="29" t="str">
        <f t="shared" ca="1" si="8"/>
        <v/>
      </c>
      <c r="AG17" s="29" t="str">
        <f t="shared" ca="1" si="9"/>
        <v>Просрочка платежа достигла 10 дней! Геворк Мамбреович, здравствуйте! Сегодня(22.08.2024), срок просрочки по Договору В-01039/АЗ_В-21082023/Ц составил 10 день/дня, сумма просроченной задолженности 71 025,17 руб.  (без учета пени). Убедительная просьба погасить просроченную задолженность в кратчайшие сроки! Подробности в Вашем личном кабинете https://www.mfovzaimno.ru/login. ООО КА «АЭК»</v>
      </c>
      <c r="AH17" s="29" t="str">
        <f t="shared" ca="1" si="10"/>
        <v/>
      </c>
      <c r="AI17" s="29" t="str">
        <f t="shared" ca="1" si="11"/>
        <v/>
      </c>
      <c r="AK17" s="29" t="str">
        <f ca="1">IF(M17=1,"Ежемесячный платеж просрочен! "&amp;RIGHT(A17,LEN(A17)-SEARCH(" ",A17))&amp;", здравствуйте! &lt;br&gt;"&amp;TEXT(D17,"ДД.ММ.ГГГГ")&amp;", наступила дата очередного ежемесячного платежа по договору "&amp;B17&amp;", платеж не состоялся. &lt;strong&gt;Сегодня("&amp;TEXT(TODAY(),"ДД.ММ.ГГГГ")&amp;"), срок просрочки по Договору № "&amp;B17&amp;" составил "&amp;C17&amp;" день/дня, сумма просроченной задолженности"&amp;TEXT(E17," # ##0,00")&amp;" руб. (без учета пени). &lt;/strong&gt;&lt;br&gt;Просим погасить просроченную задолженность в ближайшее время. &lt;br&gt;Подробности в Вашем личном кабинете https://www.mfovzaimno.ru/login."&amp;xforms!$A$1,"")</f>
        <v/>
      </c>
      <c r="AL17" s="29" t="str">
        <f ca="1">IF(M17=2,"Просрочка платежа достигла 10 дней! "&amp;RIGHT(A17,LEN(A17)-SEARCH(" ",A17))&amp;", здравствуйте! &lt;br&gt;&lt;strong&gt;Сегодня("&amp;TEXT(TODAY(),"ДД.ММ.ГГГГ")&amp;"), срок просрочки по Договору "&amp;B17&amp;" составил "&amp;C17&amp;" день/дня, сумма просроченной задолженности"&amp;TEXT(E17," # ##0,00")&amp;" руб.  (без учета пени). &lt;/strong&gt;&lt;br&gt;Убедительная просьба погасить просроченную задолженность в кратчайшие сроки! Подробности в Вашем личном кабинете https://www.mfovzaimno.ru/login."&amp;xforms!$A$1,"")</f>
        <v>Просрочка платежа достигла 10 дней! Геворк Мамбреович, здравствуйте! &lt;br&gt;&lt;strong&gt;Сегодня(22.08.2024), срок просрочки по Договору В-01039/АЗ_В-21082023/Ц составил 10 день/дня, сумма просроченной задолженности 71 025,17 руб.  (без учета пени). &lt;/strong&gt;&lt;br&gt;Убедительная просьба погасить просроченную задолженность в кратчайшие сроки! Подробности в Вашем личном кабинете https://www.mfovzaimno.ru/login.&lt;br&gt;&lt;br&gt;&lt;i&gt;ООО КА «АЭК»&lt;br&gt;https://kaaek.ru/&lt;br&gt;123290 г. Москва вн. тер. Г. муниципальный округ Хорошевский&lt;br&gt; 1-ый Магистральный тупик д. 5а офис 39&lt;/i&gt;</v>
      </c>
      <c r="AM17" s="29" t="str">
        <f ca="1">IF(M17=3,"Просрочено уже 2 платежа подряд! "&amp;RIGHT(A17,LEN(A17)-SEARCH(" ",A17))&amp;", добрый день! &lt;br&gt;&lt;strong&gt;Сегодня ("&amp;TEXT(TODAY(),"ДД.ММ.ГГГГ")&amp;"), срок просрочки по Договору "&amp;B17&amp;" составил "&amp;C17&amp;" день/дня, сумма просроченной задолженности"&amp;TEXT(E17," # ##0,00")&amp;" руб.  (без учета пени). Требуем погасить просроченную задолженность не позднее "&amp;TEXT(TODAY()+3,"ДД.ММ.ГГГГ")&amp;"!"&amp;"&lt;br&gt;&lt;/strong&gt; Подробности в Вашем личном кабинете https://www.mfovzaimno.ru/login."&amp;xforms!$A$1,"")</f>
        <v/>
      </c>
      <c r="AN17" s="29" t="str">
        <f ca="1">IF(M17=4,"Просрочено уже 3 платежа подряд! "&amp;RIGHT(A17,LEN(A17)-SEARCH(" ",A17))&amp;", уведомляем Вас! &lt;br&gt;&lt;strong&gt;Сегодня ("&amp;TEXT(TODAY(),"ДД.ММ.ГГГГ")&amp;"), срок просрочки по Договору "&amp;B17&amp;" составил "&amp;C17&amp;" день/дня, сумма просроченной задолженности"&amp;TEXT(E17," # ##0,00")&amp;" руб.  (без учета пени). 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"&amp;TEXT(TODAY()+3,"ДД.ММ.ГГГГ")&amp;"!&lt;br&gt;&lt;/strong&gt; Подробности в Вашем личном кабинете https://www.mfovzaimno.ru/login."&amp;xforms!$A$1,"")</f>
        <v/>
      </c>
    </row>
    <row r="18" spans="1:40" x14ac:dyDescent="0.25">
      <c r="A18" s="29" t="s">
        <v>19</v>
      </c>
      <c r="B18" s="29" t="s">
        <v>20</v>
      </c>
      <c r="C18" s="29">
        <v>12</v>
      </c>
      <c r="D18" s="30">
        <v>45514</v>
      </c>
      <c r="E18" s="29">
        <v>71010.600000000006</v>
      </c>
      <c r="F18" s="29">
        <v>290711.74</v>
      </c>
      <c r="G18" s="29" t="str">
        <f>IFERROR(IF(VLOOKUP(LEFT(B18,10),[1]Лист1!$A:$A,1,0)&lt;&gt;"","КО"),"ОСК")</f>
        <v>ОСК</v>
      </c>
      <c r="H18" s="29">
        <f t="array" ref="H18">ROW(INDEX([4]База_ОАПО!$B:$B,MAX(IF([4]База_ОАПО!$B:$B=B18,ROW([4]База_ОАПО!$B:$B)))))</f>
        <v>2026</v>
      </c>
      <c r="I18" s="29" t="str">
        <f>IF(AND(INDEX([4]База_ОАПО!$B:$E,H18,4)="",INDEX([4]База_ОАПО!$B:$G,H18,6)=""),"","Добавить")</f>
        <v/>
      </c>
      <c r="K18" s="29">
        <f>IFERROR(VLOOKUP(A18,[2]DataBase!$A:$B,2,0),"")</f>
        <v>79821033358</v>
      </c>
      <c r="L18" s="29" t="str">
        <f>IFERROR(IF(AND(VLOOKUP(A18,'[3]email(заем)'!A:D,3,0)="",VLOOKUP(A18,'[3]email(заем)'!A:D,4,0)=""),"мыла нет",IF(VLOOKUP(A18,'[3]email(заем)'!A:D,3,0)&lt;&gt;"",VLOOKUP(A18,'[3]email(заем)'!A:D,3,0),VLOOKUP(A18,'[3]email(заем)'!A:D,4,0))),"")</f>
        <v>мыла нет</v>
      </c>
      <c r="M18" s="29" t="str">
        <f t="shared" ca="1" si="0"/>
        <v/>
      </c>
      <c r="N18" s="29" t="str">
        <f t="shared" ca="1" si="1"/>
        <v/>
      </c>
      <c r="O18" s="29" t="str">
        <f ca="1">_xlfn.IFNA(IF(VLOOKUP(MID(K18,2,3)+0,мегафон!$A$1:$A$30,1,0)&lt;&gt;"",""),IF(M18=1,AF18,IF(M18=2,AG18,IF(M18=3,AH18,IF(M18=4,AI18,"")))))</f>
        <v/>
      </c>
      <c r="P18" s="29" t="str">
        <f t="shared" ca="1" si="2"/>
        <v/>
      </c>
      <c r="Q18" s="29" t="str">
        <f t="shared" ca="1" si="3"/>
        <v/>
      </c>
      <c r="AA18" s="29" t="str">
        <f t="shared" ca="1" si="4"/>
        <v/>
      </c>
      <c r="AB18" s="29" t="str">
        <f t="shared" ca="1" si="5"/>
        <v/>
      </c>
      <c r="AC18" s="29" t="str">
        <f t="shared" ca="1" si="6"/>
        <v/>
      </c>
      <c r="AD18" s="29" t="str">
        <f t="shared" ca="1" si="7"/>
        <v/>
      </c>
      <c r="AF18" s="29" t="str">
        <f t="shared" ca="1" si="8"/>
        <v/>
      </c>
      <c r="AG18" s="29" t="str">
        <f t="shared" ca="1" si="9"/>
        <v/>
      </c>
      <c r="AH18" s="29" t="str">
        <f t="shared" ca="1" si="10"/>
        <v/>
      </c>
      <c r="AI18" s="29" t="str">
        <f t="shared" ca="1" si="11"/>
        <v/>
      </c>
      <c r="AK18" s="29" t="str">
        <f ca="1">IF(M18=1,"Ежемесячный платеж просрочен! "&amp;RIGHT(A18,LEN(A18)-SEARCH(" ",A18))&amp;", здравствуйте! &lt;br&gt;"&amp;TEXT(D18,"ДД.ММ.ГГГГ")&amp;", наступила дата очередного ежемесячного платежа по договору "&amp;B18&amp;", платеж не состоялся. &lt;strong&gt;Сегодня("&amp;TEXT(TODAY(),"ДД.ММ.ГГГГ")&amp;"), срок просрочки по Договору № "&amp;B18&amp;" составил "&amp;C18&amp;" день/дня, сумма просроченной задолженности"&amp;TEXT(E18," # ##0,00")&amp;" руб. (без учета пени). &lt;/strong&gt;&lt;br&gt;Просим погасить просроченную задолженность в ближайшее время. &lt;br&gt;Подробности в Вашем личном кабинете https://www.mfovzaimno.ru/login."&amp;xforms!$A$1,"")</f>
        <v/>
      </c>
      <c r="AL18" s="29" t="str">
        <f ca="1">IF(M18=2,"Просрочка платежа достигла 10 дней! "&amp;RIGHT(A18,LEN(A18)-SEARCH(" ",A18))&amp;", здравствуйте! &lt;br&gt;&lt;strong&gt;Сегодня("&amp;TEXT(TODAY(),"ДД.ММ.ГГГГ")&amp;"), срок просрочки по Договору "&amp;B18&amp;" составил "&amp;C18&amp;" день/дня, сумма просроченной задолженности"&amp;TEXT(E18," # ##0,00")&amp;" руб.  (без учета пени). &lt;/strong&gt;&lt;br&gt;Убедительная просьба погасить просроченную задолженность в кратчайшие сроки! Подробности в Вашем личном кабинете https://www.mfovzaimno.ru/login."&amp;xforms!$A$1,"")</f>
        <v/>
      </c>
      <c r="AM18" s="29" t="str">
        <f ca="1">IF(M18=3,"Просрочено уже 2 платежа подряд! "&amp;RIGHT(A18,LEN(A18)-SEARCH(" ",A18))&amp;", добрый день! &lt;br&gt;&lt;strong&gt;Сегодня ("&amp;TEXT(TODAY(),"ДД.ММ.ГГГГ")&amp;"), срок просрочки по Договору "&amp;B18&amp;" составил "&amp;C18&amp;" день/дня, сумма просроченной задолженности"&amp;TEXT(E18," # ##0,00")&amp;" руб.  (без учета пени). Требуем погасить просроченную задолженность не позднее "&amp;TEXT(TODAY()+3,"ДД.ММ.ГГГГ")&amp;"!"&amp;"&lt;br&gt;&lt;/strong&gt; Подробности в Вашем личном кабинете https://www.mfovzaimno.ru/login."&amp;xforms!$A$1,"")</f>
        <v/>
      </c>
      <c r="AN18" s="29" t="str">
        <f ca="1">IF(M18=4,"Просрочено уже 3 платежа подряд! "&amp;RIGHT(A18,LEN(A18)-SEARCH(" ",A18))&amp;", уведомляем Вас! &lt;br&gt;&lt;strong&gt;Сегодня ("&amp;TEXT(TODAY(),"ДД.ММ.ГГГГ")&amp;"), срок просрочки по Договору "&amp;B18&amp;" составил "&amp;C18&amp;" день/дня, сумма просроченной задолженности"&amp;TEXT(E18," # ##0,00")&amp;" руб.  (без учета пени). 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"&amp;TEXT(TODAY()+3,"ДД.ММ.ГГГГ")&amp;"!&lt;br&gt;&lt;/strong&gt; Подробности в Вашем личном кабинете https://www.mfovzaimno.ru/login."&amp;xforms!$A$1,"")</f>
        <v/>
      </c>
    </row>
    <row r="19" spans="1:40" x14ac:dyDescent="0.25">
      <c r="A19" s="29" t="s">
        <v>17</v>
      </c>
      <c r="B19" s="29" t="s">
        <v>18</v>
      </c>
      <c r="C19" s="29">
        <v>12</v>
      </c>
      <c r="D19" s="30">
        <v>45514</v>
      </c>
      <c r="E19" s="29">
        <v>57788.99</v>
      </c>
      <c r="F19" s="29">
        <v>237634.06</v>
      </c>
      <c r="G19" s="29" t="str">
        <f>IFERROR(IF(VLOOKUP(LEFT(B19,10),[1]Лист1!$A:$A,1,0)&lt;&gt;"","КО"),"ОСК")</f>
        <v>ОСК</v>
      </c>
      <c r="H19" s="29">
        <f t="array" ref="H19">ROW(INDEX([4]База_ОАПО!$B:$B,MAX(IF([4]База_ОАПО!$B:$B=B19,ROW([4]База_ОАПО!$B:$B)))))</f>
        <v>2037</v>
      </c>
      <c r="I19" s="29" t="s">
        <v>1790</v>
      </c>
      <c r="K19" s="29">
        <f>IFERROR(VLOOKUP(A19,[2]DataBase!$A:$B,2,0),"")</f>
        <v>79821136983</v>
      </c>
      <c r="L19" s="29" t="str">
        <f>IFERROR(IF(AND(VLOOKUP(A19,'[3]email(заем)'!A:D,3,0)="",VLOOKUP(A19,'[3]email(заем)'!A:D,4,0)=""),"мыла нет",IF(VLOOKUP(A19,'[3]email(заем)'!A:D,3,0)&lt;&gt;"",VLOOKUP(A19,'[3]email(заем)'!A:D,3,0),VLOOKUP(A19,'[3]email(заем)'!A:D,4,0))),"")</f>
        <v>Pastor07@yandex.ru</v>
      </c>
      <c r="M19" s="29" t="str">
        <f t="shared" ca="1" si="0"/>
        <v/>
      </c>
      <c r="N19" s="29" t="str">
        <f t="shared" ca="1" si="1"/>
        <v/>
      </c>
      <c r="O19" s="29" t="str">
        <f ca="1">_xlfn.IFNA(IF(VLOOKUP(MID(K19,2,3)+0,мегафон!$A$1:$A$30,1,0)&lt;&gt;"",""),IF(M19=1,AF19,IF(M19=2,AG19,IF(M19=3,AH19,IF(M19=4,AI19,"")))))</f>
        <v/>
      </c>
      <c r="P19" s="29" t="str">
        <f t="shared" ca="1" si="2"/>
        <v/>
      </c>
      <c r="Q19" s="29" t="str">
        <f t="shared" ca="1" si="3"/>
        <v/>
      </c>
      <c r="AA19" s="29" t="str">
        <f t="shared" ca="1" si="4"/>
        <v/>
      </c>
      <c r="AB19" s="29" t="str">
        <f t="shared" ca="1" si="5"/>
        <v/>
      </c>
      <c r="AC19" s="29" t="str">
        <f t="shared" ca="1" si="6"/>
        <v/>
      </c>
      <c r="AD19" s="29" t="str">
        <f t="shared" ca="1" si="7"/>
        <v/>
      </c>
      <c r="AF19" s="29" t="str">
        <f t="shared" ca="1" si="8"/>
        <v/>
      </c>
      <c r="AG19" s="29" t="str">
        <f t="shared" ca="1" si="9"/>
        <v/>
      </c>
      <c r="AH19" s="29" t="str">
        <f t="shared" ca="1" si="10"/>
        <v/>
      </c>
      <c r="AI19" s="29" t="str">
        <f t="shared" ca="1" si="11"/>
        <v/>
      </c>
      <c r="AK19" s="29" t="str">
        <f ca="1">IF(M19=1,"Ежемесячный платеж просрочен! "&amp;RIGHT(A19,LEN(A19)-SEARCH(" ",A19))&amp;", здравствуйте! &lt;br&gt;"&amp;TEXT(D19,"ДД.ММ.ГГГГ")&amp;", наступила дата очередного ежемесячного платежа по договору "&amp;B19&amp;", платеж не состоялся. &lt;strong&gt;Сегодня("&amp;TEXT(TODAY(),"ДД.ММ.ГГГГ")&amp;"), срок просрочки по Договору № "&amp;B19&amp;" составил "&amp;C19&amp;" день/дня, сумма просроченной задолженности"&amp;TEXT(E19," # ##0,00")&amp;" руб. (без учета пени). &lt;/strong&gt;&lt;br&gt;Просим погасить просроченную задолженность в ближайшее время. &lt;br&gt;Подробности в Вашем личном кабинете https://www.mfovzaimno.ru/login."&amp;xforms!$A$1,"")</f>
        <v/>
      </c>
      <c r="AL19" s="29" t="str">
        <f ca="1">IF(M19=2,"Просрочка платежа достигла 10 дней! "&amp;RIGHT(A19,LEN(A19)-SEARCH(" ",A19))&amp;", здравствуйте! &lt;br&gt;&lt;strong&gt;Сегодня("&amp;TEXT(TODAY(),"ДД.ММ.ГГГГ")&amp;"), срок просрочки по Договору "&amp;B19&amp;" составил "&amp;C19&amp;" день/дня, сумма просроченной задолженности"&amp;TEXT(E19," # ##0,00")&amp;" руб.  (без учета пени). &lt;/strong&gt;&lt;br&gt;Убедительная просьба погасить просроченную задолженность в кратчайшие сроки! Подробности в Вашем личном кабинете https://www.mfovzaimno.ru/login."&amp;xforms!$A$1,"")</f>
        <v/>
      </c>
      <c r="AM19" s="29" t="str">
        <f ca="1">IF(M19=3,"Просрочено уже 2 платежа подряд! "&amp;RIGHT(A19,LEN(A19)-SEARCH(" ",A19))&amp;", добрый день! &lt;br&gt;&lt;strong&gt;Сегодня ("&amp;TEXT(TODAY(),"ДД.ММ.ГГГГ")&amp;"), срок просрочки по Договору "&amp;B19&amp;" составил "&amp;C19&amp;" день/дня, сумма просроченной задолженности"&amp;TEXT(E19," # ##0,00")&amp;" руб.  (без учета пени). Требуем погасить просроченную задолженность не позднее "&amp;TEXT(TODAY()+3,"ДД.ММ.ГГГГ")&amp;"!"&amp;"&lt;br&gt;&lt;/strong&gt; Подробности в Вашем личном кабинете https://www.mfovzaimno.ru/login."&amp;xforms!$A$1,"")</f>
        <v/>
      </c>
      <c r="AN19" s="29" t="str">
        <f ca="1">IF(M19=4,"Просрочено уже 3 платежа подряд! "&amp;RIGHT(A19,LEN(A19)-SEARCH(" ",A19))&amp;", уведомляем Вас! &lt;br&gt;&lt;strong&gt;Сегодня ("&amp;TEXT(TODAY(),"ДД.ММ.ГГГГ")&amp;"), срок просрочки по Договору "&amp;B19&amp;" составил "&amp;C19&amp;" день/дня, сумма просроченной задолженности"&amp;TEXT(E19," # ##0,00")&amp;" руб.  (без учета пени). 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"&amp;TEXT(TODAY()+3,"ДД.ММ.ГГГГ")&amp;"!&lt;br&gt;&lt;/strong&gt; Подробности в Вашем личном кабинете https://www.mfovzaimno.ru/login."&amp;xforms!$A$1,"")</f>
        <v/>
      </c>
    </row>
    <row r="20" spans="1:40" x14ac:dyDescent="0.25">
      <c r="A20" s="29" t="s">
        <v>243</v>
      </c>
      <c r="B20" s="29" t="s">
        <v>244</v>
      </c>
      <c r="C20" s="29">
        <v>17</v>
      </c>
      <c r="D20" s="30">
        <v>45509</v>
      </c>
      <c r="E20" s="29">
        <v>26875.95</v>
      </c>
      <c r="F20" s="29">
        <v>246429.46</v>
      </c>
      <c r="G20" s="29" t="str">
        <f>IFERROR(IF(VLOOKUP(LEFT(B20,10),[1]Лист1!$A:$A,1,0)&lt;&gt;"","КО"),"ОСК")</f>
        <v>ОСК</v>
      </c>
      <c r="H20" s="29">
        <f t="array" ref="H20">ROW(INDEX([4]База_ОАПО!$B:$B,MAX(IF([4]База_ОАПО!$B:$B=B20,ROW([4]База_ОАПО!$B:$B)))))</f>
        <v>2016</v>
      </c>
      <c r="I20" s="29" t="str">
        <f>IF(AND(INDEX([4]База_ОАПО!$B:$E,H20,4)="",INDEX([4]База_ОАПО!$B:$G,H20,6)=""),"","Добавить")</f>
        <v/>
      </c>
      <c r="K20" s="29">
        <f>IFERROR(VLOOKUP(A20,[2]DataBase!$A:$B,2,0),"")</f>
        <v>79855645225</v>
      </c>
      <c r="L20" s="29" t="str">
        <f>IFERROR(IF(AND(VLOOKUP(A20,'[3]email(заем)'!A:D,3,0)="",VLOOKUP(A20,'[3]email(заем)'!A:D,4,0)=""),"мыла нет",IF(VLOOKUP(A20,'[3]email(заем)'!A:D,3,0)&lt;&gt;"",VLOOKUP(A20,'[3]email(заем)'!A:D,3,0),VLOOKUP(A20,'[3]email(заем)'!A:D,4,0))),"")</f>
        <v>ayana_nasyrova94@icloud.com</v>
      </c>
      <c r="M20" s="29" t="str">
        <f t="shared" ca="1" si="0"/>
        <v/>
      </c>
      <c r="N20" s="29" t="str">
        <f t="shared" ca="1" si="1"/>
        <v/>
      </c>
      <c r="O20" s="29" t="str">
        <f ca="1">_xlfn.IFNA(IF(VLOOKUP(MID(K20,2,3)+0,мегафон!$A$1:$A$30,1,0)&lt;&gt;"",""),IF(M20=1,AF20,IF(M20=2,AG20,IF(M20=3,AH20,IF(M20=4,AI20,"")))))</f>
        <v/>
      </c>
      <c r="P20" s="29" t="str">
        <f t="shared" ca="1" si="2"/>
        <v/>
      </c>
      <c r="Q20" s="29" t="str">
        <f t="shared" ca="1" si="3"/>
        <v/>
      </c>
      <c r="AA20" s="29" t="str">
        <f t="shared" ca="1" si="4"/>
        <v/>
      </c>
      <c r="AB20" s="29" t="str">
        <f t="shared" ca="1" si="5"/>
        <v/>
      </c>
      <c r="AC20" s="29" t="str">
        <f t="shared" ca="1" si="6"/>
        <v/>
      </c>
      <c r="AD20" s="29" t="str">
        <f t="shared" ca="1" si="7"/>
        <v/>
      </c>
      <c r="AF20" s="29" t="str">
        <f t="shared" ca="1" si="8"/>
        <v/>
      </c>
      <c r="AG20" s="29" t="str">
        <f t="shared" ca="1" si="9"/>
        <v/>
      </c>
      <c r="AH20" s="29" t="str">
        <f t="shared" ca="1" si="10"/>
        <v/>
      </c>
      <c r="AI20" s="29" t="str">
        <f t="shared" ca="1" si="11"/>
        <v/>
      </c>
      <c r="AK20" s="29" t="str">
        <f ca="1">IF(M20=1,"Ежемесячный платеж просрочен! "&amp;RIGHT(A20,LEN(A20)-SEARCH(" ",A20))&amp;", здравствуйте! &lt;br&gt;"&amp;TEXT(D20,"ДД.ММ.ГГГГ")&amp;", наступила дата очередного ежемесячного платежа по договору "&amp;B20&amp;", платеж не состоялся. &lt;strong&gt;Сегодня("&amp;TEXT(TODAY(),"ДД.ММ.ГГГГ")&amp;"), срок просрочки по Договору № "&amp;B20&amp;" составил "&amp;C20&amp;" день/дня, сумма просроченной задолженности"&amp;TEXT(E20," # ##0,00")&amp;" руб. (без учета пени). &lt;/strong&gt;&lt;br&gt;Просим погасить просроченную задолженность в ближайшее время. &lt;br&gt;Подробности в Вашем личном кабинете https://www.mfovzaimno.ru/login."&amp;xforms!$A$1,"")</f>
        <v/>
      </c>
      <c r="AL20" s="29" t="str">
        <f ca="1">IF(M20=2,"Просрочка платежа достигла 10 дней! "&amp;RIGHT(A20,LEN(A20)-SEARCH(" ",A20))&amp;", здравствуйте! &lt;br&gt;&lt;strong&gt;Сегодня("&amp;TEXT(TODAY(),"ДД.ММ.ГГГГ")&amp;"), срок просрочки по Договору "&amp;B20&amp;" составил "&amp;C20&amp;" день/дня, сумма просроченной задолженности"&amp;TEXT(E20," # ##0,00")&amp;" руб.  (без учета пени). &lt;/strong&gt;&lt;br&gt;Убедительная просьба погасить просроченную задолженность в кратчайшие сроки! Подробности в Вашем личном кабинете https://www.mfovzaimno.ru/login."&amp;xforms!$A$1,"")</f>
        <v/>
      </c>
      <c r="AM20" s="29" t="str">
        <f ca="1">IF(M20=3,"Просрочено уже 2 платежа подряд! "&amp;RIGHT(A20,LEN(A20)-SEARCH(" ",A20))&amp;", добрый день! &lt;br&gt;&lt;strong&gt;Сегодня ("&amp;TEXT(TODAY(),"ДД.ММ.ГГГГ")&amp;"), срок просрочки по Договору "&amp;B20&amp;" составил "&amp;C20&amp;" день/дня, сумма просроченной задолженности"&amp;TEXT(E20," # ##0,00")&amp;" руб.  (без учета пени). Требуем погасить просроченную задолженность не позднее "&amp;TEXT(TODAY()+3,"ДД.ММ.ГГГГ")&amp;"!"&amp;"&lt;br&gt;&lt;/strong&gt; Подробности в Вашем личном кабинете https://www.mfovzaimno.ru/login."&amp;xforms!$A$1,"")</f>
        <v/>
      </c>
      <c r="AN20" s="29" t="str">
        <f ca="1">IF(M20=4,"Просрочено уже 3 платежа подряд! "&amp;RIGHT(A20,LEN(A20)-SEARCH(" ",A20))&amp;", уведомляем Вас! &lt;br&gt;&lt;strong&gt;Сегодня ("&amp;TEXT(TODAY(),"ДД.ММ.ГГГГ")&amp;"), срок просрочки по Договору "&amp;B20&amp;" составил "&amp;C20&amp;" день/дня, сумма просроченной задолженности"&amp;TEXT(E20," # ##0,00")&amp;" руб.  (без учета пени). 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"&amp;TEXT(TODAY()+3,"ДД.ММ.ГГГГ")&amp;"!&lt;br&gt;&lt;/strong&gt; Подробности в Вашем личном кабинете https://www.mfovzaimno.ru/login."&amp;xforms!$A$1,"")</f>
        <v/>
      </c>
    </row>
    <row r="21" spans="1:40" x14ac:dyDescent="0.25">
      <c r="A21" s="29" t="s">
        <v>150</v>
      </c>
      <c r="B21" s="29" t="s">
        <v>151</v>
      </c>
      <c r="C21" s="29">
        <v>29</v>
      </c>
      <c r="D21" s="30">
        <v>45497</v>
      </c>
      <c r="E21" s="29">
        <v>9410.9500000000007</v>
      </c>
      <c r="F21" s="29">
        <v>110795.66</v>
      </c>
      <c r="G21" s="29" t="str">
        <f>IFERROR(IF(VLOOKUP(LEFT(B21,10),[1]Лист1!$A:$A,1,0)&lt;&gt;"","КО"),"ОСК")</f>
        <v>ОСК</v>
      </c>
      <c r="H21" s="29">
        <f t="array" ref="H21">ROW(INDEX([4]База_ОАПО!$B:$B,MAX(IF([4]База_ОАПО!$B:$B=B21,ROW([4]База_ОАПО!$B:$B)))))</f>
        <v>2007</v>
      </c>
      <c r="I21" s="29" t="str">
        <f>IF(AND(INDEX([4]База_ОАПО!$B:$E,H21,4)="",INDEX([4]База_ОАПО!$B:$G,H21,6)=""),"","Добавить")</f>
        <v/>
      </c>
      <c r="K21" s="29">
        <f>IFERROR(VLOOKUP(A21,[2]DataBase!$A:$B,2,0),"")</f>
        <v>79646299696</v>
      </c>
      <c r="L21" s="29" t="str">
        <f>IFERROR(IF(AND(VLOOKUP(A21,'[3]email(заем)'!A:D,3,0)="",VLOOKUP(A21,'[3]email(заем)'!A:D,4,0)=""),"мыла нет",IF(VLOOKUP(A21,'[3]email(заем)'!A:D,3,0)&lt;&gt;"",VLOOKUP(A21,'[3]email(заем)'!A:D,3,0),VLOOKUP(A21,'[3]email(заем)'!A:D,4,0))),"")</f>
        <v>igorsmi@list.ru</v>
      </c>
      <c r="M21" s="29" t="str">
        <f t="shared" ca="1" si="0"/>
        <v/>
      </c>
      <c r="N21" s="29" t="str">
        <f t="shared" ca="1" si="1"/>
        <v/>
      </c>
      <c r="O21" s="29" t="str">
        <f ca="1">_xlfn.IFNA(IF(VLOOKUP(MID(K21,2,3)+0,мегафон!$A$1:$A$30,1,0)&lt;&gt;"",""),IF(M21=1,AF21,IF(M21=2,AG21,IF(M21=3,AH21,IF(M21=4,AI21,"")))))</f>
        <v/>
      </c>
      <c r="P21" s="29" t="str">
        <f t="shared" ca="1" si="2"/>
        <v/>
      </c>
      <c r="Q21" s="29" t="str">
        <f t="shared" ca="1" si="3"/>
        <v/>
      </c>
      <c r="AA21" s="29" t="str">
        <f t="shared" ca="1" si="4"/>
        <v/>
      </c>
      <c r="AB21" s="29" t="str">
        <f t="shared" ca="1" si="5"/>
        <v/>
      </c>
      <c r="AC21" s="29" t="str">
        <f t="shared" ca="1" si="6"/>
        <v/>
      </c>
      <c r="AD21" s="29" t="str">
        <f t="shared" ca="1" si="7"/>
        <v/>
      </c>
      <c r="AF21" s="29" t="str">
        <f t="shared" ca="1" si="8"/>
        <v/>
      </c>
      <c r="AG21" s="29" t="str">
        <f t="shared" ca="1" si="9"/>
        <v/>
      </c>
      <c r="AH21" s="29" t="str">
        <f t="shared" ca="1" si="10"/>
        <v/>
      </c>
      <c r="AI21" s="29" t="str">
        <f t="shared" ca="1" si="11"/>
        <v/>
      </c>
      <c r="AK21" s="29" t="str">
        <f ca="1">IF(M21=1,"Ежемесячный платеж просрочен! "&amp;RIGHT(A21,LEN(A21)-SEARCH(" ",A21))&amp;", здравствуйте! &lt;br&gt;"&amp;TEXT(D21,"ДД.ММ.ГГГГ")&amp;", наступила дата очередного ежемесячного платежа по договору "&amp;B21&amp;", платеж не состоялся. &lt;strong&gt;Сегодня("&amp;TEXT(TODAY(),"ДД.ММ.ГГГГ")&amp;"), срок просрочки по Договору № "&amp;B21&amp;" составил "&amp;C21&amp;" день/дня, сумма просроченной задолженности"&amp;TEXT(E21," # ##0,00")&amp;" руб. (без учета пени). &lt;/strong&gt;&lt;br&gt;Просим погасить просроченную задолженность в ближайшее время. &lt;br&gt;Подробности в Вашем личном кабинете https://www.mfovzaimno.ru/login."&amp;xforms!$A$1,"")</f>
        <v/>
      </c>
      <c r="AL21" s="29" t="str">
        <f ca="1">IF(M21=2,"Просрочка платежа достигла 10 дней! "&amp;RIGHT(A21,LEN(A21)-SEARCH(" ",A21))&amp;", здравствуйте! &lt;br&gt;&lt;strong&gt;Сегодня("&amp;TEXT(TODAY(),"ДД.ММ.ГГГГ")&amp;"), срок просрочки по Договору "&amp;B21&amp;" составил "&amp;C21&amp;" день/дня, сумма просроченной задолженности"&amp;TEXT(E21," # ##0,00")&amp;" руб.  (без учета пени). &lt;/strong&gt;&lt;br&gt;Убедительная просьба погасить просроченную задолженность в кратчайшие сроки! Подробности в Вашем личном кабинете https://www.mfovzaimno.ru/login."&amp;xforms!$A$1,"")</f>
        <v/>
      </c>
      <c r="AM21" s="29" t="str">
        <f ca="1">IF(M21=3,"Просрочено уже 2 платежа подряд! "&amp;RIGHT(A21,LEN(A21)-SEARCH(" ",A21))&amp;", добрый день! &lt;br&gt;&lt;strong&gt;Сегодня ("&amp;TEXT(TODAY(),"ДД.ММ.ГГГГ")&amp;"), срок просрочки по Договору "&amp;B21&amp;" составил "&amp;C21&amp;" день/дня, сумма просроченной задолженности"&amp;TEXT(E21," # ##0,00")&amp;" руб.  (без учета пени). Требуем погасить просроченную задолженность не позднее "&amp;TEXT(TODAY()+3,"ДД.ММ.ГГГГ")&amp;"!"&amp;"&lt;br&gt;&lt;/strong&gt; Подробности в Вашем личном кабинете https://www.mfovzaimno.ru/login."&amp;xforms!$A$1,"")</f>
        <v/>
      </c>
      <c r="AN21" s="29" t="str">
        <f ca="1">IF(M21=4,"Просрочено уже 3 платежа подряд! "&amp;RIGHT(A21,LEN(A21)-SEARCH(" ",A21))&amp;", уведомляем Вас! &lt;br&gt;&lt;strong&gt;Сегодня ("&amp;TEXT(TODAY(),"ДД.ММ.ГГГГ")&amp;"), срок просрочки по Договору "&amp;B21&amp;" составил "&amp;C21&amp;" день/дня, сумма просроченной задолженности"&amp;TEXT(E21," # ##0,00")&amp;" руб.  (без учета пени). 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"&amp;TEXT(TODAY()+3,"ДД.ММ.ГГГГ")&amp;"!&lt;br&gt;&lt;/strong&gt; Подробности в Вашем личном кабинете https://www.mfovzaimno.ru/login."&amp;xforms!$A$1,"")</f>
        <v/>
      </c>
    </row>
    <row r="22" spans="1:40" x14ac:dyDescent="0.25">
      <c r="A22" s="29" t="s">
        <v>131</v>
      </c>
      <c r="B22" s="29" t="s">
        <v>132</v>
      </c>
      <c r="C22" s="29">
        <v>30</v>
      </c>
      <c r="D22" s="30">
        <v>45496</v>
      </c>
      <c r="E22" s="29">
        <v>59421.96</v>
      </c>
      <c r="F22" s="29">
        <v>601100.55000000005</v>
      </c>
      <c r="G22" s="29" t="str">
        <f>IFERROR(IF(VLOOKUP(LEFT(B22,10),[1]Лист1!$A:$A,1,0)&lt;&gt;"","КО"),"ОСК")</f>
        <v>ОСК</v>
      </c>
      <c r="H22" s="29">
        <f t="array" ref="H22">ROW(INDEX([4]База_ОАПО!$B:$B,MAX(IF([4]База_ОАПО!$B:$B=B22,ROW([4]База_ОАПО!$B:$B)))))</f>
        <v>2005</v>
      </c>
      <c r="I22" s="29" t="str">
        <f>IF(AND(INDEX([4]База_ОАПО!$B:$E,H22,4)="",INDEX([4]База_ОАПО!$B:$G,H22,6)=""),"","Добавить")</f>
        <v/>
      </c>
      <c r="K22" s="29">
        <v>89257393920</v>
      </c>
      <c r="L22" s="29" t="str">
        <f>IFERROR(IF(AND(VLOOKUP(A22,'[3]email(заем)'!A:D,3,0)="",VLOOKUP(A22,'[3]email(заем)'!A:D,4,0)=""),"мыла нет",IF(VLOOKUP(A22,'[3]email(заем)'!A:D,3,0)&lt;&gt;"",VLOOKUP(A22,'[3]email(заем)'!A:D,3,0),VLOOKUP(A22,'[3]email(заем)'!A:D,4,0))),"")</f>
        <v>dsk@s-d,spb,ru</v>
      </c>
      <c r="M22" s="29">
        <f t="shared" ca="1" si="0"/>
        <v>3</v>
      </c>
      <c r="N22" s="28" t="str">
        <f t="shared" ca="1" si="1"/>
        <v>*Просрочено уже 2 платежа подряд!*%0A%0AДмитрий Сергеевич, 
добрый день!%0AСегодня (22.08.2024), срок просрочки по Договору № В-28598/КЛ.Транш - 1_В-21082023/Ц составил 30 день/дня, сумма просроченной задолженности 59 421,96 руб.  (*без учета пени*).%0A*Требуем погасить просроченную задолженность не позднее 25.08.2024!*%0AПодробности в Вашем личном кабинете https://www.mfovzaimno.ru/login.%0A%0AООО КА «АЭК»</v>
      </c>
      <c r="O22" s="29" t="str">
        <f>_xlfn.IFNA(IF(VLOOKUP(MID(K22,2,3)+0,мегафон!$A$1:$A$30,1,0)&lt;&gt;"",""),IF(M22=1,AF22,IF(M22=2,AG22,IF(M22=3,AH22,IF(M22=4,AI22,"")))))</f>
        <v/>
      </c>
      <c r="P22" s="29" t="str">
        <f t="shared" ca="1" si="2"/>
        <v>Просрочено уже 2 платежа подряд!</v>
      </c>
      <c r="Q22" s="29" t="str">
        <f t="shared" ca="1" si="3"/>
        <v>Дмитрий Сергеевич, добрый день! &lt;br&gt;&lt;strong&gt;Сегодня (22.08.2024), срок просрочки по Договору В-28598/КЛ.Транш - 1_В-21082023/Ц составил 30 день/дня, сумма просроченной задолженности 59 421,96 руб. (без учета пени). Требуем погасить просроченную задолженность не позднее 25.08.2024!&lt;br&gt;&lt;/strong&gt; Подробности в Вашем личном кабинете https://www.mfovzaimno.ru/login.&lt;br&gt;&lt;br&gt;&lt;i&gt;ООО КА «АЭК»&lt;br&gt;https://kaaek.ru/&lt;br&gt;123290 г. Москва вн. тер. Г. муниципальный округ Хорошевский&lt;br&gt; 1-ый Магистральный тупик д. 5а офис 39&lt;/i&gt;</v>
      </c>
      <c r="AA22" s="29" t="str">
        <f t="shared" ca="1" si="4"/>
        <v/>
      </c>
      <c r="AB22" s="29" t="str">
        <f t="shared" ca="1" si="5"/>
        <v/>
      </c>
      <c r="AC22" s="29" t="str">
        <f t="shared" ca="1" si="6"/>
        <v>*Просрочено уже 2 платежа подряд!*%0A%0AДмитрий Сергеевич, 
добрый день!%0AСегодня (22.08.2024), срок просрочки по Договору № В-28598/КЛ.Транш - 1_В-21082023/Ц составил 30 день/дня, сумма просроченной задолженности 59 421,96 руб.  (*без учета пени*).%0A*Требуем погасить просроченную задолженность не позднее 25.08.2024!*%0AПодробности в Вашем личном кабинете https://www.mfovzaimno.ru/login.%0A%0AООО КА «АЭК»</v>
      </c>
      <c r="AD22" s="29" t="str">
        <f t="shared" ca="1" si="7"/>
        <v/>
      </c>
      <c r="AF22" s="29" t="str">
        <f t="shared" ca="1" si="8"/>
        <v/>
      </c>
      <c r="AG22" s="29" t="str">
        <f t="shared" ca="1" si="9"/>
        <v/>
      </c>
      <c r="AH22" s="29" t="str">
        <f t="shared" ca="1" si="10"/>
        <v/>
      </c>
      <c r="AI22" s="29" t="str">
        <f t="shared" ca="1" si="11"/>
        <v/>
      </c>
      <c r="AK22" s="29" t="str">
        <f ca="1">IF(M22=1,"Ежемесячный платеж просрочен! "&amp;RIGHT(A22,LEN(A22)-SEARCH(" ",A22))&amp;", здравствуйте! &lt;br&gt;"&amp;TEXT(D22,"ДД.ММ.ГГГГ")&amp;", наступила дата очередного ежемесячного платежа по договору "&amp;B22&amp;", платеж не состоялся. &lt;strong&gt;Сегодня("&amp;TEXT(TODAY(),"ДД.ММ.ГГГГ")&amp;"), срок просрочки по Договору № "&amp;B22&amp;" составил "&amp;C22&amp;" день/дня, сумма просроченной задолженности"&amp;TEXT(E22," # ##0,00")&amp;" руб. (без учета пени). &lt;/strong&gt;&lt;br&gt;Просим погасить просроченную задолженность в ближайшее время. &lt;br&gt;Подробности в Вашем личном кабинете https://www.mfovzaimno.ru/login."&amp;xforms!$A$1,"")</f>
        <v/>
      </c>
      <c r="AL22" s="29" t="str">
        <f ca="1">IF(M22=2,"Просрочка платежа достигла 10 дней! "&amp;RIGHT(A22,LEN(A22)-SEARCH(" ",A22))&amp;", здравствуйте! &lt;br&gt;&lt;strong&gt;Сегодня("&amp;TEXT(TODAY(),"ДД.ММ.ГГГГ")&amp;"), срок просрочки по Договору "&amp;B22&amp;" составил "&amp;C22&amp;" день/дня, сумма просроченной задолженности"&amp;TEXT(E22," # ##0,00")&amp;" руб.  (без учета пени). &lt;/strong&gt;&lt;br&gt;Убедительная просьба погасить просроченную задолженность в кратчайшие сроки! Подробности в Вашем личном кабинете https://www.mfovzaimno.ru/login."&amp;xforms!$A$1,"")</f>
        <v/>
      </c>
      <c r="AM22" s="29" t="str">
        <f ca="1">IF(M22=3,"Просрочено уже 2 платежа подряд! "&amp;RIGHT(A22,LEN(A22)-SEARCH(" ",A22))&amp;", добрый день! &lt;br&gt;&lt;strong&gt;Сегодня ("&amp;TEXT(TODAY(),"ДД.ММ.ГГГГ")&amp;"), срок просрочки по Договору "&amp;B22&amp;" составил "&amp;C22&amp;" день/дня, сумма просроченной задолженности"&amp;TEXT(E22," # ##0,00")&amp;" руб.  (без учета пени). Требуем погасить просроченную задолженность не позднее "&amp;TEXT(TODAY()+3,"ДД.ММ.ГГГГ")&amp;"!"&amp;"&lt;br&gt;&lt;/strong&gt; Подробности в Вашем личном кабинете https://www.mfovzaimno.ru/login."&amp;xforms!$A$1,"")</f>
        <v>Просрочено уже 2 платежа подряд! Дмитрий Сергеевич, добрый день! &lt;br&gt;&lt;strong&gt;Сегодня (22.08.2024), срок просрочки по Договору В-28598/КЛ.Транш - 1_В-21082023/Ц составил 30 день/дня, сумма просроченной задолженности 59 421,96 руб.  (без учета пени). Требуем погасить просроченную задолженность не позднее 25.08.2024!&lt;br&gt;&lt;/strong&gt; Подробности в Вашем личном кабинете https://www.mfovzaimno.ru/login.&lt;br&gt;&lt;br&gt;&lt;i&gt;ООО КА «АЭК»&lt;br&gt;https://kaaek.ru/&lt;br&gt;123290 г. Москва вн. тер. Г. муниципальный округ Хорошевский&lt;br&gt; 1-ый Магистральный тупик д. 5а офис 39&lt;/i&gt;</v>
      </c>
      <c r="AN22" s="29" t="str">
        <f ca="1">IF(M22=4,"Просрочено уже 3 платежа подряд! "&amp;RIGHT(A22,LEN(A22)-SEARCH(" ",A22))&amp;", уведомляем Вас! &lt;br&gt;&lt;strong&gt;Сегодня ("&amp;TEXT(TODAY(),"ДД.ММ.ГГГГ")&amp;"), срок просрочки по Договору "&amp;B22&amp;" составил "&amp;C22&amp;" день/дня, сумма просроченной задолженности"&amp;TEXT(E22," # ##0,00")&amp;" руб.  (без учета пени). 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"&amp;TEXT(TODAY()+3,"ДД.ММ.ГГГГ")&amp;"!&lt;br&gt;&lt;/strong&gt; Подробности в Вашем личном кабинете https://www.mfovzaimno.ru/login."&amp;xforms!$A$1,"")</f>
        <v/>
      </c>
    </row>
    <row r="23" spans="1:40" x14ac:dyDescent="0.25">
      <c r="A23" s="29" t="s">
        <v>88</v>
      </c>
      <c r="B23" s="29" t="s">
        <v>89</v>
      </c>
      <c r="C23" s="29">
        <v>35</v>
      </c>
      <c r="D23" s="30">
        <v>45491</v>
      </c>
      <c r="E23" s="29">
        <v>18106.27</v>
      </c>
      <c r="F23" s="29">
        <v>82778.91</v>
      </c>
      <c r="G23" s="29" t="str">
        <f>IFERROR(IF(VLOOKUP(LEFT(B23,10),[1]Лист1!$A:$A,1,0)&lt;&gt;"","КО"),"ОСК")</f>
        <v>ОСК</v>
      </c>
      <c r="H23" s="29">
        <f t="array" ref="H23">ROW(INDEX([4]База_ОАПО!$B:$B,MAX(IF([4]База_ОАПО!$B:$B=B23,ROW([4]База_ОАПО!$B:$B)))))</f>
        <v>2001</v>
      </c>
      <c r="I23" s="29" t="str">
        <f>IF(AND(INDEX([4]База_ОАПО!$B:$E,H23,4)="",INDEX([4]База_ОАПО!$B:$G,H23,6)=""),"","Добавить")</f>
        <v/>
      </c>
      <c r="K23" s="29">
        <f>IFERROR(VLOOKUP(A23,[2]DataBase!$A:$B,2,0),"")</f>
        <v>79163572699</v>
      </c>
      <c r="L23" s="29" t="str">
        <f>IFERROR(IF(AND(VLOOKUP(A23,'[3]email(заем)'!A:D,3,0)="",VLOOKUP(A23,'[3]email(заем)'!A:D,4,0)=""),"мыла нет",IF(VLOOKUP(A23,'[3]email(заем)'!A:D,3,0)&lt;&gt;"",VLOOKUP(A23,'[3]email(заем)'!A:D,3,0),VLOOKUP(A23,'[3]email(заем)'!A:D,4,0))),"")</f>
        <v>ssidorov_09@mail.ru</v>
      </c>
      <c r="M23" s="29" t="str">
        <f t="shared" ca="1" si="0"/>
        <v/>
      </c>
      <c r="N23" s="29" t="str">
        <f t="shared" ca="1" si="1"/>
        <v/>
      </c>
      <c r="O23" s="29" t="str">
        <f ca="1">_xlfn.IFNA(IF(VLOOKUP(MID(K23,2,3)+0,мегафон!$A$1:$A$30,1,0)&lt;&gt;"",""),IF(M23=1,AF23,IF(M23=2,AG23,IF(M23=3,AH23,IF(M23=4,AI23,"")))))</f>
        <v/>
      </c>
      <c r="P23" s="29" t="str">
        <f t="shared" ca="1" si="2"/>
        <v/>
      </c>
      <c r="Q23" s="29" t="str">
        <f t="shared" ca="1" si="3"/>
        <v/>
      </c>
      <c r="AA23" s="29" t="str">
        <f t="shared" ca="1" si="4"/>
        <v/>
      </c>
      <c r="AB23" s="29" t="str">
        <f t="shared" ca="1" si="5"/>
        <v/>
      </c>
      <c r="AC23" s="29" t="str">
        <f t="shared" ca="1" si="6"/>
        <v/>
      </c>
      <c r="AD23" s="29" t="str">
        <f t="shared" ca="1" si="7"/>
        <v/>
      </c>
      <c r="AF23" s="29" t="str">
        <f t="shared" ca="1" si="8"/>
        <v/>
      </c>
      <c r="AG23" s="29" t="str">
        <f t="shared" ca="1" si="9"/>
        <v/>
      </c>
      <c r="AH23" s="29" t="str">
        <f t="shared" ca="1" si="10"/>
        <v/>
      </c>
      <c r="AI23" s="29" t="str">
        <f t="shared" ca="1" si="11"/>
        <v/>
      </c>
      <c r="AK23" s="29" t="str">
        <f ca="1">IF(M23=1,"Ежемесячный платеж просрочен! "&amp;RIGHT(A23,LEN(A23)-SEARCH(" ",A23))&amp;", здравствуйте! &lt;br&gt;"&amp;TEXT(D23,"ДД.ММ.ГГГГ")&amp;", наступила дата очередного ежемесячного платежа по договору "&amp;B23&amp;", платеж не состоялся. &lt;strong&gt;Сегодня("&amp;TEXT(TODAY(),"ДД.ММ.ГГГГ")&amp;"), срок просрочки по Договору № "&amp;B23&amp;" составил "&amp;C23&amp;" день/дня, сумма просроченной задолженности"&amp;TEXT(E23," # ##0,00")&amp;" руб. (без учета пени). &lt;/strong&gt;&lt;br&gt;Просим погасить просроченную задолженность в ближайшее время. &lt;br&gt;Подробности в Вашем личном кабинете https://www.mfovzaimno.ru/login."&amp;xforms!$A$1,"")</f>
        <v/>
      </c>
      <c r="AL23" s="29" t="str">
        <f ca="1">IF(M23=2,"Просрочка платежа достигла 10 дней! "&amp;RIGHT(A23,LEN(A23)-SEARCH(" ",A23))&amp;", здравствуйте! &lt;br&gt;&lt;strong&gt;Сегодня("&amp;TEXT(TODAY(),"ДД.ММ.ГГГГ")&amp;"), срок просрочки по Договору "&amp;B23&amp;" составил "&amp;C23&amp;" день/дня, сумма просроченной задолженности"&amp;TEXT(E23," # ##0,00")&amp;" руб.  (без учета пени). &lt;/strong&gt;&lt;br&gt;Убедительная просьба погасить просроченную задолженность в кратчайшие сроки! Подробности в Вашем личном кабинете https://www.mfovzaimno.ru/login."&amp;xforms!$A$1,"")</f>
        <v/>
      </c>
      <c r="AM23" s="29" t="str">
        <f ca="1">IF(M23=3,"Просрочено уже 2 платежа подряд! "&amp;RIGHT(A23,LEN(A23)-SEARCH(" ",A23))&amp;", добрый день! &lt;br&gt;&lt;strong&gt;Сегодня ("&amp;TEXT(TODAY(),"ДД.ММ.ГГГГ")&amp;"), срок просрочки по Договору "&amp;B23&amp;" составил "&amp;C23&amp;" день/дня, сумма просроченной задолженности"&amp;TEXT(E23," # ##0,00")&amp;" руб.  (без учета пени). Требуем погасить просроченную задолженность не позднее "&amp;TEXT(TODAY()+3,"ДД.ММ.ГГГГ")&amp;"!"&amp;"&lt;br&gt;&lt;/strong&gt; Подробности в Вашем личном кабинете https://www.mfovzaimno.ru/login."&amp;xforms!$A$1,"")</f>
        <v/>
      </c>
      <c r="AN23" s="29" t="str">
        <f ca="1">IF(M23=4,"Просрочено уже 3 платежа подряд! "&amp;RIGHT(A23,LEN(A23)-SEARCH(" ",A23))&amp;", уведомляем Вас! &lt;br&gt;&lt;strong&gt;Сегодня ("&amp;TEXT(TODAY(),"ДД.ММ.ГГГГ")&amp;"), срок просрочки по Договору "&amp;B23&amp;" составил "&amp;C23&amp;" день/дня, сумма просроченной задолженности"&amp;TEXT(E23," # ##0,00")&amp;" руб.  (без учета пени). 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"&amp;TEXT(TODAY()+3,"ДД.ММ.ГГГГ")&amp;"!&lt;br&gt;&lt;/strong&gt; Подробности в Вашем личном кабинете https://www.mfovzaimno.ru/login."&amp;xforms!$A$1,"")</f>
        <v/>
      </c>
    </row>
    <row r="24" spans="1:40" x14ac:dyDescent="0.25">
      <c r="A24" s="29" t="s">
        <v>52</v>
      </c>
      <c r="B24" s="29" t="s">
        <v>53</v>
      </c>
      <c r="C24" s="29">
        <v>39</v>
      </c>
      <c r="D24" s="30">
        <v>45487</v>
      </c>
      <c r="E24" s="29">
        <v>3934.74</v>
      </c>
      <c r="F24" s="29">
        <v>59055.08</v>
      </c>
      <c r="G24" s="29" t="str">
        <f>IFERROR(IF(VLOOKUP(LEFT(B24,10),[1]Лист1!$A:$A,1,0)&lt;&gt;"","КО"),"ОСК")</f>
        <v>ОСК</v>
      </c>
      <c r="H24" s="29">
        <f t="array" ref="H24">ROW(INDEX([4]База_ОАПО!$B:$B,MAX(IF([4]База_ОАПО!$B:$B=B24,ROW([4]База_ОАПО!$B:$B)))))</f>
        <v>2038</v>
      </c>
      <c r="I24" s="29" t="s">
        <v>1790</v>
      </c>
      <c r="K24" s="29">
        <f>IFERROR(VLOOKUP(A24,[2]DataBase!$A:$B,2,0),"")</f>
        <v>79621334524</v>
      </c>
      <c r="L24" s="29" t="str">
        <f>IFERROR(IF(AND(VLOOKUP(A24,'[3]email(заем)'!A:D,3,0)="",VLOOKUP(A24,'[3]email(заем)'!A:D,4,0)=""),"мыла нет",IF(VLOOKUP(A24,'[3]email(заем)'!A:D,3,0)&lt;&gt;"",VLOOKUP(A24,'[3]email(заем)'!A:D,3,0),VLOOKUP(A24,'[3]email(заем)'!A:D,4,0))),"")</f>
        <v>vasilijdudin9@gmail.com</v>
      </c>
      <c r="M24" s="29" t="str">
        <f t="shared" ca="1" si="0"/>
        <v/>
      </c>
      <c r="N24" s="29" t="str">
        <f t="shared" ca="1" si="1"/>
        <v/>
      </c>
      <c r="O24" s="29" t="str">
        <f ca="1">_xlfn.IFNA(IF(VLOOKUP(MID(K24,2,3)+0,мегафон!$A$1:$A$30,1,0)&lt;&gt;"",""),IF(M24=1,AF24,IF(M24=2,AG24,IF(M24=3,AH24,IF(M24=4,AI24,"")))))</f>
        <v/>
      </c>
      <c r="P24" s="29" t="str">
        <f t="shared" ca="1" si="2"/>
        <v/>
      </c>
      <c r="Q24" s="29" t="str">
        <f t="shared" ca="1" si="3"/>
        <v/>
      </c>
      <c r="AA24" s="29" t="str">
        <f t="shared" ca="1" si="4"/>
        <v/>
      </c>
      <c r="AB24" s="29" t="str">
        <f t="shared" ca="1" si="5"/>
        <v/>
      </c>
      <c r="AC24" s="29" t="str">
        <f t="shared" ca="1" si="6"/>
        <v/>
      </c>
      <c r="AD24" s="29" t="str">
        <f t="shared" ca="1" si="7"/>
        <v/>
      </c>
      <c r="AF24" s="29" t="str">
        <f t="shared" ca="1" si="8"/>
        <v/>
      </c>
      <c r="AG24" s="29" t="str">
        <f t="shared" ca="1" si="9"/>
        <v/>
      </c>
      <c r="AH24" s="29" t="str">
        <f t="shared" ca="1" si="10"/>
        <v/>
      </c>
      <c r="AI24" s="29" t="str">
        <f t="shared" ca="1" si="11"/>
        <v/>
      </c>
      <c r="AK24" s="29" t="str">
        <f ca="1">IF(M24=1,"Ежемесячный платеж просрочен! "&amp;RIGHT(A24,LEN(A24)-SEARCH(" ",A24))&amp;", здравствуйте! &lt;br&gt;"&amp;TEXT(D24,"ДД.ММ.ГГГГ")&amp;", наступила дата очередного ежемесячного платежа по договору "&amp;B24&amp;", платеж не состоялся. &lt;strong&gt;Сегодня("&amp;TEXT(TODAY(),"ДД.ММ.ГГГГ")&amp;"), срок просрочки по Договору № "&amp;B24&amp;" составил "&amp;C24&amp;" день/дня, сумма просроченной задолженности"&amp;TEXT(E24," # ##0,00")&amp;" руб. (без учета пени). &lt;/strong&gt;&lt;br&gt;Просим погасить просроченную задолженность в ближайшее время. &lt;br&gt;Подробности в Вашем личном кабинете https://www.mfovzaimno.ru/login."&amp;xforms!$A$1,"")</f>
        <v/>
      </c>
      <c r="AL24" s="29" t="str">
        <f ca="1">IF(M24=2,"Просрочка платежа достигла 10 дней! "&amp;RIGHT(A24,LEN(A24)-SEARCH(" ",A24))&amp;", здравствуйте! &lt;br&gt;&lt;strong&gt;Сегодня("&amp;TEXT(TODAY(),"ДД.ММ.ГГГГ")&amp;"), срок просрочки по Договору "&amp;B24&amp;" составил "&amp;C24&amp;" день/дня, сумма просроченной задолженности"&amp;TEXT(E24," # ##0,00")&amp;" руб.  (без учета пени). &lt;/strong&gt;&lt;br&gt;Убедительная просьба погасить просроченную задолженность в кратчайшие сроки! Подробности в Вашем личном кабинете https://www.mfovzaimno.ru/login."&amp;xforms!$A$1,"")</f>
        <v/>
      </c>
      <c r="AM24" s="29" t="str">
        <f ca="1">IF(M24=3,"Просрочено уже 2 платежа подряд! "&amp;RIGHT(A24,LEN(A24)-SEARCH(" ",A24))&amp;", добрый день! &lt;br&gt;&lt;strong&gt;Сегодня ("&amp;TEXT(TODAY(),"ДД.ММ.ГГГГ")&amp;"), срок просрочки по Договору "&amp;B24&amp;" составил "&amp;C24&amp;" день/дня, сумма просроченной задолженности"&amp;TEXT(E24," # ##0,00")&amp;" руб.  (без учета пени). Требуем погасить просроченную задолженность не позднее "&amp;TEXT(TODAY()+3,"ДД.ММ.ГГГГ")&amp;"!"&amp;"&lt;br&gt;&lt;/strong&gt; Подробности в Вашем личном кабинете https://www.mfovzaimno.ru/login."&amp;xforms!$A$1,"")</f>
        <v/>
      </c>
      <c r="AN24" s="29" t="str">
        <f ca="1">IF(M24=4,"Просрочено уже 3 платежа подряд! "&amp;RIGHT(A24,LEN(A24)-SEARCH(" ",A24))&amp;", уведомляем Вас! &lt;br&gt;&lt;strong&gt;Сегодня ("&amp;TEXT(TODAY(),"ДД.ММ.ГГГГ")&amp;"), срок просрочки по Договору "&amp;B24&amp;" составил "&amp;C24&amp;" день/дня, сумма просроченной задолженности"&amp;TEXT(E24," # ##0,00")&amp;" руб.  (без учета пени). 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"&amp;TEXT(TODAY()+3,"ДД.ММ.ГГГГ")&amp;"!&lt;br&gt;&lt;/strong&gt; Подробности в Вашем личном кабинете https://www.mfovzaimno.ru/login."&amp;xforms!$A$1,"")</f>
        <v/>
      </c>
    </row>
    <row r="25" spans="1:40" x14ac:dyDescent="0.25">
      <c r="A25" s="29" t="s">
        <v>45</v>
      </c>
      <c r="B25" s="29" t="s">
        <v>46</v>
      </c>
      <c r="C25" s="29">
        <v>40</v>
      </c>
      <c r="D25" s="30">
        <v>45486</v>
      </c>
      <c r="E25" s="29">
        <v>88463.2</v>
      </c>
      <c r="F25" s="29">
        <v>452267.28</v>
      </c>
      <c r="G25" s="29" t="str">
        <f>IFERROR(IF(VLOOKUP(LEFT(B25,10),[1]Лист1!$A:$A,1,0)&lt;&gt;"","КО"),"ОСК")</f>
        <v>ОСК</v>
      </c>
      <c r="H25" s="29">
        <f t="array" ref="H25">ROW(INDEX([4]База_ОАПО!$B:$B,MAX(IF([4]База_ОАПО!$B:$B=B25,ROW([4]База_ОАПО!$B:$B)))))</f>
        <v>1992</v>
      </c>
      <c r="I25" s="29" t="str">
        <f>IF(AND(INDEX([4]База_ОАПО!$B:$E,H25,4)="",INDEX([4]База_ОАПО!$B:$G,H25,6)=""),"","Добавить")</f>
        <v/>
      </c>
      <c r="K25" s="29">
        <f>IFERROR(VLOOKUP(A25,[2]DataBase!$A:$B,2,0),"")</f>
        <v>79156605620</v>
      </c>
      <c r="L25" s="29" t="str">
        <f>IFERROR(IF(AND(VLOOKUP(A25,'[3]email(заем)'!A:D,3,0)="",VLOOKUP(A25,'[3]email(заем)'!A:D,4,0)=""),"мыла нет",IF(VLOOKUP(A25,'[3]email(заем)'!A:D,3,0)&lt;&gt;"",VLOOKUP(A25,'[3]email(заем)'!A:D,3,0),VLOOKUP(A25,'[3]email(заем)'!A:D,4,0))),"")</f>
        <v>d.a.zotov84@mail.ru</v>
      </c>
      <c r="M25" s="29" t="str">
        <f t="shared" ca="1" si="0"/>
        <v/>
      </c>
      <c r="N25" s="29" t="str">
        <f t="shared" ca="1" si="1"/>
        <v/>
      </c>
      <c r="O25" s="29" t="str">
        <f ca="1">_xlfn.IFNA(IF(VLOOKUP(MID(K25,2,3)+0,мегафон!$A$1:$A$30,1,0)&lt;&gt;"",""),IF(M25=1,AF25,IF(M25=2,AG25,IF(M25=3,AH25,IF(M25=4,AI25,"")))))</f>
        <v/>
      </c>
      <c r="P25" s="29" t="str">
        <f t="shared" ca="1" si="2"/>
        <v/>
      </c>
      <c r="Q25" s="29" t="str">
        <f t="shared" ca="1" si="3"/>
        <v/>
      </c>
      <c r="AA25" s="29" t="str">
        <f t="shared" ca="1" si="4"/>
        <v/>
      </c>
      <c r="AB25" s="29" t="str">
        <f t="shared" ca="1" si="5"/>
        <v/>
      </c>
      <c r="AC25" s="29" t="str">
        <f t="shared" ca="1" si="6"/>
        <v/>
      </c>
      <c r="AD25" s="29" t="str">
        <f t="shared" ca="1" si="7"/>
        <v/>
      </c>
      <c r="AF25" s="29" t="str">
        <f t="shared" ca="1" si="8"/>
        <v/>
      </c>
      <c r="AG25" s="29" t="str">
        <f t="shared" ca="1" si="9"/>
        <v/>
      </c>
      <c r="AH25" s="29" t="str">
        <f t="shared" ca="1" si="10"/>
        <v/>
      </c>
      <c r="AI25" s="29" t="str">
        <f t="shared" ca="1" si="11"/>
        <v/>
      </c>
      <c r="AK25" s="29" t="str">
        <f ca="1">IF(M25=1,"Ежемесячный платеж просрочен! "&amp;RIGHT(A25,LEN(A25)-SEARCH(" ",A25))&amp;", здравствуйте! &lt;br&gt;"&amp;TEXT(D25,"ДД.ММ.ГГГГ")&amp;", наступила дата очередного ежемесячного платежа по договору "&amp;B25&amp;", платеж не состоялся. &lt;strong&gt;Сегодня("&amp;TEXT(TODAY(),"ДД.ММ.ГГГГ")&amp;"), срок просрочки по Договору № "&amp;B25&amp;" составил "&amp;C25&amp;" день/дня, сумма просроченной задолженности"&amp;TEXT(E25," # ##0,00")&amp;" руб. (без учета пени). &lt;/strong&gt;&lt;br&gt;Просим погасить просроченную задолженность в ближайшее время. &lt;br&gt;Подробности в Вашем личном кабинете https://www.mfovzaimno.ru/login."&amp;xforms!$A$1,"")</f>
        <v/>
      </c>
      <c r="AL25" s="29" t="str">
        <f ca="1">IF(M25=2,"Просрочка платежа достигла 10 дней! "&amp;RIGHT(A25,LEN(A25)-SEARCH(" ",A25))&amp;", здравствуйте! &lt;br&gt;&lt;strong&gt;Сегодня("&amp;TEXT(TODAY(),"ДД.ММ.ГГГГ")&amp;"), срок просрочки по Договору "&amp;B25&amp;" составил "&amp;C25&amp;" день/дня, сумма просроченной задолженности"&amp;TEXT(E25," # ##0,00")&amp;" руб.  (без учета пени). &lt;/strong&gt;&lt;br&gt;Убедительная просьба погасить просроченную задолженность в кратчайшие сроки! Подробности в Вашем личном кабинете https://www.mfovzaimno.ru/login."&amp;xforms!$A$1,"")</f>
        <v/>
      </c>
      <c r="AM25" s="29" t="str">
        <f ca="1">IF(M25=3,"Просрочено уже 2 платежа подряд! "&amp;RIGHT(A25,LEN(A25)-SEARCH(" ",A25))&amp;", добрый день! &lt;br&gt;&lt;strong&gt;Сегодня ("&amp;TEXT(TODAY(),"ДД.ММ.ГГГГ")&amp;"), срок просрочки по Договору "&amp;B25&amp;" составил "&amp;C25&amp;" день/дня, сумма просроченной задолженности"&amp;TEXT(E25," # ##0,00")&amp;" руб.  (без учета пени). Требуем погасить просроченную задолженность не позднее "&amp;TEXT(TODAY()+3,"ДД.ММ.ГГГГ")&amp;"!"&amp;"&lt;br&gt;&lt;/strong&gt; Подробности в Вашем личном кабинете https://www.mfovzaimno.ru/login."&amp;xforms!$A$1,"")</f>
        <v/>
      </c>
      <c r="AN25" s="29" t="str">
        <f ca="1">IF(M25=4,"Просрочено уже 3 платежа подряд! "&amp;RIGHT(A25,LEN(A25)-SEARCH(" ",A25))&amp;", уведомляем Вас! &lt;br&gt;&lt;strong&gt;Сегодня ("&amp;TEXT(TODAY(),"ДД.ММ.ГГГГ")&amp;"), срок просрочки по Договору "&amp;B25&amp;" составил "&amp;C25&amp;" день/дня, сумма просроченной задолженности"&amp;TEXT(E25," # ##0,00")&amp;" руб.  (без учета пени). 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"&amp;TEXT(TODAY()+3,"ДД.ММ.ГГГГ")&amp;"!&lt;br&gt;&lt;/strong&gt; Подробности в Вашем личном кабинете https://www.mfovzaimno.ru/login."&amp;xforms!$A$1,"")</f>
        <v/>
      </c>
    </row>
    <row r="26" spans="1:40" x14ac:dyDescent="0.25">
      <c r="A26" s="29" t="s">
        <v>146</v>
      </c>
      <c r="B26" s="29" t="s">
        <v>147</v>
      </c>
      <c r="C26" s="29">
        <v>59</v>
      </c>
      <c r="D26" s="30">
        <v>45467</v>
      </c>
      <c r="E26" s="29">
        <v>63370.32</v>
      </c>
      <c r="F26" s="29">
        <v>55322.09</v>
      </c>
      <c r="G26" s="29" t="str">
        <f>IFERROR(IF(VLOOKUP(LEFT(B26,10),[1]Лист1!$A:$A,1,0)&lt;&gt;"","КО"),"ОСК")</f>
        <v>ОСК</v>
      </c>
      <c r="H26" s="29">
        <f t="array" ref="H26">ROW(INDEX([4]База_ОАПО!$B:$B,MAX(IF([4]База_ОАПО!$B:$B=B26,ROW([4]База_ОАПО!$B:$B)))))</f>
        <v>1971</v>
      </c>
      <c r="I26" s="29" t="str">
        <f>IF(AND(INDEX([4]База_ОАПО!$B:$E,H26,4)="",INDEX([4]База_ОАПО!$B:$G,H26,6)=""),"","Добавить")</f>
        <v/>
      </c>
      <c r="K26" s="29">
        <f>IFERROR(VLOOKUP(A26,[2]DataBase!$A:$B,2,0),"")</f>
        <v>79161111516</v>
      </c>
      <c r="L26" s="29" t="str">
        <f>IFERROR(IF(AND(VLOOKUP(A26,'[3]email(заем)'!A:D,3,0)="",VLOOKUP(A26,'[3]email(заем)'!A:D,4,0)=""),"мыла нет",IF(VLOOKUP(A26,'[3]email(заем)'!A:D,3,0)&lt;&gt;"",VLOOKUP(A26,'[3]email(заем)'!A:D,3,0),VLOOKUP(A26,'[3]email(заем)'!A:D,4,0))),"")</f>
        <v>89161111516@mail.ru</v>
      </c>
      <c r="M26" s="29" t="str">
        <f t="shared" ca="1" si="0"/>
        <v/>
      </c>
      <c r="N26" s="29" t="str">
        <f t="shared" ca="1" si="1"/>
        <v/>
      </c>
      <c r="O26" s="29" t="str">
        <f ca="1">_xlfn.IFNA(IF(VLOOKUP(MID(K26,2,3)+0,мегафон!$A$1:$A$30,1,0)&lt;&gt;"",""),IF(M26=1,AF26,IF(M26=2,AG26,IF(M26=3,AH26,IF(M26=4,AI26,"")))))</f>
        <v/>
      </c>
      <c r="P26" s="29" t="str">
        <f t="shared" ca="1" si="2"/>
        <v/>
      </c>
      <c r="Q26" s="29" t="str">
        <f t="shared" ca="1" si="3"/>
        <v/>
      </c>
      <c r="AA26" s="29" t="str">
        <f t="shared" ca="1" si="4"/>
        <v/>
      </c>
      <c r="AB26" s="29" t="str">
        <f t="shared" ca="1" si="5"/>
        <v/>
      </c>
      <c r="AC26" s="29" t="str">
        <f t="shared" ca="1" si="6"/>
        <v/>
      </c>
      <c r="AD26" s="29" t="str">
        <f t="shared" ca="1" si="7"/>
        <v/>
      </c>
      <c r="AF26" s="29" t="str">
        <f t="shared" ca="1" si="8"/>
        <v/>
      </c>
      <c r="AG26" s="29" t="str">
        <f t="shared" ca="1" si="9"/>
        <v/>
      </c>
      <c r="AH26" s="29" t="str">
        <f t="shared" ca="1" si="10"/>
        <v/>
      </c>
      <c r="AI26" s="29" t="str">
        <f t="shared" ca="1" si="11"/>
        <v/>
      </c>
      <c r="AK26" s="29" t="str">
        <f ca="1">IF(M26=1,"Ежемесячный платеж просрочен! "&amp;RIGHT(A26,LEN(A26)-SEARCH(" ",A26))&amp;", здравствуйте! &lt;br&gt;"&amp;TEXT(D26,"ДД.ММ.ГГГГ")&amp;", наступила дата очередного ежемесячного платежа по договору "&amp;B26&amp;", платеж не состоялся. &lt;strong&gt;Сегодня("&amp;TEXT(TODAY(),"ДД.ММ.ГГГГ")&amp;"), срок просрочки по Договору № "&amp;B26&amp;" составил "&amp;C26&amp;" день/дня, сумма просроченной задолженности"&amp;TEXT(E26," # ##0,00")&amp;" руб. (без учета пени). &lt;/strong&gt;&lt;br&gt;Просим погасить просроченную задолженность в ближайшее время. &lt;br&gt;Подробности в Вашем личном кабинете https://www.mfovzaimno.ru/login."&amp;xforms!$A$1,"")</f>
        <v/>
      </c>
      <c r="AL26" s="29" t="str">
        <f ca="1">IF(M26=2,"Просрочка платежа достигла 10 дней! "&amp;RIGHT(A26,LEN(A26)-SEARCH(" ",A26))&amp;", здравствуйте! &lt;br&gt;&lt;strong&gt;Сегодня("&amp;TEXT(TODAY(),"ДД.ММ.ГГГГ")&amp;"), срок просрочки по Договору "&amp;B26&amp;" составил "&amp;C26&amp;" день/дня, сумма просроченной задолженности"&amp;TEXT(E26," # ##0,00")&amp;" руб.  (без учета пени). &lt;/strong&gt;&lt;br&gt;Убедительная просьба погасить просроченную задолженность в кратчайшие сроки! Подробности в Вашем личном кабинете https://www.mfovzaimno.ru/login."&amp;xforms!$A$1,"")</f>
        <v/>
      </c>
      <c r="AM26" s="29" t="str">
        <f ca="1">IF(M26=3,"Просрочено уже 2 платежа подряд! "&amp;RIGHT(A26,LEN(A26)-SEARCH(" ",A26))&amp;", добрый день! &lt;br&gt;&lt;strong&gt;Сегодня ("&amp;TEXT(TODAY(),"ДД.ММ.ГГГГ")&amp;"), срок просрочки по Договору "&amp;B26&amp;" составил "&amp;C26&amp;" день/дня, сумма просроченной задолженности"&amp;TEXT(E26," # ##0,00")&amp;" руб.  (без учета пени). Требуем погасить просроченную задолженность не позднее "&amp;TEXT(TODAY()+3,"ДД.ММ.ГГГГ")&amp;"!"&amp;"&lt;br&gt;&lt;/strong&gt; Подробности в Вашем личном кабинете https://www.mfovzaimno.ru/login."&amp;xforms!$A$1,"")</f>
        <v/>
      </c>
      <c r="AN26" s="29" t="str">
        <f ca="1">IF(M26=4,"Просрочено уже 3 платежа подряд! "&amp;RIGHT(A26,LEN(A26)-SEARCH(" ",A26))&amp;", уведомляем Вас! &lt;br&gt;&lt;strong&gt;Сегодня ("&amp;TEXT(TODAY(),"ДД.ММ.ГГГГ")&amp;"), срок просрочки по Договору "&amp;B26&amp;" составил "&amp;C26&amp;" день/дня, сумма просроченной задолженности"&amp;TEXT(E26," # ##0,00")&amp;" руб.  (без учета пени). 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"&amp;TEXT(TODAY()+3,"ДД.ММ.ГГГГ")&amp;"!&lt;br&gt;&lt;/strong&gt; Подробности в Вашем личном кабинете https://www.mfovzaimno.ru/login."&amp;xforms!$A$1,"")</f>
        <v/>
      </c>
    </row>
    <row r="27" spans="1:40" x14ac:dyDescent="0.25">
      <c r="A27" s="29" t="s">
        <v>45</v>
      </c>
      <c r="B27" s="29" t="s">
        <v>114</v>
      </c>
      <c r="C27" s="29">
        <v>62</v>
      </c>
      <c r="D27" s="30">
        <v>45464</v>
      </c>
      <c r="E27" s="29">
        <v>15062.13</v>
      </c>
      <c r="F27" s="29">
        <v>107148.59</v>
      </c>
      <c r="G27" s="29" t="str">
        <f>IFERROR(IF(VLOOKUP(LEFT(B27,10),[1]Лист1!$A:$A,1,0)&lt;&gt;"","КО"),"ОСК")</f>
        <v>ОСК</v>
      </c>
      <c r="H27" s="29">
        <f t="array" ref="H27">ROW(INDEX([4]База_ОАПО!$B:$B,MAX(IF([4]База_ОАПО!$B:$B=B27,ROW([4]База_ОАПО!$B:$B)))))</f>
        <v>1967</v>
      </c>
      <c r="I27" s="29" t="str">
        <f>IF(AND(INDEX([4]База_ОАПО!$B:$E,H27,4)="",INDEX([4]База_ОАПО!$B:$G,H27,6)=""),"","Добавить")</f>
        <v/>
      </c>
      <c r="K27" s="29">
        <v>89257393920</v>
      </c>
      <c r="L27" s="29" t="str">
        <f>IFERROR(IF(AND(VLOOKUP(A27,'[3]email(заем)'!A:D,3,0)="",VLOOKUP(A27,'[3]email(заем)'!A:D,4,0)=""),"мыла нет",IF(VLOOKUP(A27,'[3]email(заем)'!A:D,3,0)&lt;&gt;"",VLOOKUP(A27,'[3]email(заем)'!A:D,3,0),VLOOKUP(A27,'[3]email(заем)'!A:D,4,0))),"")</f>
        <v>d.a.zotov84@mail.ru</v>
      </c>
      <c r="M27" s="29">
        <v>4</v>
      </c>
      <c r="N27" s="28" t="str">
        <f t="shared" ca="1" si="1"/>
        <v>*Просрочено уже 3 платежа подряд!*%0A%0AДмитрий Анатольевич, уведомляем Вас!%0AСегодня (22.08.2024), срок просрочки по Договору № В-23555/КЛ.Транш - 2_В-21082023/Ц составил 62 день/дня, сумма просроченной задолженности 15 062,13 руб.  (*без учета пени*).%0A*Во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25.08.2024!*%0AПодробности в Вашем личном кабинете https://www.mfovzaimno.ru/login.%0A%0AООО КА «АЭК»</v>
      </c>
      <c r="O27" s="29" t="str">
        <f>_xlfn.IFNA(IF(VLOOKUP(MID(K27,2,3)+0,мегафон!$A$1:$A$30,1,0)&lt;&gt;"",""),IF(M27=1,AF27,IF(M27=2,AG27,IF(M27=3,AH27,IF(M27=4,AI27,"")))))</f>
        <v/>
      </c>
      <c r="P27" s="29" t="str">
        <f t="shared" si="2"/>
        <v>Просрочено уже 3 платежа подряд!</v>
      </c>
      <c r="Q27" s="29" t="str">
        <f t="shared" ca="1" si="3"/>
        <v>Дмитрий Анатольевич, уведомляем Вас! &lt;br&gt;&lt;strong&gt;Сегодня (22.08.2024), срок просрочки по Договору В-23555/КЛ.Транш - 2_В-21082023/Ц составил 62 день/дня, сумма просроченной задолженности 15 062,13 руб. (без учета пени). 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25.08.2024!&lt;br&gt;&lt;/strong&gt; Подробности в Вашем личном кабинете https://www.mfovzaimno.ru/login.&lt;br&gt;&lt;br&gt;&lt;i&gt;ООО КА «АЭК»&lt;br&gt;https://kaaek.ru/&lt;br&gt;123290 г. Москва вн. тер. Г. муниципальный округ Хорошевский&lt;br&gt; 1-ый Магистральный тупик д. 5а офис 39&lt;/i&gt;</v>
      </c>
      <c r="AA27" s="29" t="str">
        <f t="shared" ca="1" si="4"/>
        <v/>
      </c>
      <c r="AB27" s="29" t="str">
        <f t="shared" ca="1" si="5"/>
        <v/>
      </c>
      <c r="AC27" s="29" t="str">
        <f t="shared" ca="1" si="6"/>
        <v/>
      </c>
      <c r="AD27" s="29" t="str">
        <f t="shared" ca="1" si="7"/>
        <v>*Просрочено уже 3 платежа подряд!*%0A%0AДмитрий Анатольевич, уведомляем Вас!%0AСегодня (22.08.2024), срок просрочки по Договору № В-23555/КЛ.Транш - 2_В-21082023/Ц составил 62 день/дня, сумма просроченной задолженности 15 062,13 руб.  (*без учета пени*).%0A*Во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25.08.2024!*%0AПодробности в Вашем личном кабинете https://www.mfovzaimno.ru/login.%0A%0AООО КА «АЭК»</v>
      </c>
      <c r="AF27" s="29" t="str">
        <f t="shared" ca="1" si="8"/>
        <v/>
      </c>
      <c r="AG27" s="29" t="str">
        <f t="shared" ca="1" si="9"/>
        <v/>
      </c>
      <c r="AH27" s="29" t="str">
        <f t="shared" ca="1" si="10"/>
        <v/>
      </c>
      <c r="AI27" s="29" t="str">
        <f t="shared" ca="1" si="11"/>
        <v/>
      </c>
      <c r="AK27" s="29" t="str">
        <f ca="1">IF(M27=1,"Ежемесячный платеж просрочен! "&amp;RIGHT(A27,LEN(A27)-SEARCH(" ",A27))&amp;", здравствуйте! &lt;br&gt;"&amp;TEXT(D27,"ДД.ММ.ГГГГ")&amp;", наступила дата очередного ежемесячного платежа по договору "&amp;B27&amp;", платеж не состоялся. &lt;strong&gt;Сегодня("&amp;TEXT(TODAY(),"ДД.ММ.ГГГГ")&amp;"), срок просрочки по Договору № "&amp;B27&amp;" составил "&amp;C27&amp;" день/дня, сумма просроченной задолженности"&amp;TEXT(E27," # ##0,00")&amp;" руб. (без учета пени). &lt;/strong&gt;&lt;br&gt;Просим погасить просроченную задолженность в ближайшее время. &lt;br&gt;Подробности в Вашем личном кабинете https://www.mfovzaimno.ru/login."&amp;xforms!$A$1,"")</f>
        <v/>
      </c>
      <c r="AL27" s="29" t="str">
        <f ca="1">IF(M27=2,"Просрочка платежа достигла 10 дней! "&amp;RIGHT(A27,LEN(A27)-SEARCH(" ",A27))&amp;", здравствуйте! &lt;br&gt;&lt;strong&gt;Сегодня("&amp;TEXT(TODAY(),"ДД.ММ.ГГГГ")&amp;"), срок просрочки по Договору "&amp;B27&amp;" составил "&amp;C27&amp;" день/дня, сумма просроченной задолженности"&amp;TEXT(E27," # ##0,00")&amp;" руб.  (без учета пени). &lt;/strong&gt;&lt;br&gt;Убедительная просьба погасить просроченную задолженность в кратчайшие сроки! Подробности в Вашем личном кабинете https://www.mfovzaimno.ru/login."&amp;xforms!$A$1,"")</f>
        <v/>
      </c>
      <c r="AM27" s="29" t="str">
        <f ca="1">IF(M27=3,"Просрочено уже 2 платежа подряд! "&amp;RIGHT(A27,LEN(A27)-SEARCH(" ",A27))&amp;", добрый день! &lt;br&gt;&lt;strong&gt;Сегодня ("&amp;TEXT(TODAY(),"ДД.ММ.ГГГГ")&amp;"), срок просрочки по Договору "&amp;B27&amp;" составил "&amp;C27&amp;" день/дня, сумма просроченной задолженности"&amp;TEXT(E27," # ##0,00")&amp;" руб.  (без учета пени). Требуем погасить просроченную задолженность не позднее "&amp;TEXT(TODAY()+3,"ДД.ММ.ГГГГ")&amp;"!"&amp;"&lt;br&gt;&lt;/strong&gt; Подробности в Вашем личном кабинете https://www.mfovzaimno.ru/login."&amp;xforms!$A$1,"")</f>
        <v/>
      </c>
      <c r="AN27" s="29" t="str">
        <f ca="1">IF(M27=4,"Просрочено уже 3 платежа подряд! "&amp;RIGHT(A27,LEN(A27)-SEARCH(" ",A27))&amp;", уведомляем Вас! &lt;br&gt;&lt;strong&gt;Сегодня ("&amp;TEXT(TODAY(),"ДД.ММ.ГГГГ")&amp;"), срок просрочки по Договору "&amp;B27&amp;" составил "&amp;C27&amp;" день/дня, сумма просроченной задолженности"&amp;TEXT(E27," # ##0,00")&amp;" руб.  (без учета пени). 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"&amp;TEXT(TODAY()+3,"ДД.ММ.ГГГГ")&amp;"!&lt;br&gt;&lt;/strong&gt; Подробности в Вашем личном кабинете https://www.mfovzaimno.ru/login."&amp;xforms!$A$1,"")</f>
        <v>Просрочено уже 3 платежа подряд! Дмитрий Анатольевич, уведомляем Вас! &lt;br&gt;&lt;strong&gt;Сегодня (22.08.2024), срок просрочки по Договору В-23555/КЛ.Транш - 2_В-21082023/Ц составил 62 день/дня, сумма просроченной задолженности 15 062,13 руб.  (без учета пени). 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25.08.2024!&lt;br&gt;&lt;/strong&gt; Подробности в Вашем личном кабинете https://www.mfovzaimno.ru/login.&lt;br&gt;&lt;br&gt;&lt;i&gt;ООО КА «АЭК»&lt;br&gt;https://kaaek.ru/&lt;br&gt;123290 г. Москва вн. тер. Г. муниципальный округ Хорошевский&lt;br&gt; 1-ый Магистральный тупик д. 5а офис 39&lt;/i&gt;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E1336-437F-46B0-B4EB-537F421490FB}">
  <sheetPr codeName="Sheet2"/>
  <dimension ref="A2:L792"/>
  <sheetViews>
    <sheetView workbookViewId="0">
      <selection activeCell="B24" sqref="B24"/>
    </sheetView>
  </sheetViews>
  <sheetFormatPr defaultRowHeight="15" x14ac:dyDescent="0.25"/>
  <sheetData>
    <row r="2" spans="1:12" x14ac:dyDescent="0.25">
      <c r="A2" t="s">
        <v>285</v>
      </c>
    </row>
    <row r="4" spans="1:12" x14ac:dyDescent="0.25">
      <c r="A4" t="s">
        <v>3</v>
      </c>
      <c r="B4" t="s">
        <v>286</v>
      </c>
    </row>
    <row r="5" spans="1:12" x14ac:dyDescent="0.25">
      <c r="B5" t="s">
        <v>300</v>
      </c>
    </row>
    <row r="6" spans="1:12" x14ac:dyDescent="0.25">
      <c r="B6" t="s">
        <v>288</v>
      </c>
    </row>
    <row r="7" spans="1:12" x14ac:dyDescent="0.25">
      <c r="B7" t="s">
        <v>289</v>
      </c>
    </row>
    <row r="8" spans="1:12" x14ac:dyDescent="0.25">
      <c r="A8" t="s">
        <v>4</v>
      </c>
      <c r="B8" t="s">
        <v>301</v>
      </c>
    </row>
    <row r="9" spans="1:12" x14ac:dyDescent="0.25">
      <c r="B9" t="s">
        <v>302</v>
      </c>
    </row>
    <row r="10" spans="1:12" x14ac:dyDescent="0.25">
      <c r="B10" t="s">
        <v>303</v>
      </c>
    </row>
    <row r="11" spans="1:12" x14ac:dyDescent="0.25">
      <c r="B11" t="s">
        <v>304</v>
      </c>
    </row>
    <row r="12" spans="1:12" x14ac:dyDescent="0.25">
      <c r="B12" t="s">
        <v>305</v>
      </c>
    </row>
    <row r="13" spans="1:12" x14ac:dyDescent="0.25">
      <c r="B13" t="s">
        <v>306</v>
      </c>
    </row>
    <row r="15" spans="1:12" x14ac:dyDescent="0.25">
      <c r="A15" t="s">
        <v>295</v>
      </c>
      <c r="B15" t="s">
        <v>278</v>
      </c>
      <c r="C15" t="s">
        <v>296</v>
      </c>
      <c r="D15" t="s">
        <v>297</v>
      </c>
      <c r="E15" t="s">
        <v>307</v>
      </c>
      <c r="G15" t="s">
        <v>308</v>
      </c>
      <c r="I15" t="s">
        <v>309</v>
      </c>
      <c r="K15" t="s">
        <v>310</v>
      </c>
      <c r="L15" t="s">
        <v>311</v>
      </c>
    </row>
    <row r="16" spans="1:12" x14ac:dyDescent="0.25">
      <c r="E16" t="s">
        <v>298</v>
      </c>
      <c r="F16" t="s">
        <v>299</v>
      </c>
      <c r="G16" t="s">
        <v>299</v>
      </c>
      <c r="H16" t="s">
        <v>298</v>
      </c>
      <c r="I16" t="s">
        <v>298</v>
      </c>
      <c r="J16" t="s">
        <v>299</v>
      </c>
      <c r="K16" t="s">
        <v>298</v>
      </c>
      <c r="L16" t="s">
        <v>299</v>
      </c>
    </row>
    <row r="17" spans="1:12" x14ac:dyDescent="0.25">
      <c r="A17" t="s">
        <v>312</v>
      </c>
      <c r="B17" t="s">
        <v>313</v>
      </c>
      <c r="C17" t="s">
        <v>314</v>
      </c>
      <c r="D17" s="10">
        <v>41846</v>
      </c>
      <c r="E17">
        <v>50321.72</v>
      </c>
      <c r="F17">
        <v>50321.72</v>
      </c>
      <c r="G17">
        <v>50321.72</v>
      </c>
      <c r="H17">
        <v>50321.72</v>
      </c>
    </row>
    <row r="18" spans="1:12" x14ac:dyDescent="0.25">
      <c r="A18" t="s">
        <v>315</v>
      </c>
      <c r="B18" t="s">
        <v>316</v>
      </c>
      <c r="C18" t="s">
        <v>317</v>
      </c>
      <c r="D18" s="10">
        <v>41933</v>
      </c>
      <c r="E18">
        <v>9105.8799999999992</v>
      </c>
      <c r="F18">
        <v>9105.8799999999992</v>
      </c>
      <c r="K18">
        <v>9105.8799999999992</v>
      </c>
    </row>
    <row r="19" spans="1:12" x14ac:dyDescent="0.25">
      <c r="A19" t="s">
        <v>318</v>
      </c>
      <c r="B19" t="s">
        <v>319</v>
      </c>
      <c r="C19" t="s">
        <v>320</v>
      </c>
      <c r="D19" s="10">
        <v>41988</v>
      </c>
      <c r="E19">
        <v>34135.199999999997</v>
      </c>
      <c r="F19">
        <v>34135.199999999997</v>
      </c>
      <c r="K19">
        <v>34135.199999999997</v>
      </c>
    </row>
    <row r="20" spans="1:12" x14ac:dyDescent="0.25">
      <c r="A20" t="s">
        <v>321</v>
      </c>
      <c r="B20" t="s">
        <v>322</v>
      </c>
      <c r="C20" t="s">
        <v>323</v>
      </c>
      <c r="D20" s="10">
        <v>42096</v>
      </c>
      <c r="E20">
        <v>54459.21</v>
      </c>
      <c r="F20">
        <v>54459.21</v>
      </c>
      <c r="K20">
        <v>54459.21</v>
      </c>
    </row>
    <row r="21" spans="1:12" x14ac:dyDescent="0.25">
      <c r="A21" t="s">
        <v>324</v>
      </c>
      <c r="B21" t="s">
        <v>325</v>
      </c>
      <c r="C21" t="s">
        <v>326</v>
      </c>
      <c r="D21" s="10">
        <v>42235</v>
      </c>
      <c r="E21">
        <v>920090.91</v>
      </c>
      <c r="F21">
        <v>920090.91</v>
      </c>
      <c r="G21">
        <v>790065.38</v>
      </c>
      <c r="H21">
        <v>790065.38</v>
      </c>
      <c r="I21">
        <v>5191.51</v>
      </c>
      <c r="J21">
        <v>5191.51</v>
      </c>
      <c r="K21">
        <v>105300</v>
      </c>
      <c r="L21">
        <v>19534.02</v>
      </c>
    </row>
    <row r="22" spans="1:12" x14ac:dyDescent="0.25">
      <c r="A22" t="s">
        <v>327</v>
      </c>
      <c r="B22" t="s">
        <v>325</v>
      </c>
      <c r="C22" t="s">
        <v>326</v>
      </c>
      <c r="D22" s="10">
        <v>42235</v>
      </c>
      <c r="E22">
        <v>400695.38</v>
      </c>
      <c r="F22">
        <v>400695.38</v>
      </c>
      <c r="G22">
        <v>338209.27</v>
      </c>
      <c r="H22">
        <v>338209.27</v>
      </c>
      <c r="I22">
        <v>7050.63</v>
      </c>
      <c r="J22">
        <v>7050.63</v>
      </c>
      <c r="K22">
        <v>42120</v>
      </c>
      <c r="L22">
        <v>13315.48</v>
      </c>
    </row>
    <row r="23" spans="1:12" x14ac:dyDescent="0.25">
      <c r="A23" t="s">
        <v>328</v>
      </c>
      <c r="B23" t="s">
        <v>329</v>
      </c>
      <c r="C23" t="s">
        <v>330</v>
      </c>
      <c r="D23" s="10">
        <v>42325</v>
      </c>
      <c r="E23">
        <v>9260.08</v>
      </c>
      <c r="F23">
        <v>9260.08</v>
      </c>
      <c r="K23">
        <v>9260.08</v>
      </c>
    </row>
    <row r="24" spans="1:12" x14ac:dyDescent="0.25">
      <c r="A24" t="s">
        <v>331</v>
      </c>
      <c r="B24" t="s">
        <v>332</v>
      </c>
      <c r="C24" t="s">
        <v>333</v>
      </c>
      <c r="D24" s="10">
        <v>42382</v>
      </c>
      <c r="E24">
        <v>3095.1</v>
      </c>
      <c r="F24">
        <v>3095.1</v>
      </c>
      <c r="K24">
        <v>3095.1</v>
      </c>
    </row>
    <row r="25" spans="1:12" x14ac:dyDescent="0.25">
      <c r="A25" t="s">
        <v>334</v>
      </c>
      <c r="B25" t="s">
        <v>335</v>
      </c>
      <c r="C25" t="s">
        <v>336</v>
      </c>
      <c r="D25" s="10">
        <v>42395</v>
      </c>
      <c r="E25">
        <v>9591.57</v>
      </c>
      <c r="F25">
        <v>9591.57</v>
      </c>
      <c r="K25">
        <v>9591.57</v>
      </c>
    </row>
    <row r="26" spans="1:12" x14ac:dyDescent="0.25">
      <c r="A26" t="s">
        <v>337</v>
      </c>
      <c r="B26" t="s">
        <v>338</v>
      </c>
      <c r="C26" t="s">
        <v>339</v>
      </c>
      <c r="D26" s="10">
        <v>42502</v>
      </c>
      <c r="E26">
        <v>5050.18</v>
      </c>
      <c r="F26">
        <v>5050.18</v>
      </c>
      <c r="K26">
        <v>5050.18</v>
      </c>
    </row>
    <row r="27" spans="1:12" x14ac:dyDescent="0.25">
      <c r="A27" t="s">
        <v>340</v>
      </c>
      <c r="B27" t="s">
        <v>341</v>
      </c>
      <c r="C27" t="s">
        <v>342</v>
      </c>
      <c r="D27" s="10">
        <v>42646</v>
      </c>
      <c r="E27">
        <v>22575.49</v>
      </c>
      <c r="F27">
        <v>22575.49</v>
      </c>
      <c r="K27">
        <v>22575.49</v>
      </c>
    </row>
    <row r="28" spans="1:12" x14ac:dyDescent="0.25">
      <c r="A28" t="s">
        <v>343</v>
      </c>
      <c r="B28" t="s">
        <v>344</v>
      </c>
      <c r="C28" t="s">
        <v>345</v>
      </c>
      <c r="D28" s="10">
        <v>42716</v>
      </c>
      <c r="E28">
        <v>15385.52</v>
      </c>
      <c r="F28">
        <v>15385.52</v>
      </c>
      <c r="K28">
        <v>13931.17</v>
      </c>
      <c r="L28">
        <v>1454.35</v>
      </c>
    </row>
    <row r="29" spans="1:12" x14ac:dyDescent="0.25">
      <c r="A29" t="s">
        <v>346</v>
      </c>
      <c r="B29" t="s">
        <v>347</v>
      </c>
      <c r="C29" t="s">
        <v>348</v>
      </c>
      <c r="D29" s="10">
        <v>42778</v>
      </c>
      <c r="E29">
        <v>277410.13</v>
      </c>
      <c r="F29">
        <v>277410.13</v>
      </c>
      <c r="G29">
        <v>177377.81</v>
      </c>
      <c r="H29">
        <v>177377.81</v>
      </c>
      <c r="I29">
        <v>2787.43</v>
      </c>
      <c r="J29">
        <v>2787.43</v>
      </c>
      <c r="K29">
        <v>82788.850000000006</v>
      </c>
      <c r="L29">
        <v>14456.04</v>
      </c>
    </row>
    <row r="30" spans="1:12" x14ac:dyDescent="0.25">
      <c r="A30" t="s">
        <v>349</v>
      </c>
      <c r="B30" t="s">
        <v>350</v>
      </c>
      <c r="C30" t="s">
        <v>351</v>
      </c>
      <c r="D30" s="10">
        <v>43124</v>
      </c>
      <c r="E30">
        <v>41982.73</v>
      </c>
      <c r="F30">
        <v>41982.73</v>
      </c>
      <c r="K30">
        <v>32482.73</v>
      </c>
    </row>
    <row r="31" spans="1:12" x14ac:dyDescent="0.25">
      <c r="A31" t="s">
        <v>352</v>
      </c>
      <c r="B31" t="s">
        <v>353</v>
      </c>
      <c r="C31" t="s">
        <v>354</v>
      </c>
      <c r="D31" s="10">
        <v>43126</v>
      </c>
      <c r="E31">
        <v>13116.34</v>
      </c>
      <c r="F31">
        <v>13116.34</v>
      </c>
      <c r="L31">
        <v>13116.34</v>
      </c>
    </row>
    <row r="32" spans="1:12" x14ac:dyDescent="0.25">
      <c r="A32" t="s">
        <v>355</v>
      </c>
      <c r="B32" t="s">
        <v>356</v>
      </c>
      <c r="C32" t="s">
        <v>357</v>
      </c>
      <c r="D32" s="10">
        <v>43224</v>
      </c>
      <c r="E32">
        <v>86765.440000000002</v>
      </c>
      <c r="F32">
        <v>86765.440000000002</v>
      </c>
      <c r="G32">
        <v>74064.639999999999</v>
      </c>
      <c r="H32">
        <v>74064.639999999999</v>
      </c>
      <c r="K32">
        <v>12700.8</v>
      </c>
    </row>
    <row r="33" spans="1:12" x14ac:dyDescent="0.25">
      <c r="A33" t="s">
        <v>358</v>
      </c>
      <c r="B33" t="s">
        <v>359</v>
      </c>
      <c r="C33" t="s">
        <v>360</v>
      </c>
      <c r="D33" s="10">
        <v>43316</v>
      </c>
      <c r="E33">
        <v>265093.13</v>
      </c>
      <c r="F33">
        <v>265093.13</v>
      </c>
      <c r="G33">
        <v>237811.57</v>
      </c>
      <c r="H33">
        <v>237811.57</v>
      </c>
      <c r="K33">
        <v>14418.26</v>
      </c>
      <c r="L33">
        <v>12863.3</v>
      </c>
    </row>
    <row r="34" spans="1:12" x14ac:dyDescent="0.25">
      <c r="A34" t="s">
        <v>361</v>
      </c>
      <c r="B34" t="s">
        <v>362</v>
      </c>
      <c r="C34" t="s">
        <v>363</v>
      </c>
      <c r="D34" s="10">
        <v>43335</v>
      </c>
      <c r="E34">
        <v>579940.81000000006</v>
      </c>
      <c r="F34">
        <v>579940.81000000006</v>
      </c>
      <c r="G34">
        <v>390307.52</v>
      </c>
      <c r="H34">
        <v>390307.52</v>
      </c>
      <c r="I34">
        <v>147339.82</v>
      </c>
      <c r="J34">
        <v>147339.82</v>
      </c>
      <c r="K34">
        <v>32616</v>
      </c>
      <c r="L34">
        <v>9677.4699999999993</v>
      </c>
    </row>
    <row r="35" spans="1:12" x14ac:dyDescent="0.25">
      <c r="A35" t="s">
        <v>364</v>
      </c>
      <c r="B35" t="s">
        <v>365</v>
      </c>
      <c r="C35" t="s">
        <v>366</v>
      </c>
      <c r="D35" s="10">
        <v>43349</v>
      </c>
      <c r="E35">
        <v>87140.45</v>
      </c>
      <c r="F35">
        <v>87140.45</v>
      </c>
      <c r="G35">
        <v>23079.02</v>
      </c>
      <c r="H35">
        <v>23079.02</v>
      </c>
      <c r="I35">
        <v>47574.68</v>
      </c>
      <c r="J35">
        <v>47574.68</v>
      </c>
      <c r="K35">
        <v>15000</v>
      </c>
      <c r="L35">
        <v>1486.75</v>
      </c>
    </row>
    <row r="36" spans="1:12" x14ac:dyDescent="0.25">
      <c r="A36" t="s">
        <v>367</v>
      </c>
      <c r="B36" t="s">
        <v>368</v>
      </c>
      <c r="C36" t="s">
        <v>369</v>
      </c>
      <c r="D36" s="10">
        <v>43357</v>
      </c>
      <c r="E36">
        <v>215017.79</v>
      </c>
      <c r="F36">
        <v>215017.79</v>
      </c>
      <c r="G36">
        <v>11487.64</v>
      </c>
      <c r="H36">
        <v>11487.64</v>
      </c>
      <c r="I36">
        <v>181954.93</v>
      </c>
      <c r="J36">
        <v>181954.93</v>
      </c>
      <c r="K36">
        <v>10206</v>
      </c>
      <c r="L36">
        <v>11369.22</v>
      </c>
    </row>
    <row r="37" spans="1:12" x14ac:dyDescent="0.25">
      <c r="A37" t="s">
        <v>370</v>
      </c>
      <c r="B37" t="s">
        <v>371</v>
      </c>
      <c r="C37" t="s">
        <v>372</v>
      </c>
      <c r="D37" s="10">
        <v>43365</v>
      </c>
      <c r="E37">
        <v>9758.5499999999993</v>
      </c>
      <c r="F37">
        <v>9758.5499999999993</v>
      </c>
      <c r="G37">
        <v>6644.39</v>
      </c>
      <c r="H37">
        <v>6644.39</v>
      </c>
      <c r="K37">
        <v>1838.8</v>
      </c>
      <c r="L37">
        <v>1275.3599999999999</v>
      </c>
    </row>
    <row r="38" spans="1:12" x14ac:dyDescent="0.25">
      <c r="A38" t="s">
        <v>373</v>
      </c>
      <c r="B38" t="s">
        <v>374</v>
      </c>
      <c r="C38" t="s">
        <v>372</v>
      </c>
      <c r="D38" s="10">
        <v>43365</v>
      </c>
      <c r="E38">
        <v>210281.48</v>
      </c>
      <c r="F38">
        <v>210281.48</v>
      </c>
      <c r="G38">
        <v>38603.040000000001</v>
      </c>
      <c r="H38">
        <v>38603.040000000001</v>
      </c>
      <c r="I38">
        <v>24129.54</v>
      </c>
      <c r="J38">
        <v>24129.54</v>
      </c>
      <c r="K38">
        <v>147548.9</v>
      </c>
    </row>
    <row r="39" spans="1:12" x14ac:dyDescent="0.25">
      <c r="A39" t="s">
        <v>375</v>
      </c>
      <c r="B39" t="s">
        <v>376</v>
      </c>
      <c r="C39" t="s">
        <v>372</v>
      </c>
      <c r="D39" s="10">
        <v>43365</v>
      </c>
      <c r="E39">
        <v>4913800.92</v>
      </c>
      <c r="F39">
        <v>4913800.92</v>
      </c>
      <c r="G39">
        <v>103129.7</v>
      </c>
      <c r="H39">
        <v>103129.7</v>
      </c>
      <c r="I39">
        <v>181991.54</v>
      </c>
      <c r="J39">
        <v>181991.54</v>
      </c>
      <c r="K39">
        <v>4628679.68</v>
      </c>
    </row>
    <row r="40" spans="1:12" x14ac:dyDescent="0.25">
      <c r="A40" t="s">
        <v>377</v>
      </c>
      <c r="B40" t="s">
        <v>378</v>
      </c>
      <c r="C40" t="s">
        <v>379</v>
      </c>
      <c r="D40" s="10">
        <v>43372</v>
      </c>
      <c r="E40">
        <v>1097027.43</v>
      </c>
      <c r="F40">
        <v>1097027.43</v>
      </c>
      <c r="G40">
        <v>127003.01</v>
      </c>
      <c r="H40">
        <v>127003.01</v>
      </c>
      <c r="I40">
        <v>714274.69</v>
      </c>
      <c r="J40">
        <v>714274.69</v>
      </c>
      <c r="K40">
        <v>255749.73</v>
      </c>
    </row>
    <row r="41" spans="1:12" x14ac:dyDescent="0.25">
      <c r="A41" t="s">
        <v>380</v>
      </c>
      <c r="B41" t="s">
        <v>381</v>
      </c>
      <c r="C41" t="s">
        <v>382</v>
      </c>
      <c r="D41" s="10">
        <v>43375</v>
      </c>
      <c r="E41">
        <v>192042.25</v>
      </c>
      <c r="F41">
        <v>192042.25</v>
      </c>
      <c r="G41">
        <v>40782.67</v>
      </c>
      <c r="H41">
        <v>40782.67</v>
      </c>
      <c r="I41">
        <v>124266.95</v>
      </c>
      <c r="J41">
        <v>124266.95</v>
      </c>
      <c r="K41">
        <v>15655.02</v>
      </c>
      <c r="L41">
        <v>11337.61</v>
      </c>
    </row>
    <row r="42" spans="1:12" x14ac:dyDescent="0.25">
      <c r="A42" t="s">
        <v>383</v>
      </c>
      <c r="B42" t="s">
        <v>384</v>
      </c>
      <c r="C42" t="s">
        <v>385</v>
      </c>
      <c r="D42" s="10">
        <v>43388</v>
      </c>
      <c r="E42">
        <v>481708.97</v>
      </c>
      <c r="F42">
        <v>481708.97</v>
      </c>
      <c r="G42">
        <v>123912.42</v>
      </c>
      <c r="H42">
        <v>123912.42</v>
      </c>
      <c r="I42">
        <v>334162.94</v>
      </c>
      <c r="J42">
        <v>334162.94</v>
      </c>
      <c r="K42">
        <v>11776.72</v>
      </c>
      <c r="L42">
        <v>11856.89</v>
      </c>
    </row>
    <row r="43" spans="1:12" x14ac:dyDescent="0.25">
      <c r="A43" t="s">
        <v>386</v>
      </c>
      <c r="B43" t="s">
        <v>387</v>
      </c>
      <c r="C43" t="s">
        <v>388</v>
      </c>
      <c r="D43" s="10">
        <v>43390</v>
      </c>
      <c r="E43">
        <v>1597121.3</v>
      </c>
      <c r="F43">
        <v>1597121.3</v>
      </c>
      <c r="G43">
        <v>250866.28</v>
      </c>
      <c r="H43">
        <v>250866.28</v>
      </c>
      <c r="I43">
        <v>1300398.07</v>
      </c>
      <c r="J43">
        <v>1300398.07</v>
      </c>
      <c r="K43">
        <v>30539.63</v>
      </c>
      <c r="L43">
        <v>15317.32</v>
      </c>
    </row>
    <row r="44" spans="1:12" x14ac:dyDescent="0.25">
      <c r="A44" t="s">
        <v>389</v>
      </c>
      <c r="B44" t="s">
        <v>390</v>
      </c>
      <c r="C44" t="s">
        <v>391</v>
      </c>
      <c r="D44" s="10">
        <v>43401</v>
      </c>
      <c r="E44">
        <v>154281.26</v>
      </c>
      <c r="F44">
        <v>154281.26</v>
      </c>
      <c r="G44">
        <v>4761.99</v>
      </c>
      <c r="H44">
        <v>4761.99</v>
      </c>
      <c r="I44">
        <v>136934.9</v>
      </c>
      <c r="J44">
        <v>136934.9</v>
      </c>
      <c r="K44">
        <v>3722.21</v>
      </c>
      <c r="L44">
        <v>8862.16</v>
      </c>
    </row>
    <row r="45" spans="1:12" x14ac:dyDescent="0.25">
      <c r="A45" t="s">
        <v>392</v>
      </c>
      <c r="B45" t="s">
        <v>393</v>
      </c>
      <c r="C45" t="s">
        <v>394</v>
      </c>
      <c r="D45" s="10">
        <v>43402</v>
      </c>
      <c r="E45">
        <v>590789.67000000004</v>
      </c>
      <c r="F45">
        <v>590789.67000000004</v>
      </c>
      <c r="G45">
        <v>150000</v>
      </c>
      <c r="H45">
        <v>150000</v>
      </c>
      <c r="I45">
        <v>428268.5</v>
      </c>
      <c r="J45">
        <v>428268.5</v>
      </c>
      <c r="K45">
        <v>9801</v>
      </c>
      <c r="L45">
        <v>2720.17</v>
      </c>
    </row>
    <row r="46" spans="1:12" x14ac:dyDescent="0.25">
      <c r="A46" t="s">
        <v>395</v>
      </c>
      <c r="B46" t="s">
        <v>396</v>
      </c>
      <c r="C46" t="s">
        <v>397</v>
      </c>
      <c r="D46" s="10">
        <v>43427</v>
      </c>
      <c r="E46">
        <v>192036.84</v>
      </c>
      <c r="F46">
        <v>192036.84</v>
      </c>
      <c r="G46">
        <v>9307.7199999999993</v>
      </c>
      <c r="H46">
        <v>9307.7199999999993</v>
      </c>
      <c r="I46">
        <v>167269.64000000001</v>
      </c>
      <c r="J46">
        <v>167269.64000000001</v>
      </c>
      <c r="K46">
        <v>5508</v>
      </c>
      <c r="L46">
        <v>9951.48</v>
      </c>
    </row>
    <row r="47" spans="1:12" x14ac:dyDescent="0.25">
      <c r="A47" t="s">
        <v>398</v>
      </c>
      <c r="B47" t="s">
        <v>399</v>
      </c>
      <c r="C47" t="s">
        <v>400</v>
      </c>
      <c r="D47" s="10">
        <v>43447</v>
      </c>
      <c r="E47">
        <v>173949.09</v>
      </c>
      <c r="F47">
        <v>173949.09</v>
      </c>
      <c r="G47">
        <v>62387.98</v>
      </c>
      <c r="H47">
        <v>62387.98</v>
      </c>
      <c r="I47">
        <v>18027.689999999999</v>
      </c>
      <c r="J47">
        <v>18027.689999999999</v>
      </c>
      <c r="K47">
        <v>79500</v>
      </c>
      <c r="L47">
        <v>14033.42</v>
      </c>
    </row>
    <row r="48" spans="1:12" x14ac:dyDescent="0.25">
      <c r="A48" t="s">
        <v>401</v>
      </c>
      <c r="B48" t="s">
        <v>402</v>
      </c>
      <c r="C48" t="s">
        <v>403</v>
      </c>
      <c r="D48" s="10">
        <v>43474</v>
      </c>
      <c r="E48">
        <v>744592.76</v>
      </c>
      <c r="F48">
        <v>744592.76</v>
      </c>
      <c r="G48">
        <v>108860.81</v>
      </c>
      <c r="H48">
        <v>108860.81</v>
      </c>
      <c r="I48">
        <v>411820.55</v>
      </c>
      <c r="J48">
        <v>411820.55</v>
      </c>
      <c r="K48">
        <v>214996.29</v>
      </c>
      <c r="L48">
        <v>8915.11</v>
      </c>
    </row>
    <row r="49" spans="1:12" x14ac:dyDescent="0.25">
      <c r="A49" t="s">
        <v>404</v>
      </c>
      <c r="B49" t="s">
        <v>405</v>
      </c>
      <c r="C49" t="s">
        <v>406</v>
      </c>
      <c r="D49" s="10">
        <v>43519</v>
      </c>
      <c r="E49">
        <v>1671033.78</v>
      </c>
      <c r="F49">
        <v>1671033.78</v>
      </c>
      <c r="G49">
        <v>487000</v>
      </c>
      <c r="H49">
        <v>487000</v>
      </c>
      <c r="I49">
        <v>1140033.7</v>
      </c>
      <c r="J49">
        <v>1140033.7</v>
      </c>
      <c r="K49">
        <v>28138.86</v>
      </c>
      <c r="L49">
        <v>15861.22</v>
      </c>
    </row>
    <row r="50" spans="1:12" x14ac:dyDescent="0.25">
      <c r="A50" t="s">
        <v>407</v>
      </c>
      <c r="B50" t="s">
        <v>408</v>
      </c>
      <c r="C50" t="s">
        <v>409</v>
      </c>
      <c r="D50" s="10">
        <v>43522</v>
      </c>
      <c r="E50">
        <v>132.62</v>
      </c>
      <c r="F50">
        <v>132.62</v>
      </c>
      <c r="K50">
        <v>132.62</v>
      </c>
    </row>
    <row r="51" spans="1:12" x14ac:dyDescent="0.25">
      <c r="A51" t="s">
        <v>410</v>
      </c>
      <c r="B51" t="s">
        <v>411</v>
      </c>
      <c r="C51" t="s">
        <v>412</v>
      </c>
      <c r="D51" s="10">
        <v>43524</v>
      </c>
      <c r="E51">
        <v>189035.9</v>
      </c>
      <c r="F51">
        <v>189035.9</v>
      </c>
      <c r="G51">
        <v>119588.77</v>
      </c>
      <c r="H51">
        <v>119588.77</v>
      </c>
      <c r="I51">
        <v>5573.62</v>
      </c>
      <c r="J51">
        <v>5573.62</v>
      </c>
      <c r="K51">
        <v>51423.17</v>
      </c>
      <c r="L51">
        <v>12450.34</v>
      </c>
    </row>
    <row r="52" spans="1:12" x14ac:dyDescent="0.25">
      <c r="A52" t="s">
        <v>413</v>
      </c>
      <c r="B52" t="s">
        <v>414</v>
      </c>
      <c r="C52" t="s">
        <v>415</v>
      </c>
      <c r="D52" s="10">
        <v>43566</v>
      </c>
      <c r="E52">
        <v>18681.93</v>
      </c>
      <c r="F52">
        <v>18681.93</v>
      </c>
      <c r="K52">
        <v>18681.93</v>
      </c>
    </row>
    <row r="53" spans="1:12" x14ac:dyDescent="0.25">
      <c r="A53" t="s">
        <v>416</v>
      </c>
      <c r="B53" t="s">
        <v>417</v>
      </c>
      <c r="C53" t="s">
        <v>418</v>
      </c>
      <c r="D53" s="10">
        <v>43575</v>
      </c>
      <c r="E53">
        <v>533220.43999999994</v>
      </c>
      <c r="F53">
        <v>533220.43999999994</v>
      </c>
      <c r="I53">
        <v>515530.87</v>
      </c>
      <c r="J53">
        <v>515530.87</v>
      </c>
      <c r="K53">
        <v>7939.57</v>
      </c>
      <c r="L53">
        <v>9750</v>
      </c>
    </row>
    <row r="54" spans="1:12" x14ac:dyDescent="0.25">
      <c r="A54" t="s">
        <v>419</v>
      </c>
      <c r="B54" t="s">
        <v>420</v>
      </c>
      <c r="C54" t="s">
        <v>421</v>
      </c>
      <c r="D54" s="10">
        <v>43577</v>
      </c>
      <c r="E54">
        <v>1643984.38</v>
      </c>
      <c r="F54">
        <v>1643984.38</v>
      </c>
      <c r="G54">
        <v>500000</v>
      </c>
      <c r="H54">
        <v>500000</v>
      </c>
      <c r="I54">
        <v>1093916.32</v>
      </c>
      <c r="J54">
        <v>1093916.32</v>
      </c>
      <c r="K54">
        <v>39690</v>
      </c>
      <c r="L54">
        <v>10378.06</v>
      </c>
    </row>
    <row r="55" spans="1:12" x14ac:dyDescent="0.25">
      <c r="A55" t="s">
        <v>422</v>
      </c>
      <c r="B55" t="s">
        <v>423</v>
      </c>
      <c r="C55" t="s">
        <v>424</v>
      </c>
      <c r="D55" s="10">
        <v>43591</v>
      </c>
      <c r="E55">
        <v>1621994.16</v>
      </c>
      <c r="F55">
        <v>1621994.16</v>
      </c>
      <c r="G55">
        <v>400000</v>
      </c>
      <c r="H55">
        <v>400000</v>
      </c>
      <c r="I55">
        <v>934487.71</v>
      </c>
      <c r="J55">
        <v>934487.71</v>
      </c>
      <c r="K55">
        <v>277560</v>
      </c>
      <c r="L55">
        <v>9946.4500000000007</v>
      </c>
    </row>
    <row r="56" spans="1:12" x14ac:dyDescent="0.25">
      <c r="A56" t="s">
        <v>425</v>
      </c>
      <c r="B56" t="s">
        <v>426</v>
      </c>
      <c r="C56" t="s">
        <v>427</v>
      </c>
      <c r="D56" s="10">
        <v>43605</v>
      </c>
      <c r="E56">
        <v>916411.1</v>
      </c>
      <c r="F56">
        <v>916411.1</v>
      </c>
      <c r="G56">
        <v>306273.46999999997</v>
      </c>
      <c r="H56">
        <v>306273.46999999997</v>
      </c>
      <c r="I56">
        <v>575413.89</v>
      </c>
      <c r="J56">
        <v>575413.89</v>
      </c>
      <c r="K56">
        <v>21346.639999999999</v>
      </c>
      <c r="L56">
        <v>13377.1</v>
      </c>
    </row>
    <row r="57" spans="1:12" x14ac:dyDescent="0.25">
      <c r="A57" t="s">
        <v>428</v>
      </c>
      <c r="B57" t="s">
        <v>423</v>
      </c>
      <c r="C57" t="s">
        <v>429</v>
      </c>
      <c r="D57" s="10">
        <v>43622</v>
      </c>
      <c r="E57">
        <v>1585897.61</v>
      </c>
      <c r="F57">
        <v>1585897.61</v>
      </c>
      <c r="G57">
        <v>400000</v>
      </c>
      <c r="H57">
        <v>400000</v>
      </c>
      <c r="I57">
        <v>905087.17</v>
      </c>
      <c r="J57">
        <v>905087.17</v>
      </c>
      <c r="K57">
        <v>270864</v>
      </c>
      <c r="L57">
        <v>9946.44</v>
      </c>
    </row>
    <row r="58" spans="1:12" x14ac:dyDescent="0.25">
      <c r="A58" t="s">
        <v>430</v>
      </c>
      <c r="B58" t="s">
        <v>431</v>
      </c>
      <c r="C58" t="s">
        <v>432</v>
      </c>
      <c r="D58" s="10">
        <v>43623</v>
      </c>
      <c r="E58">
        <v>297126.71999999997</v>
      </c>
      <c r="F58">
        <v>297126.71999999997</v>
      </c>
      <c r="G58">
        <v>98658.21</v>
      </c>
      <c r="H58">
        <v>98658.21</v>
      </c>
      <c r="I58">
        <v>182971.98</v>
      </c>
      <c r="J58">
        <v>182971.98</v>
      </c>
      <c r="K58">
        <v>5593.92</v>
      </c>
      <c r="L58">
        <v>9902.61</v>
      </c>
    </row>
    <row r="59" spans="1:12" x14ac:dyDescent="0.25">
      <c r="A59" t="s">
        <v>433</v>
      </c>
      <c r="B59" t="s">
        <v>434</v>
      </c>
      <c r="C59" t="s">
        <v>435</v>
      </c>
      <c r="D59" s="10">
        <v>43627</v>
      </c>
      <c r="E59">
        <v>746388.19</v>
      </c>
      <c r="F59">
        <v>746388.19</v>
      </c>
      <c r="G59">
        <v>252000</v>
      </c>
      <c r="H59">
        <v>252000</v>
      </c>
      <c r="I59">
        <v>468217.16</v>
      </c>
      <c r="J59">
        <v>468217.16</v>
      </c>
      <c r="K59">
        <v>13744.08</v>
      </c>
      <c r="L59">
        <v>12426.95</v>
      </c>
    </row>
    <row r="60" spans="1:12" x14ac:dyDescent="0.25">
      <c r="A60" t="s">
        <v>436</v>
      </c>
      <c r="B60" t="s">
        <v>417</v>
      </c>
      <c r="C60" t="s">
        <v>437</v>
      </c>
      <c r="D60" s="10">
        <v>43636</v>
      </c>
      <c r="E60">
        <v>523164.26</v>
      </c>
      <c r="F60">
        <v>523164.26</v>
      </c>
      <c r="I60">
        <v>523164.26</v>
      </c>
      <c r="J60">
        <v>523164.26</v>
      </c>
    </row>
    <row r="61" spans="1:12" x14ac:dyDescent="0.25">
      <c r="A61" t="s">
        <v>438</v>
      </c>
      <c r="B61" t="s">
        <v>439</v>
      </c>
      <c r="C61" t="s">
        <v>440</v>
      </c>
      <c r="D61" s="10">
        <v>43638</v>
      </c>
      <c r="E61">
        <v>5708.52</v>
      </c>
      <c r="F61">
        <v>5708.52</v>
      </c>
      <c r="K61">
        <v>5708.52</v>
      </c>
    </row>
    <row r="62" spans="1:12" x14ac:dyDescent="0.25">
      <c r="A62" t="s">
        <v>441</v>
      </c>
      <c r="B62" t="s">
        <v>442</v>
      </c>
      <c r="C62" t="s">
        <v>440</v>
      </c>
      <c r="D62" s="10">
        <v>43638</v>
      </c>
      <c r="E62">
        <v>497306.45</v>
      </c>
      <c r="F62">
        <v>497306.45</v>
      </c>
      <c r="G62">
        <v>98185.21</v>
      </c>
      <c r="H62">
        <v>98185.21</v>
      </c>
      <c r="I62">
        <v>289600.21999999997</v>
      </c>
      <c r="J62">
        <v>289600.21999999997</v>
      </c>
      <c r="K62">
        <v>99677.62</v>
      </c>
      <c r="L62">
        <v>9843.4</v>
      </c>
    </row>
    <row r="63" spans="1:12" x14ac:dyDescent="0.25">
      <c r="A63" t="s">
        <v>443</v>
      </c>
      <c r="B63" t="s">
        <v>444</v>
      </c>
      <c r="C63" t="s">
        <v>440</v>
      </c>
      <c r="D63" s="10">
        <v>43638</v>
      </c>
      <c r="E63">
        <v>1910618.45</v>
      </c>
      <c r="F63">
        <v>1910618.45</v>
      </c>
      <c r="G63">
        <v>520000</v>
      </c>
      <c r="H63">
        <v>520000</v>
      </c>
      <c r="I63">
        <v>1104565.48</v>
      </c>
      <c r="J63">
        <v>1104565.48</v>
      </c>
      <c r="K63">
        <v>269848.8</v>
      </c>
      <c r="L63">
        <v>16204.17</v>
      </c>
    </row>
    <row r="64" spans="1:12" x14ac:dyDescent="0.25">
      <c r="A64" t="s">
        <v>445</v>
      </c>
      <c r="B64" t="s">
        <v>446</v>
      </c>
      <c r="C64" t="s">
        <v>447</v>
      </c>
      <c r="D64" s="10">
        <v>43640</v>
      </c>
      <c r="E64">
        <v>398862.34</v>
      </c>
      <c r="F64">
        <v>398862.34</v>
      </c>
      <c r="I64">
        <v>275541.23</v>
      </c>
      <c r="J64">
        <v>275541.23</v>
      </c>
      <c r="K64">
        <v>106633.8</v>
      </c>
      <c r="L64">
        <v>16687.310000000001</v>
      </c>
    </row>
    <row r="65" spans="1:12" x14ac:dyDescent="0.25">
      <c r="A65" t="s">
        <v>448</v>
      </c>
      <c r="B65" t="s">
        <v>449</v>
      </c>
      <c r="C65" t="s">
        <v>450</v>
      </c>
      <c r="D65" s="10">
        <v>43642</v>
      </c>
      <c r="E65">
        <v>20737.650000000001</v>
      </c>
      <c r="F65">
        <v>20737.650000000001</v>
      </c>
      <c r="I65">
        <v>6512.24</v>
      </c>
      <c r="J65">
        <v>6512.24</v>
      </c>
      <c r="K65">
        <v>14225.41</v>
      </c>
    </row>
    <row r="66" spans="1:12" x14ac:dyDescent="0.25">
      <c r="A66" t="s">
        <v>451</v>
      </c>
      <c r="B66" t="s">
        <v>402</v>
      </c>
      <c r="C66" t="s">
        <v>452</v>
      </c>
      <c r="D66" s="10">
        <v>43655</v>
      </c>
      <c r="E66">
        <v>609875.44999999995</v>
      </c>
      <c r="F66">
        <v>609875.44999999995</v>
      </c>
      <c r="G66">
        <v>97360.81</v>
      </c>
      <c r="H66">
        <v>97360.81</v>
      </c>
      <c r="I66">
        <v>483058.33</v>
      </c>
      <c r="J66">
        <v>483058.33</v>
      </c>
      <c r="K66">
        <v>20541.189999999999</v>
      </c>
      <c r="L66">
        <v>8915.1200000000008</v>
      </c>
    </row>
    <row r="67" spans="1:12" x14ac:dyDescent="0.25">
      <c r="A67" t="s">
        <v>453</v>
      </c>
      <c r="B67" t="s">
        <v>454</v>
      </c>
      <c r="C67" t="s">
        <v>455</v>
      </c>
      <c r="D67" s="10">
        <v>43662</v>
      </c>
      <c r="E67">
        <v>2703033.26</v>
      </c>
      <c r="F67">
        <v>2703033.26</v>
      </c>
      <c r="G67">
        <v>577119.03</v>
      </c>
      <c r="H67">
        <v>577119.03</v>
      </c>
      <c r="I67">
        <v>1530377.39</v>
      </c>
      <c r="J67">
        <v>1530377.39</v>
      </c>
      <c r="K67">
        <v>578763.02</v>
      </c>
      <c r="L67">
        <v>16773.82</v>
      </c>
    </row>
    <row r="68" spans="1:12" x14ac:dyDescent="0.25">
      <c r="A68" t="s">
        <v>456</v>
      </c>
      <c r="B68" t="s">
        <v>457</v>
      </c>
      <c r="C68" t="s">
        <v>458</v>
      </c>
      <c r="D68" s="10">
        <v>43663</v>
      </c>
      <c r="E68">
        <v>98496.61</v>
      </c>
      <c r="F68">
        <v>98496.61</v>
      </c>
      <c r="G68">
        <v>29873.82</v>
      </c>
      <c r="H68">
        <v>29873.82</v>
      </c>
      <c r="I68">
        <v>56026.55</v>
      </c>
      <c r="J68">
        <v>56026.55</v>
      </c>
      <c r="K68">
        <v>3607.16</v>
      </c>
      <c r="L68">
        <v>8989.08</v>
      </c>
    </row>
    <row r="69" spans="1:12" x14ac:dyDescent="0.25">
      <c r="A69" t="s">
        <v>459</v>
      </c>
      <c r="B69" t="s">
        <v>460</v>
      </c>
      <c r="C69" t="s">
        <v>458</v>
      </c>
      <c r="D69" s="10">
        <v>43663</v>
      </c>
      <c r="E69">
        <v>910000</v>
      </c>
      <c r="F69">
        <v>910000</v>
      </c>
      <c r="G69">
        <v>260000</v>
      </c>
      <c r="H69">
        <v>260000</v>
      </c>
      <c r="I69">
        <v>529958</v>
      </c>
      <c r="J69">
        <v>529958</v>
      </c>
      <c r="K69">
        <v>120042</v>
      </c>
    </row>
    <row r="70" spans="1:12" x14ac:dyDescent="0.25">
      <c r="A70" t="s">
        <v>461</v>
      </c>
      <c r="B70" t="s">
        <v>460</v>
      </c>
      <c r="C70" t="s">
        <v>458</v>
      </c>
      <c r="D70" s="10">
        <v>43663</v>
      </c>
      <c r="E70">
        <v>3500000</v>
      </c>
      <c r="F70">
        <v>3500000</v>
      </c>
      <c r="G70">
        <v>1000000</v>
      </c>
      <c r="H70">
        <v>1000000</v>
      </c>
      <c r="I70">
        <v>2038300</v>
      </c>
      <c r="J70">
        <v>2038300</v>
      </c>
      <c r="K70">
        <v>461700</v>
      </c>
    </row>
    <row r="71" spans="1:12" x14ac:dyDescent="0.25">
      <c r="A71" t="s">
        <v>462</v>
      </c>
      <c r="B71" t="s">
        <v>463</v>
      </c>
      <c r="C71" t="s">
        <v>464</v>
      </c>
      <c r="D71" s="10">
        <v>43664</v>
      </c>
      <c r="E71">
        <v>121403.21</v>
      </c>
      <c r="F71">
        <v>121403.21</v>
      </c>
      <c r="G71">
        <v>31830.47</v>
      </c>
      <c r="H71">
        <v>31830.47</v>
      </c>
      <c r="K71">
        <v>75941.259999999995</v>
      </c>
      <c r="L71">
        <v>13631.48</v>
      </c>
    </row>
    <row r="72" spans="1:12" x14ac:dyDescent="0.25">
      <c r="A72" t="s">
        <v>465</v>
      </c>
      <c r="B72" t="s">
        <v>420</v>
      </c>
      <c r="C72" t="s">
        <v>466</v>
      </c>
      <c r="D72" s="10">
        <v>43668</v>
      </c>
      <c r="E72">
        <v>1826668.22</v>
      </c>
      <c r="F72">
        <v>1826668.22</v>
      </c>
      <c r="G72">
        <v>490125.95</v>
      </c>
      <c r="H72">
        <v>490125.95</v>
      </c>
      <c r="I72">
        <v>1006141.33</v>
      </c>
      <c r="J72">
        <v>1006141.33</v>
      </c>
      <c r="K72">
        <v>320022.88</v>
      </c>
      <c r="L72">
        <v>10378.06</v>
      </c>
    </row>
    <row r="73" spans="1:12" x14ac:dyDescent="0.25">
      <c r="A73" t="s">
        <v>467</v>
      </c>
      <c r="B73" t="s">
        <v>468</v>
      </c>
      <c r="C73" t="s">
        <v>469</v>
      </c>
      <c r="D73" s="10">
        <v>43680</v>
      </c>
      <c r="E73">
        <v>659884.5</v>
      </c>
      <c r="F73">
        <v>659884.5</v>
      </c>
      <c r="G73">
        <v>478000</v>
      </c>
      <c r="H73">
        <v>478000</v>
      </c>
      <c r="I73">
        <v>136197.26</v>
      </c>
      <c r="J73">
        <v>136197.26</v>
      </c>
      <c r="K73">
        <v>45687.24</v>
      </c>
    </row>
    <row r="74" spans="1:12" x14ac:dyDescent="0.25">
      <c r="A74" t="s">
        <v>470</v>
      </c>
      <c r="B74" t="s">
        <v>468</v>
      </c>
      <c r="C74" t="s">
        <v>469</v>
      </c>
      <c r="D74" s="10">
        <v>43680</v>
      </c>
      <c r="E74">
        <v>217881.18</v>
      </c>
      <c r="F74">
        <v>217881.18</v>
      </c>
      <c r="G74">
        <v>142000</v>
      </c>
      <c r="H74">
        <v>142000</v>
      </c>
      <c r="I74">
        <v>62308.82</v>
      </c>
      <c r="J74">
        <v>62308.82</v>
      </c>
      <c r="K74">
        <v>13572.36</v>
      </c>
    </row>
    <row r="75" spans="1:12" x14ac:dyDescent="0.25">
      <c r="A75" t="s">
        <v>471</v>
      </c>
      <c r="B75" t="s">
        <v>468</v>
      </c>
      <c r="C75" t="s">
        <v>469</v>
      </c>
      <c r="D75" s="10">
        <v>43680</v>
      </c>
      <c r="E75">
        <v>138051.17000000001</v>
      </c>
      <c r="F75">
        <v>138051.17000000001</v>
      </c>
      <c r="G75">
        <v>100000</v>
      </c>
      <c r="H75">
        <v>100000</v>
      </c>
      <c r="I75">
        <v>28493.17</v>
      </c>
      <c r="J75">
        <v>28493.17</v>
      </c>
      <c r="K75">
        <v>9558</v>
      </c>
    </row>
    <row r="76" spans="1:12" x14ac:dyDescent="0.25">
      <c r="A76" t="s">
        <v>472</v>
      </c>
      <c r="B76" t="s">
        <v>473</v>
      </c>
      <c r="C76" t="s">
        <v>474</v>
      </c>
      <c r="D76" s="10">
        <v>43681</v>
      </c>
      <c r="E76">
        <v>215898.04</v>
      </c>
      <c r="F76">
        <v>215898.04</v>
      </c>
      <c r="I76">
        <v>195462.94</v>
      </c>
      <c r="J76">
        <v>195462.94</v>
      </c>
      <c r="K76">
        <v>8745.7099999999991</v>
      </c>
      <c r="L76">
        <v>11689.39</v>
      </c>
    </row>
    <row r="77" spans="1:12" x14ac:dyDescent="0.25">
      <c r="A77" t="s">
        <v>475</v>
      </c>
      <c r="B77" t="s">
        <v>476</v>
      </c>
      <c r="C77" t="s">
        <v>477</v>
      </c>
      <c r="D77" s="10">
        <v>43701</v>
      </c>
      <c r="E77">
        <v>673.74</v>
      </c>
      <c r="F77">
        <v>673.74</v>
      </c>
      <c r="K77">
        <v>673.74</v>
      </c>
    </row>
    <row r="78" spans="1:12" x14ac:dyDescent="0.25">
      <c r="A78" t="s">
        <v>478</v>
      </c>
      <c r="B78" t="s">
        <v>479</v>
      </c>
      <c r="C78" t="s">
        <v>480</v>
      </c>
      <c r="D78" s="10">
        <v>43703</v>
      </c>
      <c r="E78">
        <v>669785.31999999995</v>
      </c>
      <c r="F78">
        <v>669785.31999999995</v>
      </c>
      <c r="G78">
        <v>232871.46</v>
      </c>
      <c r="H78">
        <v>232871.46</v>
      </c>
      <c r="I78">
        <v>432214.57</v>
      </c>
      <c r="J78">
        <v>432214.57</v>
      </c>
      <c r="K78">
        <v>1886.26</v>
      </c>
      <c r="L78">
        <v>2813.03</v>
      </c>
    </row>
    <row r="79" spans="1:12" x14ac:dyDescent="0.25">
      <c r="A79" t="s">
        <v>481</v>
      </c>
      <c r="B79" t="s">
        <v>482</v>
      </c>
      <c r="C79" t="s">
        <v>483</v>
      </c>
      <c r="D79" s="10">
        <v>43716</v>
      </c>
      <c r="E79">
        <v>139624.44</v>
      </c>
      <c r="F79">
        <v>139624.44</v>
      </c>
      <c r="G79">
        <v>66449.03</v>
      </c>
      <c r="H79">
        <v>66449.03</v>
      </c>
      <c r="I79">
        <v>19996.599999999999</v>
      </c>
      <c r="J79">
        <v>19996.599999999999</v>
      </c>
      <c r="K79">
        <v>47178.81</v>
      </c>
      <c r="L79">
        <v>6000</v>
      </c>
    </row>
    <row r="80" spans="1:12" x14ac:dyDescent="0.25">
      <c r="A80" t="s">
        <v>484</v>
      </c>
      <c r="B80" t="s">
        <v>485</v>
      </c>
      <c r="C80" t="s">
        <v>486</v>
      </c>
      <c r="D80" s="10">
        <v>43731</v>
      </c>
      <c r="E80">
        <v>2325725.92</v>
      </c>
      <c r="F80">
        <v>2325725.92</v>
      </c>
      <c r="G80">
        <v>700000</v>
      </c>
      <c r="H80">
        <v>700000</v>
      </c>
      <c r="I80">
        <v>1279095.8799999999</v>
      </c>
      <c r="J80">
        <v>1279095.8799999999</v>
      </c>
      <c r="K80">
        <v>328104</v>
      </c>
      <c r="L80">
        <v>18526.04</v>
      </c>
    </row>
    <row r="81" spans="1:12" x14ac:dyDescent="0.25">
      <c r="A81" t="s">
        <v>487</v>
      </c>
      <c r="B81" t="s">
        <v>488</v>
      </c>
      <c r="C81" t="s">
        <v>489</v>
      </c>
      <c r="D81" s="10">
        <v>43733</v>
      </c>
      <c r="E81">
        <v>261064.5</v>
      </c>
      <c r="F81">
        <v>261064.5</v>
      </c>
      <c r="G81">
        <v>84425.78</v>
      </c>
      <c r="H81">
        <v>84425.78</v>
      </c>
      <c r="I81">
        <v>114064.8</v>
      </c>
      <c r="J81">
        <v>114064.8</v>
      </c>
      <c r="K81">
        <v>58427.8</v>
      </c>
      <c r="L81">
        <v>4146.12</v>
      </c>
    </row>
    <row r="82" spans="1:12" x14ac:dyDescent="0.25">
      <c r="A82" t="s">
        <v>490</v>
      </c>
      <c r="B82" t="s">
        <v>482</v>
      </c>
      <c r="C82" t="s">
        <v>491</v>
      </c>
      <c r="D82" s="10">
        <v>43735</v>
      </c>
      <c r="E82">
        <v>138326.04</v>
      </c>
      <c r="F82">
        <v>138326.04</v>
      </c>
      <c r="G82">
        <v>72954.47</v>
      </c>
      <c r="H82">
        <v>72954.47</v>
      </c>
      <c r="I82">
        <v>19487.849999999999</v>
      </c>
      <c r="J82">
        <v>19487.849999999999</v>
      </c>
      <c r="K82">
        <v>37936.32</v>
      </c>
      <c r="L82">
        <v>7947.4</v>
      </c>
    </row>
    <row r="83" spans="1:12" x14ac:dyDescent="0.25">
      <c r="A83" t="s">
        <v>492</v>
      </c>
      <c r="B83" t="s">
        <v>493</v>
      </c>
      <c r="C83" t="s">
        <v>494</v>
      </c>
      <c r="D83" s="10">
        <v>43737</v>
      </c>
      <c r="E83">
        <v>1479300.26</v>
      </c>
      <c r="F83">
        <v>1479300.26</v>
      </c>
      <c r="G83">
        <v>400000</v>
      </c>
      <c r="H83">
        <v>400000</v>
      </c>
      <c r="I83">
        <v>751762.59</v>
      </c>
      <c r="J83">
        <v>751762.59</v>
      </c>
      <c r="K83">
        <v>312768</v>
      </c>
      <c r="L83">
        <v>14769.67</v>
      </c>
    </row>
    <row r="84" spans="1:12" x14ac:dyDescent="0.25">
      <c r="A84" t="s">
        <v>495</v>
      </c>
      <c r="B84" t="s">
        <v>496</v>
      </c>
      <c r="C84" t="s">
        <v>497</v>
      </c>
      <c r="D84" s="10">
        <v>43738</v>
      </c>
      <c r="E84">
        <v>14692.95</v>
      </c>
      <c r="F84">
        <v>14692.95</v>
      </c>
      <c r="K84">
        <v>14692.95</v>
      </c>
    </row>
    <row r="85" spans="1:12" x14ac:dyDescent="0.25">
      <c r="A85" t="s">
        <v>498</v>
      </c>
      <c r="B85" t="s">
        <v>499</v>
      </c>
      <c r="C85" t="s">
        <v>500</v>
      </c>
      <c r="D85" s="10">
        <v>43741</v>
      </c>
      <c r="E85">
        <v>953.73</v>
      </c>
      <c r="F85">
        <v>953.73</v>
      </c>
      <c r="K85">
        <v>953.73</v>
      </c>
    </row>
    <row r="86" spans="1:12" x14ac:dyDescent="0.25">
      <c r="A86" t="s">
        <v>501</v>
      </c>
      <c r="B86" t="s">
        <v>502</v>
      </c>
      <c r="C86" t="s">
        <v>503</v>
      </c>
      <c r="D86" s="10">
        <v>43744</v>
      </c>
      <c r="E86">
        <v>124538.53</v>
      </c>
      <c r="F86">
        <v>124538.53</v>
      </c>
      <c r="G86">
        <v>57325.65</v>
      </c>
      <c r="H86">
        <v>57325.65</v>
      </c>
      <c r="I86">
        <v>18042.09</v>
      </c>
      <c r="J86">
        <v>18042.09</v>
      </c>
      <c r="K86">
        <v>38981.440000000002</v>
      </c>
      <c r="L86">
        <v>10189.35</v>
      </c>
    </row>
    <row r="87" spans="1:12" x14ac:dyDescent="0.25">
      <c r="A87" t="s">
        <v>504</v>
      </c>
      <c r="B87" t="s">
        <v>505</v>
      </c>
      <c r="C87" t="s">
        <v>506</v>
      </c>
      <c r="D87" s="10">
        <v>43748</v>
      </c>
      <c r="E87">
        <v>1385730.95</v>
      </c>
      <c r="F87">
        <v>1385730.95</v>
      </c>
      <c r="G87">
        <v>360000</v>
      </c>
      <c r="H87">
        <v>360000</v>
      </c>
      <c r="I87">
        <v>667469.57999999996</v>
      </c>
      <c r="J87">
        <v>667469.57999999996</v>
      </c>
      <c r="K87">
        <v>344088</v>
      </c>
      <c r="L87">
        <v>14173.37</v>
      </c>
    </row>
    <row r="88" spans="1:12" x14ac:dyDescent="0.25">
      <c r="A88" t="s">
        <v>507</v>
      </c>
      <c r="B88" t="s">
        <v>508</v>
      </c>
      <c r="C88" t="s">
        <v>509</v>
      </c>
      <c r="D88" s="10">
        <v>43749</v>
      </c>
      <c r="E88">
        <v>978727.84</v>
      </c>
      <c r="F88">
        <v>978727.84</v>
      </c>
      <c r="G88">
        <v>230936.52</v>
      </c>
      <c r="H88">
        <v>230936.52</v>
      </c>
      <c r="I88">
        <v>510269.39</v>
      </c>
      <c r="J88">
        <v>510269.39</v>
      </c>
      <c r="K88">
        <v>225699.71</v>
      </c>
      <c r="L88">
        <v>11822.22</v>
      </c>
    </row>
    <row r="89" spans="1:12" x14ac:dyDescent="0.25">
      <c r="A89" t="s">
        <v>510</v>
      </c>
      <c r="B89" t="s">
        <v>511</v>
      </c>
      <c r="C89" t="s">
        <v>512</v>
      </c>
      <c r="D89" s="10">
        <v>43752</v>
      </c>
      <c r="E89">
        <v>84251.01</v>
      </c>
      <c r="F89">
        <v>84251.01</v>
      </c>
      <c r="G89">
        <v>39486.800000000003</v>
      </c>
      <c r="H89">
        <v>39486.800000000003</v>
      </c>
      <c r="I89">
        <v>7160.01</v>
      </c>
      <c r="J89">
        <v>7160.01</v>
      </c>
      <c r="K89">
        <v>37604.199999999997</v>
      </c>
    </row>
    <row r="90" spans="1:12" x14ac:dyDescent="0.25">
      <c r="A90" t="s">
        <v>513</v>
      </c>
      <c r="B90" t="s">
        <v>514</v>
      </c>
      <c r="C90" t="s">
        <v>515</v>
      </c>
      <c r="D90" s="10">
        <v>43757</v>
      </c>
      <c r="E90">
        <v>1617952.21</v>
      </c>
      <c r="F90">
        <v>1617952.21</v>
      </c>
      <c r="G90">
        <v>439671.01</v>
      </c>
      <c r="H90">
        <v>439671.01</v>
      </c>
      <c r="I90">
        <v>744802.69</v>
      </c>
      <c r="J90">
        <v>744802.69</v>
      </c>
      <c r="K90">
        <v>418100.76</v>
      </c>
      <c r="L90">
        <v>15377.75</v>
      </c>
    </row>
    <row r="91" spans="1:12" x14ac:dyDescent="0.25">
      <c r="A91" t="s">
        <v>516</v>
      </c>
      <c r="B91" t="s">
        <v>517</v>
      </c>
      <c r="C91" t="s">
        <v>518</v>
      </c>
      <c r="D91" s="10">
        <v>43758</v>
      </c>
      <c r="E91">
        <v>1444425.91</v>
      </c>
      <c r="F91">
        <v>1444425.91</v>
      </c>
      <c r="G91">
        <v>444998.76</v>
      </c>
      <c r="H91">
        <v>444998.76</v>
      </c>
      <c r="I91">
        <v>832177.9</v>
      </c>
      <c r="J91">
        <v>832177.9</v>
      </c>
      <c r="K91">
        <v>167249.25</v>
      </c>
    </row>
    <row r="92" spans="1:12" x14ac:dyDescent="0.25">
      <c r="A92" t="s">
        <v>519</v>
      </c>
      <c r="B92" t="s">
        <v>520</v>
      </c>
      <c r="C92" t="s">
        <v>521</v>
      </c>
      <c r="D92" s="10">
        <v>43759</v>
      </c>
      <c r="E92">
        <v>620098.68999999994</v>
      </c>
      <c r="F92">
        <v>620098.68999999994</v>
      </c>
      <c r="G92">
        <v>173191.3</v>
      </c>
      <c r="H92">
        <v>173191.3</v>
      </c>
      <c r="I92">
        <v>282399.90000000002</v>
      </c>
      <c r="J92">
        <v>282399.90000000002</v>
      </c>
      <c r="K92">
        <v>164507.49</v>
      </c>
    </row>
    <row r="93" spans="1:12" x14ac:dyDescent="0.25">
      <c r="A93" t="s">
        <v>522</v>
      </c>
      <c r="B93" t="s">
        <v>523</v>
      </c>
      <c r="C93" t="s">
        <v>524</v>
      </c>
      <c r="D93" s="10">
        <v>43762</v>
      </c>
      <c r="E93">
        <v>883014.18</v>
      </c>
      <c r="F93">
        <v>883014.18</v>
      </c>
      <c r="G93">
        <v>283014.18</v>
      </c>
      <c r="H93">
        <v>283014.18</v>
      </c>
      <c r="I93">
        <v>476045.78</v>
      </c>
      <c r="J93">
        <v>476045.78</v>
      </c>
      <c r="K93">
        <v>123954.22</v>
      </c>
    </row>
    <row r="94" spans="1:12" x14ac:dyDescent="0.25">
      <c r="A94" t="s">
        <v>525</v>
      </c>
      <c r="B94" t="s">
        <v>526</v>
      </c>
      <c r="C94" t="s">
        <v>527</v>
      </c>
      <c r="D94" s="10">
        <v>43767</v>
      </c>
      <c r="E94">
        <v>1001763.1</v>
      </c>
      <c r="F94">
        <v>1001763.1</v>
      </c>
      <c r="G94">
        <v>272000</v>
      </c>
      <c r="H94">
        <v>272000</v>
      </c>
      <c r="I94">
        <v>455029.94</v>
      </c>
      <c r="J94">
        <v>455029.94</v>
      </c>
      <c r="K94">
        <v>261740.16</v>
      </c>
      <c r="L94">
        <v>12993</v>
      </c>
    </row>
    <row r="95" spans="1:12" x14ac:dyDescent="0.25">
      <c r="A95" t="s">
        <v>528</v>
      </c>
      <c r="B95" t="s">
        <v>529</v>
      </c>
      <c r="C95" t="s">
        <v>530</v>
      </c>
      <c r="D95" s="10">
        <v>43773</v>
      </c>
      <c r="E95">
        <v>2249015.2000000002</v>
      </c>
      <c r="F95">
        <v>2249015.2000000002</v>
      </c>
      <c r="G95">
        <v>80174.179999999993</v>
      </c>
      <c r="H95">
        <v>80174.179999999993</v>
      </c>
      <c r="I95">
        <v>61821.98</v>
      </c>
      <c r="J95">
        <v>61821.98</v>
      </c>
      <c r="K95">
        <v>2107019.04</v>
      </c>
    </row>
    <row r="96" spans="1:12" x14ac:dyDescent="0.25">
      <c r="A96" t="s">
        <v>531</v>
      </c>
      <c r="B96" t="s">
        <v>532</v>
      </c>
      <c r="C96" t="s">
        <v>533</v>
      </c>
      <c r="D96" s="10">
        <v>43774</v>
      </c>
      <c r="E96">
        <v>1776162.11</v>
      </c>
      <c r="F96">
        <v>1776162.11</v>
      </c>
      <c r="G96">
        <v>488679.8</v>
      </c>
      <c r="H96">
        <v>488679.8</v>
      </c>
      <c r="I96">
        <v>811328.97</v>
      </c>
      <c r="J96">
        <v>811328.97</v>
      </c>
      <c r="K96">
        <v>460219.09</v>
      </c>
      <c r="L96">
        <v>15934.25</v>
      </c>
    </row>
    <row r="97" spans="1:12" x14ac:dyDescent="0.25">
      <c r="A97" t="s">
        <v>534</v>
      </c>
      <c r="B97" t="s">
        <v>535</v>
      </c>
      <c r="C97" t="s">
        <v>536</v>
      </c>
      <c r="D97" s="10">
        <v>43776</v>
      </c>
      <c r="E97">
        <v>1835568.78</v>
      </c>
      <c r="F97">
        <v>1835568.78</v>
      </c>
      <c r="G97">
        <v>493291</v>
      </c>
      <c r="H97">
        <v>493291</v>
      </c>
      <c r="I97">
        <v>861162.65</v>
      </c>
      <c r="J97">
        <v>861162.65</v>
      </c>
      <c r="K97">
        <v>464028.98</v>
      </c>
      <c r="L97">
        <v>17086.150000000001</v>
      </c>
    </row>
    <row r="98" spans="1:12" x14ac:dyDescent="0.25">
      <c r="A98" t="s">
        <v>537</v>
      </c>
      <c r="B98" t="s">
        <v>538</v>
      </c>
      <c r="C98" t="s">
        <v>539</v>
      </c>
      <c r="D98" s="10">
        <v>43778</v>
      </c>
      <c r="E98">
        <v>201077.58</v>
      </c>
      <c r="F98">
        <v>201077.58</v>
      </c>
      <c r="I98">
        <v>122539.74</v>
      </c>
      <c r="J98">
        <v>122539.74</v>
      </c>
      <c r="K98">
        <v>67805.23</v>
      </c>
      <c r="L98">
        <v>10732.61</v>
      </c>
    </row>
    <row r="99" spans="1:12" x14ac:dyDescent="0.25">
      <c r="A99" t="s">
        <v>540</v>
      </c>
      <c r="B99" t="s">
        <v>541</v>
      </c>
      <c r="C99" t="s">
        <v>539</v>
      </c>
      <c r="D99" s="10">
        <v>43778</v>
      </c>
      <c r="E99">
        <v>757316.77</v>
      </c>
      <c r="F99">
        <v>757316.77</v>
      </c>
      <c r="G99">
        <v>210000</v>
      </c>
      <c r="H99">
        <v>210000</v>
      </c>
      <c r="I99">
        <v>378414.25</v>
      </c>
      <c r="J99">
        <v>378414.25</v>
      </c>
      <c r="K99">
        <v>156605.4</v>
      </c>
      <c r="L99">
        <v>12297.12</v>
      </c>
    </row>
    <row r="100" spans="1:12" x14ac:dyDescent="0.25">
      <c r="A100" t="s">
        <v>542</v>
      </c>
      <c r="B100" t="s">
        <v>543</v>
      </c>
      <c r="C100" t="s">
        <v>544</v>
      </c>
      <c r="D100" s="10">
        <v>43782</v>
      </c>
      <c r="E100">
        <v>468673.96</v>
      </c>
      <c r="F100">
        <v>468673.96</v>
      </c>
      <c r="G100">
        <v>248066.47</v>
      </c>
      <c r="H100">
        <v>248066.47</v>
      </c>
      <c r="I100">
        <v>144014.49</v>
      </c>
      <c r="J100">
        <v>144014.49</v>
      </c>
      <c r="K100">
        <v>60000</v>
      </c>
      <c r="L100">
        <v>16593</v>
      </c>
    </row>
    <row r="101" spans="1:12" x14ac:dyDescent="0.25">
      <c r="A101" t="s">
        <v>545</v>
      </c>
      <c r="B101" t="s">
        <v>546</v>
      </c>
      <c r="C101" t="s">
        <v>547</v>
      </c>
      <c r="D101" s="10">
        <v>43792</v>
      </c>
      <c r="E101">
        <v>712409.88</v>
      </c>
      <c r="F101">
        <v>712409.88</v>
      </c>
      <c r="G101">
        <v>146321.1</v>
      </c>
      <c r="H101">
        <v>146321.1</v>
      </c>
      <c r="I101">
        <v>358841.1</v>
      </c>
      <c r="J101">
        <v>358841.1</v>
      </c>
      <c r="K101">
        <v>207247.68</v>
      </c>
    </row>
    <row r="102" spans="1:12" x14ac:dyDescent="0.25">
      <c r="A102" t="s">
        <v>548</v>
      </c>
      <c r="B102" t="s">
        <v>549</v>
      </c>
      <c r="C102" t="s">
        <v>547</v>
      </c>
      <c r="D102" s="10">
        <v>43792</v>
      </c>
      <c r="E102">
        <v>352041.46</v>
      </c>
      <c r="F102">
        <v>352041.46</v>
      </c>
      <c r="G102">
        <v>100000</v>
      </c>
      <c r="H102">
        <v>100000</v>
      </c>
      <c r="I102">
        <v>167975.37</v>
      </c>
      <c r="J102">
        <v>167975.37</v>
      </c>
      <c r="K102">
        <v>73818</v>
      </c>
      <c r="L102">
        <v>10248.09</v>
      </c>
    </row>
    <row r="103" spans="1:12" x14ac:dyDescent="0.25">
      <c r="A103" t="s">
        <v>550</v>
      </c>
      <c r="B103" t="s">
        <v>551</v>
      </c>
      <c r="C103" t="s">
        <v>552</v>
      </c>
      <c r="D103" s="10">
        <v>43798</v>
      </c>
      <c r="E103">
        <v>1989587.2</v>
      </c>
      <c r="F103">
        <v>1989587.2</v>
      </c>
      <c r="G103">
        <v>539654.49</v>
      </c>
      <c r="H103">
        <v>539654.49</v>
      </c>
      <c r="I103">
        <v>930587.81</v>
      </c>
      <c r="J103">
        <v>930587.81</v>
      </c>
      <c r="K103">
        <v>501833.31</v>
      </c>
      <c r="L103">
        <v>17511.59</v>
      </c>
    </row>
    <row r="104" spans="1:12" x14ac:dyDescent="0.25">
      <c r="A104" t="s">
        <v>553</v>
      </c>
      <c r="B104" t="s">
        <v>554</v>
      </c>
      <c r="C104" t="s">
        <v>552</v>
      </c>
      <c r="D104" s="10">
        <v>43798</v>
      </c>
      <c r="E104">
        <v>674038.24</v>
      </c>
      <c r="F104">
        <v>674038.24</v>
      </c>
      <c r="G104">
        <v>203000</v>
      </c>
      <c r="H104">
        <v>203000</v>
      </c>
      <c r="I104">
        <v>309778</v>
      </c>
      <c r="J104">
        <v>309778</v>
      </c>
      <c r="K104">
        <v>149192.82</v>
      </c>
      <c r="L104">
        <v>12067.42</v>
      </c>
    </row>
    <row r="105" spans="1:12" x14ac:dyDescent="0.25">
      <c r="A105" t="s">
        <v>555</v>
      </c>
      <c r="B105" t="s">
        <v>556</v>
      </c>
      <c r="C105" t="s">
        <v>557</v>
      </c>
      <c r="D105" s="10">
        <v>43805</v>
      </c>
      <c r="E105">
        <v>3246119.83</v>
      </c>
      <c r="F105">
        <v>3246119.83</v>
      </c>
      <c r="I105">
        <v>102094.24</v>
      </c>
      <c r="J105">
        <v>102094.24</v>
      </c>
      <c r="K105">
        <v>3144025.59</v>
      </c>
    </row>
    <row r="106" spans="1:12" x14ac:dyDescent="0.25">
      <c r="A106" t="s">
        <v>558</v>
      </c>
      <c r="B106" t="s">
        <v>559</v>
      </c>
      <c r="C106" t="s">
        <v>560</v>
      </c>
      <c r="D106" s="10">
        <v>43811</v>
      </c>
      <c r="E106">
        <v>281699.93</v>
      </c>
      <c r="F106">
        <v>281699.93</v>
      </c>
      <c r="I106">
        <v>199202.12</v>
      </c>
      <c r="J106">
        <v>199202.12</v>
      </c>
      <c r="K106">
        <v>70353.36</v>
      </c>
      <c r="L106">
        <v>12144.45</v>
      </c>
    </row>
    <row r="107" spans="1:12" x14ac:dyDescent="0.25">
      <c r="A107" t="s">
        <v>561</v>
      </c>
      <c r="B107" t="s">
        <v>562</v>
      </c>
      <c r="C107" t="s">
        <v>563</v>
      </c>
      <c r="D107" s="10">
        <v>43814</v>
      </c>
      <c r="E107">
        <v>351596.88</v>
      </c>
      <c r="F107">
        <v>351596.88</v>
      </c>
      <c r="G107">
        <v>210366.49</v>
      </c>
      <c r="H107">
        <v>210366.49</v>
      </c>
      <c r="I107">
        <v>117147.63</v>
      </c>
      <c r="J107">
        <v>117147.63</v>
      </c>
      <c r="K107">
        <v>24082.76</v>
      </c>
    </row>
    <row r="108" spans="1:12" x14ac:dyDescent="0.25">
      <c r="A108" t="s">
        <v>564</v>
      </c>
      <c r="B108" t="s">
        <v>565</v>
      </c>
      <c r="C108" t="s">
        <v>566</v>
      </c>
      <c r="D108" s="10">
        <v>43815</v>
      </c>
      <c r="E108">
        <v>202923.56</v>
      </c>
      <c r="F108">
        <v>202923.56</v>
      </c>
      <c r="G108">
        <v>85124.79</v>
      </c>
      <c r="H108">
        <v>85124.79</v>
      </c>
      <c r="I108">
        <v>75341.27</v>
      </c>
      <c r="J108">
        <v>75341.27</v>
      </c>
      <c r="K108">
        <v>25586</v>
      </c>
      <c r="L108">
        <v>16871.5</v>
      </c>
    </row>
    <row r="109" spans="1:12" x14ac:dyDescent="0.25">
      <c r="A109" t="s">
        <v>567</v>
      </c>
      <c r="B109" t="s">
        <v>568</v>
      </c>
      <c r="C109" t="s">
        <v>569</v>
      </c>
      <c r="D109" s="10">
        <v>43817</v>
      </c>
      <c r="E109">
        <v>338761.07</v>
      </c>
      <c r="F109">
        <v>338761.07</v>
      </c>
      <c r="G109">
        <v>145652.06</v>
      </c>
      <c r="H109">
        <v>145652.06</v>
      </c>
      <c r="I109">
        <v>66492.75</v>
      </c>
      <c r="J109">
        <v>66492.75</v>
      </c>
      <c r="K109">
        <v>126616.26</v>
      </c>
    </row>
    <row r="110" spans="1:12" x14ac:dyDescent="0.25">
      <c r="A110" t="s">
        <v>570</v>
      </c>
      <c r="B110" t="s">
        <v>571</v>
      </c>
      <c r="C110" t="s">
        <v>572</v>
      </c>
      <c r="D110" s="10">
        <v>43818</v>
      </c>
      <c r="E110">
        <v>249061.5</v>
      </c>
      <c r="F110">
        <v>249061.5</v>
      </c>
      <c r="G110">
        <v>83008.06</v>
      </c>
      <c r="H110">
        <v>83008.06</v>
      </c>
      <c r="I110">
        <v>87668.47</v>
      </c>
      <c r="J110">
        <v>87668.47</v>
      </c>
      <c r="K110">
        <v>68313.960000000006</v>
      </c>
      <c r="L110">
        <v>10071.01</v>
      </c>
    </row>
    <row r="111" spans="1:12" x14ac:dyDescent="0.25">
      <c r="A111" t="s">
        <v>573</v>
      </c>
      <c r="B111" t="s">
        <v>574</v>
      </c>
      <c r="C111" t="s">
        <v>575</v>
      </c>
      <c r="D111" s="10">
        <v>43820</v>
      </c>
      <c r="E111">
        <v>1538290.97</v>
      </c>
      <c r="F111">
        <v>1538290.97</v>
      </c>
      <c r="G111">
        <v>741347.48</v>
      </c>
      <c r="H111">
        <v>741347.48</v>
      </c>
      <c r="I111">
        <v>632546.96</v>
      </c>
      <c r="J111">
        <v>632546.96</v>
      </c>
      <c r="K111">
        <v>143717.62</v>
      </c>
      <c r="L111">
        <v>20678.91</v>
      </c>
    </row>
    <row r="112" spans="1:12" x14ac:dyDescent="0.25">
      <c r="A112" t="s">
        <v>576</v>
      </c>
      <c r="B112" t="s">
        <v>577</v>
      </c>
      <c r="C112" t="s">
        <v>578</v>
      </c>
      <c r="D112" s="10">
        <v>43823</v>
      </c>
      <c r="E112">
        <v>210845.61</v>
      </c>
      <c r="F112">
        <v>210845.61</v>
      </c>
      <c r="I112">
        <v>186010.09</v>
      </c>
      <c r="J112">
        <v>186010.09</v>
      </c>
      <c r="K112">
        <v>13305.6</v>
      </c>
      <c r="L112">
        <v>11529.92</v>
      </c>
    </row>
    <row r="113" spans="1:12" x14ac:dyDescent="0.25">
      <c r="A113" t="s">
        <v>579</v>
      </c>
      <c r="B113" t="s">
        <v>580</v>
      </c>
      <c r="C113" t="s">
        <v>581</v>
      </c>
      <c r="D113" s="10">
        <v>43826</v>
      </c>
      <c r="E113">
        <v>82798.570000000007</v>
      </c>
      <c r="F113">
        <v>82798.570000000007</v>
      </c>
      <c r="I113">
        <v>17899.7</v>
      </c>
      <c r="J113">
        <v>17899.7</v>
      </c>
      <c r="K113">
        <v>64898.87</v>
      </c>
    </row>
    <row r="114" spans="1:12" x14ac:dyDescent="0.25">
      <c r="A114" t="s">
        <v>582</v>
      </c>
      <c r="B114" t="s">
        <v>583</v>
      </c>
      <c r="C114" t="s">
        <v>581</v>
      </c>
      <c r="D114" s="10">
        <v>43826</v>
      </c>
      <c r="E114">
        <v>339772.86</v>
      </c>
      <c r="F114">
        <v>339772.86</v>
      </c>
      <c r="G114">
        <v>85410.54</v>
      </c>
      <c r="H114">
        <v>85410.54</v>
      </c>
      <c r="I114">
        <v>166522.01</v>
      </c>
      <c r="J114">
        <v>166522.01</v>
      </c>
      <c r="K114">
        <v>81840.31</v>
      </c>
      <c r="L114">
        <v>6000</v>
      </c>
    </row>
    <row r="115" spans="1:12" x14ac:dyDescent="0.25">
      <c r="A115" t="s">
        <v>584</v>
      </c>
      <c r="B115" t="s">
        <v>583</v>
      </c>
      <c r="C115" t="s">
        <v>581</v>
      </c>
      <c r="D115" s="10">
        <v>43826</v>
      </c>
      <c r="E115">
        <v>1072818.08</v>
      </c>
      <c r="F115">
        <v>1072818.08</v>
      </c>
      <c r="I115">
        <v>364972.72</v>
      </c>
      <c r="J115">
        <v>364972.72</v>
      </c>
      <c r="K115">
        <v>690892.75</v>
      </c>
      <c r="L115">
        <v>16952.61</v>
      </c>
    </row>
    <row r="116" spans="1:12" x14ac:dyDescent="0.25">
      <c r="A116" t="s">
        <v>585</v>
      </c>
      <c r="B116" t="s">
        <v>568</v>
      </c>
      <c r="C116" t="s">
        <v>586</v>
      </c>
      <c r="D116" s="10">
        <v>43827</v>
      </c>
      <c r="E116">
        <v>239318.89</v>
      </c>
      <c r="F116">
        <v>239318.89</v>
      </c>
      <c r="G116">
        <v>114053.82</v>
      </c>
      <c r="H116">
        <v>114053.82</v>
      </c>
      <c r="I116">
        <v>51996.07</v>
      </c>
      <c r="J116">
        <v>51996.07</v>
      </c>
      <c r="K116">
        <v>60000</v>
      </c>
      <c r="L116">
        <v>13269</v>
      </c>
    </row>
    <row r="117" spans="1:12" x14ac:dyDescent="0.25">
      <c r="A117" t="s">
        <v>587</v>
      </c>
      <c r="B117" t="s">
        <v>588</v>
      </c>
      <c r="C117" t="s">
        <v>586</v>
      </c>
      <c r="D117" s="10">
        <v>43827</v>
      </c>
      <c r="E117">
        <v>433663.74</v>
      </c>
      <c r="F117">
        <v>433663.74</v>
      </c>
      <c r="G117">
        <v>379699.27</v>
      </c>
      <c r="H117">
        <v>379699.27</v>
      </c>
      <c r="I117">
        <v>6361.5</v>
      </c>
      <c r="J117">
        <v>6361.5</v>
      </c>
      <c r="K117">
        <v>33222.589999999997</v>
      </c>
      <c r="L117">
        <v>14380.38</v>
      </c>
    </row>
    <row r="118" spans="1:12" x14ac:dyDescent="0.25">
      <c r="A118" t="s">
        <v>589</v>
      </c>
      <c r="B118" t="s">
        <v>590</v>
      </c>
      <c r="C118" t="s">
        <v>586</v>
      </c>
      <c r="D118" s="10">
        <v>43827</v>
      </c>
      <c r="E118">
        <v>1339945.97</v>
      </c>
      <c r="F118">
        <v>1339945.97</v>
      </c>
      <c r="I118">
        <v>852039.39</v>
      </c>
      <c r="J118">
        <v>852039.39</v>
      </c>
      <c r="K118">
        <v>468481.78</v>
      </c>
      <c r="L118">
        <v>19424.8</v>
      </c>
    </row>
    <row r="119" spans="1:12" x14ac:dyDescent="0.25">
      <c r="A119" t="s">
        <v>591</v>
      </c>
      <c r="B119" t="s">
        <v>592</v>
      </c>
      <c r="C119" t="s">
        <v>593</v>
      </c>
      <c r="D119" s="10">
        <v>43828</v>
      </c>
      <c r="E119">
        <v>631180.01</v>
      </c>
      <c r="F119">
        <v>631180.01</v>
      </c>
      <c r="G119">
        <v>210743.64</v>
      </c>
      <c r="H119">
        <v>210743.64</v>
      </c>
      <c r="I119">
        <v>240421.97</v>
      </c>
      <c r="J119">
        <v>240421.97</v>
      </c>
      <c r="K119">
        <v>180014.4</v>
      </c>
    </row>
    <row r="120" spans="1:12" x14ac:dyDescent="0.25">
      <c r="A120" t="s">
        <v>594</v>
      </c>
      <c r="B120" t="s">
        <v>595</v>
      </c>
      <c r="C120" t="s">
        <v>596</v>
      </c>
      <c r="D120" s="10">
        <v>43831</v>
      </c>
      <c r="E120">
        <v>2329448.65</v>
      </c>
      <c r="F120">
        <v>2329448.65</v>
      </c>
      <c r="G120">
        <v>690483.81</v>
      </c>
      <c r="H120">
        <v>690483.81</v>
      </c>
      <c r="I120">
        <v>996993.76</v>
      </c>
      <c r="J120">
        <v>996993.76</v>
      </c>
      <c r="K120">
        <v>622708.74</v>
      </c>
      <c r="L120">
        <v>19262.34</v>
      </c>
    </row>
    <row r="121" spans="1:12" x14ac:dyDescent="0.25">
      <c r="A121" t="s">
        <v>597</v>
      </c>
      <c r="B121" t="s">
        <v>598</v>
      </c>
      <c r="C121" t="s">
        <v>599</v>
      </c>
      <c r="D121" s="10">
        <v>43836</v>
      </c>
      <c r="E121">
        <v>2524952.8199999998</v>
      </c>
      <c r="F121">
        <v>2524952.8199999998</v>
      </c>
      <c r="G121">
        <v>728728.05</v>
      </c>
      <c r="H121">
        <v>728728.05</v>
      </c>
      <c r="I121">
        <v>1114554.6100000001</v>
      </c>
      <c r="J121">
        <v>1114554.6100000001</v>
      </c>
      <c r="K121">
        <v>661889.11</v>
      </c>
      <c r="L121">
        <v>19781.05</v>
      </c>
    </row>
    <row r="122" spans="1:12" x14ac:dyDescent="0.25">
      <c r="A122" t="s">
        <v>600</v>
      </c>
      <c r="B122" t="s">
        <v>601</v>
      </c>
      <c r="C122" t="s">
        <v>602</v>
      </c>
      <c r="D122" s="10">
        <v>43847</v>
      </c>
      <c r="E122">
        <v>474203.59</v>
      </c>
      <c r="F122">
        <v>474203.59</v>
      </c>
      <c r="I122">
        <v>311163.2</v>
      </c>
      <c r="J122">
        <v>311163.2</v>
      </c>
      <c r="K122">
        <v>150313.59</v>
      </c>
      <c r="L122">
        <v>12726.8</v>
      </c>
    </row>
    <row r="123" spans="1:12" x14ac:dyDescent="0.25">
      <c r="A123" t="s">
        <v>603</v>
      </c>
      <c r="B123" t="s">
        <v>604</v>
      </c>
      <c r="C123" t="s">
        <v>605</v>
      </c>
      <c r="D123" s="10">
        <v>43849</v>
      </c>
      <c r="E123">
        <v>278420.76</v>
      </c>
      <c r="F123">
        <v>278420.76</v>
      </c>
      <c r="G123">
        <v>78920.72</v>
      </c>
      <c r="H123">
        <v>78920.72</v>
      </c>
      <c r="I123">
        <v>129549.08</v>
      </c>
      <c r="J123">
        <v>129549.08</v>
      </c>
      <c r="K123">
        <v>69950.960000000006</v>
      </c>
    </row>
    <row r="124" spans="1:12" x14ac:dyDescent="0.25">
      <c r="A124" t="s">
        <v>606</v>
      </c>
      <c r="B124" t="s">
        <v>607</v>
      </c>
      <c r="C124" t="s">
        <v>605</v>
      </c>
      <c r="D124" s="10">
        <v>43849</v>
      </c>
      <c r="E124">
        <v>461334.02</v>
      </c>
      <c r="F124">
        <v>461334.02</v>
      </c>
      <c r="G124">
        <v>150000</v>
      </c>
      <c r="H124">
        <v>150000</v>
      </c>
      <c r="I124">
        <v>213600</v>
      </c>
      <c r="J124">
        <v>213600</v>
      </c>
      <c r="K124">
        <v>86400</v>
      </c>
      <c r="L124">
        <v>11334.02</v>
      </c>
    </row>
    <row r="125" spans="1:12" x14ac:dyDescent="0.25">
      <c r="A125" t="s">
        <v>608</v>
      </c>
      <c r="B125" t="s">
        <v>609</v>
      </c>
      <c r="C125" t="s">
        <v>610</v>
      </c>
      <c r="D125" s="10">
        <v>43852</v>
      </c>
      <c r="E125">
        <v>632756.14</v>
      </c>
      <c r="F125">
        <v>632756.14</v>
      </c>
      <c r="G125">
        <v>224017</v>
      </c>
      <c r="H125">
        <v>224017</v>
      </c>
      <c r="I125">
        <v>292185.13</v>
      </c>
      <c r="J125">
        <v>292185.13</v>
      </c>
      <c r="K125">
        <v>104142.85</v>
      </c>
      <c r="L125">
        <v>12411.16</v>
      </c>
    </row>
    <row r="126" spans="1:12" x14ac:dyDescent="0.25">
      <c r="A126" t="s">
        <v>611</v>
      </c>
      <c r="B126" t="s">
        <v>612</v>
      </c>
      <c r="C126" t="s">
        <v>613</v>
      </c>
      <c r="D126" s="10">
        <v>43856</v>
      </c>
      <c r="E126">
        <v>376128.4</v>
      </c>
      <c r="F126">
        <v>376128.4</v>
      </c>
      <c r="G126">
        <v>93799.11</v>
      </c>
      <c r="H126">
        <v>93799.11</v>
      </c>
      <c r="I126">
        <v>197952.66</v>
      </c>
      <c r="J126">
        <v>197952.66</v>
      </c>
      <c r="K126">
        <v>84376.63</v>
      </c>
    </row>
    <row r="127" spans="1:12" x14ac:dyDescent="0.25">
      <c r="A127" t="s">
        <v>614</v>
      </c>
      <c r="B127" t="s">
        <v>615</v>
      </c>
      <c r="C127" t="s">
        <v>616</v>
      </c>
      <c r="D127" s="10">
        <v>43863</v>
      </c>
      <c r="E127">
        <v>297142.8</v>
      </c>
      <c r="F127">
        <v>297142.8</v>
      </c>
      <c r="G127">
        <v>86908.13</v>
      </c>
      <c r="H127">
        <v>86908.13</v>
      </c>
      <c r="I127">
        <v>139604.97</v>
      </c>
      <c r="J127">
        <v>139604.97</v>
      </c>
      <c r="K127">
        <v>60821.79</v>
      </c>
      <c r="L127">
        <v>9807.91</v>
      </c>
    </row>
    <row r="128" spans="1:12" x14ac:dyDescent="0.25">
      <c r="A128" t="s">
        <v>617</v>
      </c>
      <c r="B128" t="s">
        <v>618</v>
      </c>
      <c r="C128" t="s">
        <v>619</v>
      </c>
      <c r="D128" s="10">
        <v>43865</v>
      </c>
      <c r="E128">
        <v>9609.5300000000007</v>
      </c>
      <c r="F128">
        <v>9609.5300000000007</v>
      </c>
      <c r="K128">
        <v>9609.5300000000007</v>
      </c>
    </row>
    <row r="129" spans="1:12" x14ac:dyDescent="0.25">
      <c r="A129" t="s">
        <v>620</v>
      </c>
      <c r="B129" t="s">
        <v>621</v>
      </c>
      <c r="C129" t="s">
        <v>622</v>
      </c>
      <c r="D129" s="10">
        <v>43877</v>
      </c>
      <c r="E129">
        <v>954056.82</v>
      </c>
      <c r="F129">
        <v>954056.82</v>
      </c>
      <c r="G129">
        <v>300000</v>
      </c>
      <c r="H129">
        <v>300000</v>
      </c>
      <c r="I129">
        <v>432887.65</v>
      </c>
      <c r="J129">
        <v>432887.65</v>
      </c>
      <c r="K129">
        <v>207684</v>
      </c>
      <c r="L129">
        <v>13485.17</v>
      </c>
    </row>
    <row r="130" spans="1:12" x14ac:dyDescent="0.25">
      <c r="A130" t="s">
        <v>623</v>
      </c>
      <c r="B130" t="s">
        <v>624</v>
      </c>
      <c r="C130" t="s">
        <v>625</v>
      </c>
      <c r="D130" s="10">
        <v>43879</v>
      </c>
      <c r="E130">
        <v>407566.77</v>
      </c>
      <c r="F130">
        <v>407566.77</v>
      </c>
      <c r="G130">
        <v>307111.43</v>
      </c>
      <c r="H130">
        <v>307111.43</v>
      </c>
      <c r="K130">
        <v>83077.39</v>
      </c>
      <c r="L130">
        <v>17377.95</v>
      </c>
    </row>
    <row r="131" spans="1:12" x14ac:dyDescent="0.25">
      <c r="A131" t="s">
        <v>626</v>
      </c>
      <c r="B131" t="s">
        <v>627</v>
      </c>
      <c r="C131" t="s">
        <v>628</v>
      </c>
      <c r="D131" s="10">
        <v>43881</v>
      </c>
      <c r="E131">
        <v>1524530.49</v>
      </c>
      <c r="F131">
        <v>1524530.49</v>
      </c>
      <c r="G131">
        <v>525000</v>
      </c>
      <c r="H131">
        <v>525000</v>
      </c>
      <c r="I131">
        <v>630408.81000000006</v>
      </c>
      <c r="J131">
        <v>630408.81000000006</v>
      </c>
      <c r="K131">
        <v>362313</v>
      </c>
      <c r="L131">
        <v>6808.68</v>
      </c>
    </row>
    <row r="132" spans="1:12" x14ac:dyDescent="0.25">
      <c r="A132" t="s">
        <v>629</v>
      </c>
      <c r="B132" t="s">
        <v>627</v>
      </c>
      <c r="C132" t="s">
        <v>628</v>
      </c>
      <c r="D132" s="10">
        <v>43881</v>
      </c>
      <c r="E132">
        <v>885148.6</v>
      </c>
      <c r="F132">
        <v>885148.6</v>
      </c>
      <c r="G132">
        <v>282000</v>
      </c>
      <c r="H132">
        <v>282000</v>
      </c>
      <c r="I132">
        <v>404534.76</v>
      </c>
      <c r="J132">
        <v>404534.76</v>
      </c>
      <c r="K132">
        <v>194613.84</v>
      </c>
      <c r="L132">
        <v>4000</v>
      </c>
    </row>
    <row r="133" spans="1:12" x14ac:dyDescent="0.25">
      <c r="A133" t="s">
        <v>630</v>
      </c>
      <c r="B133" t="s">
        <v>631</v>
      </c>
      <c r="C133" t="s">
        <v>632</v>
      </c>
      <c r="D133" s="10">
        <v>43882</v>
      </c>
      <c r="E133">
        <v>723220.69</v>
      </c>
      <c r="F133">
        <v>723220.69</v>
      </c>
      <c r="I133">
        <v>455671.22</v>
      </c>
      <c r="J133">
        <v>455671.22</v>
      </c>
      <c r="K133">
        <v>267549.46999999997</v>
      </c>
    </row>
    <row r="134" spans="1:12" x14ac:dyDescent="0.25">
      <c r="A134" t="s">
        <v>633</v>
      </c>
      <c r="B134" t="s">
        <v>634</v>
      </c>
      <c r="C134" t="s">
        <v>632</v>
      </c>
      <c r="D134" s="10">
        <v>43882</v>
      </c>
      <c r="E134">
        <v>343508.86</v>
      </c>
      <c r="F134">
        <v>343508.86</v>
      </c>
      <c r="I134">
        <v>203093.45</v>
      </c>
      <c r="J134">
        <v>203093.45</v>
      </c>
      <c r="K134">
        <v>140415.41</v>
      </c>
    </row>
    <row r="135" spans="1:12" x14ac:dyDescent="0.25">
      <c r="A135" t="s">
        <v>635</v>
      </c>
      <c r="B135" t="s">
        <v>631</v>
      </c>
      <c r="C135" t="s">
        <v>632</v>
      </c>
      <c r="D135" s="10">
        <v>43882</v>
      </c>
      <c r="E135">
        <v>1039409.01</v>
      </c>
      <c r="F135">
        <v>1039409.01</v>
      </c>
      <c r="I135">
        <v>514309.75</v>
      </c>
      <c r="J135">
        <v>514309.75</v>
      </c>
      <c r="K135">
        <v>525099.26</v>
      </c>
    </row>
    <row r="136" spans="1:12" x14ac:dyDescent="0.25">
      <c r="A136" t="s">
        <v>636</v>
      </c>
      <c r="B136" t="s">
        <v>631</v>
      </c>
      <c r="C136" t="s">
        <v>632</v>
      </c>
      <c r="D136" s="10">
        <v>43882</v>
      </c>
      <c r="E136">
        <v>723220.85</v>
      </c>
      <c r="F136">
        <v>723220.85</v>
      </c>
      <c r="I136">
        <v>455671.22</v>
      </c>
      <c r="J136">
        <v>455671.22</v>
      </c>
      <c r="K136">
        <v>267549.63</v>
      </c>
    </row>
    <row r="137" spans="1:12" x14ac:dyDescent="0.25">
      <c r="A137" t="s">
        <v>637</v>
      </c>
      <c r="B137" t="s">
        <v>638</v>
      </c>
      <c r="C137" t="s">
        <v>639</v>
      </c>
      <c r="D137" s="10">
        <v>43883</v>
      </c>
      <c r="E137">
        <v>10369572.25</v>
      </c>
      <c r="F137">
        <v>10369572.25</v>
      </c>
      <c r="G137">
        <v>300000</v>
      </c>
      <c r="H137">
        <v>300000</v>
      </c>
      <c r="I137">
        <v>362219.17</v>
      </c>
      <c r="J137">
        <v>362219.17</v>
      </c>
      <c r="K137">
        <v>9707353.0800000001</v>
      </c>
    </row>
    <row r="138" spans="1:12" x14ac:dyDescent="0.25">
      <c r="A138" t="s">
        <v>640</v>
      </c>
      <c r="B138" t="s">
        <v>641</v>
      </c>
      <c r="C138" t="s">
        <v>642</v>
      </c>
      <c r="D138" s="10">
        <v>43884</v>
      </c>
      <c r="E138">
        <v>304433.81</v>
      </c>
      <c r="F138">
        <v>304433.81</v>
      </c>
      <c r="I138">
        <v>179238.2</v>
      </c>
      <c r="J138">
        <v>179238.2</v>
      </c>
      <c r="K138">
        <v>125195.61</v>
      </c>
    </row>
    <row r="139" spans="1:12" x14ac:dyDescent="0.25">
      <c r="A139" t="s">
        <v>643</v>
      </c>
      <c r="B139" t="s">
        <v>644</v>
      </c>
      <c r="C139" t="s">
        <v>645</v>
      </c>
      <c r="D139" s="10">
        <v>43885</v>
      </c>
      <c r="E139">
        <v>214282.23999999999</v>
      </c>
      <c r="F139">
        <v>214282.23999999999</v>
      </c>
      <c r="G139">
        <v>100000</v>
      </c>
      <c r="H139">
        <v>100000</v>
      </c>
      <c r="I139">
        <v>41665.24</v>
      </c>
      <c r="J139">
        <v>41665.24</v>
      </c>
      <c r="K139">
        <v>60000</v>
      </c>
      <c r="L139">
        <v>12617</v>
      </c>
    </row>
    <row r="140" spans="1:12" x14ac:dyDescent="0.25">
      <c r="A140" t="s">
        <v>646</v>
      </c>
      <c r="B140" t="s">
        <v>647</v>
      </c>
      <c r="C140" t="s">
        <v>648</v>
      </c>
      <c r="D140" s="10">
        <v>43890</v>
      </c>
      <c r="E140">
        <v>274829.12</v>
      </c>
      <c r="F140">
        <v>274829.12</v>
      </c>
      <c r="G140">
        <v>140108.21</v>
      </c>
      <c r="H140">
        <v>140108.21</v>
      </c>
      <c r="I140">
        <v>60879.91</v>
      </c>
      <c r="J140">
        <v>60879.91</v>
      </c>
      <c r="K140">
        <v>60000</v>
      </c>
      <c r="L140">
        <v>13841</v>
      </c>
    </row>
    <row r="141" spans="1:12" x14ac:dyDescent="0.25">
      <c r="A141" t="s">
        <v>649</v>
      </c>
      <c r="B141" t="s">
        <v>650</v>
      </c>
      <c r="C141" t="s">
        <v>651</v>
      </c>
      <c r="D141" s="10">
        <v>43897</v>
      </c>
      <c r="E141">
        <v>267088.77</v>
      </c>
      <c r="F141">
        <v>267088.77</v>
      </c>
      <c r="I141">
        <v>217813.77</v>
      </c>
      <c r="J141">
        <v>217813.77</v>
      </c>
      <c r="K141">
        <v>49275</v>
      </c>
    </row>
    <row r="142" spans="1:12" x14ac:dyDescent="0.25">
      <c r="A142" t="s">
        <v>652</v>
      </c>
      <c r="B142" t="s">
        <v>653</v>
      </c>
      <c r="C142" t="s">
        <v>654</v>
      </c>
      <c r="D142" s="10">
        <v>43904</v>
      </c>
      <c r="E142">
        <v>4402.75</v>
      </c>
      <c r="F142">
        <v>4402.75</v>
      </c>
      <c r="K142">
        <v>4402.75</v>
      </c>
    </row>
    <row r="143" spans="1:12" x14ac:dyDescent="0.25">
      <c r="A143" t="s">
        <v>655</v>
      </c>
      <c r="B143" t="s">
        <v>656</v>
      </c>
      <c r="C143" t="s">
        <v>657</v>
      </c>
      <c r="D143" s="10">
        <v>43905</v>
      </c>
      <c r="E143">
        <v>1922736.79</v>
      </c>
      <c r="F143">
        <v>1922736.79</v>
      </c>
      <c r="G143">
        <v>586228.01</v>
      </c>
      <c r="H143">
        <v>586228.01</v>
      </c>
      <c r="I143">
        <v>808778.71</v>
      </c>
      <c r="J143">
        <v>808778.71</v>
      </c>
      <c r="K143">
        <v>510616.32000000001</v>
      </c>
      <c r="L143">
        <v>17113.75</v>
      </c>
    </row>
    <row r="144" spans="1:12" x14ac:dyDescent="0.25">
      <c r="A144" t="s">
        <v>658</v>
      </c>
      <c r="B144" t="s">
        <v>659</v>
      </c>
      <c r="C144" t="s">
        <v>660</v>
      </c>
      <c r="D144" s="10">
        <v>43906</v>
      </c>
      <c r="E144">
        <v>733133.25</v>
      </c>
      <c r="F144">
        <v>733133.25</v>
      </c>
      <c r="G144">
        <v>237942.86</v>
      </c>
      <c r="H144">
        <v>237942.86</v>
      </c>
      <c r="I144">
        <v>310753.37</v>
      </c>
      <c r="J144">
        <v>310753.37</v>
      </c>
      <c r="K144">
        <v>172066.86</v>
      </c>
      <c r="L144">
        <v>12370.16</v>
      </c>
    </row>
    <row r="145" spans="1:12" x14ac:dyDescent="0.25">
      <c r="A145" t="s">
        <v>661</v>
      </c>
      <c r="B145" t="s">
        <v>662</v>
      </c>
      <c r="C145" t="s">
        <v>660</v>
      </c>
      <c r="D145" s="10">
        <v>43906</v>
      </c>
      <c r="E145">
        <v>311765.32</v>
      </c>
      <c r="F145">
        <v>311765.32</v>
      </c>
      <c r="G145">
        <v>29278.63</v>
      </c>
      <c r="H145">
        <v>29278.63</v>
      </c>
      <c r="I145">
        <v>161776.98000000001</v>
      </c>
      <c r="J145">
        <v>161776.98000000001</v>
      </c>
      <c r="K145">
        <v>108463.96</v>
      </c>
      <c r="L145">
        <v>12245.75</v>
      </c>
    </row>
    <row r="146" spans="1:12" x14ac:dyDescent="0.25">
      <c r="A146" t="s">
        <v>663</v>
      </c>
      <c r="B146" t="s">
        <v>664</v>
      </c>
      <c r="C146" t="s">
        <v>665</v>
      </c>
      <c r="D146" s="10">
        <v>43909</v>
      </c>
      <c r="E146">
        <v>676311.9</v>
      </c>
      <c r="F146">
        <v>676311.9</v>
      </c>
      <c r="G146">
        <v>232136.69</v>
      </c>
      <c r="H146">
        <v>232136.69</v>
      </c>
      <c r="I146">
        <v>264543.2</v>
      </c>
      <c r="J146">
        <v>264543.2</v>
      </c>
      <c r="K146">
        <v>179632.01</v>
      </c>
    </row>
    <row r="147" spans="1:12" x14ac:dyDescent="0.25">
      <c r="A147" t="s">
        <v>666</v>
      </c>
      <c r="B147" t="s">
        <v>667</v>
      </c>
      <c r="C147" t="s">
        <v>668</v>
      </c>
      <c r="D147" s="10">
        <v>43910</v>
      </c>
      <c r="E147">
        <v>566317.68000000005</v>
      </c>
      <c r="F147">
        <v>566317.68000000005</v>
      </c>
      <c r="G147">
        <v>224000</v>
      </c>
      <c r="H147">
        <v>224000</v>
      </c>
      <c r="I147">
        <v>241238.81</v>
      </c>
      <c r="J147">
        <v>241238.81</v>
      </c>
      <c r="K147">
        <v>88724.38</v>
      </c>
      <c r="L147">
        <v>12354.49</v>
      </c>
    </row>
    <row r="148" spans="1:12" x14ac:dyDescent="0.25">
      <c r="A148" t="s">
        <v>669</v>
      </c>
      <c r="B148" t="s">
        <v>667</v>
      </c>
      <c r="C148" t="s">
        <v>668</v>
      </c>
      <c r="D148" s="10">
        <v>43910</v>
      </c>
      <c r="E148">
        <v>646805.14</v>
      </c>
      <c r="F148">
        <v>646805.14</v>
      </c>
      <c r="G148">
        <v>256000</v>
      </c>
      <c r="H148">
        <v>256000</v>
      </c>
      <c r="I148">
        <v>294214.36</v>
      </c>
      <c r="J148">
        <v>294214.36</v>
      </c>
      <c r="K148">
        <v>83785.64</v>
      </c>
      <c r="L148">
        <v>12805.14</v>
      </c>
    </row>
    <row r="149" spans="1:12" x14ac:dyDescent="0.25">
      <c r="A149" t="s">
        <v>670</v>
      </c>
      <c r="B149" t="s">
        <v>667</v>
      </c>
      <c r="C149" t="s">
        <v>668</v>
      </c>
      <c r="D149" s="10">
        <v>43910</v>
      </c>
      <c r="E149">
        <v>434774.74</v>
      </c>
      <c r="F149">
        <v>434774.74</v>
      </c>
      <c r="G149">
        <v>126447.41</v>
      </c>
      <c r="H149">
        <v>126447.41</v>
      </c>
      <c r="I149">
        <v>209295.78</v>
      </c>
      <c r="J149">
        <v>209295.78</v>
      </c>
      <c r="K149">
        <v>86226.41</v>
      </c>
      <c r="L149">
        <v>12805.14</v>
      </c>
    </row>
    <row r="150" spans="1:12" x14ac:dyDescent="0.25">
      <c r="A150" t="s">
        <v>671</v>
      </c>
      <c r="B150" t="s">
        <v>672</v>
      </c>
      <c r="C150" t="s">
        <v>673</v>
      </c>
      <c r="D150" s="10">
        <v>43911</v>
      </c>
      <c r="E150">
        <v>1612647.4</v>
      </c>
      <c r="F150">
        <v>1612647.4</v>
      </c>
      <c r="G150">
        <v>540000</v>
      </c>
      <c r="H150">
        <v>540000</v>
      </c>
      <c r="I150">
        <v>691840</v>
      </c>
      <c r="J150">
        <v>691840</v>
      </c>
      <c r="K150">
        <v>363916.79999999999</v>
      </c>
      <c r="L150">
        <v>16890.599999999999</v>
      </c>
    </row>
    <row r="151" spans="1:12" x14ac:dyDescent="0.25">
      <c r="A151" t="s">
        <v>674</v>
      </c>
      <c r="B151" t="s">
        <v>675</v>
      </c>
      <c r="C151" t="s">
        <v>673</v>
      </c>
      <c r="D151" s="10">
        <v>43911</v>
      </c>
      <c r="E151">
        <v>888855.9</v>
      </c>
      <c r="F151">
        <v>888855.9</v>
      </c>
      <c r="G151">
        <v>349399.79</v>
      </c>
      <c r="H151">
        <v>349399.79</v>
      </c>
      <c r="I151">
        <v>390060.72</v>
      </c>
      <c r="J151">
        <v>390060.72</v>
      </c>
      <c r="K151">
        <v>134939.28</v>
      </c>
      <c r="L151">
        <v>14456.11</v>
      </c>
    </row>
    <row r="152" spans="1:12" x14ac:dyDescent="0.25">
      <c r="A152" t="s">
        <v>676</v>
      </c>
      <c r="B152" t="s">
        <v>677</v>
      </c>
      <c r="C152" t="s">
        <v>678</v>
      </c>
      <c r="D152" s="10">
        <v>43914</v>
      </c>
      <c r="E152">
        <v>154476.09</v>
      </c>
      <c r="F152">
        <v>154476.09</v>
      </c>
      <c r="G152">
        <v>73950.33</v>
      </c>
      <c r="H152">
        <v>73950.33</v>
      </c>
      <c r="K152">
        <v>67631.649999999994</v>
      </c>
      <c r="L152">
        <v>12894.11</v>
      </c>
    </row>
    <row r="153" spans="1:12" x14ac:dyDescent="0.25">
      <c r="A153" t="s">
        <v>679</v>
      </c>
      <c r="B153" t="s">
        <v>680</v>
      </c>
      <c r="C153" t="s">
        <v>681</v>
      </c>
      <c r="D153" s="10">
        <v>43916</v>
      </c>
      <c r="E153">
        <v>332141.59000000003</v>
      </c>
      <c r="F153">
        <v>332141.59000000003</v>
      </c>
      <c r="G153">
        <v>87127.76</v>
      </c>
      <c r="H153">
        <v>87127.76</v>
      </c>
      <c r="I153">
        <v>42962.21</v>
      </c>
      <c r="J153">
        <v>42962.21</v>
      </c>
      <c r="K153">
        <v>202051.62</v>
      </c>
    </row>
    <row r="154" spans="1:12" x14ac:dyDescent="0.25">
      <c r="A154" t="s">
        <v>682</v>
      </c>
      <c r="B154" t="s">
        <v>683</v>
      </c>
      <c r="C154" t="s">
        <v>684</v>
      </c>
      <c r="D154" s="10">
        <v>43917</v>
      </c>
      <c r="E154">
        <v>75978.009999999995</v>
      </c>
      <c r="F154">
        <v>75978.009999999995</v>
      </c>
      <c r="G154">
        <v>39922.54</v>
      </c>
      <c r="H154">
        <v>39922.54</v>
      </c>
      <c r="I154">
        <v>6232.29</v>
      </c>
      <c r="J154">
        <v>6232.29</v>
      </c>
      <c r="K154">
        <v>29823.18</v>
      </c>
    </row>
    <row r="155" spans="1:12" x14ac:dyDescent="0.25">
      <c r="A155" t="s">
        <v>685</v>
      </c>
      <c r="B155" t="s">
        <v>686</v>
      </c>
      <c r="C155" t="s">
        <v>687</v>
      </c>
      <c r="D155" s="10">
        <v>43927</v>
      </c>
      <c r="E155">
        <v>810500</v>
      </c>
      <c r="F155">
        <v>810500</v>
      </c>
      <c r="G155">
        <v>271721.53999999998</v>
      </c>
      <c r="H155">
        <v>271721.53999999998</v>
      </c>
      <c r="I155">
        <v>468167.22</v>
      </c>
      <c r="J155">
        <v>468167.22</v>
      </c>
      <c r="K155">
        <v>70611.240000000005</v>
      </c>
    </row>
    <row r="156" spans="1:12" x14ac:dyDescent="0.25">
      <c r="A156" t="s">
        <v>688</v>
      </c>
      <c r="B156" t="s">
        <v>689</v>
      </c>
      <c r="C156" t="s">
        <v>687</v>
      </c>
      <c r="D156" s="10">
        <v>43927</v>
      </c>
      <c r="E156">
        <v>719219.24</v>
      </c>
      <c r="F156">
        <v>719219.24</v>
      </c>
      <c r="G156">
        <v>240000</v>
      </c>
      <c r="H156">
        <v>240000</v>
      </c>
      <c r="I156">
        <v>307200.01</v>
      </c>
      <c r="J156">
        <v>307200.01</v>
      </c>
      <c r="K156">
        <v>159667.20000000001</v>
      </c>
      <c r="L156">
        <v>12352.03</v>
      </c>
    </row>
    <row r="157" spans="1:12" x14ac:dyDescent="0.25">
      <c r="A157" t="s">
        <v>690</v>
      </c>
      <c r="B157" t="s">
        <v>691</v>
      </c>
      <c r="C157" t="s">
        <v>692</v>
      </c>
      <c r="D157" s="10">
        <v>43930</v>
      </c>
      <c r="E157">
        <v>578471.02</v>
      </c>
      <c r="F157">
        <v>578471.02</v>
      </c>
      <c r="G157">
        <v>218322.43</v>
      </c>
      <c r="H157">
        <v>218322.43</v>
      </c>
      <c r="I157">
        <v>203193.74</v>
      </c>
      <c r="J157">
        <v>203193.74</v>
      </c>
      <c r="K157">
        <v>144891.85999999999</v>
      </c>
      <c r="L157">
        <v>12062.99</v>
      </c>
    </row>
    <row r="158" spans="1:12" x14ac:dyDescent="0.25">
      <c r="A158" t="s">
        <v>693</v>
      </c>
      <c r="B158" t="s">
        <v>694</v>
      </c>
      <c r="C158" t="s">
        <v>695</v>
      </c>
      <c r="D158" s="10">
        <v>43931</v>
      </c>
      <c r="E158">
        <v>777567.44</v>
      </c>
      <c r="F158">
        <v>777567.44</v>
      </c>
      <c r="G158">
        <v>315000</v>
      </c>
      <c r="H158">
        <v>315000</v>
      </c>
      <c r="I158">
        <v>179281.27</v>
      </c>
      <c r="J158">
        <v>179281.27</v>
      </c>
      <c r="K158">
        <v>269948.7</v>
      </c>
      <c r="L158">
        <v>13337.47</v>
      </c>
    </row>
    <row r="159" spans="1:12" x14ac:dyDescent="0.25">
      <c r="A159" t="s">
        <v>696</v>
      </c>
      <c r="B159" t="s">
        <v>697</v>
      </c>
      <c r="C159" t="s">
        <v>698</v>
      </c>
      <c r="D159" s="10">
        <v>43932</v>
      </c>
      <c r="E159">
        <v>392686.77</v>
      </c>
      <c r="F159">
        <v>392686.77</v>
      </c>
      <c r="G159">
        <v>163104.26999999999</v>
      </c>
      <c r="H159">
        <v>163104.26999999999</v>
      </c>
      <c r="I159">
        <v>91743.08</v>
      </c>
      <c r="J159">
        <v>91743.08</v>
      </c>
      <c r="K159">
        <v>137839.42000000001</v>
      </c>
    </row>
    <row r="160" spans="1:12" x14ac:dyDescent="0.25">
      <c r="A160" t="s">
        <v>699</v>
      </c>
      <c r="B160" t="s">
        <v>700</v>
      </c>
      <c r="C160" t="s">
        <v>701</v>
      </c>
      <c r="D160" s="10">
        <v>43934</v>
      </c>
      <c r="E160">
        <v>318553.51</v>
      </c>
      <c r="F160">
        <v>318553.51</v>
      </c>
      <c r="G160">
        <v>121329.29</v>
      </c>
      <c r="H160">
        <v>121329.29</v>
      </c>
      <c r="I160">
        <v>63333.89</v>
      </c>
      <c r="J160">
        <v>63333.89</v>
      </c>
      <c r="K160">
        <v>119686.81</v>
      </c>
      <c r="L160">
        <v>14203.52</v>
      </c>
    </row>
    <row r="161" spans="1:12" x14ac:dyDescent="0.25">
      <c r="A161" t="s">
        <v>702</v>
      </c>
      <c r="B161" t="s">
        <v>703</v>
      </c>
      <c r="C161" t="s">
        <v>704</v>
      </c>
      <c r="D161" s="10">
        <v>43936</v>
      </c>
      <c r="E161">
        <v>138714.65</v>
      </c>
      <c r="F161">
        <v>138714.65</v>
      </c>
      <c r="G161">
        <v>42950.01</v>
      </c>
      <c r="H161">
        <v>42950.01</v>
      </c>
      <c r="I161">
        <v>63318.91</v>
      </c>
      <c r="J161">
        <v>63318.91</v>
      </c>
      <c r="K161">
        <v>28457.82</v>
      </c>
      <c r="L161">
        <v>3987.91</v>
      </c>
    </row>
    <row r="162" spans="1:12" x14ac:dyDescent="0.25">
      <c r="A162" t="s">
        <v>705</v>
      </c>
      <c r="B162" t="s">
        <v>703</v>
      </c>
      <c r="C162" t="s">
        <v>704</v>
      </c>
      <c r="D162" s="10">
        <v>43936</v>
      </c>
      <c r="E162">
        <v>253129.46</v>
      </c>
      <c r="F162">
        <v>253129.46</v>
      </c>
      <c r="G162">
        <v>81639.67</v>
      </c>
      <c r="H162">
        <v>81639.67</v>
      </c>
      <c r="I162">
        <v>110396.98</v>
      </c>
      <c r="J162">
        <v>110396.98</v>
      </c>
      <c r="K162">
        <v>54092.81</v>
      </c>
      <c r="L162">
        <v>7000</v>
      </c>
    </row>
    <row r="163" spans="1:12" x14ac:dyDescent="0.25">
      <c r="A163" t="s">
        <v>706</v>
      </c>
      <c r="B163" t="s">
        <v>707</v>
      </c>
      <c r="C163" t="s">
        <v>708</v>
      </c>
      <c r="D163" s="10">
        <v>43937</v>
      </c>
      <c r="E163">
        <v>245524.58</v>
      </c>
      <c r="F163">
        <v>245524.58</v>
      </c>
      <c r="I163">
        <v>143638.79</v>
      </c>
      <c r="J163">
        <v>143638.79</v>
      </c>
      <c r="K163">
        <v>89090.58</v>
      </c>
      <c r="L163">
        <v>12795.21</v>
      </c>
    </row>
    <row r="164" spans="1:12" x14ac:dyDescent="0.25">
      <c r="A164" t="s">
        <v>709</v>
      </c>
      <c r="B164" t="s">
        <v>568</v>
      </c>
      <c r="C164" t="s">
        <v>710</v>
      </c>
      <c r="D164" s="10">
        <v>43938</v>
      </c>
      <c r="E164">
        <v>265892.27</v>
      </c>
      <c r="F164">
        <v>265892.27</v>
      </c>
      <c r="G164">
        <v>146409.89000000001</v>
      </c>
      <c r="H164">
        <v>146409.89000000001</v>
      </c>
      <c r="I164">
        <v>18876.38</v>
      </c>
      <c r="J164">
        <v>18876.38</v>
      </c>
      <c r="K164">
        <v>90000</v>
      </c>
      <c r="L164">
        <v>10606</v>
      </c>
    </row>
    <row r="165" spans="1:12" x14ac:dyDescent="0.25">
      <c r="A165" t="s">
        <v>711</v>
      </c>
      <c r="B165" t="s">
        <v>712</v>
      </c>
      <c r="C165" t="s">
        <v>713</v>
      </c>
      <c r="D165" s="10">
        <v>43940</v>
      </c>
      <c r="E165">
        <v>257556.52</v>
      </c>
      <c r="F165">
        <v>257556.52</v>
      </c>
      <c r="G165">
        <v>96993.36</v>
      </c>
      <c r="H165">
        <v>96993.36</v>
      </c>
      <c r="I165">
        <v>123114.57</v>
      </c>
      <c r="J165">
        <v>123114.57</v>
      </c>
      <c r="K165">
        <v>26885.43</v>
      </c>
      <c r="L165">
        <v>10563.16</v>
      </c>
    </row>
    <row r="166" spans="1:12" x14ac:dyDescent="0.25">
      <c r="A166" t="s">
        <v>714</v>
      </c>
      <c r="B166" t="s">
        <v>715</v>
      </c>
      <c r="C166" t="s">
        <v>716</v>
      </c>
      <c r="D166" s="10">
        <v>43941</v>
      </c>
      <c r="E166">
        <v>488806.3</v>
      </c>
      <c r="F166">
        <v>488806.3</v>
      </c>
      <c r="I166">
        <v>263098.32</v>
      </c>
      <c r="J166">
        <v>263098.32</v>
      </c>
      <c r="K166">
        <v>215862.7</v>
      </c>
      <c r="L166">
        <v>9845.2800000000007</v>
      </c>
    </row>
    <row r="167" spans="1:12" x14ac:dyDescent="0.25">
      <c r="A167" t="s">
        <v>717</v>
      </c>
      <c r="B167" t="s">
        <v>718</v>
      </c>
      <c r="C167" t="s">
        <v>719</v>
      </c>
      <c r="D167" s="10">
        <v>43946</v>
      </c>
      <c r="E167">
        <v>604879.22</v>
      </c>
      <c r="F167">
        <v>604879.22</v>
      </c>
      <c r="G167">
        <v>197376.26</v>
      </c>
      <c r="H167">
        <v>197376.26</v>
      </c>
      <c r="I167">
        <v>266052.38</v>
      </c>
      <c r="J167">
        <v>266052.38</v>
      </c>
      <c r="K167">
        <v>129285.4</v>
      </c>
      <c r="L167">
        <v>12165.18</v>
      </c>
    </row>
    <row r="168" spans="1:12" x14ac:dyDescent="0.25">
      <c r="A168" t="s">
        <v>720</v>
      </c>
      <c r="B168" t="s">
        <v>721</v>
      </c>
      <c r="C168" t="s">
        <v>722</v>
      </c>
      <c r="D168" s="10">
        <v>43948</v>
      </c>
      <c r="E168">
        <v>910366.85</v>
      </c>
      <c r="F168">
        <v>910366.85</v>
      </c>
      <c r="G168">
        <v>16348.71</v>
      </c>
      <c r="H168">
        <v>16348.71</v>
      </c>
      <c r="I168">
        <v>27715.05</v>
      </c>
      <c r="J168">
        <v>27715.05</v>
      </c>
      <c r="K168">
        <v>866303.09</v>
      </c>
    </row>
    <row r="169" spans="1:12" x14ac:dyDescent="0.25">
      <c r="A169" t="s">
        <v>723</v>
      </c>
      <c r="B169" t="s">
        <v>715</v>
      </c>
      <c r="C169" t="s">
        <v>722</v>
      </c>
      <c r="D169" s="10">
        <v>43948</v>
      </c>
      <c r="E169">
        <v>213846.49</v>
      </c>
      <c r="F169">
        <v>213846.49</v>
      </c>
      <c r="G169">
        <v>22577.07</v>
      </c>
      <c r="H169">
        <v>22577.07</v>
      </c>
      <c r="I169">
        <v>108105.7</v>
      </c>
      <c r="J169">
        <v>108105.7</v>
      </c>
      <c r="K169">
        <v>77163.72</v>
      </c>
      <c r="L169">
        <v>6000</v>
      </c>
    </row>
    <row r="170" spans="1:12" x14ac:dyDescent="0.25">
      <c r="A170" t="s">
        <v>724</v>
      </c>
      <c r="B170" t="s">
        <v>725</v>
      </c>
      <c r="C170" t="s">
        <v>726</v>
      </c>
      <c r="D170" s="10">
        <v>43949</v>
      </c>
      <c r="E170">
        <v>416.33</v>
      </c>
      <c r="F170">
        <v>416.33</v>
      </c>
      <c r="K170">
        <v>416.33</v>
      </c>
    </row>
    <row r="171" spans="1:12" x14ac:dyDescent="0.25">
      <c r="A171" t="s">
        <v>727</v>
      </c>
      <c r="B171" t="s">
        <v>728</v>
      </c>
      <c r="C171" t="s">
        <v>729</v>
      </c>
      <c r="D171" s="10">
        <v>43950</v>
      </c>
      <c r="E171">
        <v>39428.5</v>
      </c>
      <c r="F171">
        <v>39428.5</v>
      </c>
      <c r="G171">
        <v>24415.11</v>
      </c>
      <c r="H171">
        <v>24415.11</v>
      </c>
      <c r="I171">
        <v>1909.11</v>
      </c>
      <c r="J171">
        <v>1909.11</v>
      </c>
      <c r="K171">
        <v>13104.28</v>
      </c>
    </row>
    <row r="172" spans="1:12" x14ac:dyDescent="0.25">
      <c r="A172" t="s">
        <v>730</v>
      </c>
      <c r="B172" t="s">
        <v>725</v>
      </c>
      <c r="C172" t="s">
        <v>731</v>
      </c>
      <c r="D172" s="10">
        <v>43956</v>
      </c>
      <c r="E172">
        <v>2103242.9500000002</v>
      </c>
      <c r="F172">
        <v>2103242.9500000002</v>
      </c>
      <c r="G172">
        <v>84314.02</v>
      </c>
      <c r="H172">
        <v>84314.02</v>
      </c>
      <c r="I172">
        <v>70488.42</v>
      </c>
      <c r="J172">
        <v>70488.42</v>
      </c>
      <c r="K172">
        <v>1948440.51</v>
      </c>
    </row>
    <row r="173" spans="1:12" x14ac:dyDescent="0.25">
      <c r="A173" t="s">
        <v>732</v>
      </c>
      <c r="B173" t="s">
        <v>733</v>
      </c>
      <c r="C173" t="s">
        <v>734</v>
      </c>
      <c r="D173" s="10">
        <v>43957</v>
      </c>
      <c r="E173">
        <v>8129020.6200000001</v>
      </c>
      <c r="F173">
        <v>8129020.6200000001</v>
      </c>
      <c r="G173">
        <v>352385.37</v>
      </c>
      <c r="H173">
        <v>352385.37</v>
      </c>
      <c r="I173">
        <v>185663.69</v>
      </c>
      <c r="J173">
        <v>185663.69</v>
      </c>
      <c r="K173">
        <v>7590971.5599999996</v>
      </c>
    </row>
    <row r="174" spans="1:12" x14ac:dyDescent="0.25">
      <c r="A174" t="s">
        <v>735</v>
      </c>
      <c r="B174" t="s">
        <v>736</v>
      </c>
      <c r="C174" t="s">
        <v>734</v>
      </c>
      <c r="D174" s="10">
        <v>43957</v>
      </c>
      <c r="E174">
        <v>397180.97</v>
      </c>
      <c r="F174">
        <v>397180.97</v>
      </c>
      <c r="G174">
        <v>117805.84</v>
      </c>
      <c r="H174">
        <v>117805.84</v>
      </c>
      <c r="I174">
        <v>180071.88</v>
      </c>
      <c r="J174">
        <v>180071.88</v>
      </c>
      <c r="K174">
        <v>99303.25</v>
      </c>
    </row>
    <row r="175" spans="1:12" x14ac:dyDescent="0.25">
      <c r="A175" t="s">
        <v>737</v>
      </c>
      <c r="B175" t="s">
        <v>738</v>
      </c>
      <c r="C175" t="s">
        <v>739</v>
      </c>
      <c r="D175" s="10">
        <v>43958</v>
      </c>
      <c r="E175">
        <v>201654.92</v>
      </c>
      <c r="F175">
        <v>201654.92</v>
      </c>
      <c r="G175">
        <v>87235.27</v>
      </c>
      <c r="H175">
        <v>87235.27</v>
      </c>
      <c r="I175">
        <v>40932.660000000003</v>
      </c>
      <c r="J175">
        <v>40932.660000000003</v>
      </c>
      <c r="K175">
        <v>73486.990000000005</v>
      </c>
    </row>
    <row r="176" spans="1:12" x14ac:dyDescent="0.25">
      <c r="A176" t="s">
        <v>740</v>
      </c>
      <c r="B176" t="s">
        <v>741</v>
      </c>
      <c r="C176" t="s">
        <v>742</v>
      </c>
      <c r="D176" s="10">
        <v>43967</v>
      </c>
      <c r="E176">
        <v>216429.22</v>
      </c>
      <c r="F176">
        <v>216429.22</v>
      </c>
      <c r="G176">
        <v>68737.990000000005</v>
      </c>
      <c r="H176">
        <v>68737.990000000005</v>
      </c>
      <c r="I176">
        <v>93807.55</v>
      </c>
      <c r="J176">
        <v>93807.55</v>
      </c>
      <c r="K176">
        <v>44245.27</v>
      </c>
      <c r="L176">
        <v>9638.41</v>
      </c>
    </row>
    <row r="177" spans="1:12" x14ac:dyDescent="0.25">
      <c r="A177" t="s">
        <v>743</v>
      </c>
      <c r="B177" t="s">
        <v>667</v>
      </c>
      <c r="C177" t="s">
        <v>744</v>
      </c>
      <c r="D177" s="10">
        <v>43971</v>
      </c>
      <c r="E177">
        <v>435633.69</v>
      </c>
      <c r="F177">
        <v>435633.69</v>
      </c>
      <c r="G177">
        <v>129718.58</v>
      </c>
      <c r="H177">
        <v>129718.58</v>
      </c>
      <c r="I177">
        <v>173134.12</v>
      </c>
      <c r="J177">
        <v>173134.12</v>
      </c>
      <c r="K177">
        <v>119947.3</v>
      </c>
      <c r="L177">
        <v>12833.69</v>
      </c>
    </row>
    <row r="178" spans="1:12" x14ac:dyDescent="0.25">
      <c r="A178" t="s">
        <v>745</v>
      </c>
      <c r="B178" t="s">
        <v>746</v>
      </c>
      <c r="C178" t="s">
        <v>747</v>
      </c>
      <c r="D178" s="10">
        <v>43972</v>
      </c>
      <c r="E178">
        <v>164110.19</v>
      </c>
      <c r="F178">
        <v>164110.19</v>
      </c>
      <c r="G178">
        <v>78391.5</v>
      </c>
      <c r="H178">
        <v>78391.5</v>
      </c>
      <c r="I178">
        <v>30338.94</v>
      </c>
      <c r="J178">
        <v>30338.94</v>
      </c>
      <c r="K178">
        <v>55379.75</v>
      </c>
    </row>
    <row r="179" spans="1:12" x14ac:dyDescent="0.25">
      <c r="A179" t="s">
        <v>748</v>
      </c>
      <c r="B179" t="s">
        <v>749</v>
      </c>
      <c r="C179" t="s">
        <v>747</v>
      </c>
      <c r="D179" s="10">
        <v>43972</v>
      </c>
      <c r="E179">
        <v>151237.82</v>
      </c>
      <c r="F179">
        <v>151237.82</v>
      </c>
      <c r="I179">
        <v>16373.16</v>
      </c>
      <c r="J179">
        <v>16373.16</v>
      </c>
      <c r="K179">
        <v>134864.66</v>
      </c>
    </row>
    <row r="180" spans="1:12" x14ac:dyDescent="0.25">
      <c r="A180" t="s">
        <v>750</v>
      </c>
      <c r="B180" t="s">
        <v>746</v>
      </c>
      <c r="C180" t="s">
        <v>747</v>
      </c>
      <c r="D180" s="10">
        <v>43972</v>
      </c>
      <c r="E180">
        <v>348103.88</v>
      </c>
      <c r="F180">
        <v>348103.88</v>
      </c>
      <c r="G180">
        <v>215861.99</v>
      </c>
      <c r="H180">
        <v>215861.99</v>
      </c>
      <c r="I180">
        <v>76862.14</v>
      </c>
      <c r="J180">
        <v>76862.14</v>
      </c>
      <c r="K180">
        <v>55379.75</v>
      </c>
    </row>
    <row r="181" spans="1:12" x14ac:dyDescent="0.25">
      <c r="A181" t="s">
        <v>751</v>
      </c>
      <c r="B181" t="s">
        <v>752</v>
      </c>
      <c r="C181" t="s">
        <v>753</v>
      </c>
      <c r="D181" s="10">
        <v>43973</v>
      </c>
      <c r="E181">
        <v>962935.54</v>
      </c>
      <c r="F181">
        <v>962935.54</v>
      </c>
      <c r="G181">
        <v>341241.24</v>
      </c>
      <c r="H181">
        <v>341241.24</v>
      </c>
      <c r="I181">
        <v>388571.59</v>
      </c>
      <c r="J181">
        <v>388571.59</v>
      </c>
      <c r="K181">
        <v>218544.54</v>
      </c>
      <c r="L181">
        <v>14578.17</v>
      </c>
    </row>
    <row r="182" spans="1:12" x14ac:dyDescent="0.25">
      <c r="A182" t="s">
        <v>754</v>
      </c>
      <c r="B182" t="s">
        <v>755</v>
      </c>
      <c r="C182" t="s">
        <v>756</v>
      </c>
      <c r="D182" s="10">
        <v>43981</v>
      </c>
      <c r="E182">
        <v>692675.99</v>
      </c>
      <c r="F182">
        <v>692675.99</v>
      </c>
      <c r="G182">
        <v>240890.38</v>
      </c>
      <c r="H182">
        <v>240890.38</v>
      </c>
      <c r="I182">
        <v>281728.81</v>
      </c>
      <c r="J182">
        <v>281728.81</v>
      </c>
      <c r="K182">
        <v>157137.60999999999</v>
      </c>
      <c r="L182">
        <v>12919.19</v>
      </c>
    </row>
    <row r="183" spans="1:12" x14ac:dyDescent="0.25">
      <c r="A183" t="s">
        <v>757</v>
      </c>
      <c r="B183" t="s">
        <v>758</v>
      </c>
      <c r="C183" t="s">
        <v>759</v>
      </c>
      <c r="D183" s="10">
        <v>43987</v>
      </c>
      <c r="E183">
        <v>361624.98</v>
      </c>
      <c r="F183">
        <v>361624.98</v>
      </c>
      <c r="G183">
        <v>120000</v>
      </c>
      <c r="H183">
        <v>120000</v>
      </c>
      <c r="I183">
        <v>147383.44</v>
      </c>
      <c r="J183">
        <v>147383.44</v>
      </c>
      <c r="K183">
        <v>87855.75</v>
      </c>
      <c r="L183">
        <v>6385.79</v>
      </c>
    </row>
    <row r="184" spans="1:12" x14ac:dyDescent="0.25">
      <c r="A184" t="s">
        <v>760</v>
      </c>
      <c r="B184" t="s">
        <v>761</v>
      </c>
      <c r="C184" t="s">
        <v>762</v>
      </c>
      <c r="D184" s="10">
        <v>44006</v>
      </c>
      <c r="E184">
        <v>1615702.56</v>
      </c>
      <c r="F184">
        <v>1615702.56</v>
      </c>
      <c r="G184">
        <v>285524.37</v>
      </c>
      <c r="H184">
        <v>285524.37</v>
      </c>
      <c r="I184">
        <v>1083695.47</v>
      </c>
      <c r="J184">
        <v>1083695.47</v>
      </c>
      <c r="K184">
        <v>233124.93</v>
      </c>
      <c r="L184">
        <v>13357.79</v>
      </c>
    </row>
    <row r="185" spans="1:12" x14ac:dyDescent="0.25">
      <c r="A185" t="s">
        <v>763</v>
      </c>
      <c r="B185" t="s">
        <v>764</v>
      </c>
      <c r="C185" t="s">
        <v>765</v>
      </c>
      <c r="D185" s="10">
        <v>44009</v>
      </c>
      <c r="E185">
        <v>312404.90000000002</v>
      </c>
      <c r="F185">
        <v>312404.90000000002</v>
      </c>
      <c r="G185">
        <v>112952.52</v>
      </c>
      <c r="H185">
        <v>112952.52</v>
      </c>
      <c r="I185">
        <v>118748.68</v>
      </c>
      <c r="J185">
        <v>118748.68</v>
      </c>
      <c r="K185">
        <v>70143.509999999995</v>
      </c>
      <c r="L185">
        <v>10560.19</v>
      </c>
    </row>
    <row r="186" spans="1:12" x14ac:dyDescent="0.25">
      <c r="A186" t="s">
        <v>766</v>
      </c>
      <c r="B186" t="s">
        <v>767</v>
      </c>
      <c r="C186" t="s">
        <v>768</v>
      </c>
      <c r="D186" s="10">
        <v>44013</v>
      </c>
      <c r="E186">
        <v>912211.8</v>
      </c>
      <c r="F186">
        <v>912211.8</v>
      </c>
      <c r="G186">
        <v>428339.42</v>
      </c>
      <c r="H186">
        <v>428339.42</v>
      </c>
      <c r="I186">
        <v>214369.36</v>
      </c>
      <c r="J186">
        <v>214369.36</v>
      </c>
      <c r="K186">
        <v>253651.91</v>
      </c>
      <c r="L186">
        <v>15851.11</v>
      </c>
    </row>
    <row r="187" spans="1:12" x14ac:dyDescent="0.25">
      <c r="A187" t="s">
        <v>769</v>
      </c>
      <c r="B187" t="s">
        <v>770</v>
      </c>
      <c r="C187" t="s">
        <v>771</v>
      </c>
      <c r="D187" s="10">
        <v>44015</v>
      </c>
      <c r="E187">
        <v>1022553.13</v>
      </c>
      <c r="F187">
        <v>1022553.13</v>
      </c>
      <c r="G187">
        <v>456454.36</v>
      </c>
      <c r="H187">
        <v>456454.36</v>
      </c>
      <c r="I187">
        <v>212705.58</v>
      </c>
      <c r="J187">
        <v>212705.58</v>
      </c>
      <c r="K187">
        <v>336945.48</v>
      </c>
      <c r="L187">
        <v>16447.71</v>
      </c>
    </row>
    <row r="188" spans="1:12" x14ac:dyDescent="0.25">
      <c r="A188" t="s">
        <v>772</v>
      </c>
      <c r="B188" t="s">
        <v>773</v>
      </c>
      <c r="C188" t="s">
        <v>774</v>
      </c>
      <c r="D188" s="10">
        <v>44018</v>
      </c>
      <c r="E188">
        <v>1744675.02</v>
      </c>
      <c r="F188">
        <v>1744675.02</v>
      </c>
      <c r="G188">
        <v>981181.77</v>
      </c>
      <c r="H188">
        <v>981181.77</v>
      </c>
      <c r="I188">
        <v>361773.78</v>
      </c>
      <c r="J188">
        <v>361773.78</v>
      </c>
      <c r="K188">
        <v>380375.52</v>
      </c>
      <c r="L188">
        <v>21343.95</v>
      </c>
    </row>
    <row r="189" spans="1:12" x14ac:dyDescent="0.25">
      <c r="A189" t="s">
        <v>775</v>
      </c>
      <c r="B189" t="s">
        <v>776</v>
      </c>
      <c r="C189" t="s">
        <v>777</v>
      </c>
      <c r="D189" s="10">
        <v>44021</v>
      </c>
      <c r="E189">
        <v>101820.7</v>
      </c>
      <c r="F189">
        <v>101820.7</v>
      </c>
      <c r="G189">
        <v>65820.7</v>
      </c>
      <c r="H189">
        <v>65820.7</v>
      </c>
      <c r="K189">
        <v>30000</v>
      </c>
      <c r="L189">
        <v>6000</v>
      </c>
    </row>
    <row r="190" spans="1:12" x14ac:dyDescent="0.25">
      <c r="A190" t="s">
        <v>778</v>
      </c>
      <c r="B190" t="s">
        <v>779</v>
      </c>
      <c r="C190" t="s">
        <v>780</v>
      </c>
      <c r="D190" s="10">
        <v>44024</v>
      </c>
      <c r="E190">
        <v>635866.04</v>
      </c>
      <c r="F190">
        <v>635866.04</v>
      </c>
      <c r="G190">
        <v>221949.58</v>
      </c>
      <c r="H190">
        <v>221949.58</v>
      </c>
      <c r="I190">
        <v>248782.4</v>
      </c>
      <c r="J190">
        <v>248782.4</v>
      </c>
      <c r="K190">
        <v>156217.60000000001</v>
      </c>
      <c r="L190">
        <v>8916.4599999999991</v>
      </c>
    </row>
    <row r="191" spans="1:12" x14ac:dyDescent="0.25">
      <c r="A191" t="s">
        <v>781</v>
      </c>
      <c r="B191" t="s">
        <v>782</v>
      </c>
      <c r="C191" t="s">
        <v>783</v>
      </c>
      <c r="D191" s="10">
        <v>44027</v>
      </c>
      <c r="E191">
        <v>156620.44</v>
      </c>
      <c r="F191">
        <v>156620.44</v>
      </c>
      <c r="G191">
        <v>68837.509999999995</v>
      </c>
      <c r="H191">
        <v>68837.509999999995</v>
      </c>
      <c r="I191">
        <v>47743.65</v>
      </c>
      <c r="J191">
        <v>47743.65</v>
      </c>
      <c r="K191">
        <v>40039.279999999999</v>
      </c>
    </row>
    <row r="192" spans="1:12" x14ac:dyDescent="0.25">
      <c r="A192" t="s">
        <v>784</v>
      </c>
      <c r="B192" t="s">
        <v>785</v>
      </c>
      <c r="C192" t="s">
        <v>786</v>
      </c>
      <c r="D192" s="10">
        <v>44029</v>
      </c>
      <c r="E192">
        <v>343966.59</v>
      </c>
      <c r="F192">
        <v>343966.59</v>
      </c>
      <c r="G192">
        <v>119184.95</v>
      </c>
      <c r="H192">
        <v>119184.95</v>
      </c>
      <c r="I192">
        <v>145647.29</v>
      </c>
      <c r="J192">
        <v>145647.29</v>
      </c>
      <c r="K192">
        <v>72726.66</v>
      </c>
      <c r="L192">
        <v>6407.69</v>
      </c>
    </row>
    <row r="193" spans="1:12" x14ac:dyDescent="0.25">
      <c r="A193" t="s">
        <v>787</v>
      </c>
      <c r="B193" t="s">
        <v>788</v>
      </c>
      <c r="C193" t="s">
        <v>789</v>
      </c>
      <c r="D193" s="10">
        <v>44030</v>
      </c>
      <c r="E193">
        <v>985563.41</v>
      </c>
      <c r="F193">
        <v>985563.41</v>
      </c>
      <c r="G193">
        <v>357064.12</v>
      </c>
      <c r="H193">
        <v>357064.12</v>
      </c>
      <c r="I193">
        <v>399226.93</v>
      </c>
      <c r="J193">
        <v>399226.93</v>
      </c>
      <c r="K193">
        <v>217687.71</v>
      </c>
      <c r="L193">
        <v>11584.65</v>
      </c>
    </row>
    <row r="194" spans="1:12" x14ac:dyDescent="0.25">
      <c r="A194" t="s">
        <v>790</v>
      </c>
      <c r="B194" t="s">
        <v>791</v>
      </c>
      <c r="C194" t="s">
        <v>792</v>
      </c>
      <c r="D194" s="10">
        <v>44032</v>
      </c>
      <c r="E194">
        <v>130947.93</v>
      </c>
      <c r="F194">
        <v>130947.93</v>
      </c>
      <c r="G194">
        <v>67010.84</v>
      </c>
      <c r="H194">
        <v>67010.84</v>
      </c>
      <c r="I194">
        <v>20255.84</v>
      </c>
      <c r="J194">
        <v>20255.84</v>
      </c>
      <c r="K194">
        <v>34738.410000000003</v>
      </c>
      <c r="L194">
        <v>8942.84</v>
      </c>
    </row>
    <row r="195" spans="1:12" x14ac:dyDescent="0.25">
      <c r="A195" t="s">
        <v>793</v>
      </c>
      <c r="B195" t="s">
        <v>785</v>
      </c>
      <c r="C195" t="s">
        <v>794</v>
      </c>
      <c r="D195" s="10">
        <v>44033</v>
      </c>
      <c r="E195">
        <v>238944.61</v>
      </c>
      <c r="F195">
        <v>238944.61</v>
      </c>
      <c r="G195">
        <v>82579.23</v>
      </c>
      <c r="H195">
        <v>82579.23</v>
      </c>
      <c r="I195">
        <v>100153.9</v>
      </c>
      <c r="J195">
        <v>100153.9</v>
      </c>
      <c r="K195">
        <v>50211.48</v>
      </c>
      <c r="L195">
        <v>6000</v>
      </c>
    </row>
    <row r="196" spans="1:12" x14ac:dyDescent="0.25">
      <c r="A196" t="s">
        <v>795</v>
      </c>
      <c r="B196" t="s">
        <v>796</v>
      </c>
      <c r="C196" t="s">
        <v>797</v>
      </c>
      <c r="D196" s="10">
        <v>44034</v>
      </c>
      <c r="E196">
        <v>630193.36</v>
      </c>
      <c r="F196">
        <v>630193.36</v>
      </c>
      <c r="G196">
        <v>216486.61</v>
      </c>
      <c r="H196">
        <v>216486.61</v>
      </c>
      <c r="I196">
        <v>240223.04</v>
      </c>
      <c r="J196">
        <v>240223.04</v>
      </c>
      <c r="K196">
        <v>173483.71</v>
      </c>
    </row>
    <row r="197" spans="1:12" x14ac:dyDescent="0.25">
      <c r="A197" t="s">
        <v>798</v>
      </c>
      <c r="B197" t="s">
        <v>799</v>
      </c>
      <c r="C197" t="s">
        <v>800</v>
      </c>
      <c r="D197" s="10">
        <v>44038</v>
      </c>
      <c r="E197">
        <v>548064.86</v>
      </c>
      <c r="F197">
        <v>548064.86</v>
      </c>
      <c r="G197">
        <v>190899.14</v>
      </c>
      <c r="H197">
        <v>190899.14</v>
      </c>
      <c r="I197">
        <v>229330.03</v>
      </c>
      <c r="J197">
        <v>229330.03</v>
      </c>
      <c r="K197">
        <v>115558.89</v>
      </c>
      <c r="L197">
        <v>12276.8</v>
      </c>
    </row>
    <row r="198" spans="1:12" x14ac:dyDescent="0.25">
      <c r="A198" t="s">
        <v>801</v>
      </c>
      <c r="B198" t="s">
        <v>802</v>
      </c>
      <c r="C198" t="s">
        <v>803</v>
      </c>
      <c r="D198" s="10">
        <v>44041</v>
      </c>
      <c r="E198">
        <v>281700.32</v>
      </c>
      <c r="F198">
        <v>281700.32</v>
      </c>
      <c r="G198">
        <v>152841.37</v>
      </c>
      <c r="H198">
        <v>152841.37</v>
      </c>
      <c r="K198">
        <v>116047.82</v>
      </c>
      <c r="L198">
        <v>12811.13</v>
      </c>
    </row>
    <row r="199" spans="1:12" x14ac:dyDescent="0.25">
      <c r="A199" t="s">
        <v>804</v>
      </c>
      <c r="B199" t="s">
        <v>805</v>
      </c>
      <c r="C199" t="s">
        <v>806</v>
      </c>
      <c r="D199" s="10">
        <v>44042</v>
      </c>
      <c r="E199">
        <v>4054578.12</v>
      </c>
      <c r="F199">
        <v>4054578.12</v>
      </c>
      <c r="G199">
        <v>150000</v>
      </c>
      <c r="H199">
        <v>150000</v>
      </c>
      <c r="I199">
        <v>130355.5</v>
      </c>
      <c r="J199">
        <v>130355.5</v>
      </c>
      <c r="K199">
        <v>3774222.62</v>
      </c>
    </row>
    <row r="200" spans="1:12" x14ac:dyDescent="0.25">
      <c r="A200" t="s">
        <v>807</v>
      </c>
      <c r="B200" t="s">
        <v>776</v>
      </c>
      <c r="C200" t="s">
        <v>808</v>
      </c>
      <c r="D200" s="10">
        <v>44050</v>
      </c>
      <c r="E200">
        <v>187064.37</v>
      </c>
      <c r="F200">
        <v>187064.37</v>
      </c>
      <c r="G200">
        <v>110000</v>
      </c>
      <c r="H200">
        <v>110000</v>
      </c>
      <c r="I200">
        <v>25064.37</v>
      </c>
      <c r="J200">
        <v>25064.37</v>
      </c>
      <c r="K200">
        <v>45000</v>
      </c>
      <c r="L200">
        <v>7000</v>
      </c>
    </row>
    <row r="201" spans="1:12" x14ac:dyDescent="0.25">
      <c r="A201" t="s">
        <v>809</v>
      </c>
      <c r="B201" t="s">
        <v>805</v>
      </c>
      <c r="C201" t="s">
        <v>810</v>
      </c>
      <c r="D201" s="10">
        <v>44052</v>
      </c>
      <c r="E201">
        <v>7142221.8399999999</v>
      </c>
      <c r="F201">
        <v>7142221.8399999999</v>
      </c>
      <c r="G201">
        <v>289226.32</v>
      </c>
      <c r="H201">
        <v>289226.32</v>
      </c>
      <c r="I201">
        <v>201661.2</v>
      </c>
      <c r="J201">
        <v>201661.2</v>
      </c>
      <c r="K201">
        <v>6651334.3200000003</v>
      </c>
    </row>
    <row r="202" spans="1:12" x14ac:dyDescent="0.25">
      <c r="A202" t="s">
        <v>811</v>
      </c>
      <c r="B202" t="s">
        <v>812</v>
      </c>
      <c r="C202" t="s">
        <v>813</v>
      </c>
      <c r="D202" s="10">
        <v>44053</v>
      </c>
      <c r="E202">
        <v>946482.04</v>
      </c>
      <c r="F202">
        <v>946482.04</v>
      </c>
      <c r="G202">
        <v>539180.56999999995</v>
      </c>
      <c r="H202">
        <v>539180.56999999995</v>
      </c>
      <c r="I202">
        <v>121426.43</v>
      </c>
      <c r="J202">
        <v>121426.43</v>
      </c>
      <c r="K202">
        <v>285875.03999999998</v>
      </c>
    </row>
    <row r="203" spans="1:12" x14ac:dyDescent="0.25">
      <c r="A203" t="s">
        <v>814</v>
      </c>
      <c r="B203" t="s">
        <v>815</v>
      </c>
      <c r="C203" t="s">
        <v>816</v>
      </c>
      <c r="D203" s="10">
        <v>44054</v>
      </c>
      <c r="E203">
        <v>1468728.48</v>
      </c>
      <c r="F203">
        <v>1468728.48</v>
      </c>
      <c r="G203">
        <v>597267.06999999995</v>
      </c>
      <c r="H203">
        <v>597267.06999999995</v>
      </c>
      <c r="I203">
        <v>492728</v>
      </c>
      <c r="J203">
        <v>492728</v>
      </c>
      <c r="K203">
        <v>365412.54</v>
      </c>
      <c r="L203">
        <v>13320.87</v>
      </c>
    </row>
    <row r="204" spans="1:12" x14ac:dyDescent="0.25">
      <c r="A204" t="s">
        <v>817</v>
      </c>
      <c r="B204" t="s">
        <v>818</v>
      </c>
      <c r="C204" t="s">
        <v>819</v>
      </c>
      <c r="D204" s="10">
        <v>44055</v>
      </c>
      <c r="E204">
        <v>1250000</v>
      </c>
      <c r="F204">
        <v>1250000</v>
      </c>
      <c r="G204">
        <v>500000</v>
      </c>
      <c r="H204">
        <v>500000</v>
      </c>
      <c r="I204">
        <v>441145.84</v>
      </c>
      <c r="J204">
        <v>441145.84</v>
      </c>
      <c r="K204">
        <v>308854.15999999997</v>
      </c>
    </row>
    <row r="205" spans="1:12" x14ac:dyDescent="0.25">
      <c r="A205" t="s">
        <v>820</v>
      </c>
      <c r="B205" t="s">
        <v>821</v>
      </c>
      <c r="C205" t="s">
        <v>822</v>
      </c>
      <c r="D205" s="10">
        <v>44056</v>
      </c>
      <c r="E205">
        <v>3399185.61</v>
      </c>
      <c r="F205">
        <v>3399185.61</v>
      </c>
      <c r="G205">
        <v>150000</v>
      </c>
      <c r="H205">
        <v>150000</v>
      </c>
      <c r="I205">
        <v>133566.89000000001</v>
      </c>
      <c r="J205">
        <v>133566.89000000001</v>
      </c>
      <c r="K205">
        <v>3115618.72</v>
      </c>
    </row>
    <row r="206" spans="1:12" x14ac:dyDescent="0.25">
      <c r="A206" t="s">
        <v>823</v>
      </c>
      <c r="B206" t="s">
        <v>824</v>
      </c>
      <c r="C206" t="s">
        <v>825</v>
      </c>
      <c r="D206" s="10">
        <v>44057</v>
      </c>
      <c r="E206">
        <v>725592.74</v>
      </c>
      <c r="F206">
        <v>725592.74</v>
      </c>
      <c r="G206">
        <v>420910.34</v>
      </c>
      <c r="H206">
        <v>420910.34</v>
      </c>
      <c r="I206">
        <v>46351.29</v>
      </c>
      <c r="J206">
        <v>46351.29</v>
      </c>
      <c r="K206">
        <v>248331.11</v>
      </c>
      <c r="L206">
        <v>10000</v>
      </c>
    </row>
    <row r="207" spans="1:12" x14ac:dyDescent="0.25">
      <c r="A207" t="s">
        <v>826</v>
      </c>
      <c r="B207" t="s">
        <v>746</v>
      </c>
      <c r="C207" t="s">
        <v>827</v>
      </c>
      <c r="D207" s="10">
        <v>44059</v>
      </c>
      <c r="E207">
        <v>255670.01</v>
      </c>
      <c r="F207">
        <v>255670.01</v>
      </c>
      <c r="G207">
        <v>131027.51</v>
      </c>
      <c r="H207">
        <v>131027.51</v>
      </c>
      <c r="I207">
        <v>96494.16</v>
      </c>
      <c r="J207">
        <v>96494.16</v>
      </c>
      <c r="K207">
        <v>28148.34</v>
      </c>
    </row>
    <row r="208" spans="1:12" x14ac:dyDescent="0.25">
      <c r="A208" t="s">
        <v>828</v>
      </c>
      <c r="B208" t="s">
        <v>829</v>
      </c>
      <c r="C208" t="s">
        <v>827</v>
      </c>
      <c r="D208" s="10">
        <v>44059</v>
      </c>
      <c r="E208">
        <v>67041.100000000006</v>
      </c>
      <c r="F208">
        <v>67041.100000000006</v>
      </c>
      <c r="I208">
        <v>35821.22</v>
      </c>
      <c r="J208">
        <v>35821.22</v>
      </c>
      <c r="K208">
        <v>31219.88</v>
      </c>
    </row>
    <row r="209" spans="1:12" x14ac:dyDescent="0.25">
      <c r="A209" t="s">
        <v>830</v>
      </c>
      <c r="B209" t="s">
        <v>805</v>
      </c>
      <c r="C209" t="s">
        <v>831</v>
      </c>
      <c r="D209" s="10">
        <v>44061</v>
      </c>
      <c r="E209">
        <v>3825857.08</v>
      </c>
      <c r="F209">
        <v>3825857.08</v>
      </c>
      <c r="G209">
        <v>170071.42</v>
      </c>
      <c r="H209">
        <v>170071.42</v>
      </c>
      <c r="I209">
        <v>116487.27</v>
      </c>
      <c r="J209">
        <v>116487.27</v>
      </c>
      <c r="K209">
        <v>3539298.39</v>
      </c>
    </row>
    <row r="210" spans="1:12" x14ac:dyDescent="0.25">
      <c r="A210" t="s">
        <v>832</v>
      </c>
      <c r="B210" t="s">
        <v>815</v>
      </c>
      <c r="C210" t="s">
        <v>833</v>
      </c>
      <c r="D210" s="10">
        <v>44063</v>
      </c>
      <c r="E210">
        <v>541617.34</v>
      </c>
      <c r="F210">
        <v>541617.34</v>
      </c>
      <c r="G210">
        <v>200000</v>
      </c>
      <c r="H210">
        <v>200000</v>
      </c>
      <c r="I210">
        <v>223249.34</v>
      </c>
      <c r="J210">
        <v>223249.34</v>
      </c>
      <c r="K210">
        <v>118368</v>
      </c>
    </row>
    <row r="211" spans="1:12" x14ac:dyDescent="0.25">
      <c r="A211" t="s">
        <v>834</v>
      </c>
      <c r="B211" t="s">
        <v>835</v>
      </c>
      <c r="C211" t="s">
        <v>836</v>
      </c>
      <c r="D211" s="10">
        <v>44072</v>
      </c>
      <c r="E211">
        <v>53619.1</v>
      </c>
      <c r="F211">
        <v>53619.1</v>
      </c>
      <c r="G211">
        <v>20033.48</v>
      </c>
      <c r="H211">
        <v>20033.48</v>
      </c>
      <c r="K211">
        <v>33585.620000000003</v>
      </c>
    </row>
    <row r="212" spans="1:12" x14ac:dyDescent="0.25">
      <c r="A212" t="s">
        <v>837</v>
      </c>
      <c r="B212" t="s">
        <v>779</v>
      </c>
      <c r="C212" t="s">
        <v>836</v>
      </c>
      <c r="D212" s="10">
        <v>44072</v>
      </c>
      <c r="E212">
        <v>485146.25</v>
      </c>
      <c r="F212">
        <v>485146.25</v>
      </c>
      <c r="G212">
        <v>167386.20000000001</v>
      </c>
      <c r="H212">
        <v>167386.20000000001</v>
      </c>
      <c r="I212">
        <v>181058.21</v>
      </c>
      <c r="J212">
        <v>181058.21</v>
      </c>
      <c r="K212">
        <v>130701.84</v>
      </c>
      <c r="L212">
        <v>6000</v>
      </c>
    </row>
    <row r="213" spans="1:12" x14ac:dyDescent="0.25">
      <c r="A213" t="s">
        <v>838</v>
      </c>
      <c r="B213" t="s">
        <v>839</v>
      </c>
      <c r="C213" t="s">
        <v>840</v>
      </c>
      <c r="D213" s="10">
        <v>44074</v>
      </c>
      <c r="E213">
        <v>443.58</v>
      </c>
      <c r="F213">
        <v>443.58</v>
      </c>
      <c r="K213">
        <v>443.58</v>
      </c>
    </row>
    <row r="214" spans="1:12" x14ac:dyDescent="0.25">
      <c r="A214" t="s">
        <v>841</v>
      </c>
      <c r="B214" t="s">
        <v>842</v>
      </c>
      <c r="C214" t="s">
        <v>843</v>
      </c>
      <c r="D214" s="10">
        <v>44076</v>
      </c>
      <c r="E214">
        <v>425397.33</v>
      </c>
      <c r="F214">
        <v>425397.33</v>
      </c>
      <c r="G214">
        <v>149849.26</v>
      </c>
      <c r="H214">
        <v>149849.26</v>
      </c>
      <c r="I214">
        <v>167256.41</v>
      </c>
      <c r="J214">
        <v>167256.41</v>
      </c>
      <c r="K214">
        <v>102291.66</v>
      </c>
      <c r="L214">
        <v>6000</v>
      </c>
    </row>
    <row r="215" spans="1:12" x14ac:dyDescent="0.25">
      <c r="A215" t="s">
        <v>844</v>
      </c>
      <c r="B215" t="s">
        <v>788</v>
      </c>
      <c r="C215" t="s">
        <v>845</v>
      </c>
      <c r="D215" s="10">
        <v>44081</v>
      </c>
      <c r="E215">
        <v>452289.59</v>
      </c>
      <c r="F215">
        <v>452289.59</v>
      </c>
      <c r="G215">
        <v>175558.02</v>
      </c>
      <c r="H215">
        <v>175558.02</v>
      </c>
      <c r="I215">
        <v>168535.74</v>
      </c>
      <c r="J215">
        <v>168535.74</v>
      </c>
      <c r="K215">
        <v>102195.83</v>
      </c>
      <c r="L215">
        <v>6000</v>
      </c>
    </row>
    <row r="216" spans="1:12" x14ac:dyDescent="0.25">
      <c r="A216" t="s">
        <v>846</v>
      </c>
      <c r="B216" t="s">
        <v>847</v>
      </c>
      <c r="C216" t="s">
        <v>848</v>
      </c>
      <c r="D216" s="10">
        <v>44088</v>
      </c>
      <c r="E216">
        <v>1378655.79</v>
      </c>
      <c r="F216">
        <v>1378655.79</v>
      </c>
      <c r="G216">
        <v>556489.29</v>
      </c>
      <c r="H216">
        <v>556489.29</v>
      </c>
      <c r="I216">
        <v>482069.89</v>
      </c>
      <c r="J216">
        <v>482069.89</v>
      </c>
      <c r="K216">
        <v>321840.02</v>
      </c>
      <c r="L216">
        <v>18256.59</v>
      </c>
    </row>
    <row r="217" spans="1:12" x14ac:dyDescent="0.25">
      <c r="A217" t="s">
        <v>849</v>
      </c>
      <c r="B217" t="s">
        <v>850</v>
      </c>
      <c r="C217" t="s">
        <v>848</v>
      </c>
      <c r="D217" s="10">
        <v>44088</v>
      </c>
      <c r="E217">
        <v>101723.4</v>
      </c>
      <c r="F217">
        <v>101723.4</v>
      </c>
      <c r="I217">
        <v>48253.24</v>
      </c>
      <c r="J217">
        <v>48253.24</v>
      </c>
      <c r="K217">
        <v>43200</v>
      </c>
      <c r="L217">
        <v>10270.16</v>
      </c>
    </row>
    <row r="218" spans="1:12" x14ac:dyDescent="0.25">
      <c r="A218" t="s">
        <v>851</v>
      </c>
      <c r="B218" t="s">
        <v>852</v>
      </c>
      <c r="C218" t="s">
        <v>853</v>
      </c>
      <c r="D218" s="10">
        <v>44089</v>
      </c>
      <c r="E218">
        <v>102275.65</v>
      </c>
      <c r="F218">
        <v>102275.65</v>
      </c>
      <c r="I218">
        <v>43463.9</v>
      </c>
      <c r="J218">
        <v>43463.9</v>
      </c>
      <c r="K218">
        <v>58811.75</v>
      </c>
    </row>
    <row r="219" spans="1:12" x14ac:dyDescent="0.25">
      <c r="A219" t="s">
        <v>854</v>
      </c>
      <c r="B219" t="s">
        <v>855</v>
      </c>
      <c r="C219" t="s">
        <v>856</v>
      </c>
      <c r="D219" s="10">
        <v>44095</v>
      </c>
      <c r="E219">
        <v>1103568.75</v>
      </c>
      <c r="F219">
        <v>1103568.75</v>
      </c>
      <c r="G219">
        <v>450000</v>
      </c>
      <c r="H219">
        <v>450000</v>
      </c>
      <c r="I219">
        <v>379183.58</v>
      </c>
      <c r="J219">
        <v>379183.58</v>
      </c>
      <c r="K219">
        <v>258552</v>
      </c>
      <c r="L219">
        <v>15833.17</v>
      </c>
    </row>
    <row r="220" spans="1:12" x14ac:dyDescent="0.25">
      <c r="A220" t="s">
        <v>857</v>
      </c>
      <c r="B220" t="s">
        <v>858</v>
      </c>
      <c r="C220" t="s">
        <v>859</v>
      </c>
      <c r="D220" s="10">
        <v>44099</v>
      </c>
      <c r="E220">
        <v>442441.3</v>
      </c>
      <c r="F220">
        <v>442441.3</v>
      </c>
      <c r="G220">
        <v>187562.77</v>
      </c>
      <c r="H220">
        <v>187562.77</v>
      </c>
      <c r="I220">
        <v>140070.87</v>
      </c>
      <c r="J220">
        <v>140070.87</v>
      </c>
      <c r="K220">
        <v>107360.93</v>
      </c>
      <c r="L220">
        <v>7446.73</v>
      </c>
    </row>
    <row r="221" spans="1:12" x14ac:dyDescent="0.25">
      <c r="A221" t="s">
        <v>860</v>
      </c>
      <c r="B221" t="s">
        <v>861</v>
      </c>
      <c r="C221" t="s">
        <v>862</v>
      </c>
      <c r="D221" s="10">
        <v>44106</v>
      </c>
      <c r="E221">
        <v>496240.02</v>
      </c>
      <c r="F221">
        <v>496240.02</v>
      </c>
      <c r="G221">
        <v>193846.7</v>
      </c>
      <c r="H221">
        <v>193846.7</v>
      </c>
      <c r="I221">
        <v>176012.79999999999</v>
      </c>
      <c r="J221">
        <v>176012.79999999999</v>
      </c>
      <c r="K221">
        <v>114593.99</v>
      </c>
      <c r="L221">
        <v>11786.53</v>
      </c>
    </row>
    <row r="222" spans="1:12" x14ac:dyDescent="0.25">
      <c r="A222" t="s">
        <v>863</v>
      </c>
      <c r="B222" t="s">
        <v>842</v>
      </c>
      <c r="C222" t="s">
        <v>864</v>
      </c>
      <c r="D222" s="10">
        <v>44109</v>
      </c>
      <c r="E222">
        <v>1403865.85</v>
      </c>
      <c r="F222">
        <v>1403865.85</v>
      </c>
      <c r="G222">
        <v>511436.55</v>
      </c>
      <c r="H222">
        <v>511436.55</v>
      </c>
      <c r="I222">
        <v>588754.54</v>
      </c>
      <c r="J222">
        <v>588754.54</v>
      </c>
      <c r="K222">
        <v>289984.52</v>
      </c>
      <c r="L222">
        <v>13690.24</v>
      </c>
    </row>
    <row r="223" spans="1:12" x14ac:dyDescent="0.25">
      <c r="A223" t="s">
        <v>865</v>
      </c>
      <c r="B223" t="s">
        <v>866</v>
      </c>
      <c r="C223" t="s">
        <v>864</v>
      </c>
      <c r="D223" s="10">
        <v>44109</v>
      </c>
      <c r="E223">
        <v>116921.18</v>
      </c>
      <c r="F223">
        <v>116921.18</v>
      </c>
      <c r="G223">
        <v>82976.45</v>
      </c>
      <c r="H223">
        <v>82976.45</v>
      </c>
      <c r="K223">
        <v>22140.36</v>
      </c>
      <c r="L223">
        <v>11804.37</v>
      </c>
    </row>
    <row r="224" spans="1:12" x14ac:dyDescent="0.25">
      <c r="A224" t="s">
        <v>867</v>
      </c>
      <c r="B224" t="s">
        <v>868</v>
      </c>
      <c r="C224" t="s">
        <v>869</v>
      </c>
      <c r="D224" s="10">
        <v>44112</v>
      </c>
      <c r="E224">
        <v>203546.29</v>
      </c>
      <c r="F224">
        <v>203546.29</v>
      </c>
      <c r="G224">
        <v>100000</v>
      </c>
      <c r="H224">
        <v>100000</v>
      </c>
      <c r="I224">
        <v>71461.61</v>
      </c>
      <c r="J224">
        <v>71461.61</v>
      </c>
      <c r="K224">
        <v>25486.59</v>
      </c>
      <c r="L224">
        <v>6598.09</v>
      </c>
    </row>
    <row r="225" spans="1:12" x14ac:dyDescent="0.25">
      <c r="A225" t="s">
        <v>870</v>
      </c>
      <c r="B225" t="s">
        <v>871</v>
      </c>
      <c r="C225" t="s">
        <v>872</v>
      </c>
      <c r="D225" s="10">
        <v>44118</v>
      </c>
      <c r="E225">
        <v>162154.60999999999</v>
      </c>
      <c r="F225">
        <v>162154.60999999999</v>
      </c>
      <c r="G225">
        <v>8494.57</v>
      </c>
      <c r="H225">
        <v>8494.57</v>
      </c>
      <c r="I225">
        <v>3085.97</v>
      </c>
      <c r="J225">
        <v>3085.97</v>
      </c>
      <c r="K225">
        <v>150574.07</v>
      </c>
    </row>
    <row r="226" spans="1:12" x14ac:dyDescent="0.25">
      <c r="A226" t="s">
        <v>873</v>
      </c>
      <c r="B226" t="s">
        <v>868</v>
      </c>
      <c r="C226" t="s">
        <v>872</v>
      </c>
      <c r="D226" s="10">
        <v>44118</v>
      </c>
      <c r="E226">
        <v>313290.65000000002</v>
      </c>
      <c r="F226">
        <v>313290.65000000002</v>
      </c>
      <c r="G226">
        <v>132678.44</v>
      </c>
      <c r="H226">
        <v>132678.44</v>
      </c>
      <c r="I226">
        <v>92032.35</v>
      </c>
      <c r="J226">
        <v>92032.35</v>
      </c>
      <c r="K226">
        <v>82579.86</v>
      </c>
      <c r="L226">
        <v>6000</v>
      </c>
    </row>
    <row r="227" spans="1:12" x14ac:dyDescent="0.25">
      <c r="A227" t="s">
        <v>874</v>
      </c>
      <c r="B227" t="s">
        <v>858</v>
      </c>
      <c r="C227" t="s">
        <v>875</v>
      </c>
      <c r="D227" s="10">
        <v>44120</v>
      </c>
      <c r="E227">
        <v>241667.66</v>
      </c>
      <c r="F227">
        <v>241667.66</v>
      </c>
      <c r="G227">
        <v>100000</v>
      </c>
      <c r="H227">
        <v>100000</v>
      </c>
      <c r="I227">
        <v>79561.66</v>
      </c>
      <c r="J227">
        <v>79561.66</v>
      </c>
      <c r="K227">
        <v>56106</v>
      </c>
      <c r="L227">
        <v>6000</v>
      </c>
    </row>
    <row r="228" spans="1:12" x14ac:dyDescent="0.25">
      <c r="A228" t="s">
        <v>876</v>
      </c>
      <c r="B228" t="s">
        <v>877</v>
      </c>
      <c r="C228" t="s">
        <v>878</v>
      </c>
      <c r="D228" s="10">
        <v>44121</v>
      </c>
      <c r="E228">
        <v>1932036.91</v>
      </c>
      <c r="F228">
        <v>1932036.91</v>
      </c>
      <c r="G228">
        <v>300000</v>
      </c>
      <c r="H228">
        <v>300000</v>
      </c>
      <c r="I228">
        <v>201410.96</v>
      </c>
      <c r="J228">
        <v>201410.96</v>
      </c>
      <c r="K228">
        <v>1417328.69</v>
      </c>
      <c r="L228">
        <v>13297.26</v>
      </c>
    </row>
    <row r="229" spans="1:12" x14ac:dyDescent="0.25">
      <c r="A229" t="s">
        <v>879</v>
      </c>
      <c r="B229" t="s">
        <v>880</v>
      </c>
      <c r="C229" t="s">
        <v>881</v>
      </c>
      <c r="D229" s="10">
        <v>44123</v>
      </c>
      <c r="E229">
        <v>4747824.1900000004</v>
      </c>
      <c r="F229">
        <v>4747824.1900000004</v>
      </c>
      <c r="G229">
        <v>201747.18</v>
      </c>
      <c r="H229">
        <v>201747.18</v>
      </c>
      <c r="I229">
        <v>154124.6</v>
      </c>
      <c r="J229">
        <v>154124.6</v>
      </c>
      <c r="K229">
        <v>4391952.41</v>
      </c>
    </row>
    <row r="230" spans="1:12" x14ac:dyDescent="0.25">
      <c r="A230" t="s">
        <v>882</v>
      </c>
      <c r="B230" t="s">
        <v>883</v>
      </c>
      <c r="C230" t="s">
        <v>881</v>
      </c>
      <c r="D230" s="10">
        <v>44123</v>
      </c>
      <c r="E230">
        <v>66657.11</v>
      </c>
      <c r="F230">
        <v>66657.11</v>
      </c>
      <c r="G230">
        <v>34377.370000000003</v>
      </c>
      <c r="H230">
        <v>34377.370000000003</v>
      </c>
      <c r="K230">
        <v>20189.240000000002</v>
      </c>
      <c r="L230">
        <v>12090.5</v>
      </c>
    </row>
    <row r="231" spans="1:12" x14ac:dyDescent="0.25">
      <c r="A231" t="s">
        <v>884</v>
      </c>
      <c r="B231" t="s">
        <v>885</v>
      </c>
      <c r="C231" t="s">
        <v>881</v>
      </c>
      <c r="D231" s="10">
        <v>44123</v>
      </c>
      <c r="E231">
        <v>669716.41</v>
      </c>
      <c r="F231">
        <v>669716.41</v>
      </c>
      <c r="G231">
        <v>250000</v>
      </c>
      <c r="H231">
        <v>250000</v>
      </c>
      <c r="I231">
        <v>218500.01</v>
      </c>
      <c r="J231">
        <v>218500.01</v>
      </c>
      <c r="K231">
        <v>188325</v>
      </c>
      <c r="L231">
        <v>12891.4</v>
      </c>
    </row>
    <row r="232" spans="1:12" x14ac:dyDescent="0.25">
      <c r="A232" t="s">
        <v>886</v>
      </c>
      <c r="B232" t="s">
        <v>871</v>
      </c>
      <c r="C232" t="s">
        <v>887</v>
      </c>
      <c r="D232" s="10">
        <v>44130</v>
      </c>
      <c r="E232">
        <v>2124.21</v>
      </c>
      <c r="F232">
        <v>2124.21</v>
      </c>
      <c r="K232">
        <v>2124.21</v>
      </c>
    </row>
    <row r="233" spans="1:12" x14ac:dyDescent="0.25">
      <c r="A233" t="s">
        <v>888</v>
      </c>
      <c r="B233" t="s">
        <v>889</v>
      </c>
      <c r="C233" t="s">
        <v>890</v>
      </c>
      <c r="D233" s="10">
        <v>44132</v>
      </c>
      <c r="E233">
        <v>297433.15000000002</v>
      </c>
      <c r="F233">
        <v>297433.15000000002</v>
      </c>
      <c r="G233">
        <v>17353.419999999998</v>
      </c>
      <c r="H233">
        <v>17353.419999999998</v>
      </c>
      <c r="I233">
        <v>128767.15</v>
      </c>
      <c r="J233">
        <v>128767.15</v>
      </c>
      <c r="K233">
        <v>138645</v>
      </c>
      <c r="L233">
        <v>12667.58</v>
      </c>
    </row>
    <row r="234" spans="1:12" x14ac:dyDescent="0.25">
      <c r="A234" t="s">
        <v>891</v>
      </c>
      <c r="B234" t="s">
        <v>892</v>
      </c>
      <c r="C234" t="s">
        <v>893</v>
      </c>
      <c r="D234" s="10">
        <v>44137</v>
      </c>
      <c r="E234">
        <v>49456.52</v>
      </c>
      <c r="F234">
        <v>49456.52</v>
      </c>
      <c r="I234">
        <v>13112.43</v>
      </c>
      <c r="J234">
        <v>13112.43</v>
      </c>
      <c r="K234">
        <v>27803.46</v>
      </c>
      <c r="L234">
        <v>8540.6299999999992</v>
      </c>
    </row>
    <row r="235" spans="1:12" x14ac:dyDescent="0.25">
      <c r="A235" t="s">
        <v>894</v>
      </c>
      <c r="B235" t="s">
        <v>880</v>
      </c>
      <c r="C235" t="s">
        <v>895</v>
      </c>
      <c r="D235" s="10">
        <v>44138</v>
      </c>
      <c r="E235">
        <v>3920827.49</v>
      </c>
      <c r="F235">
        <v>3920827.49</v>
      </c>
      <c r="G235">
        <v>163286.98000000001</v>
      </c>
      <c r="H235">
        <v>163286.98000000001</v>
      </c>
      <c r="I235">
        <v>122944.19</v>
      </c>
      <c r="J235">
        <v>122944.19</v>
      </c>
      <c r="K235">
        <v>3634596.32</v>
      </c>
    </row>
    <row r="236" spans="1:12" x14ac:dyDescent="0.25">
      <c r="A236" t="s">
        <v>896</v>
      </c>
      <c r="B236" t="s">
        <v>897</v>
      </c>
      <c r="C236" t="s">
        <v>898</v>
      </c>
      <c r="D236" s="10">
        <v>44142</v>
      </c>
      <c r="E236">
        <v>630799.71</v>
      </c>
      <c r="F236">
        <v>630799.71</v>
      </c>
      <c r="G236">
        <v>250564.83</v>
      </c>
      <c r="H236">
        <v>250564.83</v>
      </c>
      <c r="I236">
        <v>231562.05</v>
      </c>
      <c r="J236">
        <v>231562.05</v>
      </c>
      <c r="K236">
        <v>141799.65</v>
      </c>
      <c r="L236">
        <v>6873.18</v>
      </c>
    </row>
    <row r="237" spans="1:12" x14ac:dyDescent="0.25">
      <c r="A237" t="s">
        <v>899</v>
      </c>
      <c r="B237" t="s">
        <v>900</v>
      </c>
      <c r="C237" t="s">
        <v>901</v>
      </c>
      <c r="D237" s="10">
        <v>44145</v>
      </c>
      <c r="E237">
        <v>4393339.75</v>
      </c>
      <c r="F237">
        <v>4393339.75</v>
      </c>
      <c r="G237">
        <v>196372.36</v>
      </c>
      <c r="H237">
        <v>196372.36</v>
      </c>
      <c r="I237">
        <v>144883.64000000001</v>
      </c>
      <c r="J237">
        <v>144883.64000000001</v>
      </c>
      <c r="K237">
        <v>4052083.75</v>
      </c>
    </row>
    <row r="238" spans="1:12" x14ac:dyDescent="0.25">
      <c r="A238" t="s">
        <v>902</v>
      </c>
      <c r="B238" t="s">
        <v>903</v>
      </c>
      <c r="C238" t="s">
        <v>904</v>
      </c>
      <c r="D238" s="10">
        <v>44148</v>
      </c>
      <c r="E238">
        <v>442314.23999999999</v>
      </c>
      <c r="F238">
        <v>442314.23999999999</v>
      </c>
      <c r="G238">
        <v>198184.95999999999</v>
      </c>
      <c r="H238">
        <v>198184.95999999999</v>
      </c>
      <c r="I238">
        <v>123872.37</v>
      </c>
      <c r="J238">
        <v>123872.37</v>
      </c>
      <c r="K238">
        <v>108197.1</v>
      </c>
      <c r="L238">
        <v>12059.81</v>
      </c>
    </row>
    <row r="239" spans="1:12" x14ac:dyDescent="0.25">
      <c r="A239" t="s">
        <v>905</v>
      </c>
      <c r="B239" t="s">
        <v>906</v>
      </c>
      <c r="C239" t="s">
        <v>907</v>
      </c>
      <c r="D239" s="10">
        <v>44152</v>
      </c>
      <c r="E239">
        <v>500676.34</v>
      </c>
      <c r="F239">
        <v>500676.34</v>
      </c>
      <c r="G239">
        <v>78202.25</v>
      </c>
      <c r="H239">
        <v>78202.25</v>
      </c>
      <c r="I239">
        <v>4214.3</v>
      </c>
      <c r="J239">
        <v>4214.3</v>
      </c>
      <c r="K239">
        <v>418259.79</v>
      </c>
    </row>
    <row r="240" spans="1:12" x14ac:dyDescent="0.25">
      <c r="A240" t="s">
        <v>908</v>
      </c>
      <c r="B240" t="s">
        <v>909</v>
      </c>
      <c r="C240" t="s">
        <v>907</v>
      </c>
      <c r="D240" s="10">
        <v>44152</v>
      </c>
      <c r="E240">
        <v>740713.62</v>
      </c>
      <c r="F240">
        <v>740713.62</v>
      </c>
      <c r="G240">
        <v>287003.11</v>
      </c>
      <c r="H240">
        <v>287003.11</v>
      </c>
      <c r="I240">
        <v>115839.73</v>
      </c>
      <c r="J240">
        <v>115839.73</v>
      </c>
      <c r="K240">
        <v>337870.78</v>
      </c>
    </row>
    <row r="241" spans="1:12" x14ac:dyDescent="0.25">
      <c r="A241" t="s">
        <v>910</v>
      </c>
      <c r="B241" t="s">
        <v>911</v>
      </c>
      <c r="C241" t="s">
        <v>912</v>
      </c>
      <c r="D241" s="10">
        <v>44160</v>
      </c>
      <c r="E241">
        <v>22809.17</v>
      </c>
      <c r="F241">
        <v>22809.17</v>
      </c>
      <c r="K241">
        <v>22809.17</v>
      </c>
    </row>
    <row r="242" spans="1:12" x14ac:dyDescent="0.25">
      <c r="A242" t="s">
        <v>913</v>
      </c>
      <c r="B242" t="s">
        <v>914</v>
      </c>
      <c r="C242" t="s">
        <v>915</v>
      </c>
      <c r="D242" s="10">
        <v>44162</v>
      </c>
      <c r="E242">
        <v>1.83</v>
      </c>
      <c r="F242">
        <v>1.83</v>
      </c>
      <c r="K242">
        <v>1.83</v>
      </c>
    </row>
    <row r="243" spans="1:12" x14ac:dyDescent="0.25">
      <c r="A243" t="s">
        <v>916</v>
      </c>
      <c r="B243" t="s">
        <v>917</v>
      </c>
      <c r="C243" t="s">
        <v>915</v>
      </c>
      <c r="D243" s="10">
        <v>44162</v>
      </c>
      <c r="E243">
        <v>273940.15999999997</v>
      </c>
      <c r="F243">
        <v>273940.15999999997</v>
      </c>
      <c r="G243">
        <v>112418.39</v>
      </c>
      <c r="H243">
        <v>112418.39</v>
      </c>
      <c r="I243">
        <v>89459.61</v>
      </c>
      <c r="J243">
        <v>89459.61</v>
      </c>
      <c r="K243">
        <v>61622.77</v>
      </c>
      <c r="L243">
        <v>10439.39</v>
      </c>
    </row>
    <row r="244" spans="1:12" x14ac:dyDescent="0.25">
      <c r="A244" t="s">
        <v>918</v>
      </c>
      <c r="B244" t="s">
        <v>919</v>
      </c>
      <c r="C244" t="s">
        <v>920</v>
      </c>
      <c r="D244" s="10">
        <v>44163</v>
      </c>
      <c r="E244">
        <v>920520.63</v>
      </c>
      <c r="F244">
        <v>920520.63</v>
      </c>
      <c r="G244">
        <v>380000</v>
      </c>
      <c r="H244">
        <v>380000</v>
      </c>
      <c r="I244">
        <v>321539.76</v>
      </c>
      <c r="J244">
        <v>321539.76</v>
      </c>
      <c r="K244">
        <v>204379.2</v>
      </c>
      <c r="L244">
        <v>14601.67</v>
      </c>
    </row>
    <row r="245" spans="1:12" x14ac:dyDescent="0.25">
      <c r="A245" t="s">
        <v>921</v>
      </c>
      <c r="B245" t="s">
        <v>922</v>
      </c>
      <c r="C245" t="s">
        <v>923</v>
      </c>
      <c r="D245" s="10">
        <v>44164</v>
      </c>
      <c r="E245">
        <v>3181.83</v>
      </c>
      <c r="F245">
        <v>3181.83</v>
      </c>
      <c r="K245">
        <v>3181.83</v>
      </c>
    </row>
    <row r="246" spans="1:12" x14ac:dyDescent="0.25">
      <c r="A246" t="s">
        <v>924</v>
      </c>
      <c r="B246" t="s">
        <v>925</v>
      </c>
      <c r="C246" t="s">
        <v>926</v>
      </c>
      <c r="D246" s="10">
        <v>44165</v>
      </c>
      <c r="E246">
        <v>192099.14</v>
      </c>
      <c r="F246">
        <v>192099.14</v>
      </c>
      <c r="G246">
        <v>21676.78</v>
      </c>
      <c r="H246">
        <v>21676.78</v>
      </c>
      <c r="I246">
        <v>97366.01</v>
      </c>
      <c r="J246">
        <v>97366.01</v>
      </c>
      <c r="K246">
        <v>61554.38</v>
      </c>
      <c r="L246">
        <v>11501.97</v>
      </c>
    </row>
    <row r="247" spans="1:12" x14ac:dyDescent="0.25">
      <c r="A247" t="s">
        <v>927</v>
      </c>
      <c r="B247" t="s">
        <v>928</v>
      </c>
      <c r="C247" t="s">
        <v>929</v>
      </c>
      <c r="D247" s="10">
        <v>44167</v>
      </c>
      <c r="E247">
        <v>529085.30000000005</v>
      </c>
      <c r="F247">
        <v>529085.30000000005</v>
      </c>
      <c r="G247">
        <v>299175.76</v>
      </c>
      <c r="H247">
        <v>299175.76</v>
      </c>
      <c r="I247">
        <v>46595.4</v>
      </c>
      <c r="J247">
        <v>46595.4</v>
      </c>
      <c r="K247">
        <v>176566.56</v>
      </c>
      <c r="L247">
        <v>6747.58</v>
      </c>
    </row>
    <row r="248" spans="1:12" x14ac:dyDescent="0.25">
      <c r="A248" t="s">
        <v>930</v>
      </c>
      <c r="B248" t="s">
        <v>776</v>
      </c>
      <c r="C248" t="s">
        <v>931</v>
      </c>
      <c r="D248" s="10">
        <v>44169</v>
      </c>
      <c r="E248">
        <v>98520</v>
      </c>
      <c r="F248">
        <v>98520</v>
      </c>
      <c r="K248">
        <v>90000</v>
      </c>
      <c r="L248">
        <v>8520</v>
      </c>
    </row>
    <row r="249" spans="1:12" x14ac:dyDescent="0.25">
      <c r="A249" t="s">
        <v>932</v>
      </c>
      <c r="B249" t="s">
        <v>933</v>
      </c>
      <c r="C249" t="s">
        <v>931</v>
      </c>
      <c r="D249" s="10">
        <v>44169</v>
      </c>
      <c r="E249">
        <v>182087.85</v>
      </c>
      <c r="F249">
        <v>182087.85</v>
      </c>
      <c r="G249">
        <v>75124.52</v>
      </c>
      <c r="H249">
        <v>75124.52</v>
      </c>
      <c r="I249">
        <v>60801.760000000002</v>
      </c>
      <c r="J249">
        <v>60801.760000000002</v>
      </c>
      <c r="K249">
        <v>40161.57</v>
      </c>
      <c r="L249">
        <v>6000</v>
      </c>
    </row>
    <row r="250" spans="1:12" x14ac:dyDescent="0.25">
      <c r="A250" t="s">
        <v>934</v>
      </c>
      <c r="B250" t="s">
        <v>933</v>
      </c>
      <c r="C250" t="s">
        <v>935</v>
      </c>
      <c r="D250" s="10">
        <v>44174</v>
      </c>
      <c r="E250">
        <v>237560.99</v>
      </c>
      <c r="F250">
        <v>237560.99</v>
      </c>
      <c r="G250">
        <v>99404.02</v>
      </c>
      <c r="H250">
        <v>99404.02</v>
      </c>
      <c r="I250">
        <v>84316.42</v>
      </c>
      <c r="J250">
        <v>84316.42</v>
      </c>
      <c r="K250">
        <v>52873</v>
      </c>
      <c r="L250">
        <v>967.55</v>
      </c>
    </row>
    <row r="251" spans="1:12" x14ac:dyDescent="0.25">
      <c r="A251" t="s">
        <v>936</v>
      </c>
      <c r="B251" t="s">
        <v>937</v>
      </c>
      <c r="C251" t="s">
        <v>938</v>
      </c>
      <c r="D251" s="10">
        <v>44186</v>
      </c>
      <c r="E251">
        <v>1140755.8500000001</v>
      </c>
      <c r="F251">
        <v>1140755.8500000001</v>
      </c>
      <c r="G251">
        <v>494746.63</v>
      </c>
      <c r="H251">
        <v>494746.63</v>
      </c>
      <c r="I251">
        <v>370069.46</v>
      </c>
      <c r="J251">
        <v>370069.46</v>
      </c>
      <c r="K251">
        <v>259949.77</v>
      </c>
      <c r="L251">
        <v>15989.99</v>
      </c>
    </row>
    <row r="252" spans="1:12" x14ac:dyDescent="0.25">
      <c r="A252" t="s">
        <v>939</v>
      </c>
      <c r="B252" t="s">
        <v>940</v>
      </c>
      <c r="C252" t="s">
        <v>941</v>
      </c>
      <c r="D252" s="10">
        <v>44189</v>
      </c>
      <c r="E252">
        <v>1658770.7</v>
      </c>
      <c r="F252">
        <v>1658770.7</v>
      </c>
      <c r="G252">
        <v>937868.61</v>
      </c>
      <c r="H252">
        <v>937868.61</v>
      </c>
      <c r="I252">
        <v>579602.81000000006</v>
      </c>
      <c r="J252">
        <v>579602.81000000006</v>
      </c>
      <c r="K252">
        <v>141299.28</v>
      </c>
    </row>
    <row r="253" spans="1:12" x14ac:dyDescent="0.25">
      <c r="A253" t="s">
        <v>942</v>
      </c>
      <c r="B253" t="s">
        <v>943</v>
      </c>
      <c r="C253" t="s">
        <v>941</v>
      </c>
      <c r="D253" s="10">
        <v>44189</v>
      </c>
      <c r="E253">
        <v>4380762.78</v>
      </c>
      <c r="F253">
        <v>4380762.78</v>
      </c>
      <c r="G253">
        <v>386153.29</v>
      </c>
      <c r="H253">
        <v>386153.29</v>
      </c>
      <c r="I253">
        <v>435237.6</v>
      </c>
      <c r="J253">
        <v>435237.6</v>
      </c>
      <c r="K253">
        <v>3544649.24</v>
      </c>
      <c r="L253">
        <v>14722.65</v>
      </c>
    </row>
    <row r="254" spans="1:12" x14ac:dyDescent="0.25">
      <c r="A254" t="s">
        <v>944</v>
      </c>
      <c r="B254" t="s">
        <v>933</v>
      </c>
      <c r="C254" t="s">
        <v>945</v>
      </c>
      <c r="D254" s="10">
        <v>44190</v>
      </c>
      <c r="E254">
        <v>226578.32</v>
      </c>
      <c r="F254">
        <v>226578.32</v>
      </c>
      <c r="G254">
        <v>94409.06</v>
      </c>
      <c r="H254">
        <v>94409.06</v>
      </c>
      <c r="I254">
        <v>76768.78</v>
      </c>
      <c r="J254">
        <v>76768.78</v>
      </c>
      <c r="K254">
        <v>49400.480000000003</v>
      </c>
      <c r="L254">
        <v>6000</v>
      </c>
    </row>
    <row r="255" spans="1:12" x14ac:dyDescent="0.25">
      <c r="A255" t="s">
        <v>946</v>
      </c>
      <c r="B255" t="s">
        <v>947</v>
      </c>
      <c r="C255" t="s">
        <v>948</v>
      </c>
      <c r="D255" s="10">
        <v>44192</v>
      </c>
      <c r="E255">
        <v>116693.56</v>
      </c>
      <c r="F255">
        <v>116693.56</v>
      </c>
      <c r="G255">
        <v>80979.48</v>
      </c>
      <c r="H255">
        <v>80979.48</v>
      </c>
      <c r="I255">
        <v>11706.9</v>
      </c>
      <c r="J255">
        <v>11706.9</v>
      </c>
      <c r="K255">
        <v>24007.18</v>
      </c>
    </row>
    <row r="256" spans="1:12" x14ac:dyDescent="0.25">
      <c r="A256" t="s">
        <v>949</v>
      </c>
      <c r="B256" t="s">
        <v>950</v>
      </c>
      <c r="C256" t="s">
        <v>951</v>
      </c>
      <c r="D256" s="10">
        <v>44195</v>
      </c>
      <c r="E256">
        <v>203092.79</v>
      </c>
      <c r="F256">
        <v>203092.79</v>
      </c>
      <c r="I256">
        <v>96330.06</v>
      </c>
      <c r="J256">
        <v>96330.06</v>
      </c>
      <c r="K256">
        <v>106762.73</v>
      </c>
    </row>
    <row r="257" spans="1:12" x14ac:dyDescent="0.25">
      <c r="A257" t="s">
        <v>952</v>
      </c>
      <c r="B257" t="s">
        <v>953</v>
      </c>
      <c r="C257" t="s">
        <v>954</v>
      </c>
      <c r="D257" s="10">
        <v>44198</v>
      </c>
      <c r="E257">
        <v>1317905</v>
      </c>
      <c r="F257">
        <v>1317905</v>
      </c>
      <c r="G257">
        <v>582013.02</v>
      </c>
      <c r="H257">
        <v>582013.02</v>
      </c>
      <c r="I257">
        <v>422938.41</v>
      </c>
      <c r="J257">
        <v>422938.41</v>
      </c>
      <c r="K257">
        <v>302194.96000000002</v>
      </c>
      <c r="L257">
        <v>10758.61</v>
      </c>
    </row>
    <row r="258" spans="1:12" x14ac:dyDescent="0.25">
      <c r="A258" t="s">
        <v>955</v>
      </c>
      <c r="B258" t="s">
        <v>956</v>
      </c>
      <c r="C258" t="s">
        <v>957</v>
      </c>
      <c r="D258" s="10">
        <v>44201</v>
      </c>
      <c r="E258">
        <v>7235.9</v>
      </c>
      <c r="F258">
        <v>7235.9</v>
      </c>
      <c r="K258">
        <v>7235.9</v>
      </c>
    </row>
    <row r="259" spans="1:12" x14ac:dyDescent="0.25">
      <c r="A259" t="s">
        <v>958</v>
      </c>
      <c r="B259" t="s">
        <v>959</v>
      </c>
      <c r="C259" t="s">
        <v>960</v>
      </c>
      <c r="D259" s="10">
        <v>44202</v>
      </c>
      <c r="E259">
        <v>869302.52</v>
      </c>
      <c r="F259">
        <v>869302.52</v>
      </c>
      <c r="G259">
        <v>355797.7</v>
      </c>
      <c r="H259">
        <v>355797.7</v>
      </c>
      <c r="I259">
        <v>246452.83</v>
      </c>
      <c r="J259">
        <v>246452.83</v>
      </c>
      <c r="K259">
        <v>252844.08</v>
      </c>
      <c r="L259">
        <v>14207.91</v>
      </c>
    </row>
    <row r="260" spans="1:12" x14ac:dyDescent="0.25">
      <c r="A260" t="s">
        <v>961</v>
      </c>
      <c r="B260" t="s">
        <v>962</v>
      </c>
      <c r="C260" t="s">
        <v>960</v>
      </c>
      <c r="D260" s="10">
        <v>44202</v>
      </c>
      <c r="E260">
        <v>407245.79</v>
      </c>
      <c r="F260">
        <v>407245.79</v>
      </c>
      <c r="G260">
        <v>245941.85</v>
      </c>
      <c r="H260">
        <v>245941.85</v>
      </c>
      <c r="I260">
        <v>23673.67</v>
      </c>
      <c r="J260">
        <v>23673.67</v>
      </c>
      <c r="K260">
        <v>125215.03999999999</v>
      </c>
      <c r="L260">
        <v>12415.23</v>
      </c>
    </row>
    <row r="261" spans="1:12" x14ac:dyDescent="0.25">
      <c r="A261" t="s">
        <v>963</v>
      </c>
      <c r="B261" t="s">
        <v>964</v>
      </c>
      <c r="C261" t="s">
        <v>965</v>
      </c>
      <c r="D261" s="10">
        <v>44205</v>
      </c>
      <c r="E261">
        <v>1544759.73</v>
      </c>
      <c r="F261">
        <v>1544759.73</v>
      </c>
      <c r="G261">
        <v>1000000</v>
      </c>
      <c r="H261">
        <v>1000000</v>
      </c>
      <c r="I261">
        <v>402739.73</v>
      </c>
      <c r="J261">
        <v>402739.73</v>
      </c>
      <c r="K261">
        <v>142020</v>
      </c>
    </row>
    <row r="262" spans="1:12" x14ac:dyDescent="0.25">
      <c r="A262" t="s">
        <v>966</v>
      </c>
      <c r="B262" t="s">
        <v>967</v>
      </c>
      <c r="C262" t="s">
        <v>968</v>
      </c>
      <c r="D262" s="10">
        <v>44207</v>
      </c>
      <c r="E262">
        <v>225416.98</v>
      </c>
      <c r="F262">
        <v>225416.98</v>
      </c>
      <c r="G262">
        <v>94178.15</v>
      </c>
      <c r="H262">
        <v>94178.15</v>
      </c>
      <c r="I262">
        <v>73071.91</v>
      </c>
      <c r="J262">
        <v>73071.91</v>
      </c>
      <c r="K262">
        <v>48415.1</v>
      </c>
      <c r="L262">
        <v>9751.82</v>
      </c>
    </row>
    <row r="263" spans="1:12" x14ac:dyDescent="0.25">
      <c r="A263" t="s">
        <v>969</v>
      </c>
      <c r="B263" t="s">
        <v>970</v>
      </c>
      <c r="C263" t="s">
        <v>968</v>
      </c>
      <c r="D263" s="10">
        <v>44207</v>
      </c>
      <c r="E263">
        <v>463030.37</v>
      </c>
      <c r="F263">
        <v>463030.37</v>
      </c>
      <c r="G263">
        <v>98780.09</v>
      </c>
      <c r="H263">
        <v>98780.09</v>
      </c>
      <c r="I263">
        <v>64109.56</v>
      </c>
      <c r="J263">
        <v>64109.56</v>
      </c>
      <c r="K263">
        <v>300140.71999999997</v>
      </c>
    </row>
    <row r="264" spans="1:12" x14ac:dyDescent="0.25">
      <c r="A264" t="s">
        <v>971</v>
      </c>
      <c r="B264" t="s">
        <v>953</v>
      </c>
      <c r="C264" t="s">
        <v>968</v>
      </c>
      <c r="D264" s="10">
        <v>44207</v>
      </c>
      <c r="E264">
        <v>462994.09</v>
      </c>
      <c r="F264">
        <v>462994.09</v>
      </c>
      <c r="G264">
        <v>200000</v>
      </c>
      <c r="H264">
        <v>200000</v>
      </c>
      <c r="I264">
        <v>155178.09</v>
      </c>
      <c r="J264">
        <v>155178.09</v>
      </c>
      <c r="K264">
        <v>102816</v>
      </c>
      <c r="L264">
        <v>5000</v>
      </c>
    </row>
    <row r="265" spans="1:12" x14ac:dyDescent="0.25">
      <c r="A265" t="s">
        <v>972</v>
      </c>
      <c r="B265" t="s">
        <v>953</v>
      </c>
      <c r="C265" t="s">
        <v>973</v>
      </c>
      <c r="D265" s="10">
        <v>44209</v>
      </c>
      <c r="E265">
        <v>461901.37</v>
      </c>
      <c r="F265">
        <v>461901.37</v>
      </c>
      <c r="G265">
        <v>200000</v>
      </c>
      <c r="H265">
        <v>200000</v>
      </c>
      <c r="I265">
        <v>154301.37</v>
      </c>
      <c r="J265">
        <v>154301.37</v>
      </c>
      <c r="K265">
        <v>102600</v>
      </c>
      <c r="L265">
        <v>5000</v>
      </c>
    </row>
    <row r="266" spans="1:12" x14ac:dyDescent="0.25">
      <c r="A266" t="s">
        <v>974</v>
      </c>
      <c r="B266" t="s">
        <v>975</v>
      </c>
      <c r="C266" t="s">
        <v>976</v>
      </c>
      <c r="D266" s="10">
        <v>44218</v>
      </c>
      <c r="E266">
        <v>179091.93</v>
      </c>
      <c r="F266">
        <v>179091.93</v>
      </c>
      <c r="G266">
        <v>86377.65</v>
      </c>
      <c r="H266">
        <v>86377.65</v>
      </c>
      <c r="I266">
        <v>39478.9</v>
      </c>
      <c r="J266">
        <v>39478.9</v>
      </c>
      <c r="K266">
        <v>43928.27</v>
      </c>
      <c r="L266">
        <v>9307.11</v>
      </c>
    </row>
    <row r="267" spans="1:12" x14ac:dyDescent="0.25">
      <c r="A267" t="s">
        <v>977</v>
      </c>
      <c r="B267" t="s">
        <v>978</v>
      </c>
      <c r="C267" t="s">
        <v>979</v>
      </c>
      <c r="D267" s="10">
        <v>44219</v>
      </c>
      <c r="E267">
        <v>111132.07</v>
      </c>
      <c r="F267">
        <v>111132.07</v>
      </c>
      <c r="I267">
        <v>82804.77</v>
      </c>
      <c r="J267">
        <v>82804.77</v>
      </c>
      <c r="K267">
        <v>28327.3</v>
      </c>
    </row>
    <row r="268" spans="1:12" x14ac:dyDescent="0.25">
      <c r="A268" t="s">
        <v>980</v>
      </c>
      <c r="B268" t="s">
        <v>981</v>
      </c>
      <c r="C268" t="s">
        <v>979</v>
      </c>
      <c r="D268" s="10">
        <v>44219</v>
      </c>
      <c r="E268">
        <v>450454.71</v>
      </c>
      <c r="F268">
        <v>450454.71</v>
      </c>
      <c r="G268">
        <v>188784.43</v>
      </c>
      <c r="H268">
        <v>188784.43</v>
      </c>
      <c r="I268">
        <v>153892.94</v>
      </c>
      <c r="J268">
        <v>153892.94</v>
      </c>
      <c r="K268">
        <v>95826.98</v>
      </c>
      <c r="L268">
        <v>11950.36</v>
      </c>
    </row>
    <row r="269" spans="1:12" x14ac:dyDescent="0.25">
      <c r="A269" t="s">
        <v>982</v>
      </c>
      <c r="B269" t="s">
        <v>928</v>
      </c>
      <c r="C269" t="s">
        <v>983</v>
      </c>
      <c r="D269" s="10">
        <v>44229</v>
      </c>
      <c r="E269">
        <v>502638.64</v>
      </c>
      <c r="F269">
        <v>502638.64</v>
      </c>
      <c r="G269">
        <v>298017.05</v>
      </c>
      <c r="H269">
        <v>298017.05</v>
      </c>
      <c r="I269">
        <v>38733.79</v>
      </c>
      <c r="J269">
        <v>38733.79</v>
      </c>
      <c r="K269">
        <v>155887.79999999999</v>
      </c>
      <c r="L269">
        <v>10000</v>
      </c>
    </row>
    <row r="270" spans="1:12" x14ac:dyDescent="0.25">
      <c r="A270" t="s">
        <v>984</v>
      </c>
      <c r="B270" t="s">
        <v>985</v>
      </c>
      <c r="C270" t="s">
        <v>986</v>
      </c>
      <c r="D270" s="10">
        <v>44234</v>
      </c>
      <c r="E270">
        <v>179145.82</v>
      </c>
      <c r="F270">
        <v>179145.82</v>
      </c>
      <c r="K270">
        <v>164408.14000000001</v>
      </c>
      <c r="L270">
        <v>14737.68</v>
      </c>
    </row>
    <row r="271" spans="1:12" x14ac:dyDescent="0.25">
      <c r="A271" t="s">
        <v>987</v>
      </c>
      <c r="B271" t="s">
        <v>988</v>
      </c>
      <c r="C271" t="s">
        <v>989</v>
      </c>
      <c r="D271" s="10">
        <v>44235</v>
      </c>
      <c r="E271">
        <v>533268.54</v>
      </c>
      <c r="F271">
        <v>533268.54</v>
      </c>
      <c r="G271">
        <v>130238.97</v>
      </c>
      <c r="H271">
        <v>130238.97</v>
      </c>
      <c r="I271">
        <v>52416.71</v>
      </c>
      <c r="J271">
        <v>52416.71</v>
      </c>
      <c r="K271">
        <v>350612.86</v>
      </c>
    </row>
    <row r="272" spans="1:12" x14ac:dyDescent="0.25">
      <c r="A272" t="s">
        <v>990</v>
      </c>
      <c r="B272" t="s">
        <v>991</v>
      </c>
      <c r="C272" t="s">
        <v>992</v>
      </c>
      <c r="D272" s="10">
        <v>44236</v>
      </c>
      <c r="E272">
        <v>512574.71999999997</v>
      </c>
      <c r="F272">
        <v>512574.71999999997</v>
      </c>
      <c r="G272">
        <v>235006.39</v>
      </c>
      <c r="H272">
        <v>235006.39</v>
      </c>
      <c r="I272">
        <v>138106.46</v>
      </c>
      <c r="J272">
        <v>138106.46</v>
      </c>
      <c r="K272">
        <v>129461.87</v>
      </c>
      <c r="L272">
        <v>10000</v>
      </c>
    </row>
    <row r="273" spans="1:12" x14ac:dyDescent="0.25">
      <c r="A273" t="s">
        <v>993</v>
      </c>
      <c r="B273" t="s">
        <v>994</v>
      </c>
      <c r="C273" t="s">
        <v>995</v>
      </c>
      <c r="D273" s="10">
        <v>44237</v>
      </c>
      <c r="E273">
        <v>400419.53</v>
      </c>
      <c r="F273">
        <v>400419.53</v>
      </c>
      <c r="G273">
        <v>197796.4</v>
      </c>
      <c r="H273">
        <v>197796.4</v>
      </c>
      <c r="I273">
        <v>89781.6</v>
      </c>
      <c r="J273">
        <v>89781.6</v>
      </c>
      <c r="K273">
        <v>101451.79</v>
      </c>
      <c r="L273">
        <v>11389.74</v>
      </c>
    </row>
    <row r="274" spans="1:12" x14ac:dyDescent="0.25">
      <c r="A274" t="s">
        <v>996</v>
      </c>
      <c r="B274" t="s">
        <v>997</v>
      </c>
      <c r="C274" t="s">
        <v>998</v>
      </c>
      <c r="D274" s="10">
        <v>44240</v>
      </c>
      <c r="E274">
        <v>139703.47</v>
      </c>
      <c r="F274">
        <v>139703.47</v>
      </c>
      <c r="G274">
        <v>59337.89</v>
      </c>
      <c r="H274">
        <v>59337.89</v>
      </c>
      <c r="I274">
        <v>39348.959999999999</v>
      </c>
      <c r="J274">
        <v>39348.959999999999</v>
      </c>
      <c r="K274">
        <v>41016.620000000003</v>
      </c>
    </row>
    <row r="275" spans="1:12" x14ac:dyDescent="0.25">
      <c r="A275" t="s">
        <v>999</v>
      </c>
      <c r="B275" t="s">
        <v>1000</v>
      </c>
      <c r="C275" t="s">
        <v>1001</v>
      </c>
      <c r="D275" s="10">
        <v>44245</v>
      </c>
      <c r="E275">
        <v>56010.3</v>
      </c>
      <c r="F275">
        <v>56010.3</v>
      </c>
      <c r="I275">
        <v>21296.58</v>
      </c>
      <c r="J275">
        <v>21296.58</v>
      </c>
      <c r="K275">
        <v>32713.72</v>
      </c>
      <c r="L275">
        <v>2000</v>
      </c>
    </row>
    <row r="276" spans="1:12" x14ac:dyDescent="0.25">
      <c r="A276" t="s">
        <v>1002</v>
      </c>
      <c r="B276" t="s">
        <v>991</v>
      </c>
      <c r="C276" t="s">
        <v>1003</v>
      </c>
      <c r="D276" s="10">
        <v>44248</v>
      </c>
      <c r="E276">
        <v>1599428.42</v>
      </c>
      <c r="F276">
        <v>1599428.42</v>
      </c>
      <c r="G276">
        <v>709729.29</v>
      </c>
      <c r="H276">
        <v>709729.29</v>
      </c>
      <c r="I276">
        <v>529496.94999999995</v>
      </c>
      <c r="J276">
        <v>529496.94999999995</v>
      </c>
      <c r="K276">
        <v>349144.23</v>
      </c>
      <c r="L276">
        <v>11057.95</v>
      </c>
    </row>
    <row r="277" spans="1:12" x14ac:dyDescent="0.25">
      <c r="A277" t="s">
        <v>1004</v>
      </c>
      <c r="B277" t="s">
        <v>1005</v>
      </c>
      <c r="C277" t="s">
        <v>1003</v>
      </c>
      <c r="D277" s="10">
        <v>44248</v>
      </c>
      <c r="E277">
        <v>316389.78000000003</v>
      </c>
      <c r="F277">
        <v>316389.78000000003</v>
      </c>
      <c r="G277">
        <v>126823.45</v>
      </c>
      <c r="H277">
        <v>126823.45</v>
      </c>
      <c r="I277">
        <v>75207.360000000001</v>
      </c>
      <c r="J277">
        <v>75207.360000000001</v>
      </c>
      <c r="K277">
        <v>114358.97</v>
      </c>
    </row>
    <row r="278" spans="1:12" x14ac:dyDescent="0.25">
      <c r="A278" t="s">
        <v>1006</v>
      </c>
      <c r="B278" t="s">
        <v>1007</v>
      </c>
      <c r="C278" t="s">
        <v>1008</v>
      </c>
      <c r="D278" s="10">
        <v>44249</v>
      </c>
      <c r="E278">
        <v>323675.59000000003</v>
      </c>
      <c r="F278">
        <v>323675.59000000003</v>
      </c>
      <c r="G278">
        <v>161059.79</v>
      </c>
      <c r="H278">
        <v>161059.79</v>
      </c>
      <c r="I278">
        <v>72146</v>
      </c>
      <c r="J278">
        <v>72146</v>
      </c>
      <c r="K278">
        <v>79144.78</v>
      </c>
      <c r="L278">
        <v>11325.02</v>
      </c>
    </row>
    <row r="279" spans="1:12" x14ac:dyDescent="0.25">
      <c r="A279" t="s">
        <v>130</v>
      </c>
      <c r="B279" t="s">
        <v>129</v>
      </c>
      <c r="C279" t="s">
        <v>1009</v>
      </c>
      <c r="D279" s="10">
        <v>44250</v>
      </c>
      <c r="E279">
        <v>10493.17</v>
      </c>
      <c r="F279">
        <v>40403.480000000003</v>
      </c>
      <c r="G279">
        <v>29035.27</v>
      </c>
      <c r="J279">
        <v>875.04</v>
      </c>
      <c r="K279">
        <v>10493.17</v>
      </c>
    </row>
    <row r="280" spans="1:12" x14ac:dyDescent="0.25">
      <c r="A280" t="s">
        <v>1010</v>
      </c>
      <c r="B280" t="s">
        <v>1011</v>
      </c>
      <c r="C280" t="s">
        <v>1009</v>
      </c>
      <c r="D280" s="10">
        <v>44250</v>
      </c>
      <c r="E280">
        <v>389539.87</v>
      </c>
      <c r="F280">
        <v>389539.87</v>
      </c>
      <c r="G280">
        <v>127302.03</v>
      </c>
      <c r="H280">
        <v>127302.03</v>
      </c>
      <c r="I280">
        <v>105019.01</v>
      </c>
      <c r="J280">
        <v>105019.01</v>
      </c>
      <c r="K280">
        <v>144013.85</v>
      </c>
      <c r="L280">
        <v>13204.98</v>
      </c>
    </row>
    <row r="281" spans="1:12" x14ac:dyDescent="0.25">
      <c r="A281" t="s">
        <v>1012</v>
      </c>
      <c r="B281" t="s">
        <v>1013</v>
      </c>
      <c r="C281" t="s">
        <v>1014</v>
      </c>
      <c r="D281" s="10">
        <v>44251</v>
      </c>
      <c r="E281">
        <v>1003422.87</v>
      </c>
      <c r="F281">
        <v>1003422.87</v>
      </c>
      <c r="G281">
        <v>283795.51</v>
      </c>
      <c r="H281">
        <v>283795.51</v>
      </c>
      <c r="I281">
        <v>553266.93999999994</v>
      </c>
      <c r="J281">
        <v>553266.93999999994</v>
      </c>
      <c r="K281">
        <v>153423.84</v>
      </c>
      <c r="L281">
        <v>12936.58</v>
      </c>
    </row>
    <row r="282" spans="1:12" x14ac:dyDescent="0.25">
      <c r="A282" t="s">
        <v>1015</v>
      </c>
      <c r="B282" t="s">
        <v>1016</v>
      </c>
      <c r="C282" t="s">
        <v>1014</v>
      </c>
      <c r="D282" s="10">
        <v>44251</v>
      </c>
      <c r="E282">
        <v>1448111.24</v>
      </c>
      <c r="F282">
        <v>1448111.24</v>
      </c>
      <c r="G282">
        <v>993963.4</v>
      </c>
      <c r="H282">
        <v>993963.4</v>
      </c>
      <c r="I282">
        <v>337675.21</v>
      </c>
      <c r="J282">
        <v>337675.21</v>
      </c>
      <c r="K282">
        <v>116472.63</v>
      </c>
    </row>
    <row r="283" spans="1:12" x14ac:dyDescent="0.25">
      <c r="A283" t="s">
        <v>1017</v>
      </c>
      <c r="B283" t="s">
        <v>1018</v>
      </c>
      <c r="C283" t="s">
        <v>1019</v>
      </c>
      <c r="D283" s="10">
        <v>44263</v>
      </c>
      <c r="E283">
        <v>352617.53</v>
      </c>
      <c r="F283">
        <v>352617.53</v>
      </c>
      <c r="G283">
        <v>216649.33</v>
      </c>
      <c r="H283">
        <v>216649.33</v>
      </c>
      <c r="I283">
        <v>39174.94</v>
      </c>
      <c r="J283">
        <v>39174.94</v>
      </c>
      <c r="K283">
        <v>96793.26</v>
      </c>
    </row>
    <row r="284" spans="1:12" x14ac:dyDescent="0.25">
      <c r="A284" t="s">
        <v>1020</v>
      </c>
      <c r="B284" t="s">
        <v>978</v>
      </c>
      <c r="C284" t="s">
        <v>1021</v>
      </c>
      <c r="D284" s="10">
        <v>44264</v>
      </c>
      <c r="E284">
        <v>71804.039999999994</v>
      </c>
      <c r="F284">
        <v>71804.039999999994</v>
      </c>
      <c r="I284">
        <v>58541.38</v>
      </c>
      <c r="J284">
        <v>58541.38</v>
      </c>
      <c r="K284">
        <v>13262.66</v>
      </c>
    </row>
    <row r="285" spans="1:12" x14ac:dyDescent="0.25">
      <c r="A285" t="s">
        <v>1022</v>
      </c>
      <c r="B285" t="s">
        <v>1000</v>
      </c>
      <c r="C285" t="s">
        <v>1023</v>
      </c>
      <c r="D285" s="10">
        <v>44265</v>
      </c>
      <c r="E285">
        <v>52493.59</v>
      </c>
      <c r="F285">
        <v>52493.59</v>
      </c>
      <c r="I285">
        <v>21387.59</v>
      </c>
      <c r="J285">
        <v>21387.59</v>
      </c>
      <c r="K285">
        <v>29106</v>
      </c>
      <c r="L285">
        <v>2000</v>
      </c>
    </row>
    <row r="286" spans="1:12" x14ac:dyDescent="0.25">
      <c r="A286" t="s">
        <v>1024</v>
      </c>
      <c r="B286" t="s">
        <v>1025</v>
      </c>
      <c r="C286" t="s">
        <v>1026</v>
      </c>
      <c r="D286" s="10">
        <v>44269</v>
      </c>
      <c r="E286">
        <v>157336.73000000001</v>
      </c>
      <c r="F286">
        <v>157336.73000000001</v>
      </c>
      <c r="G286">
        <v>65666.039999999994</v>
      </c>
      <c r="H286">
        <v>65666.039999999994</v>
      </c>
      <c r="I286">
        <v>49059.97</v>
      </c>
      <c r="J286">
        <v>49059.97</v>
      </c>
      <c r="K286">
        <v>32875.07</v>
      </c>
      <c r="L286">
        <v>9735.65</v>
      </c>
    </row>
    <row r="287" spans="1:12" x14ac:dyDescent="0.25">
      <c r="A287" t="s">
        <v>1027</v>
      </c>
      <c r="B287" t="s">
        <v>1000</v>
      </c>
      <c r="C287" t="s">
        <v>1028</v>
      </c>
      <c r="D287" s="10">
        <v>44270</v>
      </c>
      <c r="E287">
        <v>54613.56</v>
      </c>
      <c r="F287">
        <v>54613.56</v>
      </c>
      <c r="I287">
        <v>23777.56</v>
      </c>
      <c r="J287">
        <v>23777.56</v>
      </c>
      <c r="K287">
        <v>28836</v>
      </c>
      <c r="L287">
        <v>2000</v>
      </c>
    </row>
    <row r="288" spans="1:12" x14ac:dyDescent="0.25">
      <c r="A288" t="s">
        <v>1029</v>
      </c>
      <c r="B288" t="s">
        <v>1030</v>
      </c>
      <c r="C288" t="s">
        <v>1031</v>
      </c>
      <c r="D288" s="10">
        <v>44273</v>
      </c>
      <c r="E288">
        <v>18195.78</v>
      </c>
      <c r="F288">
        <v>18195.78</v>
      </c>
      <c r="G288">
        <v>2319.38</v>
      </c>
      <c r="H288">
        <v>2319.38</v>
      </c>
      <c r="K288">
        <v>15876.4</v>
      </c>
    </row>
    <row r="289" spans="1:12" x14ac:dyDescent="0.25">
      <c r="A289" t="s">
        <v>1032</v>
      </c>
      <c r="B289" t="s">
        <v>1033</v>
      </c>
      <c r="C289" t="s">
        <v>1034</v>
      </c>
      <c r="D289" s="10">
        <v>44274</v>
      </c>
      <c r="E289">
        <v>25407.8</v>
      </c>
      <c r="F289">
        <v>25407.8</v>
      </c>
      <c r="K289">
        <v>25407.8</v>
      </c>
    </row>
    <row r="290" spans="1:12" x14ac:dyDescent="0.25">
      <c r="A290" t="s">
        <v>1035</v>
      </c>
      <c r="B290" t="s">
        <v>1036</v>
      </c>
      <c r="C290" t="s">
        <v>1034</v>
      </c>
      <c r="D290" s="10">
        <v>44274</v>
      </c>
      <c r="E290">
        <v>473072.27</v>
      </c>
      <c r="F290">
        <v>473072.27</v>
      </c>
      <c r="G290">
        <v>246917.61</v>
      </c>
      <c r="H290">
        <v>246917.61</v>
      </c>
      <c r="I290">
        <v>95860.68</v>
      </c>
      <c r="J290">
        <v>95860.68</v>
      </c>
      <c r="K290">
        <v>118001.93</v>
      </c>
      <c r="L290">
        <v>12292.05</v>
      </c>
    </row>
    <row r="291" spans="1:12" x14ac:dyDescent="0.25">
      <c r="A291" t="s">
        <v>1037</v>
      </c>
      <c r="B291" t="s">
        <v>1038</v>
      </c>
      <c r="C291" t="s">
        <v>1039</v>
      </c>
      <c r="D291" s="10">
        <v>44275</v>
      </c>
      <c r="E291">
        <v>371205.56</v>
      </c>
      <c r="F291">
        <v>371205.56</v>
      </c>
      <c r="G291">
        <v>176667.54</v>
      </c>
      <c r="H291">
        <v>176667.54</v>
      </c>
      <c r="I291">
        <v>98740.23</v>
      </c>
      <c r="J291">
        <v>98740.23</v>
      </c>
      <c r="K291">
        <v>84334.02</v>
      </c>
      <c r="L291">
        <v>11463.77</v>
      </c>
    </row>
    <row r="292" spans="1:12" x14ac:dyDescent="0.25">
      <c r="A292" t="s">
        <v>1040</v>
      </c>
      <c r="B292" t="s">
        <v>1041</v>
      </c>
      <c r="C292" t="s">
        <v>1039</v>
      </c>
      <c r="D292" s="10">
        <v>44275</v>
      </c>
      <c r="E292">
        <v>340332.25</v>
      </c>
      <c r="F292">
        <v>340332.25</v>
      </c>
      <c r="G292">
        <v>184919.38</v>
      </c>
      <c r="H292">
        <v>184919.38</v>
      </c>
      <c r="I292">
        <v>55510.89</v>
      </c>
      <c r="J292">
        <v>55510.89</v>
      </c>
      <c r="K292">
        <v>88273.12</v>
      </c>
      <c r="L292">
        <v>11628.86</v>
      </c>
    </row>
    <row r="293" spans="1:12" x14ac:dyDescent="0.25">
      <c r="A293" t="s">
        <v>1042</v>
      </c>
      <c r="B293" t="s">
        <v>1043</v>
      </c>
      <c r="C293" t="s">
        <v>1044</v>
      </c>
      <c r="D293" s="10">
        <v>44279</v>
      </c>
      <c r="E293">
        <v>3644217.16</v>
      </c>
      <c r="F293">
        <v>3644217.16</v>
      </c>
      <c r="G293">
        <v>375337.6</v>
      </c>
      <c r="H293">
        <v>375337.6</v>
      </c>
      <c r="I293">
        <v>351640.91</v>
      </c>
      <c r="J293">
        <v>351640.91</v>
      </c>
      <c r="K293">
        <v>2917238.65</v>
      </c>
    </row>
    <row r="294" spans="1:12" x14ac:dyDescent="0.25">
      <c r="A294" t="s">
        <v>1045</v>
      </c>
      <c r="B294" t="s">
        <v>94</v>
      </c>
      <c r="C294" t="s">
        <v>1046</v>
      </c>
      <c r="D294" s="10">
        <v>44283</v>
      </c>
      <c r="E294">
        <v>479752.35</v>
      </c>
      <c r="F294">
        <v>479752.35</v>
      </c>
      <c r="G294">
        <v>256763.61</v>
      </c>
      <c r="H294">
        <v>256763.61</v>
      </c>
      <c r="I294">
        <v>94046.02</v>
      </c>
      <c r="J294">
        <v>94046.02</v>
      </c>
      <c r="K294">
        <v>121459.46</v>
      </c>
      <c r="L294">
        <v>7483.26</v>
      </c>
    </row>
    <row r="295" spans="1:12" x14ac:dyDescent="0.25">
      <c r="A295" t="s">
        <v>1047</v>
      </c>
      <c r="B295" t="s">
        <v>1048</v>
      </c>
      <c r="C295" t="s">
        <v>1046</v>
      </c>
      <c r="D295" s="10">
        <v>44283</v>
      </c>
      <c r="E295">
        <v>1310858.8899999999</v>
      </c>
      <c r="F295">
        <v>1310858.8899999999</v>
      </c>
      <c r="G295">
        <v>1000000</v>
      </c>
      <c r="H295">
        <v>1000000</v>
      </c>
      <c r="I295">
        <v>210958.89</v>
      </c>
      <c r="J295">
        <v>210958.89</v>
      </c>
      <c r="K295">
        <v>99900</v>
      </c>
    </row>
    <row r="296" spans="1:12" x14ac:dyDescent="0.25">
      <c r="A296" t="s">
        <v>1049</v>
      </c>
      <c r="B296" t="s">
        <v>1050</v>
      </c>
      <c r="C296" t="s">
        <v>1051</v>
      </c>
      <c r="D296" s="10">
        <v>44287</v>
      </c>
      <c r="E296">
        <v>217930.86</v>
      </c>
      <c r="F296">
        <v>217930.86</v>
      </c>
      <c r="G296">
        <v>113049.44</v>
      </c>
      <c r="H296">
        <v>113049.44</v>
      </c>
      <c r="I296">
        <v>38066.17</v>
      </c>
      <c r="J296">
        <v>38066.17</v>
      </c>
      <c r="K296">
        <v>56439.1</v>
      </c>
      <c r="L296">
        <v>10376.15</v>
      </c>
    </row>
    <row r="297" spans="1:12" x14ac:dyDescent="0.25">
      <c r="A297" t="s">
        <v>1052</v>
      </c>
      <c r="B297" t="s">
        <v>1053</v>
      </c>
      <c r="C297" t="s">
        <v>1054</v>
      </c>
      <c r="D297" s="10">
        <v>44288</v>
      </c>
      <c r="E297">
        <v>448683.54</v>
      </c>
      <c r="F297">
        <v>448683.54</v>
      </c>
      <c r="G297">
        <v>146164.03</v>
      </c>
      <c r="H297">
        <v>146164.03</v>
      </c>
      <c r="I297">
        <v>52579.02</v>
      </c>
      <c r="J297">
        <v>52579.02</v>
      </c>
      <c r="K297">
        <v>249940.49</v>
      </c>
    </row>
    <row r="298" spans="1:12" x14ac:dyDescent="0.25">
      <c r="A298" t="s">
        <v>1055</v>
      </c>
      <c r="B298" t="s">
        <v>1056</v>
      </c>
      <c r="C298" t="s">
        <v>1057</v>
      </c>
      <c r="D298" s="10">
        <v>44289</v>
      </c>
      <c r="E298">
        <v>158742.54</v>
      </c>
      <c r="F298">
        <v>158742.54</v>
      </c>
      <c r="G298">
        <v>76378.320000000007</v>
      </c>
      <c r="H298">
        <v>76378.320000000007</v>
      </c>
      <c r="I298">
        <v>17157.939999999999</v>
      </c>
      <c r="J298">
        <v>17157.939999999999</v>
      </c>
      <c r="K298">
        <v>56015.83</v>
      </c>
      <c r="L298">
        <v>9190.4500000000007</v>
      </c>
    </row>
    <row r="299" spans="1:12" x14ac:dyDescent="0.25">
      <c r="A299" t="s">
        <v>1058</v>
      </c>
      <c r="B299" t="s">
        <v>1059</v>
      </c>
      <c r="C299" t="s">
        <v>1060</v>
      </c>
      <c r="D299" s="10">
        <v>44296</v>
      </c>
      <c r="E299">
        <v>404568.26</v>
      </c>
      <c r="F299">
        <v>404568.26</v>
      </c>
      <c r="G299">
        <v>197192.25</v>
      </c>
      <c r="H299">
        <v>197192.25</v>
      </c>
      <c r="I299">
        <v>103722.45</v>
      </c>
      <c r="J299">
        <v>103722.45</v>
      </c>
      <c r="K299">
        <v>91895.53</v>
      </c>
      <c r="L299">
        <v>11758.03</v>
      </c>
    </row>
    <row r="300" spans="1:12" x14ac:dyDescent="0.25">
      <c r="A300" t="s">
        <v>1061</v>
      </c>
      <c r="B300" t="s">
        <v>1062</v>
      </c>
      <c r="C300" t="s">
        <v>1063</v>
      </c>
      <c r="D300" s="10">
        <v>44298</v>
      </c>
      <c r="E300">
        <v>179926.43</v>
      </c>
      <c r="F300">
        <v>179926.43</v>
      </c>
      <c r="G300">
        <v>100000</v>
      </c>
      <c r="H300">
        <v>100000</v>
      </c>
      <c r="I300">
        <v>4657.17</v>
      </c>
      <c r="J300">
        <v>4657.17</v>
      </c>
      <c r="K300">
        <v>65880</v>
      </c>
      <c r="L300">
        <v>9389.26</v>
      </c>
    </row>
    <row r="301" spans="1:12" x14ac:dyDescent="0.25">
      <c r="A301" t="s">
        <v>1064</v>
      </c>
      <c r="B301" t="s">
        <v>1065</v>
      </c>
      <c r="C301" t="s">
        <v>1066</v>
      </c>
      <c r="D301" s="10">
        <v>44299</v>
      </c>
      <c r="E301">
        <v>759614.6</v>
      </c>
      <c r="F301">
        <v>759614.6</v>
      </c>
      <c r="G301">
        <v>350969.69</v>
      </c>
      <c r="H301">
        <v>350969.69</v>
      </c>
      <c r="I301">
        <v>163968.25</v>
      </c>
      <c r="J301">
        <v>163968.25</v>
      </c>
      <c r="K301">
        <v>231029.31</v>
      </c>
      <c r="L301">
        <v>13647.35</v>
      </c>
    </row>
    <row r="302" spans="1:12" x14ac:dyDescent="0.25">
      <c r="A302" t="s">
        <v>1067</v>
      </c>
      <c r="B302" t="s">
        <v>1068</v>
      </c>
      <c r="C302" t="s">
        <v>1066</v>
      </c>
      <c r="D302" s="10">
        <v>44299</v>
      </c>
      <c r="E302">
        <v>325260.77</v>
      </c>
      <c r="F302">
        <v>325260.77</v>
      </c>
      <c r="G302">
        <v>163668.96</v>
      </c>
      <c r="H302">
        <v>163668.96</v>
      </c>
      <c r="I302">
        <v>39086.28</v>
      </c>
      <c r="J302">
        <v>39086.28</v>
      </c>
      <c r="K302">
        <v>111173.69</v>
      </c>
      <c r="L302">
        <v>11331.84</v>
      </c>
    </row>
    <row r="303" spans="1:12" x14ac:dyDescent="0.25">
      <c r="A303" t="s">
        <v>1069</v>
      </c>
      <c r="B303" t="s">
        <v>1070</v>
      </c>
      <c r="C303" t="s">
        <v>1071</v>
      </c>
      <c r="D303" s="10">
        <v>44300</v>
      </c>
      <c r="E303">
        <v>1227804.1599999999</v>
      </c>
      <c r="F303">
        <v>1227804.1599999999</v>
      </c>
      <c r="G303">
        <v>900000</v>
      </c>
      <c r="H303">
        <v>900000</v>
      </c>
      <c r="I303">
        <v>246156.16</v>
      </c>
      <c r="J303">
        <v>246156.16</v>
      </c>
      <c r="K303">
        <v>81648</v>
      </c>
    </row>
    <row r="304" spans="1:12" x14ac:dyDescent="0.25">
      <c r="A304" t="s">
        <v>1072</v>
      </c>
      <c r="B304" t="s">
        <v>1073</v>
      </c>
      <c r="C304" t="s">
        <v>1074</v>
      </c>
      <c r="D304" s="10">
        <v>44303</v>
      </c>
      <c r="E304">
        <v>159031.24</v>
      </c>
      <c r="F304">
        <v>159031.24</v>
      </c>
      <c r="G304">
        <v>74526.33</v>
      </c>
      <c r="H304">
        <v>74526.33</v>
      </c>
      <c r="I304">
        <v>26287.279999999999</v>
      </c>
      <c r="J304">
        <v>26287.279999999999</v>
      </c>
      <c r="K304">
        <v>48896.72</v>
      </c>
      <c r="L304">
        <v>9320.91</v>
      </c>
    </row>
    <row r="305" spans="1:12" x14ac:dyDescent="0.25">
      <c r="A305" t="s">
        <v>1075</v>
      </c>
      <c r="B305" t="s">
        <v>1076</v>
      </c>
      <c r="C305" t="s">
        <v>1077</v>
      </c>
      <c r="D305" s="10">
        <v>44304</v>
      </c>
      <c r="E305">
        <v>212754.31</v>
      </c>
      <c r="F305">
        <v>212754.31</v>
      </c>
      <c r="G305">
        <v>103180</v>
      </c>
      <c r="H305">
        <v>103180</v>
      </c>
      <c r="I305">
        <v>74150.31</v>
      </c>
      <c r="J305">
        <v>74150.31</v>
      </c>
      <c r="K305">
        <v>35424</v>
      </c>
    </row>
    <row r="306" spans="1:12" x14ac:dyDescent="0.25">
      <c r="A306" t="s">
        <v>95</v>
      </c>
      <c r="B306" t="s">
        <v>94</v>
      </c>
      <c r="C306" t="s">
        <v>1078</v>
      </c>
      <c r="D306" s="10">
        <v>44305</v>
      </c>
      <c r="E306">
        <v>312809.65999999997</v>
      </c>
      <c r="F306">
        <v>343133.31</v>
      </c>
      <c r="G306">
        <v>99070.9</v>
      </c>
      <c r="H306">
        <v>68747.25</v>
      </c>
      <c r="I306">
        <v>180444.75</v>
      </c>
      <c r="J306">
        <v>180444.75</v>
      </c>
      <c r="K306">
        <v>57617.66</v>
      </c>
      <c r="L306">
        <v>6000</v>
      </c>
    </row>
    <row r="307" spans="1:12" x14ac:dyDescent="0.25">
      <c r="A307" t="s">
        <v>1079</v>
      </c>
      <c r="B307" t="s">
        <v>839</v>
      </c>
      <c r="C307" t="s">
        <v>1080</v>
      </c>
      <c r="D307" s="10">
        <v>44309</v>
      </c>
      <c r="E307">
        <v>611257.09</v>
      </c>
      <c r="F307">
        <v>611257.09</v>
      </c>
      <c r="G307">
        <v>395657.83</v>
      </c>
      <c r="H307">
        <v>395657.83</v>
      </c>
      <c r="I307">
        <v>106944.72</v>
      </c>
      <c r="J307">
        <v>106944.72</v>
      </c>
      <c r="K307">
        <v>108654.54</v>
      </c>
    </row>
    <row r="308" spans="1:12" x14ac:dyDescent="0.25">
      <c r="A308" t="s">
        <v>1081</v>
      </c>
      <c r="B308" t="s">
        <v>1082</v>
      </c>
      <c r="C308" t="s">
        <v>1080</v>
      </c>
      <c r="D308" s="10">
        <v>44309</v>
      </c>
      <c r="E308">
        <v>189818.09</v>
      </c>
      <c r="F308">
        <v>189818.09</v>
      </c>
      <c r="G308">
        <v>97845.22</v>
      </c>
      <c r="H308">
        <v>97845.22</v>
      </c>
      <c r="I308">
        <v>28093.64</v>
      </c>
      <c r="J308">
        <v>28093.64</v>
      </c>
      <c r="K308">
        <v>63879.23</v>
      </c>
    </row>
    <row r="309" spans="1:12" x14ac:dyDescent="0.25">
      <c r="A309" t="s">
        <v>192</v>
      </c>
      <c r="B309" t="s">
        <v>191</v>
      </c>
      <c r="C309" t="s">
        <v>1083</v>
      </c>
      <c r="D309" s="10">
        <v>44314</v>
      </c>
      <c r="E309">
        <v>379746.08</v>
      </c>
      <c r="F309">
        <v>445644.26</v>
      </c>
      <c r="G309">
        <v>65898.179999999993</v>
      </c>
      <c r="I309">
        <v>272198.55</v>
      </c>
      <c r="J309">
        <v>272198.55</v>
      </c>
      <c r="K309">
        <v>107547.53</v>
      </c>
    </row>
    <row r="310" spans="1:12" x14ac:dyDescent="0.25">
      <c r="A310" t="s">
        <v>1084</v>
      </c>
      <c r="B310" t="s">
        <v>1085</v>
      </c>
      <c r="C310" t="s">
        <v>1086</v>
      </c>
      <c r="D310" s="10">
        <v>44316</v>
      </c>
      <c r="E310">
        <v>178765.86</v>
      </c>
      <c r="F310">
        <v>178765.86</v>
      </c>
      <c r="G310">
        <v>93309.37</v>
      </c>
      <c r="H310">
        <v>93309.37</v>
      </c>
      <c r="K310">
        <v>74403.33</v>
      </c>
      <c r="L310">
        <v>11053.16</v>
      </c>
    </row>
    <row r="311" spans="1:12" x14ac:dyDescent="0.25">
      <c r="A311" t="s">
        <v>1087</v>
      </c>
      <c r="B311" t="s">
        <v>1088</v>
      </c>
      <c r="C311" t="s">
        <v>1086</v>
      </c>
      <c r="D311" s="10">
        <v>44316</v>
      </c>
      <c r="E311">
        <v>183930.89</v>
      </c>
      <c r="F311">
        <v>183930.89</v>
      </c>
      <c r="G311">
        <v>170687.58</v>
      </c>
      <c r="H311">
        <v>170687.58</v>
      </c>
      <c r="I311">
        <v>10353.49</v>
      </c>
      <c r="J311">
        <v>10353.49</v>
      </c>
      <c r="K311">
        <v>2889.82</v>
      </c>
    </row>
    <row r="312" spans="1:12" x14ac:dyDescent="0.25">
      <c r="A312" t="s">
        <v>1089</v>
      </c>
      <c r="B312" t="s">
        <v>1090</v>
      </c>
      <c r="C312" t="s">
        <v>1091</v>
      </c>
      <c r="D312" s="10">
        <v>44319</v>
      </c>
      <c r="E312">
        <v>533693.13</v>
      </c>
      <c r="F312">
        <v>533693.13</v>
      </c>
      <c r="G312">
        <v>284090.90000000002</v>
      </c>
      <c r="H312">
        <v>284090.90000000002</v>
      </c>
      <c r="I312">
        <v>52926.53</v>
      </c>
      <c r="J312">
        <v>52926.53</v>
      </c>
      <c r="K312">
        <v>183937.49</v>
      </c>
      <c r="L312">
        <v>12738.21</v>
      </c>
    </row>
    <row r="313" spans="1:12" x14ac:dyDescent="0.25">
      <c r="A313" t="s">
        <v>1092</v>
      </c>
      <c r="B313" t="s">
        <v>1093</v>
      </c>
      <c r="C313" t="s">
        <v>1094</v>
      </c>
      <c r="D313" s="10">
        <v>44321</v>
      </c>
      <c r="E313">
        <v>579.04</v>
      </c>
      <c r="F313">
        <v>579.04</v>
      </c>
      <c r="K313">
        <v>579.04</v>
      </c>
    </row>
    <row r="314" spans="1:12" x14ac:dyDescent="0.25">
      <c r="A314" t="s">
        <v>1095</v>
      </c>
      <c r="B314" t="s">
        <v>1096</v>
      </c>
      <c r="C314" t="s">
        <v>1097</v>
      </c>
      <c r="D314" s="10">
        <v>44323</v>
      </c>
      <c r="E314">
        <v>623008.56000000006</v>
      </c>
      <c r="F314">
        <v>623008.56000000006</v>
      </c>
      <c r="G314">
        <v>340909.1</v>
      </c>
      <c r="H314">
        <v>340909.1</v>
      </c>
      <c r="I314">
        <v>62110.82</v>
      </c>
      <c r="J314">
        <v>62110.82</v>
      </c>
      <c r="K314">
        <v>219988.64</v>
      </c>
    </row>
    <row r="315" spans="1:12" x14ac:dyDescent="0.25">
      <c r="A315" t="s">
        <v>1098</v>
      </c>
      <c r="B315" t="s">
        <v>1099</v>
      </c>
      <c r="C315" t="s">
        <v>1100</v>
      </c>
      <c r="D315" s="10">
        <v>44327</v>
      </c>
      <c r="E315">
        <v>49853.5</v>
      </c>
      <c r="F315">
        <v>49853.5</v>
      </c>
      <c r="K315">
        <v>47853.5</v>
      </c>
      <c r="L315">
        <v>2000</v>
      </c>
    </row>
    <row r="316" spans="1:12" x14ac:dyDescent="0.25">
      <c r="A316" t="s">
        <v>1101</v>
      </c>
      <c r="B316" t="s">
        <v>1102</v>
      </c>
      <c r="C316" t="s">
        <v>1103</v>
      </c>
      <c r="D316" s="10">
        <v>44329</v>
      </c>
      <c r="E316">
        <v>216354.56</v>
      </c>
      <c r="F316">
        <v>216354.56</v>
      </c>
      <c r="G316">
        <v>113636.4</v>
      </c>
      <c r="H316">
        <v>113636.4</v>
      </c>
      <c r="I316">
        <v>19769.61</v>
      </c>
      <c r="J316">
        <v>19769.61</v>
      </c>
      <c r="K316">
        <v>72961.38</v>
      </c>
      <c r="L316">
        <v>9987.17</v>
      </c>
    </row>
    <row r="317" spans="1:12" x14ac:dyDescent="0.25">
      <c r="A317" t="s">
        <v>1104</v>
      </c>
      <c r="B317" t="s">
        <v>1105</v>
      </c>
      <c r="C317" t="s">
        <v>1106</v>
      </c>
      <c r="D317" s="10">
        <v>44331</v>
      </c>
      <c r="E317">
        <v>617799.86</v>
      </c>
      <c r="F317">
        <v>617799.86</v>
      </c>
      <c r="G317">
        <v>340909.1</v>
      </c>
      <c r="H317">
        <v>340909.1</v>
      </c>
      <c r="I317">
        <v>58374.85</v>
      </c>
      <c r="J317">
        <v>58374.85</v>
      </c>
      <c r="K317">
        <v>218515.91</v>
      </c>
    </row>
    <row r="318" spans="1:12" x14ac:dyDescent="0.25">
      <c r="A318" t="s">
        <v>1107</v>
      </c>
      <c r="B318" t="s">
        <v>1099</v>
      </c>
      <c r="C318" t="s">
        <v>1108</v>
      </c>
      <c r="D318" s="10">
        <v>44332</v>
      </c>
      <c r="E318">
        <v>118617.12</v>
      </c>
      <c r="F318">
        <v>118617.12</v>
      </c>
      <c r="G318">
        <v>57218.29</v>
      </c>
      <c r="H318">
        <v>57218.29</v>
      </c>
      <c r="K318">
        <v>59398.83</v>
      </c>
      <c r="L318">
        <v>2000</v>
      </c>
    </row>
    <row r="319" spans="1:12" x14ac:dyDescent="0.25">
      <c r="A319" t="s">
        <v>1109</v>
      </c>
      <c r="B319" t="s">
        <v>1099</v>
      </c>
      <c r="C319" t="s">
        <v>1110</v>
      </c>
      <c r="D319" s="10">
        <v>44339</v>
      </c>
      <c r="E319">
        <v>35194.410000000003</v>
      </c>
      <c r="F319">
        <v>35194.410000000003</v>
      </c>
      <c r="K319">
        <v>27412.65</v>
      </c>
      <c r="L319">
        <v>7781.76</v>
      </c>
    </row>
    <row r="320" spans="1:12" x14ac:dyDescent="0.25">
      <c r="A320" t="s">
        <v>1111</v>
      </c>
      <c r="B320" t="s">
        <v>1112</v>
      </c>
      <c r="C320" t="s">
        <v>1113</v>
      </c>
      <c r="D320" s="10">
        <v>44344</v>
      </c>
      <c r="E320">
        <v>236104.18</v>
      </c>
      <c r="F320">
        <v>236104.18</v>
      </c>
      <c r="G320">
        <v>141050.5</v>
      </c>
      <c r="H320">
        <v>141050.5</v>
      </c>
      <c r="I320">
        <v>22364.34</v>
      </c>
      <c r="J320">
        <v>22364.34</v>
      </c>
      <c r="K320">
        <v>62076.33</v>
      </c>
      <c r="L320">
        <v>10613.01</v>
      </c>
    </row>
    <row r="321" spans="1:12" x14ac:dyDescent="0.25">
      <c r="A321" t="s">
        <v>1114</v>
      </c>
      <c r="B321" t="s">
        <v>1115</v>
      </c>
      <c r="C321" t="s">
        <v>1116</v>
      </c>
      <c r="D321" s="10">
        <v>44345</v>
      </c>
      <c r="E321">
        <v>712935.01</v>
      </c>
      <c r="F321">
        <v>712935.01</v>
      </c>
      <c r="G321">
        <v>400000</v>
      </c>
      <c r="H321">
        <v>400000</v>
      </c>
      <c r="I321">
        <v>122476.72</v>
      </c>
      <c r="J321">
        <v>122476.72</v>
      </c>
      <c r="K321">
        <v>175824</v>
      </c>
      <c r="L321">
        <v>14634.29</v>
      </c>
    </row>
    <row r="322" spans="1:12" x14ac:dyDescent="0.25">
      <c r="A322" t="s">
        <v>1117</v>
      </c>
      <c r="B322" t="s">
        <v>1118</v>
      </c>
      <c r="C322" t="s">
        <v>1119</v>
      </c>
      <c r="D322" s="10">
        <v>44346</v>
      </c>
      <c r="E322">
        <v>193385.82</v>
      </c>
      <c r="F322">
        <v>193385.82</v>
      </c>
      <c r="G322">
        <v>98193.9</v>
      </c>
      <c r="H322">
        <v>98193.9</v>
      </c>
      <c r="I322">
        <v>33046.97</v>
      </c>
      <c r="J322">
        <v>33046.97</v>
      </c>
      <c r="K322">
        <v>62144.95</v>
      </c>
    </row>
    <row r="323" spans="1:12" x14ac:dyDescent="0.25">
      <c r="A323" t="s">
        <v>1120</v>
      </c>
      <c r="B323" t="s">
        <v>1121</v>
      </c>
      <c r="C323" t="s">
        <v>1119</v>
      </c>
      <c r="D323" s="10">
        <v>44346</v>
      </c>
      <c r="E323">
        <v>1912496.44</v>
      </c>
      <c r="F323">
        <v>1912496.44</v>
      </c>
      <c r="G323">
        <v>1000000</v>
      </c>
      <c r="H323">
        <v>1000000</v>
      </c>
      <c r="I323">
        <v>279616.44</v>
      </c>
      <c r="J323">
        <v>279616.44</v>
      </c>
      <c r="K323">
        <v>632880</v>
      </c>
    </row>
    <row r="324" spans="1:12" x14ac:dyDescent="0.25">
      <c r="A324" t="s">
        <v>1122</v>
      </c>
      <c r="B324" t="s">
        <v>1123</v>
      </c>
      <c r="C324" t="s">
        <v>1124</v>
      </c>
      <c r="D324" s="10">
        <v>44349</v>
      </c>
      <c r="E324">
        <v>859611.56</v>
      </c>
      <c r="F324">
        <v>859611.56</v>
      </c>
      <c r="G324">
        <v>491867.54</v>
      </c>
      <c r="H324">
        <v>491867.54</v>
      </c>
      <c r="I324">
        <v>142601.16</v>
      </c>
      <c r="J324">
        <v>142601.16</v>
      </c>
      <c r="K324">
        <v>215142.86</v>
      </c>
      <c r="L324">
        <v>10000</v>
      </c>
    </row>
    <row r="325" spans="1:12" x14ac:dyDescent="0.25">
      <c r="A325" t="s">
        <v>1125</v>
      </c>
      <c r="B325" t="s">
        <v>1126</v>
      </c>
      <c r="C325" t="s">
        <v>1127</v>
      </c>
      <c r="D325" s="10">
        <v>44350</v>
      </c>
      <c r="E325">
        <v>110912.15</v>
      </c>
      <c r="F325">
        <v>110912.15</v>
      </c>
      <c r="G325">
        <v>56007.23</v>
      </c>
      <c r="H325">
        <v>56007.23</v>
      </c>
      <c r="I325">
        <v>9336.26</v>
      </c>
      <c r="J325">
        <v>9336.26</v>
      </c>
      <c r="K325">
        <v>37324.879999999997</v>
      </c>
      <c r="L325">
        <v>8243.7800000000007</v>
      </c>
    </row>
    <row r="326" spans="1:12" x14ac:dyDescent="0.25">
      <c r="A326" t="s">
        <v>1128</v>
      </c>
      <c r="B326" t="s">
        <v>1000</v>
      </c>
      <c r="C326" t="s">
        <v>1129</v>
      </c>
      <c r="D326" s="10">
        <v>44352</v>
      </c>
      <c r="E326">
        <v>43625.5</v>
      </c>
      <c r="F326">
        <v>43625.5</v>
      </c>
      <c r="I326">
        <v>15100.52</v>
      </c>
      <c r="J326">
        <v>15100.52</v>
      </c>
      <c r="K326">
        <v>20166.11</v>
      </c>
      <c r="L326">
        <v>8358.8700000000008</v>
      </c>
    </row>
    <row r="327" spans="1:12" x14ac:dyDescent="0.25">
      <c r="A327" t="s">
        <v>1130</v>
      </c>
      <c r="B327" t="s">
        <v>1131</v>
      </c>
      <c r="C327" t="s">
        <v>1132</v>
      </c>
      <c r="D327" s="10">
        <v>44354</v>
      </c>
      <c r="E327">
        <v>156407.46</v>
      </c>
      <c r="F327">
        <v>156407.46</v>
      </c>
      <c r="G327">
        <v>78274.16</v>
      </c>
      <c r="H327">
        <v>78274.16</v>
      </c>
      <c r="I327">
        <v>20095.25</v>
      </c>
      <c r="J327">
        <v>20095.25</v>
      </c>
      <c r="K327">
        <v>49220.76</v>
      </c>
      <c r="L327">
        <v>8817.2900000000009</v>
      </c>
    </row>
    <row r="328" spans="1:12" x14ac:dyDescent="0.25">
      <c r="A328" t="s">
        <v>1133</v>
      </c>
      <c r="B328" t="s">
        <v>1118</v>
      </c>
      <c r="C328" t="s">
        <v>1134</v>
      </c>
      <c r="D328" s="10">
        <v>44356</v>
      </c>
      <c r="E328">
        <v>187435.24</v>
      </c>
      <c r="F328">
        <v>187435.24</v>
      </c>
      <c r="G328">
        <v>97843.09</v>
      </c>
      <c r="H328">
        <v>97843.09</v>
      </c>
      <c r="I328">
        <v>28197.57</v>
      </c>
      <c r="J328">
        <v>28197.57</v>
      </c>
      <c r="K328">
        <v>61394.58</v>
      </c>
    </row>
    <row r="329" spans="1:12" x14ac:dyDescent="0.25">
      <c r="A329" t="s">
        <v>1135</v>
      </c>
      <c r="B329" t="s">
        <v>1099</v>
      </c>
      <c r="C329" t="s">
        <v>1136</v>
      </c>
      <c r="D329" s="10">
        <v>44357</v>
      </c>
      <c r="E329">
        <v>177196.54</v>
      </c>
      <c r="F329">
        <v>177196.54</v>
      </c>
      <c r="G329">
        <v>97032.62</v>
      </c>
      <c r="H329">
        <v>97032.62</v>
      </c>
      <c r="I329">
        <v>17330.29</v>
      </c>
      <c r="J329">
        <v>17330.29</v>
      </c>
      <c r="K329">
        <v>60833.63</v>
      </c>
      <c r="L329">
        <v>2000</v>
      </c>
    </row>
    <row r="330" spans="1:12" x14ac:dyDescent="0.25">
      <c r="A330" t="s">
        <v>1137</v>
      </c>
      <c r="B330" t="s">
        <v>1118</v>
      </c>
      <c r="C330" t="s">
        <v>1136</v>
      </c>
      <c r="D330" s="10">
        <v>44357</v>
      </c>
      <c r="E330">
        <v>191329.61</v>
      </c>
      <c r="F330">
        <v>191329.61</v>
      </c>
      <c r="G330">
        <v>100000</v>
      </c>
      <c r="H330">
        <v>100000</v>
      </c>
      <c r="I330">
        <v>28635.61</v>
      </c>
      <c r="J330">
        <v>28635.61</v>
      </c>
      <c r="K330">
        <v>62694</v>
      </c>
    </row>
    <row r="331" spans="1:12" x14ac:dyDescent="0.25">
      <c r="A331" t="s">
        <v>1138</v>
      </c>
      <c r="B331" t="s">
        <v>1139</v>
      </c>
      <c r="C331" t="s">
        <v>1140</v>
      </c>
      <c r="D331" s="10">
        <v>44359</v>
      </c>
      <c r="E331">
        <v>95479.38</v>
      </c>
      <c r="F331">
        <v>95479.38</v>
      </c>
      <c r="G331">
        <v>34474.03</v>
      </c>
      <c r="H331">
        <v>34474.03</v>
      </c>
      <c r="K331">
        <v>50872.5</v>
      </c>
      <c r="L331">
        <v>10132.85</v>
      </c>
    </row>
    <row r="332" spans="1:12" x14ac:dyDescent="0.25">
      <c r="A332" t="s">
        <v>1141</v>
      </c>
      <c r="B332" t="s">
        <v>1142</v>
      </c>
      <c r="C332" t="s">
        <v>1143</v>
      </c>
      <c r="D332" s="10">
        <v>44364</v>
      </c>
      <c r="E332">
        <v>1709159.05</v>
      </c>
      <c r="F332">
        <v>1709159.05</v>
      </c>
      <c r="G332">
        <v>940452.63</v>
      </c>
      <c r="H332">
        <v>940452.63</v>
      </c>
      <c r="I332">
        <v>182653.96</v>
      </c>
      <c r="J332">
        <v>182653.96</v>
      </c>
      <c r="K332">
        <v>586052.46</v>
      </c>
    </row>
    <row r="333" spans="1:12" x14ac:dyDescent="0.25">
      <c r="A333" t="s">
        <v>1144</v>
      </c>
      <c r="B333" t="s">
        <v>839</v>
      </c>
      <c r="C333" t="s">
        <v>1145</v>
      </c>
      <c r="D333" s="10">
        <v>44365</v>
      </c>
      <c r="E333">
        <v>328009.43</v>
      </c>
      <c r="F333">
        <v>328009.43</v>
      </c>
      <c r="G333">
        <v>200489.60000000001</v>
      </c>
      <c r="H333">
        <v>200489.60000000001</v>
      </c>
      <c r="I333">
        <v>43100.63</v>
      </c>
      <c r="J333">
        <v>43100.63</v>
      </c>
      <c r="K333">
        <v>84419.199999999997</v>
      </c>
    </row>
    <row r="334" spans="1:12" x14ac:dyDescent="0.25">
      <c r="A334" t="s">
        <v>1146</v>
      </c>
      <c r="B334" t="s">
        <v>1147</v>
      </c>
      <c r="C334" t="s">
        <v>1148</v>
      </c>
      <c r="D334" s="10">
        <v>44366</v>
      </c>
      <c r="E334">
        <v>264514.83</v>
      </c>
      <c r="F334">
        <v>264514.83</v>
      </c>
      <c r="G334">
        <v>148111.51</v>
      </c>
      <c r="H334">
        <v>148111.51</v>
      </c>
      <c r="I334">
        <v>34640.480000000003</v>
      </c>
      <c r="J334">
        <v>34640.480000000003</v>
      </c>
      <c r="K334">
        <v>81762.84</v>
      </c>
    </row>
    <row r="335" spans="1:12" x14ac:dyDescent="0.25">
      <c r="A335" t="s">
        <v>1149</v>
      </c>
      <c r="B335" t="s">
        <v>1150</v>
      </c>
      <c r="C335" t="s">
        <v>1148</v>
      </c>
      <c r="D335" s="10">
        <v>44366</v>
      </c>
      <c r="E335">
        <v>498844.78</v>
      </c>
      <c r="F335">
        <v>498844.78</v>
      </c>
      <c r="I335">
        <v>214350.82</v>
      </c>
      <c r="J335">
        <v>214350.82</v>
      </c>
      <c r="K335">
        <v>265151.21000000002</v>
      </c>
      <c r="L335">
        <v>19342.75</v>
      </c>
    </row>
    <row r="336" spans="1:12" x14ac:dyDescent="0.25">
      <c r="A336" t="s">
        <v>1151</v>
      </c>
      <c r="B336" t="s">
        <v>1152</v>
      </c>
      <c r="C336" t="s">
        <v>1153</v>
      </c>
      <c r="D336" s="10">
        <v>44367</v>
      </c>
      <c r="E336">
        <v>338895.77</v>
      </c>
      <c r="F336">
        <v>338895.77</v>
      </c>
      <c r="G336">
        <v>181818.2</v>
      </c>
      <c r="H336">
        <v>181818.2</v>
      </c>
      <c r="I336">
        <v>32627.64</v>
      </c>
      <c r="J336">
        <v>32627.64</v>
      </c>
      <c r="K336">
        <v>113007.29</v>
      </c>
      <c r="L336">
        <v>11442.64</v>
      </c>
    </row>
    <row r="337" spans="1:12" x14ac:dyDescent="0.25">
      <c r="A337" t="s">
        <v>1154</v>
      </c>
      <c r="B337" t="s">
        <v>1155</v>
      </c>
      <c r="C337" t="s">
        <v>1156</v>
      </c>
      <c r="D337" s="10">
        <v>44368</v>
      </c>
      <c r="E337">
        <v>923424.43</v>
      </c>
      <c r="F337">
        <v>923424.43</v>
      </c>
      <c r="G337">
        <v>504706.65</v>
      </c>
      <c r="H337">
        <v>504706.65</v>
      </c>
      <c r="I337">
        <v>89879.27</v>
      </c>
      <c r="J337">
        <v>89879.27</v>
      </c>
      <c r="K337">
        <v>313422.83</v>
      </c>
      <c r="L337">
        <v>15415.68</v>
      </c>
    </row>
    <row r="338" spans="1:12" x14ac:dyDescent="0.25">
      <c r="A338" t="s">
        <v>1157</v>
      </c>
      <c r="B338" t="s">
        <v>1158</v>
      </c>
      <c r="C338" t="s">
        <v>1156</v>
      </c>
      <c r="D338" s="10">
        <v>44368</v>
      </c>
      <c r="E338">
        <v>159585.14000000001</v>
      </c>
      <c r="F338">
        <v>159585.14000000001</v>
      </c>
      <c r="G338">
        <v>91093.14</v>
      </c>
      <c r="H338">
        <v>91093.14</v>
      </c>
      <c r="K338">
        <v>58661.06</v>
      </c>
      <c r="L338">
        <v>9830.94</v>
      </c>
    </row>
    <row r="339" spans="1:12" x14ac:dyDescent="0.25">
      <c r="A339" t="s">
        <v>1159</v>
      </c>
      <c r="B339" t="s">
        <v>1160</v>
      </c>
      <c r="C339" t="s">
        <v>1161</v>
      </c>
      <c r="D339" s="10">
        <v>44369</v>
      </c>
      <c r="E339">
        <v>54.22</v>
      </c>
      <c r="F339">
        <v>54.22</v>
      </c>
      <c r="K339">
        <v>54.22</v>
      </c>
    </row>
    <row r="340" spans="1:12" x14ac:dyDescent="0.25">
      <c r="A340" t="s">
        <v>1162</v>
      </c>
      <c r="B340" t="s">
        <v>1123</v>
      </c>
      <c r="C340" t="s">
        <v>1161</v>
      </c>
      <c r="D340" s="10">
        <v>44369</v>
      </c>
      <c r="E340">
        <v>722172.23</v>
      </c>
      <c r="F340">
        <v>722172.23</v>
      </c>
      <c r="G340">
        <v>450073.9</v>
      </c>
      <c r="H340">
        <v>450073.9</v>
      </c>
      <c r="I340">
        <v>75834.38</v>
      </c>
      <c r="J340">
        <v>75834.38</v>
      </c>
      <c r="K340">
        <v>192001.53</v>
      </c>
      <c r="L340">
        <v>4262.42</v>
      </c>
    </row>
    <row r="341" spans="1:12" x14ac:dyDescent="0.25">
      <c r="A341" t="s">
        <v>1163</v>
      </c>
      <c r="B341" t="s">
        <v>1118</v>
      </c>
      <c r="C341" t="s">
        <v>1161</v>
      </c>
      <c r="D341" s="10">
        <v>44369</v>
      </c>
      <c r="E341">
        <v>184413.55</v>
      </c>
      <c r="F341">
        <v>184413.55</v>
      </c>
      <c r="G341">
        <v>97843.09</v>
      </c>
      <c r="H341">
        <v>97843.09</v>
      </c>
      <c r="I341">
        <v>25862.74</v>
      </c>
      <c r="J341">
        <v>25862.74</v>
      </c>
      <c r="K341">
        <v>60707.72</v>
      </c>
    </row>
    <row r="342" spans="1:12" x14ac:dyDescent="0.25">
      <c r="A342" t="s">
        <v>1164</v>
      </c>
      <c r="B342" t="s">
        <v>1165</v>
      </c>
      <c r="C342" t="s">
        <v>1161</v>
      </c>
      <c r="D342" s="10">
        <v>44369</v>
      </c>
      <c r="E342">
        <v>553932.13</v>
      </c>
      <c r="F342">
        <v>553932.13</v>
      </c>
      <c r="G342">
        <v>282703.67</v>
      </c>
      <c r="H342">
        <v>282703.67</v>
      </c>
      <c r="I342">
        <v>82812.800000000003</v>
      </c>
      <c r="J342">
        <v>82812.800000000003</v>
      </c>
      <c r="K342">
        <v>175406.31</v>
      </c>
      <c r="L342">
        <v>13009.35</v>
      </c>
    </row>
    <row r="343" spans="1:12" x14ac:dyDescent="0.25">
      <c r="A343" t="s">
        <v>1166</v>
      </c>
      <c r="B343" t="s">
        <v>1167</v>
      </c>
      <c r="C343" t="s">
        <v>1168</v>
      </c>
      <c r="D343" s="10">
        <v>44370</v>
      </c>
      <c r="E343">
        <v>198026.13</v>
      </c>
      <c r="F343">
        <v>198026.13</v>
      </c>
      <c r="G343">
        <v>44089.13</v>
      </c>
      <c r="H343">
        <v>44089.13</v>
      </c>
      <c r="K343">
        <v>140119.18</v>
      </c>
      <c r="L343">
        <v>13817.82</v>
      </c>
    </row>
    <row r="344" spans="1:12" x14ac:dyDescent="0.25">
      <c r="A344" t="s">
        <v>1169</v>
      </c>
      <c r="B344" t="s">
        <v>1170</v>
      </c>
      <c r="C344" t="s">
        <v>1171</v>
      </c>
      <c r="D344" s="10">
        <v>44372</v>
      </c>
      <c r="E344">
        <v>192753.65</v>
      </c>
      <c r="F344">
        <v>192753.65</v>
      </c>
      <c r="G344">
        <v>97642.22</v>
      </c>
      <c r="H344">
        <v>97642.22</v>
      </c>
      <c r="I344">
        <v>24931.48</v>
      </c>
      <c r="J344">
        <v>24931.48</v>
      </c>
      <c r="K344">
        <v>60424.91</v>
      </c>
      <c r="L344">
        <v>9755.0400000000009</v>
      </c>
    </row>
    <row r="345" spans="1:12" x14ac:dyDescent="0.25">
      <c r="A345" t="s">
        <v>1172</v>
      </c>
      <c r="B345" t="s">
        <v>1173</v>
      </c>
      <c r="C345" t="s">
        <v>1174</v>
      </c>
      <c r="D345" s="10">
        <v>44374</v>
      </c>
      <c r="E345">
        <v>101241.39</v>
      </c>
      <c r="F345">
        <v>101241.39</v>
      </c>
      <c r="K345">
        <v>101241.39</v>
      </c>
    </row>
    <row r="346" spans="1:12" x14ac:dyDescent="0.25">
      <c r="A346" t="s">
        <v>1175</v>
      </c>
      <c r="B346" t="s">
        <v>1176</v>
      </c>
      <c r="C346" t="s">
        <v>1174</v>
      </c>
      <c r="D346" s="10">
        <v>44374</v>
      </c>
      <c r="E346">
        <v>65919.72</v>
      </c>
      <c r="F346">
        <v>65919.72</v>
      </c>
      <c r="G346">
        <v>49167.83</v>
      </c>
      <c r="H346">
        <v>49167.83</v>
      </c>
      <c r="I346">
        <v>10470.92</v>
      </c>
      <c r="J346">
        <v>10470.92</v>
      </c>
      <c r="K346">
        <v>6280.97</v>
      </c>
    </row>
    <row r="347" spans="1:12" x14ac:dyDescent="0.25">
      <c r="A347" t="s">
        <v>1177</v>
      </c>
      <c r="B347" t="s">
        <v>1178</v>
      </c>
      <c r="C347" t="s">
        <v>1174</v>
      </c>
      <c r="D347" s="10">
        <v>44374</v>
      </c>
      <c r="E347">
        <v>509600.19</v>
      </c>
      <c r="F347">
        <v>509600.19</v>
      </c>
      <c r="G347">
        <v>297351.01</v>
      </c>
      <c r="H347">
        <v>297351.01</v>
      </c>
      <c r="I347">
        <v>73131.87</v>
      </c>
      <c r="J347">
        <v>73131.87</v>
      </c>
      <c r="K347">
        <v>126047.09</v>
      </c>
      <c r="L347">
        <v>13070.22</v>
      </c>
    </row>
    <row r="348" spans="1:12" x14ac:dyDescent="0.25">
      <c r="A348" t="s">
        <v>1179</v>
      </c>
      <c r="B348" t="s">
        <v>1180</v>
      </c>
      <c r="C348" t="s">
        <v>1181</v>
      </c>
      <c r="D348" s="10">
        <v>44377</v>
      </c>
      <c r="E348">
        <v>179091.71</v>
      </c>
      <c r="F348">
        <v>179091.71</v>
      </c>
      <c r="G348">
        <v>97417.05</v>
      </c>
      <c r="H348">
        <v>97417.05</v>
      </c>
      <c r="I348">
        <v>33913.54</v>
      </c>
      <c r="J348">
        <v>33913.54</v>
      </c>
      <c r="K348">
        <v>41137.269999999997</v>
      </c>
      <c r="L348">
        <v>6623.85</v>
      </c>
    </row>
    <row r="349" spans="1:12" x14ac:dyDescent="0.25">
      <c r="A349" t="s">
        <v>1182</v>
      </c>
      <c r="B349" t="s">
        <v>1183</v>
      </c>
      <c r="C349" t="s">
        <v>1184</v>
      </c>
      <c r="D349" s="10">
        <v>44380</v>
      </c>
      <c r="E349">
        <v>400380.51</v>
      </c>
      <c r="F349">
        <v>400380.51</v>
      </c>
      <c r="G349">
        <v>154334.04999999999</v>
      </c>
      <c r="H349">
        <v>154334.04999999999</v>
      </c>
      <c r="I349">
        <v>151205.1</v>
      </c>
      <c r="J349">
        <v>151205.1</v>
      </c>
      <c r="K349">
        <v>94841.36</v>
      </c>
    </row>
    <row r="350" spans="1:12" x14ac:dyDescent="0.25">
      <c r="A350" t="s">
        <v>1185</v>
      </c>
      <c r="B350" t="s">
        <v>1118</v>
      </c>
      <c r="C350" t="s">
        <v>1184</v>
      </c>
      <c r="D350" s="10">
        <v>44380</v>
      </c>
      <c r="E350">
        <v>182017.98</v>
      </c>
      <c r="F350">
        <v>182017.98</v>
      </c>
      <c r="G350">
        <v>98026.65</v>
      </c>
      <c r="H350">
        <v>98026.65</v>
      </c>
      <c r="I350">
        <v>23751.99</v>
      </c>
      <c r="J350">
        <v>23751.99</v>
      </c>
      <c r="K350">
        <v>60239.34</v>
      </c>
    </row>
    <row r="351" spans="1:12" x14ac:dyDescent="0.25">
      <c r="A351" t="s">
        <v>1186</v>
      </c>
      <c r="B351" t="s">
        <v>1183</v>
      </c>
      <c r="C351" t="s">
        <v>1184</v>
      </c>
      <c r="D351" s="10">
        <v>44380</v>
      </c>
      <c r="E351">
        <v>400380.52</v>
      </c>
      <c r="F351">
        <v>400380.52</v>
      </c>
      <c r="G351">
        <v>154334.04999999999</v>
      </c>
      <c r="H351">
        <v>154334.04999999999</v>
      </c>
      <c r="I351">
        <v>151205.1</v>
      </c>
      <c r="J351">
        <v>151205.1</v>
      </c>
      <c r="K351">
        <v>94841.37</v>
      </c>
    </row>
    <row r="352" spans="1:12" x14ac:dyDescent="0.25">
      <c r="A352" t="s">
        <v>1187</v>
      </c>
      <c r="B352" t="s">
        <v>1188</v>
      </c>
      <c r="C352" t="s">
        <v>1189</v>
      </c>
      <c r="D352" s="10">
        <v>44381</v>
      </c>
      <c r="E352">
        <v>1888927.1</v>
      </c>
      <c r="F352">
        <v>1888927.1</v>
      </c>
      <c r="G352">
        <v>994190.24</v>
      </c>
      <c r="H352">
        <v>994190.24</v>
      </c>
      <c r="I352">
        <v>284323.94</v>
      </c>
      <c r="J352">
        <v>284323.94</v>
      </c>
      <c r="K352">
        <v>610412.92000000004</v>
      </c>
    </row>
    <row r="353" spans="1:12" x14ac:dyDescent="0.25">
      <c r="A353" t="s">
        <v>1190</v>
      </c>
      <c r="B353" t="s">
        <v>1191</v>
      </c>
      <c r="C353" t="s">
        <v>1189</v>
      </c>
      <c r="D353" s="10">
        <v>44381</v>
      </c>
      <c r="E353">
        <v>355191.52</v>
      </c>
      <c r="F353">
        <v>355191.52</v>
      </c>
      <c r="G353">
        <v>180000</v>
      </c>
      <c r="H353">
        <v>180000</v>
      </c>
      <c r="I353">
        <v>87438.92</v>
      </c>
      <c r="J353">
        <v>87438.92</v>
      </c>
      <c r="K353">
        <v>75621.600000000006</v>
      </c>
      <c r="L353">
        <v>12131</v>
      </c>
    </row>
    <row r="354" spans="1:12" x14ac:dyDescent="0.25">
      <c r="A354" t="s">
        <v>1192</v>
      </c>
      <c r="B354" t="s">
        <v>1193</v>
      </c>
      <c r="C354" t="s">
        <v>1194</v>
      </c>
      <c r="D354" s="10">
        <v>44386</v>
      </c>
      <c r="E354">
        <v>244333.6</v>
      </c>
      <c r="F354">
        <v>244333.6</v>
      </c>
      <c r="G354">
        <v>140364.92000000001</v>
      </c>
      <c r="H354">
        <v>140364.92000000001</v>
      </c>
      <c r="I354">
        <v>27634.57</v>
      </c>
      <c r="J354">
        <v>27634.57</v>
      </c>
      <c r="K354">
        <v>65353.85</v>
      </c>
      <c r="L354">
        <v>10980.26</v>
      </c>
    </row>
    <row r="355" spans="1:12" x14ac:dyDescent="0.25">
      <c r="A355" t="s">
        <v>1195</v>
      </c>
      <c r="B355" t="s">
        <v>1196</v>
      </c>
      <c r="C355" t="s">
        <v>1197</v>
      </c>
      <c r="D355" s="10">
        <v>44387</v>
      </c>
      <c r="E355">
        <v>691046.3</v>
      </c>
      <c r="F355">
        <v>691046.3</v>
      </c>
      <c r="G355">
        <v>365325.76</v>
      </c>
      <c r="H355">
        <v>365325.76</v>
      </c>
      <c r="I355">
        <v>102601.49</v>
      </c>
      <c r="J355">
        <v>102601.49</v>
      </c>
      <c r="K355">
        <v>223119.05</v>
      </c>
    </row>
    <row r="356" spans="1:12" x14ac:dyDescent="0.25">
      <c r="A356" t="s">
        <v>1198</v>
      </c>
      <c r="B356" t="s">
        <v>1199</v>
      </c>
      <c r="C356" t="s">
        <v>1197</v>
      </c>
      <c r="D356" s="10">
        <v>44387</v>
      </c>
      <c r="E356">
        <v>198671.11</v>
      </c>
      <c r="F356">
        <v>198671.11</v>
      </c>
      <c r="G356">
        <v>100000</v>
      </c>
      <c r="H356">
        <v>100000</v>
      </c>
      <c r="I356">
        <v>27739.72</v>
      </c>
      <c r="J356">
        <v>27739.72</v>
      </c>
      <c r="K356">
        <v>61074</v>
      </c>
      <c r="L356">
        <v>9857.39</v>
      </c>
    </row>
    <row r="357" spans="1:12" x14ac:dyDescent="0.25">
      <c r="A357" t="s">
        <v>1200</v>
      </c>
      <c r="B357" t="s">
        <v>1201</v>
      </c>
      <c r="C357" t="s">
        <v>1202</v>
      </c>
      <c r="D357" s="10">
        <v>44388</v>
      </c>
      <c r="E357">
        <v>61753.7</v>
      </c>
      <c r="F357">
        <v>61753.7</v>
      </c>
      <c r="K357">
        <v>61753.7</v>
      </c>
    </row>
    <row r="358" spans="1:12" x14ac:dyDescent="0.25">
      <c r="A358" t="s">
        <v>1203</v>
      </c>
      <c r="B358" t="s">
        <v>1204</v>
      </c>
      <c r="C358" t="s">
        <v>1205</v>
      </c>
      <c r="D358" s="10">
        <v>44389</v>
      </c>
      <c r="E358">
        <v>176484.44</v>
      </c>
      <c r="F358">
        <v>176484.44</v>
      </c>
      <c r="G358">
        <v>95203.01</v>
      </c>
      <c r="H358">
        <v>95203.01</v>
      </c>
      <c r="I358">
        <v>23239.97</v>
      </c>
      <c r="J358">
        <v>23239.97</v>
      </c>
      <c r="K358">
        <v>58041.46</v>
      </c>
    </row>
    <row r="359" spans="1:12" x14ac:dyDescent="0.25">
      <c r="A359" t="s">
        <v>1206</v>
      </c>
      <c r="B359" t="s">
        <v>1207</v>
      </c>
      <c r="C359" t="s">
        <v>1208</v>
      </c>
      <c r="D359" s="10">
        <v>44394</v>
      </c>
      <c r="E359">
        <v>1796868.25</v>
      </c>
      <c r="F359">
        <v>1796868.25</v>
      </c>
      <c r="G359">
        <v>997815.8</v>
      </c>
      <c r="H359">
        <v>997815.8</v>
      </c>
      <c r="I359">
        <v>193418.17</v>
      </c>
      <c r="J359">
        <v>193418.17</v>
      </c>
      <c r="K359">
        <v>605634.28</v>
      </c>
    </row>
    <row r="360" spans="1:12" x14ac:dyDescent="0.25">
      <c r="A360" t="s">
        <v>1209</v>
      </c>
      <c r="B360" t="s">
        <v>1180</v>
      </c>
      <c r="C360" t="s">
        <v>1208</v>
      </c>
      <c r="D360" s="10">
        <v>44394</v>
      </c>
      <c r="E360">
        <v>133179.59</v>
      </c>
      <c r="F360">
        <v>133179.59</v>
      </c>
      <c r="G360">
        <v>72492.850000000006</v>
      </c>
      <c r="H360">
        <v>72492.850000000006</v>
      </c>
      <c r="I360">
        <v>25739.94</v>
      </c>
      <c r="J360">
        <v>25739.94</v>
      </c>
      <c r="K360">
        <v>29946.799999999999</v>
      </c>
      <c r="L360">
        <v>5000</v>
      </c>
    </row>
    <row r="361" spans="1:12" x14ac:dyDescent="0.25">
      <c r="A361" t="s">
        <v>1210</v>
      </c>
      <c r="B361" t="s">
        <v>1211</v>
      </c>
      <c r="C361" t="s">
        <v>1208</v>
      </c>
      <c r="D361" s="10">
        <v>44394</v>
      </c>
      <c r="E361">
        <v>852953.91</v>
      </c>
      <c r="F361">
        <v>852953.91</v>
      </c>
      <c r="G361">
        <v>450000</v>
      </c>
      <c r="H361">
        <v>450000</v>
      </c>
      <c r="I361">
        <v>129821.91</v>
      </c>
      <c r="J361">
        <v>129821.91</v>
      </c>
      <c r="K361">
        <v>273132</v>
      </c>
    </row>
    <row r="362" spans="1:12" x14ac:dyDescent="0.25">
      <c r="A362" t="s">
        <v>1212</v>
      </c>
      <c r="B362" t="s">
        <v>1213</v>
      </c>
      <c r="C362" t="s">
        <v>1214</v>
      </c>
      <c r="D362" s="10">
        <v>44395</v>
      </c>
      <c r="E362">
        <v>597538.85</v>
      </c>
      <c r="F362">
        <v>597538.85</v>
      </c>
      <c r="G362">
        <v>218227.75</v>
      </c>
      <c r="H362">
        <v>218227.75</v>
      </c>
      <c r="I362">
        <v>324501.44</v>
      </c>
      <c r="J362">
        <v>324501.44</v>
      </c>
      <c r="K362">
        <v>45725.120000000003</v>
      </c>
      <c r="L362">
        <v>9084.5400000000009</v>
      </c>
    </row>
    <row r="363" spans="1:12" x14ac:dyDescent="0.25">
      <c r="A363" t="s">
        <v>1215</v>
      </c>
      <c r="B363" t="s">
        <v>1216</v>
      </c>
      <c r="C363" t="s">
        <v>1217</v>
      </c>
      <c r="D363" s="10">
        <v>44397</v>
      </c>
      <c r="E363">
        <v>74574.850000000006</v>
      </c>
      <c r="F363">
        <v>74574.850000000006</v>
      </c>
      <c r="G363">
        <v>17715.04</v>
      </c>
      <c r="H363">
        <v>17715.04</v>
      </c>
      <c r="K363">
        <v>56859.81</v>
      </c>
    </row>
    <row r="364" spans="1:12" x14ac:dyDescent="0.25">
      <c r="A364" t="s">
        <v>1218</v>
      </c>
      <c r="B364" t="s">
        <v>1219</v>
      </c>
      <c r="C364" t="s">
        <v>1220</v>
      </c>
      <c r="D364" s="10">
        <v>44402</v>
      </c>
      <c r="E364">
        <v>68071.03</v>
      </c>
      <c r="F364">
        <v>68071.03</v>
      </c>
      <c r="K364">
        <v>68071.03</v>
      </c>
    </row>
    <row r="365" spans="1:12" x14ac:dyDescent="0.25">
      <c r="A365" t="s">
        <v>1221</v>
      </c>
      <c r="B365" t="s">
        <v>1222</v>
      </c>
      <c r="C365" t="s">
        <v>1223</v>
      </c>
      <c r="D365" s="10">
        <v>44405</v>
      </c>
      <c r="E365">
        <v>459545.48</v>
      </c>
      <c r="F365">
        <v>459545.48</v>
      </c>
      <c r="G365">
        <v>236141.18</v>
      </c>
      <c r="H365">
        <v>236141.18</v>
      </c>
      <c r="I365">
        <v>81478.73</v>
      </c>
      <c r="J365">
        <v>81478.73</v>
      </c>
      <c r="K365">
        <v>141925.57</v>
      </c>
    </row>
    <row r="366" spans="1:12" x14ac:dyDescent="0.25">
      <c r="A366" t="s">
        <v>1224</v>
      </c>
      <c r="B366" t="s">
        <v>1225</v>
      </c>
      <c r="C366" t="s">
        <v>1226</v>
      </c>
      <c r="D366" s="10">
        <v>44410</v>
      </c>
      <c r="E366">
        <v>634753.09</v>
      </c>
      <c r="F366">
        <v>634753.09</v>
      </c>
      <c r="G366">
        <v>350000</v>
      </c>
      <c r="H366">
        <v>350000</v>
      </c>
      <c r="I366">
        <v>75341.09</v>
      </c>
      <c r="J366">
        <v>75341.09</v>
      </c>
      <c r="K366">
        <v>209412</v>
      </c>
    </row>
    <row r="367" spans="1:12" x14ac:dyDescent="0.25">
      <c r="A367" t="s">
        <v>1227</v>
      </c>
      <c r="B367" t="s">
        <v>1228</v>
      </c>
      <c r="C367" t="s">
        <v>1229</v>
      </c>
      <c r="D367" s="10">
        <v>44411</v>
      </c>
      <c r="E367">
        <v>207241.61</v>
      </c>
      <c r="F367">
        <v>207241.61</v>
      </c>
      <c r="G367">
        <v>113636.4</v>
      </c>
      <c r="H367">
        <v>113636.4</v>
      </c>
      <c r="I367">
        <v>21637.62</v>
      </c>
      <c r="J367">
        <v>21637.62</v>
      </c>
      <c r="K367">
        <v>67929.56</v>
      </c>
      <c r="L367">
        <v>4038.03</v>
      </c>
    </row>
    <row r="368" spans="1:12" x14ac:dyDescent="0.25">
      <c r="A368" t="s">
        <v>1230</v>
      </c>
      <c r="B368" t="s">
        <v>1231</v>
      </c>
      <c r="C368" t="s">
        <v>1232</v>
      </c>
      <c r="D368" s="10">
        <v>44414</v>
      </c>
      <c r="E368">
        <v>1263158.33</v>
      </c>
      <c r="F368">
        <v>1263158.33</v>
      </c>
      <c r="G368">
        <v>687025.26</v>
      </c>
      <c r="H368">
        <v>687025.26</v>
      </c>
      <c r="I368">
        <v>166556.09</v>
      </c>
      <c r="J368">
        <v>166556.09</v>
      </c>
      <c r="K368">
        <v>409576.98</v>
      </c>
    </row>
    <row r="369" spans="1:12" x14ac:dyDescent="0.25">
      <c r="A369" t="s">
        <v>1233</v>
      </c>
      <c r="B369" t="s">
        <v>1234</v>
      </c>
      <c r="C369" t="s">
        <v>1235</v>
      </c>
      <c r="D369" s="10">
        <v>44415</v>
      </c>
      <c r="E369">
        <v>97908.24</v>
      </c>
      <c r="F369">
        <v>97908.24</v>
      </c>
      <c r="K369">
        <v>97908.24</v>
      </c>
    </row>
    <row r="370" spans="1:12" x14ac:dyDescent="0.25">
      <c r="A370" t="s">
        <v>1236</v>
      </c>
      <c r="B370" t="s">
        <v>1237</v>
      </c>
      <c r="C370" t="s">
        <v>1238</v>
      </c>
      <c r="D370" s="10">
        <v>44418</v>
      </c>
      <c r="E370">
        <v>129078.12</v>
      </c>
      <c r="F370">
        <v>129078.12</v>
      </c>
      <c r="G370">
        <v>79498.23</v>
      </c>
      <c r="H370">
        <v>79498.23</v>
      </c>
      <c r="K370">
        <v>39228.730000000003</v>
      </c>
      <c r="L370">
        <v>10351.16</v>
      </c>
    </row>
    <row r="371" spans="1:12" x14ac:dyDescent="0.25">
      <c r="A371" t="s">
        <v>1239</v>
      </c>
      <c r="B371" t="s">
        <v>1240</v>
      </c>
      <c r="C371" t="s">
        <v>1238</v>
      </c>
      <c r="D371" s="10">
        <v>44418</v>
      </c>
      <c r="E371">
        <v>478881.57</v>
      </c>
      <c r="F371">
        <v>478881.57</v>
      </c>
      <c r="G371">
        <v>230589.93</v>
      </c>
      <c r="H371">
        <v>230589.93</v>
      </c>
      <c r="I371">
        <v>111321.22</v>
      </c>
      <c r="J371">
        <v>111321.22</v>
      </c>
      <c r="K371">
        <v>136970.42000000001</v>
      </c>
    </row>
    <row r="372" spans="1:12" x14ac:dyDescent="0.25">
      <c r="A372" t="s">
        <v>1241</v>
      </c>
      <c r="B372" t="s">
        <v>1242</v>
      </c>
      <c r="C372" t="s">
        <v>1243</v>
      </c>
      <c r="D372" s="10">
        <v>44420</v>
      </c>
      <c r="E372">
        <v>716723.01</v>
      </c>
      <c r="F372">
        <v>716723.01</v>
      </c>
      <c r="G372">
        <v>472339.68</v>
      </c>
      <c r="H372">
        <v>472339.68</v>
      </c>
      <c r="I372">
        <v>40762.019999999997</v>
      </c>
      <c r="J372">
        <v>40762.019999999997</v>
      </c>
      <c r="K372">
        <v>188491.87</v>
      </c>
      <c r="L372">
        <v>15129.44</v>
      </c>
    </row>
    <row r="373" spans="1:12" x14ac:dyDescent="0.25">
      <c r="A373" t="s">
        <v>1244</v>
      </c>
      <c r="B373" t="s">
        <v>1245</v>
      </c>
      <c r="C373" t="s">
        <v>1246</v>
      </c>
      <c r="D373" s="10">
        <v>44421</v>
      </c>
      <c r="E373">
        <v>862448.82</v>
      </c>
      <c r="F373">
        <v>862448.82</v>
      </c>
      <c r="G373">
        <v>513677.81</v>
      </c>
      <c r="H373">
        <v>513677.81</v>
      </c>
      <c r="I373">
        <v>116840.21</v>
      </c>
      <c r="J373">
        <v>116840.21</v>
      </c>
      <c r="K373">
        <v>216134.36</v>
      </c>
      <c r="L373">
        <v>15796.44</v>
      </c>
    </row>
    <row r="374" spans="1:12" x14ac:dyDescent="0.25">
      <c r="A374" t="s">
        <v>1247</v>
      </c>
      <c r="B374" t="s">
        <v>1248</v>
      </c>
      <c r="C374" t="s">
        <v>1249</v>
      </c>
      <c r="D374" s="10">
        <v>44422</v>
      </c>
      <c r="E374">
        <v>505082.8</v>
      </c>
      <c r="F374">
        <v>505082.8</v>
      </c>
      <c r="G374">
        <v>286339.36</v>
      </c>
      <c r="H374">
        <v>286339.36</v>
      </c>
      <c r="I374">
        <v>91628.6</v>
      </c>
      <c r="J374">
        <v>91628.6</v>
      </c>
      <c r="K374">
        <v>113957.34</v>
      </c>
      <c r="L374">
        <v>13157.5</v>
      </c>
    </row>
    <row r="375" spans="1:12" x14ac:dyDescent="0.25">
      <c r="A375" t="s">
        <v>1250</v>
      </c>
      <c r="B375" t="s">
        <v>1251</v>
      </c>
      <c r="C375" t="s">
        <v>1249</v>
      </c>
      <c r="D375" s="10">
        <v>44422</v>
      </c>
      <c r="E375">
        <v>157197.47</v>
      </c>
      <c r="F375">
        <v>157197.47</v>
      </c>
      <c r="G375">
        <v>90892.45</v>
      </c>
      <c r="H375">
        <v>90892.45</v>
      </c>
      <c r="K375">
        <v>56295.58</v>
      </c>
      <c r="L375">
        <v>10009.44</v>
      </c>
    </row>
    <row r="376" spans="1:12" x14ac:dyDescent="0.25">
      <c r="A376" t="s">
        <v>1252</v>
      </c>
      <c r="B376" t="s">
        <v>1131</v>
      </c>
      <c r="C376" t="s">
        <v>1253</v>
      </c>
      <c r="D376" s="10">
        <v>44424</v>
      </c>
      <c r="E376">
        <v>165738.84</v>
      </c>
      <c r="F376">
        <v>165738.84</v>
      </c>
      <c r="G376">
        <v>85285.8</v>
      </c>
      <c r="H376">
        <v>85285.8</v>
      </c>
      <c r="I376">
        <v>29069.599999999999</v>
      </c>
      <c r="J376">
        <v>29069.599999999999</v>
      </c>
      <c r="K376">
        <v>50383.44</v>
      </c>
      <c r="L376">
        <v>1000</v>
      </c>
    </row>
    <row r="377" spans="1:12" x14ac:dyDescent="0.25">
      <c r="A377" t="s">
        <v>1254</v>
      </c>
      <c r="B377" t="s">
        <v>1255</v>
      </c>
      <c r="C377" t="s">
        <v>1256</v>
      </c>
      <c r="D377" s="10">
        <v>44427</v>
      </c>
      <c r="E377">
        <v>1813842.29</v>
      </c>
      <c r="F377">
        <v>1813842.29</v>
      </c>
      <c r="G377">
        <v>124655.15</v>
      </c>
      <c r="H377">
        <v>124655.15</v>
      </c>
      <c r="I377">
        <v>56382.22</v>
      </c>
      <c r="J377">
        <v>56382.22</v>
      </c>
      <c r="K377">
        <v>1632804.92</v>
      </c>
    </row>
    <row r="378" spans="1:12" x14ac:dyDescent="0.25">
      <c r="A378" t="s">
        <v>1257</v>
      </c>
      <c r="B378" t="s">
        <v>1258</v>
      </c>
      <c r="C378" t="s">
        <v>1256</v>
      </c>
      <c r="D378" s="10">
        <v>44427</v>
      </c>
      <c r="E378">
        <v>426773.91</v>
      </c>
      <c r="F378">
        <v>426773.91</v>
      </c>
      <c r="G378">
        <v>248141.8</v>
      </c>
      <c r="H378">
        <v>248141.8</v>
      </c>
      <c r="I378">
        <v>68052.03</v>
      </c>
      <c r="J378">
        <v>68052.03</v>
      </c>
      <c r="K378">
        <v>98085.49</v>
      </c>
      <c r="L378">
        <v>12494.59</v>
      </c>
    </row>
    <row r="379" spans="1:12" x14ac:dyDescent="0.25">
      <c r="A379" t="s">
        <v>1259</v>
      </c>
      <c r="B379" t="s">
        <v>1260</v>
      </c>
      <c r="C379" t="s">
        <v>1256</v>
      </c>
      <c r="D379" s="10">
        <v>44427</v>
      </c>
      <c r="E379">
        <v>193727.07</v>
      </c>
      <c r="F379">
        <v>193727.07</v>
      </c>
      <c r="G379">
        <v>100000</v>
      </c>
      <c r="H379">
        <v>100000</v>
      </c>
      <c r="I379">
        <v>34813.07</v>
      </c>
      <c r="J379">
        <v>34813.07</v>
      </c>
      <c r="K379">
        <v>58914</v>
      </c>
    </row>
    <row r="380" spans="1:12" x14ac:dyDescent="0.25">
      <c r="A380" t="s">
        <v>1261</v>
      </c>
      <c r="B380" t="s">
        <v>1262</v>
      </c>
      <c r="C380" t="s">
        <v>1263</v>
      </c>
      <c r="D380" s="10">
        <v>44428</v>
      </c>
      <c r="E380">
        <v>234814.09</v>
      </c>
      <c r="F380">
        <v>234814.09</v>
      </c>
      <c r="G380">
        <v>156148.01</v>
      </c>
      <c r="H380">
        <v>156148.01</v>
      </c>
      <c r="K380">
        <v>67696.710000000006</v>
      </c>
      <c r="L380">
        <v>10969.37</v>
      </c>
    </row>
    <row r="381" spans="1:12" x14ac:dyDescent="0.25">
      <c r="A381" t="s">
        <v>1264</v>
      </c>
      <c r="B381" t="s">
        <v>1265</v>
      </c>
      <c r="C381" t="s">
        <v>1263</v>
      </c>
      <c r="D381" s="10">
        <v>44428</v>
      </c>
      <c r="E381">
        <v>230321.57</v>
      </c>
      <c r="F381">
        <v>230321.57</v>
      </c>
      <c r="G381">
        <v>144017.03</v>
      </c>
      <c r="H381">
        <v>144017.03</v>
      </c>
      <c r="I381">
        <v>8392.0300000000007</v>
      </c>
      <c r="J381">
        <v>8392.0300000000007</v>
      </c>
      <c r="K381">
        <v>77912.509999999995</v>
      </c>
    </row>
    <row r="382" spans="1:12" x14ac:dyDescent="0.25">
      <c r="A382" t="s">
        <v>1266</v>
      </c>
      <c r="B382" t="s">
        <v>1131</v>
      </c>
      <c r="C382" t="s">
        <v>1267</v>
      </c>
      <c r="D382" s="10">
        <v>44429</v>
      </c>
      <c r="E382">
        <v>142717.54</v>
      </c>
      <c r="F382">
        <v>142717.54</v>
      </c>
      <c r="G382">
        <v>73405.399999999994</v>
      </c>
      <c r="H382">
        <v>73405.399999999994</v>
      </c>
      <c r="I382">
        <v>24145.360000000001</v>
      </c>
      <c r="J382">
        <v>24145.360000000001</v>
      </c>
      <c r="K382">
        <v>43166.78</v>
      </c>
      <c r="L382">
        <v>2000</v>
      </c>
    </row>
    <row r="383" spans="1:12" x14ac:dyDescent="0.25">
      <c r="A383" t="s">
        <v>1268</v>
      </c>
      <c r="B383" t="s">
        <v>1269</v>
      </c>
      <c r="C383" t="s">
        <v>1267</v>
      </c>
      <c r="D383" s="10">
        <v>44429</v>
      </c>
      <c r="E383">
        <v>142002.75</v>
      </c>
      <c r="F383">
        <v>142002.75</v>
      </c>
      <c r="G383">
        <v>85725.07</v>
      </c>
      <c r="H383">
        <v>85725.07</v>
      </c>
      <c r="K383">
        <v>56277.68</v>
      </c>
    </row>
    <row r="384" spans="1:12" x14ac:dyDescent="0.25">
      <c r="A384" t="s">
        <v>1270</v>
      </c>
      <c r="B384" t="s">
        <v>1271</v>
      </c>
      <c r="C384" t="s">
        <v>1272</v>
      </c>
      <c r="D384" s="10">
        <v>44431</v>
      </c>
      <c r="E384">
        <v>299579.05</v>
      </c>
      <c r="F384">
        <v>299579.05</v>
      </c>
      <c r="G384">
        <v>166750.64000000001</v>
      </c>
      <c r="H384">
        <v>166750.64000000001</v>
      </c>
      <c r="I384">
        <v>34949.120000000003</v>
      </c>
      <c r="J384">
        <v>34949.120000000003</v>
      </c>
      <c r="K384">
        <v>97879.29</v>
      </c>
    </row>
    <row r="385" spans="1:12" x14ac:dyDescent="0.25">
      <c r="A385" t="s">
        <v>1273</v>
      </c>
      <c r="B385" t="s">
        <v>1274</v>
      </c>
      <c r="C385" t="s">
        <v>1275</v>
      </c>
      <c r="D385" s="10">
        <v>44433</v>
      </c>
      <c r="E385">
        <v>526484.81999999995</v>
      </c>
      <c r="F385">
        <v>526484.81999999995</v>
      </c>
      <c r="G385">
        <v>283787.75</v>
      </c>
      <c r="H385">
        <v>283787.75</v>
      </c>
      <c r="I385">
        <v>82104.08</v>
      </c>
      <c r="J385">
        <v>82104.08</v>
      </c>
      <c r="K385">
        <v>160592.99</v>
      </c>
    </row>
    <row r="386" spans="1:12" x14ac:dyDescent="0.25">
      <c r="A386" t="s">
        <v>1276</v>
      </c>
      <c r="B386" t="s">
        <v>1277</v>
      </c>
      <c r="C386" t="s">
        <v>1278</v>
      </c>
      <c r="D386" s="10">
        <v>44434</v>
      </c>
      <c r="E386">
        <v>589421.25</v>
      </c>
      <c r="F386">
        <v>589421.25</v>
      </c>
      <c r="G386">
        <v>411284.2</v>
      </c>
      <c r="H386">
        <v>411284.2</v>
      </c>
      <c r="K386">
        <v>163353.31</v>
      </c>
      <c r="L386">
        <v>14783.74</v>
      </c>
    </row>
    <row r="387" spans="1:12" x14ac:dyDescent="0.25">
      <c r="A387" t="s">
        <v>1279</v>
      </c>
      <c r="B387" t="s">
        <v>1280</v>
      </c>
      <c r="C387" t="s">
        <v>1281</v>
      </c>
      <c r="D387" s="10">
        <v>44435</v>
      </c>
      <c r="E387">
        <v>1030678.01</v>
      </c>
      <c r="F387">
        <v>1030678.01</v>
      </c>
      <c r="G387">
        <v>568181.80000000005</v>
      </c>
      <c r="H387">
        <v>568181.80000000005</v>
      </c>
      <c r="I387">
        <v>130212.13</v>
      </c>
      <c r="J387">
        <v>130212.13</v>
      </c>
      <c r="K387">
        <v>332284.08</v>
      </c>
    </row>
    <row r="388" spans="1:12" x14ac:dyDescent="0.25">
      <c r="A388" t="s">
        <v>1282</v>
      </c>
      <c r="B388" t="s">
        <v>1283</v>
      </c>
      <c r="C388" t="s">
        <v>1284</v>
      </c>
      <c r="D388" s="10">
        <v>44436</v>
      </c>
      <c r="E388">
        <v>305981.58</v>
      </c>
      <c r="F388">
        <v>305981.58</v>
      </c>
      <c r="G388">
        <v>166750.64000000001</v>
      </c>
      <c r="H388">
        <v>166750.64000000001</v>
      </c>
      <c r="I388">
        <v>41801.879999999997</v>
      </c>
      <c r="J388">
        <v>41801.879999999997</v>
      </c>
      <c r="K388">
        <v>97429.06</v>
      </c>
    </row>
    <row r="389" spans="1:12" x14ac:dyDescent="0.25">
      <c r="A389" t="s">
        <v>1285</v>
      </c>
      <c r="B389" t="s">
        <v>1286</v>
      </c>
      <c r="C389" t="s">
        <v>1287</v>
      </c>
      <c r="D389" s="10">
        <v>44439</v>
      </c>
      <c r="E389">
        <v>179591.77</v>
      </c>
      <c r="F389">
        <v>179591.77</v>
      </c>
      <c r="K389">
        <v>179591.77</v>
      </c>
    </row>
    <row r="390" spans="1:12" x14ac:dyDescent="0.25">
      <c r="A390" t="s">
        <v>1288</v>
      </c>
      <c r="B390" t="s">
        <v>1289</v>
      </c>
      <c r="C390" t="s">
        <v>1290</v>
      </c>
      <c r="D390" s="10">
        <v>44440</v>
      </c>
      <c r="E390">
        <v>29357.919999999998</v>
      </c>
      <c r="F390">
        <v>29357.919999999998</v>
      </c>
      <c r="K390">
        <v>29357.919999999998</v>
      </c>
    </row>
    <row r="391" spans="1:12" x14ac:dyDescent="0.25">
      <c r="A391" t="s">
        <v>1291</v>
      </c>
      <c r="B391" t="s">
        <v>1292</v>
      </c>
      <c r="C391" t="s">
        <v>1293</v>
      </c>
      <c r="D391" s="10">
        <v>44442</v>
      </c>
      <c r="E391">
        <v>1354625.45</v>
      </c>
      <c r="F391">
        <v>1354625.45</v>
      </c>
      <c r="G391">
        <v>795454.5</v>
      </c>
      <c r="H391">
        <v>795454.5</v>
      </c>
      <c r="I391">
        <v>96980.07</v>
      </c>
      <c r="J391">
        <v>96980.07</v>
      </c>
      <c r="K391">
        <v>462190.88</v>
      </c>
    </row>
    <row r="392" spans="1:12" x14ac:dyDescent="0.25">
      <c r="A392" t="s">
        <v>1294</v>
      </c>
      <c r="B392" t="s">
        <v>1131</v>
      </c>
      <c r="C392" t="s">
        <v>1295</v>
      </c>
      <c r="D392" s="10">
        <v>44443</v>
      </c>
      <c r="E392">
        <v>169860</v>
      </c>
      <c r="F392">
        <v>169860</v>
      </c>
      <c r="G392">
        <v>90159.83</v>
      </c>
      <c r="H392">
        <v>90159.83</v>
      </c>
      <c r="I392">
        <v>26362.39</v>
      </c>
      <c r="J392">
        <v>26362.39</v>
      </c>
      <c r="K392">
        <v>52337.78</v>
      </c>
      <c r="L392">
        <v>1000</v>
      </c>
    </row>
    <row r="393" spans="1:12" x14ac:dyDescent="0.25">
      <c r="A393" t="s">
        <v>1296</v>
      </c>
      <c r="B393" t="s">
        <v>1131</v>
      </c>
      <c r="C393" t="s">
        <v>1297</v>
      </c>
      <c r="D393" s="10">
        <v>44445</v>
      </c>
      <c r="E393">
        <v>165688.32000000001</v>
      </c>
      <c r="F393">
        <v>165688.32000000001</v>
      </c>
      <c r="G393">
        <v>87667.83</v>
      </c>
      <c r="H393">
        <v>87667.83</v>
      </c>
      <c r="I393">
        <v>25224</v>
      </c>
      <c r="J393">
        <v>25224</v>
      </c>
      <c r="K393">
        <v>50796.49</v>
      </c>
      <c r="L393">
        <v>2000</v>
      </c>
    </row>
    <row r="394" spans="1:12" x14ac:dyDescent="0.25">
      <c r="A394" t="s">
        <v>1298</v>
      </c>
      <c r="B394" t="s">
        <v>1299</v>
      </c>
      <c r="C394" t="s">
        <v>1300</v>
      </c>
      <c r="D394" s="10">
        <v>44448</v>
      </c>
      <c r="E394">
        <v>287721.87</v>
      </c>
      <c r="F394">
        <v>287721.87</v>
      </c>
      <c r="G394">
        <v>159795.87</v>
      </c>
      <c r="H394">
        <v>159795.87</v>
      </c>
      <c r="I394">
        <v>55089.43</v>
      </c>
      <c r="J394">
        <v>55089.43</v>
      </c>
      <c r="K394">
        <v>61352.03</v>
      </c>
      <c r="L394">
        <v>11484.54</v>
      </c>
    </row>
    <row r="395" spans="1:12" x14ac:dyDescent="0.25">
      <c r="A395" t="s">
        <v>1301</v>
      </c>
      <c r="B395" t="s">
        <v>1302</v>
      </c>
      <c r="C395" t="s">
        <v>1303</v>
      </c>
      <c r="D395" s="10">
        <v>44449</v>
      </c>
      <c r="E395">
        <v>206150.92</v>
      </c>
      <c r="F395">
        <v>206150.92</v>
      </c>
      <c r="G395">
        <v>157126.31</v>
      </c>
      <c r="H395">
        <v>157126.31</v>
      </c>
      <c r="I395">
        <v>24149.73</v>
      </c>
      <c r="J395">
        <v>24149.73</v>
      </c>
      <c r="K395">
        <v>24874.880000000001</v>
      </c>
    </row>
    <row r="396" spans="1:12" x14ac:dyDescent="0.25">
      <c r="A396" t="s">
        <v>1304</v>
      </c>
      <c r="B396" t="s">
        <v>1305</v>
      </c>
      <c r="C396" t="s">
        <v>1306</v>
      </c>
      <c r="D396" s="10">
        <v>44450</v>
      </c>
      <c r="E396">
        <v>127486.7</v>
      </c>
      <c r="F396">
        <v>127486.7</v>
      </c>
      <c r="G396">
        <v>78817.759999999995</v>
      </c>
      <c r="H396">
        <v>78817.759999999995</v>
      </c>
      <c r="K396">
        <v>48668.94</v>
      </c>
    </row>
    <row r="397" spans="1:12" x14ac:dyDescent="0.25">
      <c r="A397" t="s">
        <v>1307</v>
      </c>
      <c r="B397" t="s">
        <v>1308</v>
      </c>
      <c r="C397" t="s">
        <v>1309</v>
      </c>
      <c r="D397" s="10">
        <v>44452</v>
      </c>
      <c r="E397">
        <v>407016.29</v>
      </c>
      <c r="F397">
        <v>407016.29</v>
      </c>
      <c r="G397">
        <v>149631.57</v>
      </c>
      <c r="H397">
        <v>149631.57</v>
      </c>
      <c r="I397">
        <v>171250.8</v>
      </c>
      <c r="J397">
        <v>171250.8</v>
      </c>
      <c r="K397">
        <v>86133.92</v>
      </c>
    </row>
    <row r="398" spans="1:12" x14ac:dyDescent="0.25">
      <c r="A398" t="s">
        <v>1310</v>
      </c>
      <c r="B398" t="s">
        <v>1311</v>
      </c>
      <c r="C398" t="s">
        <v>1312</v>
      </c>
      <c r="D398" s="10">
        <v>44454</v>
      </c>
      <c r="E398">
        <v>6239.69</v>
      </c>
      <c r="F398">
        <v>6239.69</v>
      </c>
      <c r="K398">
        <v>6239.69</v>
      </c>
    </row>
    <row r="399" spans="1:12" x14ac:dyDescent="0.25">
      <c r="A399" t="s">
        <v>1313</v>
      </c>
      <c r="B399" t="s">
        <v>1314</v>
      </c>
      <c r="C399" t="s">
        <v>1315</v>
      </c>
      <c r="D399" s="10">
        <v>44455</v>
      </c>
      <c r="E399">
        <v>109088.57</v>
      </c>
      <c r="F399">
        <v>109088.57</v>
      </c>
      <c r="G399">
        <v>52139.58</v>
      </c>
      <c r="H399">
        <v>52139.58</v>
      </c>
      <c r="K399">
        <v>46554.91</v>
      </c>
      <c r="L399">
        <v>10394.08</v>
      </c>
    </row>
    <row r="400" spans="1:12" x14ac:dyDescent="0.25">
      <c r="A400" t="s">
        <v>1316</v>
      </c>
      <c r="B400" t="s">
        <v>1317</v>
      </c>
      <c r="C400" t="s">
        <v>1315</v>
      </c>
      <c r="D400" s="10">
        <v>44455</v>
      </c>
      <c r="E400">
        <v>368048.81</v>
      </c>
      <c r="F400">
        <v>368048.81</v>
      </c>
      <c r="G400">
        <v>188912.94</v>
      </c>
      <c r="H400">
        <v>188912.94</v>
      </c>
      <c r="I400">
        <v>70696.070000000007</v>
      </c>
      <c r="J400">
        <v>70696.070000000007</v>
      </c>
      <c r="K400">
        <v>108439.8</v>
      </c>
    </row>
    <row r="401" spans="1:12" x14ac:dyDescent="0.25">
      <c r="A401" t="s">
        <v>1318</v>
      </c>
      <c r="B401" t="s">
        <v>1319</v>
      </c>
      <c r="C401" t="s">
        <v>1320</v>
      </c>
      <c r="D401" s="10">
        <v>44457</v>
      </c>
      <c r="E401">
        <v>171603.93</v>
      </c>
      <c r="F401">
        <v>171603.93</v>
      </c>
      <c r="G401">
        <v>88294.39</v>
      </c>
      <c r="H401">
        <v>88294.39</v>
      </c>
      <c r="I401">
        <v>32722.15</v>
      </c>
      <c r="J401">
        <v>32722.15</v>
      </c>
      <c r="K401">
        <v>50587.39</v>
      </c>
    </row>
    <row r="402" spans="1:12" x14ac:dyDescent="0.25">
      <c r="A402" t="s">
        <v>1321</v>
      </c>
      <c r="B402" t="s">
        <v>1322</v>
      </c>
      <c r="C402" t="s">
        <v>1323</v>
      </c>
      <c r="D402" s="10">
        <v>44460</v>
      </c>
      <c r="E402">
        <v>242524.23</v>
      </c>
      <c r="F402">
        <v>242524.23</v>
      </c>
      <c r="G402">
        <v>174287.07</v>
      </c>
      <c r="H402">
        <v>174287.07</v>
      </c>
      <c r="I402">
        <v>44268.33</v>
      </c>
      <c r="J402">
        <v>44268.33</v>
      </c>
      <c r="K402">
        <v>23968.83</v>
      </c>
    </row>
    <row r="403" spans="1:12" x14ac:dyDescent="0.25">
      <c r="A403" t="s">
        <v>1324</v>
      </c>
      <c r="B403" t="s">
        <v>1325</v>
      </c>
      <c r="C403" t="s">
        <v>1326</v>
      </c>
      <c r="D403" s="10">
        <v>44461</v>
      </c>
      <c r="E403">
        <v>1334762.3799999999</v>
      </c>
      <c r="F403">
        <v>1334762.3799999999</v>
      </c>
      <c r="G403">
        <v>849321.77</v>
      </c>
      <c r="H403">
        <v>849321.77</v>
      </c>
      <c r="I403">
        <v>2458.21</v>
      </c>
      <c r="J403">
        <v>2458.21</v>
      </c>
      <c r="K403">
        <v>482982.40000000002</v>
      </c>
    </row>
    <row r="404" spans="1:12" x14ac:dyDescent="0.25">
      <c r="A404" t="s">
        <v>1327</v>
      </c>
      <c r="B404" t="s">
        <v>1328</v>
      </c>
      <c r="C404" t="s">
        <v>1329</v>
      </c>
      <c r="D404" s="10">
        <v>44462</v>
      </c>
      <c r="E404">
        <v>275680.67</v>
      </c>
      <c r="F404">
        <v>275680.67</v>
      </c>
      <c r="G404">
        <v>168483.97</v>
      </c>
      <c r="H404">
        <v>168483.97</v>
      </c>
      <c r="I404">
        <v>11120.4</v>
      </c>
      <c r="J404">
        <v>11120.4</v>
      </c>
      <c r="K404">
        <v>96076.3</v>
      </c>
    </row>
    <row r="405" spans="1:12" x14ac:dyDescent="0.25">
      <c r="A405" t="s">
        <v>1330</v>
      </c>
      <c r="B405" t="s">
        <v>1302</v>
      </c>
      <c r="C405" t="s">
        <v>1331</v>
      </c>
      <c r="D405" s="10">
        <v>44466</v>
      </c>
      <c r="E405">
        <v>20176.63</v>
      </c>
      <c r="F405">
        <v>20176.63</v>
      </c>
      <c r="G405">
        <v>16376.92</v>
      </c>
      <c r="H405">
        <v>16376.92</v>
      </c>
      <c r="K405">
        <v>3799.71</v>
      </c>
    </row>
    <row r="406" spans="1:12" x14ac:dyDescent="0.25">
      <c r="A406" t="s">
        <v>1332</v>
      </c>
      <c r="B406" t="s">
        <v>1333</v>
      </c>
      <c r="C406" t="s">
        <v>1334</v>
      </c>
      <c r="D406" s="10">
        <v>44467</v>
      </c>
      <c r="E406">
        <v>73738.259999999995</v>
      </c>
      <c r="F406">
        <v>73738.259999999995</v>
      </c>
      <c r="K406">
        <v>73738.259999999995</v>
      </c>
    </row>
    <row r="407" spans="1:12" x14ac:dyDescent="0.25">
      <c r="A407" t="s">
        <v>1335</v>
      </c>
      <c r="B407" t="s">
        <v>1336</v>
      </c>
      <c r="C407" t="s">
        <v>1334</v>
      </c>
      <c r="D407" s="10">
        <v>44467</v>
      </c>
      <c r="E407">
        <v>443527.77</v>
      </c>
      <c r="F407">
        <v>443527.77</v>
      </c>
      <c r="G407">
        <v>217155.4</v>
      </c>
      <c r="H407">
        <v>217155.4</v>
      </c>
      <c r="I407">
        <v>103127.99</v>
      </c>
      <c r="J407">
        <v>103127.99</v>
      </c>
      <c r="K407">
        <v>123244.38</v>
      </c>
    </row>
    <row r="408" spans="1:12" x14ac:dyDescent="0.25">
      <c r="A408" t="s">
        <v>1337</v>
      </c>
      <c r="B408" t="s">
        <v>1338</v>
      </c>
      <c r="C408" t="s">
        <v>1339</v>
      </c>
      <c r="D408" s="10">
        <v>44469</v>
      </c>
      <c r="E408">
        <v>505726.89</v>
      </c>
      <c r="F408">
        <v>505726.89</v>
      </c>
      <c r="G408">
        <v>284090.90000000002</v>
      </c>
      <c r="H408">
        <v>284090.90000000002</v>
      </c>
      <c r="I408">
        <v>60709.86</v>
      </c>
      <c r="J408">
        <v>60709.86</v>
      </c>
      <c r="K408">
        <v>160926.13</v>
      </c>
    </row>
    <row r="409" spans="1:12" x14ac:dyDescent="0.25">
      <c r="A409" t="s">
        <v>1340</v>
      </c>
      <c r="B409" t="s">
        <v>1341</v>
      </c>
      <c r="C409" t="s">
        <v>1342</v>
      </c>
      <c r="D409" s="10">
        <v>44473</v>
      </c>
      <c r="E409">
        <v>148655.57999999999</v>
      </c>
      <c r="F409">
        <v>148655.57999999999</v>
      </c>
      <c r="G409">
        <v>81433.66</v>
      </c>
      <c r="H409">
        <v>81433.66</v>
      </c>
      <c r="I409">
        <v>27568.29</v>
      </c>
      <c r="J409">
        <v>27568.29</v>
      </c>
      <c r="K409">
        <v>30166.29</v>
      </c>
      <c r="L409">
        <v>9487.34</v>
      </c>
    </row>
    <row r="410" spans="1:12" x14ac:dyDescent="0.25">
      <c r="A410" t="s">
        <v>1343</v>
      </c>
      <c r="B410" t="s">
        <v>1344</v>
      </c>
      <c r="C410" t="s">
        <v>1345</v>
      </c>
      <c r="D410" s="10">
        <v>44479</v>
      </c>
      <c r="E410">
        <v>833357.24</v>
      </c>
      <c r="F410">
        <v>1810923.01</v>
      </c>
      <c r="G410">
        <v>1000000</v>
      </c>
      <c r="H410">
        <v>22434.23</v>
      </c>
      <c r="I410">
        <v>249863.01</v>
      </c>
      <c r="J410">
        <v>249863.01</v>
      </c>
      <c r="K410">
        <v>561060</v>
      </c>
    </row>
    <row r="411" spans="1:12" x14ac:dyDescent="0.25">
      <c r="A411" t="s">
        <v>1346</v>
      </c>
      <c r="B411" t="s">
        <v>1347</v>
      </c>
      <c r="C411" t="s">
        <v>1345</v>
      </c>
      <c r="D411" s="10">
        <v>44479</v>
      </c>
      <c r="E411">
        <v>187598.91</v>
      </c>
      <c r="F411">
        <v>187598.91</v>
      </c>
      <c r="G411">
        <v>100000</v>
      </c>
      <c r="H411">
        <v>100000</v>
      </c>
      <c r="I411">
        <v>27901.37</v>
      </c>
      <c r="J411">
        <v>27901.37</v>
      </c>
      <c r="K411">
        <v>59697.54</v>
      </c>
    </row>
    <row r="412" spans="1:12" x14ac:dyDescent="0.25">
      <c r="A412" t="s">
        <v>1348</v>
      </c>
      <c r="B412" t="s">
        <v>1349</v>
      </c>
      <c r="C412" t="s">
        <v>1350</v>
      </c>
      <c r="D412" s="10">
        <v>44481</v>
      </c>
      <c r="E412">
        <v>128832.27</v>
      </c>
      <c r="F412">
        <v>128832.27</v>
      </c>
      <c r="G412">
        <v>99738.09</v>
      </c>
      <c r="H412">
        <v>99738.09</v>
      </c>
      <c r="K412">
        <v>16517.919999999998</v>
      </c>
      <c r="L412">
        <v>12576.26</v>
      </c>
    </row>
    <row r="413" spans="1:12" x14ac:dyDescent="0.25">
      <c r="A413" t="s">
        <v>1351</v>
      </c>
      <c r="B413" t="s">
        <v>1352</v>
      </c>
      <c r="C413" t="s">
        <v>1353</v>
      </c>
      <c r="D413" s="10">
        <v>44485</v>
      </c>
      <c r="E413">
        <v>350822.11</v>
      </c>
      <c r="F413">
        <v>350822.11</v>
      </c>
      <c r="G413">
        <v>187978.77</v>
      </c>
      <c r="H413">
        <v>187978.77</v>
      </c>
      <c r="I413">
        <v>57985.02</v>
      </c>
      <c r="J413">
        <v>57985.02</v>
      </c>
      <c r="K413">
        <v>104858.32</v>
      </c>
    </row>
    <row r="414" spans="1:12" x14ac:dyDescent="0.25">
      <c r="A414" t="s">
        <v>1354</v>
      </c>
      <c r="B414" t="s">
        <v>1355</v>
      </c>
      <c r="C414" t="s">
        <v>1356</v>
      </c>
      <c r="D414" s="10">
        <v>44486</v>
      </c>
      <c r="E414">
        <v>42345.04</v>
      </c>
      <c r="F414">
        <v>42345.04</v>
      </c>
      <c r="G414">
        <v>17119.16</v>
      </c>
      <c r="H414">
        <v>17119.16</v>
      </c>
      <c r="K414">
        <v>25225.88</v>
      </c>
    </row>
    <row r="415" spans="1:12" x14ac:dyDescent="0.25">
      <c r="A415" t="s">
        <v>1357</v>
      </c>
      <c r="B415" t="s">
        <v>1358</v>
      </c>
      <c r="C415" t="s">
        <v>1356</v>
      </c>
      <c r="D415" s="10">
        <v>44486</v>
      </c>
      <c r="E415">
        <v>153256.16</v>
      </c>
      <c r="F415">
        <v>153256.16</v>
      </c>
      <c r="G415">
        <v>80315.05</v>
      </c>
      <c r="H415">
        <v>80315.05</v>
      </c>
      <c r="K415">
        <v>72941.11</v>
      </c>
    </row>
    <row r="416" spans="1:12" x14ac:dyDescent="0.25">
      <c r="A416" t="s">
        <v>1359</v>
      </c>
      <c r="B416" t="s">
        <v>1360</v>
      </c>
      <c r="C416" t="s">
        <v>1361</v>
      </c>
      <c r="D416" s="10">
        <v>44488</v>
      </c>
      <c r="E416">
        <v>13544186.52</v>
      </c>
      <c r="F416">
        <v>13544186.52</v>
      </c>
      <c r="G416">
        <v>1547256.3</v>
      </c>
      <c r="H416">
        <v>1547256.3</v>
      </c>
      <c r="I416">
        <v>1326060.97</v>
      </c>
      <c r="J416">
        <v>1326060.97</v>
      </c>
      <c r="K416">
        <v>10670869.25</v>
      </c>
    </row>
    <row r="417" spans="1:12" x14ac:dyDescent="0.25">
      <c r="A417" t="s">
        <v>1362</v>
      </c>
      <c r="B417" t="s">
        <v>1363</v>
      </c>
      <c r="C417" t="s">
        <v>1361</v>
      </c>
      <c r="D417" s="10">
        <v>44488</v>
      </c>
      <c r="E417">
        <v>290912.11</v>
      </c>
      <c r="F417">
        <v>629566.55000000005</v>
      </c>
      <c r="G417">
        <v>346911.57</v>
      </c>
      <c r="H417">
        <v>8257.1299999999992</v>
      </c>
      <c r="I417">
        <v>89702.77</v>
      </c>
      <c r="J417">
        <v>89702.77</v>
      </c>
      <c r="K417">
        <v>192952.21</v>
      </c>
    </row>
    <row r="418" spans="1:12" x14ac:dyDescent="0.25">
      <c r="A418" t="s">
        <v>1364</v>
      </c>
      <c r="B418" t="s">
        <v>1365</v>
      </c>
      <c r="C418" t="s">
        <v>1361</v>
      </c>
      <c r="D418" s="10">
        <v>44488</v>
      </c>
      <c r="E418">
        <v>19358.32</v>
      </c>
      <c r="F418">
        <v>19358.32</v>
      </c>
      <c r="G418">
        <v>8054.83</v>
      </c>
      <c r="H418">
        <v>8054.83</v>
      </c>
      <c r="I418">
        <v>1325.41</v>
      </c>
      <c r="J418">
        <v>1325.41</v>
      </c>
      <c r="K418">
        <v>4641.93</v>
      </c>
      <c r="L418">
        <v>5336.15</v>
      </c>
    </row>
    <row r="419" spans="1:12" x14ac:dyDescent="0.25">
      <c r="A419" t="s">
        <v>1366</v>
      </c>
      <c r="B419" t="s">
        <v>1367</v>
      </c>
      <c r="C419" t="s">
        <v>1361</v>
      </c>
      <c r="D419" s="10">
        <v>44488</v>
      </c>
      <c r="E419">
        <v>171937.37</v>
      </c>
      <c r="F419">
        <v>171937.37</v>
      </c>
      <c r="G419">
        <v>92553.21</v>
      </c>
      <c r="H419">
        <v>92553.21</v>
      </c>
      <c r="I419">
        <v>31961.1</v>
      </c>
      <c r="J419">
        <v>31961.1</v>
      </c>
      <c r="K419">
        <v>37590.83</v>
      </c>
      <c r="L419">
        <v>9832.23</v>
      </c>
    </row>
    <row r="420" spans="1:12" x14ac:dyDescent="0.25">
      <c r="A420" t="s">
        <v>1368</v>
      </c>
      <c r="B420" t="s">
        <v>1289</v>
      </c>
      <c r="C420" t="s">
        <v>1369</v>
      </c>
      <c r="D420" s="10">
        <v>44489</v>
      </c>
      <c r="E420">
        <v>36741.15</v>
      </c>
      <c r="F420">
        <v>36741.15</v>
      </c>
      <c r="K420">
        <v>36741.15</v>
      </c>
    </row>
    <row r="421" spans="1:12" x14ac:dyDescent="0.25">
      <c r="A421" t="s">
        <v>1370</v>
      </c>
      <c r="B421" t="s">
        <v>1289</v>
      </c>
      <c r="C421" t="s">
        <v>1371</v>
      </c>
      <c r="D421" s="10">
        <v>44498</v>
      </c>
      <c r="E421">
        <v>27323.59</v>
      </c>
      <c r="F421">
        <v>27323.59</v>
      </c>
      <c r="K421">
        <v>27323.59</v>
      </c>
    </row>
    <row r="422" spans="1:12" x14ac:dyDescent="0.25">
      <c r="A422" t="s">
        <v>1372</v>
      </c>
      <c r="B422" t="s">
        <v>1373</v>
      </c>
      <c r="C422" t="s">
        <v>1374</v>
      </c>
      <c r="D422" s="10">
        <v>44499</v>
      </c>
      <c r="E422">
        <v>322422.82</v>
      </c>
      <c r="F422">
        <v>322422.82</v>
      </c>
      <c r="G422">
        <v>198304.02</v>
      </c>
      <c r="H422">
        <v>198304.02</v>
      </c>
      <c r="K422">
        <v>110989.8</v>
      </c>
      <c r="L422">
        <v>13129</v>
      </c>
    </row>
    <row r="423" spans="1:12" x14ac:dyDescent="0.25">
      <c r="A423" t="s">
        <v>1375</v>
      </c>
      <c r="B423" t="s">
        <v>1376</v>
      </c>
      <c r="C423" t="s">
        <v>1377</v>
      </c>
      <c r="D423" s="10">
        <v>44500</v>
      </c>
      <c r="E423">
        <v>1000507.45</v>
      </c>
      <c r="F423">
        <v>1000507.45</v>
      </c>
      <c r="G423">
        <v>560402.75</v>
      </c>
      <c r="H423">
        <v>560402.75</v>
      </c>
      <c r="I423">
        <v>132040.1</v>
      </c>
      <c r="J423">
        <v>132040.1</v>
      </c>
      <c r="K423">
        <v>308064.59999999998</v>
      </c>
    </row>
    <row r="424" spans="1:12" x14ac:dyDescent="0.25">
      <c r="A424" t="s">
        <v>1378</v>
      </c>
      <c r="B424" t="s">
        <v>1379</v>
      </c>
      <c r="C424" t="s">
        <v>1380</v>
      </c>
      <c r="D424" s="10">
        <v>44506</v>
      </c>
      <c r="E424">
        <v>1618855.46</v>
      </c>
      <c r="F424">
        <v>1618855.46</v>
      </c>
      <c r="G424">
        <v>930000</v>
      </c>
      <c r="H424">
        <v>930000</v>
      </c>
      <c r="I424">
        <v>127684.94</v>
      </c>
      <c r="J424">
        <v>127684.94</v>
      </c>
      <c r="K424">
        <v>561170.52</v>
      </c>
    </row>
    <row r="425" spans="1:12" x14ac:dyDescent="0.25">
      <c r="A425" t="s">
        <v>1381</v>
      </c>
      <c r="B425" t="s">
        <v>1382</v>
      </c>
      <c r="C425" t="s">
        <v>1380</v>
      </c>
      <c r="D425" s="10">
        <v>44506</v>
      </c>
      <c r="E425">
        <v>395761.74</v>
      </c>
      <c r="F425">
        <v>395761.74</v>
      </c>
      <c r="G425">
        <v>225226.85</v>
      </c>
      <c r="H425">
        <v>225226.85</v>
      </c>
      <c r="K425">
        <v>170534.89</v>
      </c>
    </row>
    <row r="426" spans="1:12" x14ac:dyDescent="0.25">
      <c r="A426" t="s">
        <v>1383</v>
      </c>
      <c r="B426" t="s">
        <v>1365</v>
      </c>
      <c r="C426" t="s">
        <v>1384</v>
      </c>
      <c r="D426" s="10">
        <v>44508</v>
      </c>
      <c r="E426">
        <v>22961.56</v>
      </c>
      <c r="F426">
        <v>22961.56</v>
      </c>
      <c r="G426">
        <v>11701.75</v>
      </c>
      <c r="H426">
        <v>11701.75</v>
      </c>
      <c r="I426">
        <v>2877.67</v>
      </c>
      <c r="J426">
        <v>2877.67</v>
      </c>
      <c r="K426">
        <v>6382.14</v>
      </c>
      <c r="L426">
        <v>2000</v>
      </c>
    </row>
    <row r="427" spans="1:12" x14ac:dyDescent="0.25">
      <c r="A427" t="s">
        <v>1385</v>
      </c>
      <c r="B427" t="s">
        <v>1365</v>
      </c>
      <c r="C427" t="s">
        <v>1386</v>
      </c>
      <c r="D427" s="10">
        <v>44509</v>
      </c>
      <c r="E427">
        <v>40283.339999999997</v>
      </c>
      <c r="F427">
        <v>40283.339999999997</v>
      </c>
      <c r="G427">
        <v>22517.63</v>
      </c>
      <c r="H427">
        <v>22517.63</v>
      </c>
      <c r="I427">
        <v>5496.76</v>
      </c>
      <c r="J427">
        <v>5496.76</v>
      </c>
      <c r="K427">
        <v>12268.95</v>
      </c>
    </row>
    <row r="428" spans="1:12" x14ac:dyDescent="0.25">
      <c r="A428" t="s">
        <v>1387</v>
      </c>
      <c r="B428" t="s">
        <v>1365</v>
      </c>
      <c r="C428" t="s">
        <v>1388</v>
      </c>
      <c r="D428" s="10">
        <v>44510</v>
      </c>
      <c r="E428">
        <v>100973.67</v>
      </c>
      <c r="F428">
        <v>100973.67</v>
      </c>
      <c r="G428">
        <v>57780.17</v>
      </c>
      <c r="H428">
        <v>57780.17</v>
      </c>
      <c r="I428">
        <v>11242.6</v>
      </c>
      <c r="J428">
        <v>11242.6</v>
      </c>
      <c r="K428">
        <v>31450.9</v>
      </c>
      <c r="L428">
        <v>500</v>
      </c>
    </row>
    <row r="429" spans="1:12" x14ac:dyDescent="0.25">
      <c r="A429" t="s">
        <v>1389</v>
      </c>
      <c r="B429" t="s">
        <v>1302</v>
      </c>
      <c r="C429" t="s">
        <v>1390</v>
      </c>
      <c r="D429" s="10">
        <v>44511</v>
      </c>
      <c r="E429">
        <v>21148.25</v>
      </c>
      <c r="F429">
        <v>21148.25</v>
      </c>
      <c r="G429">
        <v>17598.169999999998</v>
      </c>
      <c r="H429">
        <v>17598.169999999998</v>
      </c>
      <c r="K429">
        <v>3550.08</v>
      </c>
    </row>
    <row r="430" spans="1:12" x14ac:dyDescent="0.25">
      <c r="A430" t="s">
        <v>1391</v>
      </c>
      <c r="B430" t="s">
        <v>1392</v>
      </c>
      <c r="C430" t="s">
        <v>1393</v>
      </c>
      <c r="D430" s="10">
        <v>44515</v>
      </c>
      <c r="E430">
        <v>409245.91</v>
      </c>
      <c r="F430">
        <v>409245.91</v>
      </c>
      <c r="K430">
        <v>409245.91</v>
      </c>
    </row>
    <row r="431" spans="1:12" x14ac:dyDescent="0.25">
      <c r="A431" t="s">
        <v>1394</v>
      </c>
      <c r="B431" t="s">
        <v>1395</v>
      </c>
      <c r="C431" t="s">
        <v>1396</v>
      </c>
      <c r="D431" s="10">
        <v>44517</v>
      </c>
      <c r="E431">
        <v>76408.14</v>
      </c>
      <c r="F431">
        <v>76408.14</v>
      </c>
      <c r="G431">
        <v>44546.53</v>
      </c>
      <c r="H431">
        <v>44546.53</v>
      </c>
      <c r="K431">
        <v>31861.61</v>
      </c>
    </row>
    <row r="432" spans="1:12" x14ac:dyDescent="0.25">
      <c r="A432" t="s">
        <v>1397</v>
      </c>
      <c r="B432" t="s">
        <v>1365</v>
      </c>
      <c r="C432">
        <v>999</v>
      </c>
      <c r="D432" s="10">
        <v>44519</v>
      </c>
      <c r="E432">
        <v>68083</v>
      </c>
      <c r="F432">
        <v>68083</v>
      </c>
      <c r="G432">
        <v>39270.370000000003</v>
      </c>
      <c r="H432">
        <v>39270.370000000003</v>
      </c>
      <c r="I432">
        <v>7127.84</v>
      </c>
      <c r="J432">
        <v>7127.84</v>
      </c>
      <c r="K432">
        <v>21184.79</v>
      </c>
      <c r="L432">
        <v>500</v>
      </c>
    </row>
    <row r="433" spans="1:12" x14ac:dyDescent="0.25">
      <c r="A433" t="s">
        <v>1398</v>
      </c>
      <c r="B433" t="s">
        <v>1308</v>
      </c>
      <c r="C433">
        <v>999</v>
      </c>
      <c r="D433" s="10">
        <v>44519</v>
      </c>
      <c r="E433">
        <v>164721.82999999999</v>
      </c>
      <c r="F433">
        <v>164721.82999999999</v>
      </c>
      <c r="G433">
        <v>62098.65</v>
      </c>
      <c r="H433">
        <v>62098.65</v>
      </c>
      <c r="I433">
        <v>69123.45</v>
      </c>
      <c r="J433">
        <v>69123.45</v>
      </c>
      <c r="K433">
        <v>33499.730000000003</v>
      </c>
    </row>
    <row r="434" spans="1:12" x14ac:dyDescent="0.25">
      <c r="A434" t="s">
        <v>1399</v>
      </c>
      <c r="B434" t="s">
        <v>1365</v>
      </c>
      <c r="C434">
        <v>993</v>
      </c>
      <c r="D434" s="10">
        <v>44525</v>
      </c>
      <c r="E434">
        <v>54471.05</v>
      </c>
      <c r="F434">
        <v>54471.05</v>
      </c>
      <c r="G434">
        <v>30875.34</v>
      </c>
      <c r="H434">
        <v>30875.34</v>
      </c>
      <c r="I434">
        <v>6039.73</v>
      </c>
      <c r="J434">
        <v>6039.73</v>
      </c>
      <c r="K434">
        <v>16555.98</v>
      </c>
      <c r="L434">
        <v>1000</v>
      </c>
    </row>
    <row r="435" spans="1:12" x14ac:dyDescent="0.25">
      <c r="A435" t="s">
        <v>1400</v>
      </c>
      <c r="B435" t="s">
        <v>1401</v>
      </c>
      <c r="C435">
        <v>992</v>
      </c>
      <c r="D435" s="10">
        <v>44526</v>
      </c>
      <c r="E435">
        <v>1485056.33</v>
      </c>
      <c r="F435">
        <v>1485056.33</v>
      </c>
      <c r="G435">
        <v>849570.3</v>
      </c>
      <c r="H435">
        <v>849570.3</v>
      </c>
      <c r="I435">
        <v>180388.21</v>
      </c>
      <c r="J435">
        <v>180388.21</v>
      </c>
      <c r="K435">
        <v>455097.82</v>
      </c>
    </row>
    <row r="436" spans="1:12" x14ac:dyDescent="0.25">
      <c r="A436" t="s">
        <v>1402</v>
      </c>
      <c r="B436" t="s">
        <v>1401</v>
      </c>
      <c r="C436">
        <v>992</v>
      </c>
      <c r="D436" s="10">
        <v>44526</v>
      </c>
      <c r="E436">
        <v>374284.67</v>
      </c>
      <c r="F436">
        <v>374284.67</v>
      </c>
      <c r="G436">
        <v>127435.59</v>
      </c>
      <c r="H436">
        <v>127435.59</v>
      </c>
      <c r="I436">
        <v>178584.38</v>
      </c>
      <c r="J436">
        <v>178584.38</v>
      </c>
      <c r="K436">
        <v>68264.7</v>
      </c>
    </row>
    <row r="437" spans="1:12" x14ac:dyDescent="0.25">
      <c r="A437" t="s">
        <v>1403</v>
      </c>
      <c r="B437" t="s">
        <v>1404</v>
      </c>
      <c r="C437">
        <v>991</v>
      </c>
      <c r="D437" s="10">
        <v>44527</v>
      </c>
      <c r="E437">
        <v>311269.84000000003</v>
      </c>
      <c r="F437">
        <v>311269.84000000003</v>
      </c>
      <c r="G437">
        <v>170000</v>
      </c>
      <c r="H437">
        <v>170000</v>
      </c>
      <c r="I437">
        <v>47697.8</v>
      </c>
      <c r="J437">
        <v>47697.8</v>
      </c>
      <c r="K437">
        <v>93572.04</v>
      </c>
    </row>
    <row r="438" spans="1:12" x14ac:dyDescent="0.25">
      <c r="A438" t="s">
        <v>1405</v>
      </c>
      <c r="B438" t="s">
        <v>1406</v>
      </c>
      <c r="C438">
        <v>990</v>
      </c>
      <c r="D438" s="10">
        <v>44528</v>
      </c>
      <c r="E438">
        <v>176593.95</v>
      </c>
      <c r="F438">
        <v>350224.32</v>
      </c>
      <c r="G438">
        <v>204166.39</v>
      </c>
      <c r="H438">
        <v>30536.02</v>
      </c>
      <c r="I438">
        <v>36910.58</v>
      </c>
      <c r="J438">
        <v>36910.58</v>
      </c>
      <c r="K438">
        <v>109147.35</v>
      </c>
    </row>
    <row r="439" spans="1:12" x14ac:dyDescent="0.25">
      <c r="A439" t="s">
        <v>1407</v>
      </c>
      <c r="B439" t="s">
        <v>1408</v>
      </c>
      <c r="C439">
        <v>989</v>
      </c>
      <c r="D439" s="10">
        <v>44529</v>
      </c>
      <c r="E439">
        <v>100693.59</v>
      </c>
      <c r="F439">
        <v>100693.59</v>
      </c>
      <c r="G439">
        <v>39475.85</v>
      </c>
      <c r="H439">
        <v>39475.85</v>
      </c>
      <c r="I439">
        <v>39993.050000000003</v>
      </c>
      <c r="J439">
        <v>39993.050000000003</v>
      </c>
      <c r="K439">
        <v>21224.69</v>
      </c>
    </row>
    <row r="440" spans="1:12" x14ac:dyDescent="0.25">
      <c r="A440" t="s">
        <v>1409</v>
      </c>
      <c r="B440" t="s">
        <v>1410</v>
      </c>
      <c r="C440">
        <v>989</v>
      </c>
      <c r="D440" s="10">
        <v>44529</v>
      </c>
      <c r="E440">
        <v>231504.82</v>
      </c>
      <c r="F440">
        <v>231504.82</v>
      </c>
      <c r="G440">
        <v>142516.70000000001</v>
      </c>
      <c r="H440">
        <v>142516.70000000001</v>
      </c>
      <c r="I440">
        <v>29673.89</v>
      </c>
      <c r="J440">
        <v>29673.89</v>
      </c>
      <c r="K440">
        <v>48484.18</v>
      </c>
      <c r="L440">
        <v>10830.05</v>
      </c>
    </row>
    <row r="441" spans="1:12" x14ac:dyDescent="0.25">
      <c r="A441" t="s">
        <v>1411</v>
      </c>
      <c r="B441" t="s">
        <v>1412</v>
      </c>
      <c r="C441">
        <v>987</v>
      </c>
      <c r="D441" s="10">
        <v>44531</v>
      </c>
      <c r="E441">
        <v>397999.31</v>
      </c>
      <c r="F441">
        <v>397999.31</v>
      </c>
      <c r="G441">
        <v>258693.73</v>
      </c>
      <c r="H441">
        <v>258693.73</v>
      </c>
      <c r="K441">
        <v>139305.57999999999</v>
      </c>
    </row>
    <row r="442" spans="1:12" x14ac:dyDescent="0.25">
      <c r="A442" t="s">
        <v>1413</v>
      </c>
      <c r="B442" t="s">
        <v>1414</v>
      </c>
      <c r="C442">
        <v>982</v>
      </c>
      <c r="D442" s="10">
        <v>44536</v>
      </c>
      <c r="E442">
        <v>401214.25</v>
      </c>
      <c r="F442">
        <v>401214.25</v>
      </c>
      <c r="G442">
        <v>225088.84</v>
      </c>
      <c r="H442">
        <v>225088.84</v>
      </c>
      <c r="I442">
        <v>56833.38</v>
      </c>
      <c r="J442">
        <v>56833.38</v>
      </c>
      <c r="K442">
        <v>119292.03</v>
      </c>
    </row>
    <row r="443" spans="1:12" x14ac:dyDescent="0.25">
      <c r="A443" t="s">
        <v>1415</v>
      </c>
      <c r="B443" t="s">
        <v>1416</v>
      </c>
      <c r="C443">
        <v>981</v>
      </c>
      <c r="D443" s="10">
        <v>44537</v>
      </c>
      <c r="E443">
        <v>443084.52</v>
      </c>
      <c r="F443">
        <v>443084.52</v>
      </c>
      <c r="G443">
        <v>257341.17</v>
      </c>
      <c r="H443">
        <v>257341.17</v>
      </c>
      <c r="I443">
        <v>86233.96</v>
      </c>
      <c r="J443">
        <v>86233.96</v>
      </c>
      <c r="K443">
        <v>86705.49</v>
      </c>
      <c r="L443">
        <v>12803.9</v>
      </c>
    </row>
    <row r="444" spans="1:12" x14ac:dyDescent="0.25">
      <c r="A444" t="s">
        <v>1417</v>
      </c>
      <c r="B444" t="s">
        <v>1418</v>
      </c>
      <c r="C444">
        <v>977</v>
      </c>
      <c r="D444" s="10">
        <v>44541</v>
      </c>
      <c r="E444">
        <v>184709.16</v>
      </c>
      <c r="F444">
        <v>184709.16</v>
      </c>
      <c r="G444">
        <v>108586.85</v>
      </c>
      <c r="H444">
        <v>108586.85</v>
      </c>
      <c r="I444">
        <v>7383.91</v>
      </c>
      <c r="J444">
        <v>7383.91</v>
      </c>
      <c r="K444">
        <v>59065</v>
      </c>
      <c r="L444">
        <v>9673.4</v>
      </c>
    </row>
    <row r="445" spans="1:12" x14ac:dyDescent="0.25">
      <c r="A445" t="s">
        <v>1419</v>
      </c>
      <c r="B445" t="s">
        <v>1420</v>
      </c>
      <c r="C445">
        <v>976</v>
      </c>
      <c r="D445" s="10">
        <v>44542</v>
      </c>
      <c r="E445">
        <v>358288.9</v>
      </c>
      <c r="F445">
        <v>358288.9</v>
      </c>
      <c r="G445">
        <v>215672.81</v>
      </c>
      <c r="H445">
        <v>215672.81</v>
      </c>
      <c r="I445">
        <v>28947.89</v>
      </c>
      <c r="J445">
        <v>28947.89</v>
      </c>
      <c r="K445">
        <v>113668.2</v>
      </c>
    </row>
    <row r="446" spans="1:12" x14ac:dyDescent="0.25">
      <c r="A446" t="s">
        <v>1421</v>
      </c>
      <c r="B446" t="s">
        <v>1422</v>
      </c>
      <c r="C446">
        <v>975</v>
      </c>
      <c r="D446" s="10">
        <v>44543</v>
      </c>
      <c r="E446">
        <v>1480378.17</v>
      </c>
      <c r="F446">
        <v>1480378.17</v>
      </c>
      <c r="G446">
        <v>19789.57</v>
      </c>
      <c r="H446">
        <v>19789.57</v>
      </c>
      <c r="K446">
        <v>1460588.6</v>
      </c>
    </row>
    <row r="447" spans="1:12" x14ac:dyDescent="0.25">
      <c r="A447" t="s">
        <v>1423</v>
      </c>
      <c r="B447" t="s">
        <v>1424</v>
      </c>
      <c r="C447">
        <v>974</v>
      </c>
      <c r="D447" s="10">
        <v>44544</v>
      </c>
      <c r="E447">
        <v>114550.33</v>
      </c>
      <c r="F447">
        <v>114550.33</v>
      </c>
      <c r="I447">
        <v>42855.39</v>
      </c>
      <c r="J447">
        <v>42855.39</v>
      </c>
      <c r="K447">
        <v>50000</v>
      </c>
      <c r="L447">
        <v>21694.94</v>
      </c>
    </row>
    <row r="448" spans="1:12" x14ac:dyDescent="0.25">
      <c r="A448" t="s">
        <v>1425</v>
      </c>
      <c r="B448" t="s">
        <v>1426</v>
      </c>
      <c r="C448">
        <v>974</v>
      </c>
      <c r="D448" s="10">
        <v>44544</v>
      </c>
      <c r="E448">
        <v>102455.16</v>
      </c>
      <c r="F448">
        <v>102455.16</v>
      </c>
      <c r="K448">
        <v>102455.16</v>
      </c>
    </row>
    <row r="449" spans="1:12" x14ac:dyDescent="0.25">
      <c r="A449" t="s">
        <v>1427</v>
      </c>
      <c r="B449" t="s">
        <v>1311</v>
      </c>
      <c r="C449">
        <v>972</v>
      </c>
      <c r="D449" s="10">
        <v>44546</v>
      </c>
      <c r="E449">
        <v>72581.59</v>
      </c>
      <c r="F449">
        <v>72581.59</v>
      </c>
      <c r="G449">
        <v>70866.880000000005</v>
      </c>
      <c r="H449">
        <v>70866.880000000005</v>
      </c>
      <c r="K449">
        <v>1714.71</v>
      </c>
    </row>
    <row r="450" spans="1:12" x14ac:dyDescent="0.25">
      <c r="A450" t="s">
        <v>1428</v>
      </c>
      <c r="B450" t="s">
        <v>1429</v>
      </c>
      <c r="C450">
        <v>969</v>
      </c>
      <c r="D450" s="10">
        <v>44549</v>
      </c>
      <c r="E450">
        <v>555264.24</v>
      </c>
      <c r="F450">
        <v>555264.24</v>
      </c>
      <c r="G450">
        <v>311027.09000000003</v>
      </c>
      <c r="H450">
        <v>311027.09000000003</v>
      </c>
      <c r="I450">
        <v>81489.11</v>
      </c>
      <c r="J450">
        <v>81489.11</v>
      </c>
      <c r="K450">
        <v>162748.04</v>
      </c>
    </row>
    <row r="451" spans="1:12" x14ac:dyDescent="0.25">
      <c r="A451" t="s">
        <v>97</v>
      </c>
      <c r="B451" t="s">
        <v>96</v>
      </c>
      <c r="C451">
        <v>969</v>
      </c>
      <c r="D451" s="10">
        <v>44549</v>
      </c>
      <c r="E451">
        <v>2868556.53</v>
      </c>
      <c r="F451">
        <v>3548629.85</v>
      </c>
      <c r="G451">
        <v>1000000</v>
      </c>
      <c r="H451">
        <v>353979.9</v>
      </c>
      <c r="I451">
        <v>1991316.63</v>
      </c>
      <c r="J451">
        <v>2025369.85</v>
      </c>
      <c r="K451">
        <v>523260</v>
      </c>
    </row>
    <row r="452" spans="1:12" x14ac:dyDescent="0.25">
      <c r="A452" t="s">
        <v>1430</v>
      </c>
      <c r="B452" t="s">
        <v>1431</v>
      </c>
      <c r="C452">
        <v>967</v>
      </c>
      <c r="D452" s="10">
        <v>44551</v>
      </c>
      <c r="E452">
        <v>375697.33</v>
      </c>
      <c r="F452">
        <v>375697.33</v>
      </c>
      <c r="I452">
        <v>129376.78</v>
      </c>
      <c r="J452">
        <v>129376.78</v>
      </c>
      <c r="K452">
        <v>246320.55</v>
      </c>
    </row>
    <row r="453" spans="1:12" x14ac:dyDescent="0.25">
      <c r="A453" t="s">
        <v>1432</v>
      </c>
      <c r="B453" t="s">
        <v>1433</v>
      </c>
      <c r="C453">
        <v>966</v>
      </c>
      <c r="D453" s="10">
        <v>44552</v>
      </c>
      <c r="E453">
        <v>137117.34</v>
      </c>
      <c r="F453">
        <v>137117.34</v>
      </c>
      <c r="G453">
        <v>74464.7</v>
      </c>
      <c r="H453">
        <v>74464.7</v>
      </c>
      <c r="I453">
        <v>20808.88</v>
      </c>
      <c r="J453">
        <v>20808.88</v>
      </c>
      <c r="K453">
        <v>38843.760000000002</v>
      </c>
      <c r="L453">
        <v>3000</v>
      </c>
    </row>
    <row r="454" spans="1:12" x14ac:dyDescent="0.25">
      <c r="A454" t="s">
        <v>1434</v>
      </c>
      <c r="B454" t="s">
        <v>1435</v>
      </c>
      <c r="C454">
        <v>966</v>
      </c>
      <c r="D454" s="10">
        <v>44552</v>
      </c>
      <c r="E454">
        <v>170065.15</v>
      </c>
      <c r="F454">
        <v>170065.15</v>
      </c>
      <c r="G454">
        <v>81956.56</v>
      </c>
      <c r="H454">
        <v>81956.56</v>
      </c>
      <c r="I454">
        <v>45356.77</v>
      </c>
      <c r="J454">
        <v>45356.77</v>
      </c>
      <c r="K454">
        <v>42751.82</v>
      </c>
    </row>
    <row r="455" spans="1:12" x14ac:dyDescent="0.25">
      <c r="A455" t="s">
        <v>1436</v>
      </c>
      <c r="B455" t="s">
        <v>1437</v>
      </c>
      <c r="C455">
        <v>964</v>
      </c>
      <c r="D455" s="10">
        <v>44554</v>
      </c>
      <c r="E455">
        <v>1207576.06</v>
      </c>
      <c r="F455">
        <v>1207576.06</v>
      </c>
      <c r="G455">
        <v>710064.12</v>
      </c>
      <c r="H455">
        <v>710064.12</v>
      </c>
      <c r="I455">
        <v>134018.64000000001</v>
      </c>
      <c r="J455">
        <v>134018.64000000001</v>
      </c>
      <c r="K455">
        <v>363493.3</v>
      </c>
    </row>
    <row r="456" spans="1:12" x14ac:dyDescent="0.25">
      <c r="A456" t="s">
        <v>1438</v>
      </c>
      <c r="B456" t="s">
        <v>1433</v>
      </c>
      <c r="C456">
        <v>964</v>
      </c>
      <c r="D456" s="10">
        <v>44554</v>
      </c>
      <c r="E456">
        <v>276022.36</v>
      </c>
      <c r="F456">
        <v>276022.36</v>
      </c>
      <c r="G456">
        <v>150000</v>
      </c>
      <c r="H456">
        <v>150000</v>
      </c>
      <c r="I456">
        <v>44938.36</v>
      </c>
      <c r="J456">
        <v>44938.36</v>
      </c>
      <c r="K456">
        <v>78084</v>
      </c>
      <c r="L456">
        <v>3000</v>
      </c>
    </row>
    <row r="457" spans="1:12" x14ac:dyDescent="0.25">
      <c r="A457" t="s">
        <v>1439</v>
      </c>
      <c r="B457" t="s">
        <v>1440</v>
      </c>
      <c r="C457">
        <v>961</v>
      </c>
      <c r="D457" s="10">
        <v>44557</v>
      </c>
      <c r="E457">
        <v>53079.83</v>
      </c>
      <c r="F457">
        <v>53079.83</v>
      </c>
      <c r="G457">
        <v>46351.839999999997</v>
      </c>
      <c r="H457">
        <v>46351.839999999997</v>
      </c>
      <c r="K457">
        <v>6727.99</v>
      </c>
    </row>
    <row r="458" spans="1:12" x14ac:dyDescent="0.25">
      <c r="A458" t="s">
        <v>1441</v>
      </c>
      <c r="B458" t="s">
        <v>1442</v>
      </c>
      <c r="C458">
        <v>959</v>
      </c>
      <c r="D458" s="10">
        <v>44559</v>
      </c>
      <c r="E458">
        <v>6843.48</v>
      </c>
      <c r="F458">
        <v>6843.48</v>
      </c>
      <c r="K458">
        <v>6843.48</v>
      </c>
    </row>
    <row r="459" spans="1:12" x14ac:dyDescent="0.25">
      <c r="A459" t="s">
        <v>1443</v>
      </c>
      <c r="B459" t="s">
        <v>1444</v>
      </c>
      <c r="C459">
        <v>959</v>
      </c>
      <c r="D459" s="10">
        <v>44559</v>
      </c>
      <c r="E459">
        <v>331474.57</v>
      </c>
      <c r="F459">
        <v>331474.57</v>
      </c>
      <c r="G459">
        <v>203416.39</v>
      </c>
      <c r="H459">
        <v>203416.39</v>
      </c>
      <c r="I459">
        <v>22716.97</v>
      </c>
      <c r="J459">
        <v>22716.97</v>
      </c>
      <c r="K459">
        <v>105341.21</v>
      </c>
    </row>
    <row r="460" spans="1:12" x14ac:dyDescent="0.25">
      <c r="A460" t="s">
        <v>1445</v>
      </c>
      <c r="B460" t="s">
        <v>1446</v>
      </c>
      <c r="C460">
        <v>958</v>
      </c>
      <c r="D460" s="10">
        <v>44560</v>
      </c>
      <c r="E460">
        <v>164362.68</v>
      </c>
      <c r="F460">
        <v>164362.68</v>
      </c>
      <c r="G460">
        <v>106660.18</v>
      </c>
      <c r="H460">
        <v>106660.18</v>
      </c>
      <c r="I460">
        <v>4310.13</v>
      </c>
      <c r="J460">
        <v>4310.13</v>
      </c>
      <c r="K460">
        <v>53392.37</v>
      </c>
    </row>
    <row r="461" spans="1:12" x14ac:dyDescent="0.25">
      <c r="A461" t="s">
        <v>1447</v>
      </c>
      <c r="B461" t="s">
        <v>1358</v>
      </c>
      <c r="C461">
        <v>955</v>
      </c>
      <c r="D461" s="10">
        <v>44563</v>
      </c>
      <c r="E461">
        <v>2647.59</v>
      </c>
      <c r="F461">
        <v>2647.59</v>
      </c>
      <c r="K461">
        <v>2647.59</v>
      </c>
    </row>
    <row r="462" spans="1:12" x14ac:dyDescent="0.25">
      <c r="A462" t="s">
        <v>1448</v>
      </c>
      <c r="B462" t="s">
        <v>1449</v>
      </c>
      <c r="C462">
        <v>955</v>
      </c>
      <c r="D462" s="10">
        <v>44563</v>
      </c>
      <c r="E462">
        <v>182622.55</v>
      </c>
      <c r="F462">
        <v>182622.55</v>
      </c>
      <c r="G462">
        <v>119920.36</v>
      </c>
      <c r="H462">
        <v>119920.36</v>
      </c>
      <c r="K462">
        <v>62702.19</v>
      </c>
    </row>
    <row r="463" spans="1:12" x14ac:dyDescent="0.25">
      <c r="A463" t="s">
        <v>1450</v>
      </c>
      <c r="B463" t="s">
        <v>1451</v>
      </c>
      <c r="C463">
        <v>952</v>
      </c>
      <c r="D463" s="10">
        <v>44566</v>
      </c>
      <c r="E463">
        <v>1414564.84</v>
      </c>
      <c r="F463">
        <v>1414564.84</v>
      </c>
      <c r="G463">
        <v>883318.18</v>
      </c>
      <c r="H463">
        <v>883318.18</v>
      </c>
      <c r="I463">
        <v>74150.45</v>
      </c>
      <c r="J463">
        <v>74150.45</v>
      </c>
      <c r="K463">
        <v>454096.21</v>
      </c>
      <c r="L463">
        <v>3000</v>
      </c>
    </row>
    <row r="464" spans="1:12" x14ac:dyDescent="0.25">
      <c r="A464" t="s">
        <v>1452</v>
      </c>
      <c r="B464" t="s">
        <v>1453</v>
      </c>
      <c r="C464">
        <v>951</v>
      </c>
      <c r="D464" s="10">
        <v>44567</v>
      </c>
      <c r="E464">
        <v>149871.07999999999</v>
      </c>
      <c r="F464">
        <v>149871.07999999999</v>
      </c>
      <c r="G464">
        <v>87729.919999999998</v>
      </c>
      <c r="H464">
        <v>87729.919999999998</v>
      </c>
      <c r="I464">
        <v>17088.330000000002</v>
      </c>
      <c r="J464">
        <v>17088.330000000002</v>
      </c>
      <c r="K464">
        <v>45052.83</v>
      </c>
    </row>
    <row r="465" spans="1:12" x14ac:dyDescent="0.25">
      <c r="A465" t="s">
        <v>1454</v>
      </c>
      <c r="B465" t="s">
        <v>1455</v>
      </c>
      <c r="C465">
        <v>951</v>
      </c>
      <c r="D465" s="10">
        <v>44567</v>
      </c>
      <c r="E465">
        <v>460991.21</v>
      </c>
      <c r="F465">
        <v>460991.21</v>
      </c>
      <c r="G465">
        <v>245424.3</v>
      </c>
      <c r="H465">
        <v>245424.3</v>
      </c>
      <c r="K465">
        <v>215566.91</v>
      </c>
    </row>
    <row r="466" spans="1:12" x14ac:dyDescent="0.25">
      <c r="A466" t="s">
        <v>1456</v>
      </c>
      <c r="B466" t="s">
        <v>1457</v>
      </c>
      <c r="C466">
        <v>951</v>
      </c>
      <c r="D466" s="10">
        <v>44567</v>
      </c>
      <c r="E466">
        <v>1646002.08</v>
      </c>
      <c r="F466">
        <v>1646002.08</v>
      </c>
      <c r="G466">
        <v>139831.44</v>
      </c>
      <c r="H466">
        <v>139831.44</v>
      </c>
      <c r="I466">
        <v>28387.69</v>
      </c>
      <c r="J466">
        <v>28387.69</v>
      </c>
      <c r="K466">
        <v>1477782.95</v>
      </c>
    </row>
    <row r="467" spans="1:12" x14ac:dyDescent="0.25">
      <c r="A467" t="s">
        <v>1458</v>
      </c>
      <c r="B467" t="s">
        <v>1412</v>
      </c>
      <c r="C467">
        <v>949</v>
      </c>
      <c r="D467" s="10">
        <v>44569</v>
      </c>
      <c r="E467">
        <v>38601.43</v>
      </c>
      <c r="F467">
        <v>38601.43</v>
      </c>
      <c r="K467">
        <v>38601.43</v>
      </c>
    </row>
    <row r="468" spans="1:12" x14ac:dyDescent="0.25">
      <c r="A468" t="s">
        <v>1459</v>
      </c>
      <c r="B468" t="s">
        <v>1460</v>
      </c>
      <c r="C468">
        <v>949</v>
      </c>
      <c r="D468" s="10">
        <v>44569</v>
      </c>
      <c r="E468">
        <v>1185178.1100000001</v>
      </c>
      <c r="F468">
        <v>1185178.1100000001</v>
      </c>
      <c r="G468">
        <v>665000</v>
      </c>
      <c r="H468">
        <v>665000</v>
      </c>
      <c r="I468">
        <v>179568.23</v>
      </c>
      <c r="J468">
        <v>179568.23</v>
      </c>
      <c r="K468">
        <v>340609.88</v>
      </c>
    </row>
    <row r="469" spans="1:12" x14ac:dyDescent="0.25">
      <c r="A469" t="s">
        <v>1461</v>
      </c>
      <c r="B469" t="s">
        <v>1442</v>
      </c>
      <c r="C469">
        <v>947</v>
      </c>
      <c r="D469" s="10">
        <v>44571</v>
      </c>
      <c r="E469">
        <v>56337.599999999999</v>
      </c>
      <c r="F469">
        <v>56337.599999999999</v>
      </c>
      <c r="K469">
        <v>54312.35</v>
      </c>
      <c r="L469">
        <v>2025.25</v>
      </c>
    </row>
    <row r="470" spans="1:12" x14ac:dyDescent="0.25">
      <c r="A470" t="s">
        <v>1462</v>
      </c>
      <c r="B470" t="s">
        <v>1463</v>
      </c>
      <c r="C470">
        <v>946</v>
      </c>
      <c r="D470" s="10">
        <v>44572</v>
      </c>
      <c r="E470">
        <v>53429.46</v>
      </c>
      <c r="F470">
        <v>53429.46</v>
      </c>
      <c r="K470">
        <v>53429.46</v>
      </c>
    </row>
    <row r="471" spans="1:12" x14ac:dyDescent="0.25">
      <c r="A471" t="s">
        <v>1464</v>
      </c>
      <c r="B471" t="s">
        <v>1420</v>
      </c>
      <c r="C471">
        <v>946</v>
      </c>
      <c r="D471" s="10">
        <v>44572</v>
      </c>
      <c r="E471">
        <v>249023.06</v>
      </c>
      <c r="F471">
        <v>249023.06</v>
      </c>
      <c r="G471">
        <v>153915.17000000001</v>
      </c>
      <c r="H471">
        <v>153915.17000000001</v>
      </c>
      <c r="I471">
        <v>16481.86</v>
      </c>
      <c r="J471">
        <v>16481.86</v>
      </c>
      <c r="K471">
        <v>78626.03</v>
      </c>
    </row>
    <row r="472" spans="1:12" x14ac:dyDescent="0.25">
      <c r="A472" t="s">
        <v>1465</v>
      </c>
      <c r="B472" t="s">
        <v>1453</v>
      </c>
      <c r="C472">
        <v>945</v>
      </c>
      <c r="D472" s="10">
        <v>44573</v>
      </c>
      <c r="E472">
        <v>148048.75</v>
      </c>
      <c r="F472">
        <v>148048.75</v>
      </c>
      <c r="G472">
        <v>85760.74</v>
      </c>
      <c r="H472">
        <v>85760.74</v>
      </c>
      <c r="I472">
        <v>18524.310000000001</v>
      </c>
      <c r="J472">
        <v>18524.310000000001</v>
      </c>
      <c r="K472">
        <v>43763.7</v>
      </c>
    </row>
    <row r="473" spans="1:12" x14ac:dyDescent="0.25">
      <c r="A473" t="s">
        <v>1466</v>
      </c>
      <c r="B473" t="s">
        <v>1446</v>
      </c>
      <c r="C473">
        <v>945</v>
      </c>
      <c r="D473" s="10">
        <v>44573</v>
      </c>
      <c r="E473">
        <v>180722.08</v>
      </c>
      <c r="F473">
        <v>180722.08</v>
      </c>
      <c r="G473">
        <v>108644.45</v>
      </c>
      <c r="H473">
        <v>108644.45</v>
      </c>
      <c r="I473">
        <v>18454.669999999998</v>
      </c>
      <c r="J473">
        <v>18454.669999999998</v>
      </c>
      <c r="K473">
        <v>53622.96</v>
      </c>
    </row>
    <row r="474" spans="1:12" x14ac:dyDescent="0.25">
      <c r="A474" t="s">
        <v>1467</v>
      </c>
      <c r="B474" t="s">
        <v>1468</v>
      </c>
      <c r="C474">
        <v>943</v>
      </c>
      <c r="D474" s="10">
        <v>44575</v>
      </c>
      <c r="E474">
        <v>119618.96</v>
      </c>
      <c r="F474">
        <v>119618.96</v>
      </c>
      <c r="G474">
        <v>30115.02</v>
      </c>
      <c r="H474">
        <v>30115.02</v>
      </c>
      <c r="I474">
        <v>5892.09</v>
      </c>
      <c r="J474">
        <v>5892.09</v>
      </c>
      <c r="K474">
        <v>83611.850000000006</v>
      </c>
    </row>
    <row r="475" spans="1:12" x14ac:dyDescent="0.25">
      <c r="A475" t="s">
        <v>1469</v>
      </c>
      <c r="B475" t="s">
        <v>1470</v>
      </c>
      <c r="C475">
        <v>940</v>
      </c>
      <c r="D475" s="10">
        <v>44578</v>
      </c>
      <c r="E475">
        <v>46930.6</v>
      </c>
      <c r="F475">
        <v>46930.6</v>
      </c>
      <c r="K475">
        <v>46930.6</v>
      </c>
    </row>
    <row r="476" spans="1:12" x14ac:dyDescent="0.25">
      <c r="A476" t="s">
        <v>1471</v>
      </c>
      <c r="B476" t="s">
        <v>1472</v>
      </c>
      <c r="C476">
        <v>939</v>
      </c>
      <c r="D476" s="10">
        <v>44579</v>
      </c>
      <c r="E476">
        <v>234219.94</v>
      </c>
      <c r="F476">
        <v>234219.94</v>
      </c>
      <c r="G476">
        <v>187087.25</v>
      </c>
      <c r="H476">
        <v>187087.25</v>
      </c>
      <c r="I476">
        <v>32548.04</v>
      </c>
      <c r="J476">
        <v>32548.04</v>
      </c>
      <c r="K476">
        <v>14584.65</v>
      </c>
    </row>
    <row r="477" spans="1:12" x14ac:dyDescent="0.25">
      <c r="A477" t="s">
        <v>105</v>
      </c>
      <c r="B477" t="s">
        <v>104</v>
      </c>
      <c r="C477">
        <v>937</v>
      </c>
      <c r="D477" s="10">
        <v>44581</v>
      </c>
      <c r="E477">
        <v>488262.26</v>
      </c>
      <c r="F477">
        <v>488262.26</v>
      </c>
      <c r="G477">
        <v>265431.03000000003</v>
      </c>
      <c r="H477">
        <v>265431.03000000003</v>
      </c>
      <c r="I477">
        <v>88253.99</v>
      </c>
      <c r="J477">
        <v>88253.99</v>
      </c>
      <c r="K477">
        <v>120634.37</v>
      </c>
      <c r="L477">
        <v>13942.87</v>
      </c>
    </row>
    <row r="478" spans="1:12" x14ac:dyDescent="0.25">
      <c r="A478" t="s">
        <v>1473</v>
      </c>
      <c r="B478" t="s">
        <v>1470</v>
      </c>
      <c r="C478">
        <v>937</v>
      </c>
      <c r="D478" s="10">
        <v>44581</v>
      </c>
      <c r="E478">
        <v>210769.14</v>
      </c>
      <c r="F478">
        <v>210769.14</v>
      </c>
      <c r="G478">
        <v>134481.29999999999</v>
      </c>
      <c r="H478">
        <v>134481.29999999999</v>
      </c>
      <c r="I478">
        <v>9550.15</v>
      </c>
      <c r="J478">
        <v>9550.15</v>
      </c>
      <c r="K478">
        <v>66737.69</v>
      </c>
    </row>
    <row r="479" spans="1:12" x14ac:dyDescent="0.25">
      <c r="A479" t="s">
        <v>1474</v>
      </c>
      <c r="B479" t="s">
        <v>1475</v>
      </c>
      <c r="C479">
        <v>936</v>
      </c>
      <c r="D479" s="10">
        <v>44582</v>
      </c>
      <c r="E479">
        <v>1393500.97</v>
      </c>
      <c r="F479">
        <v>1393500.97</v>
      </c>
      <c r="G479">
        <v>750000</v>
      </c>
      <c r="H479">
        <v>750000</v>
      </c>
      <c r="I479">
        <v>263999.99</v>
      </c>
      <c r="J479">
        <v>263999.99</v>
      </c>
      <c r="K479">
        <v>379500.98</v>
      </c>
    </row>
    <row r="480" spans="1:12" x14ac:dyDescent="0.25">
      <c r="A480" t="s">
        <v>1476</v>
      </c>
      <c r="B480" t="s">
        <v>1477</v>
      </c>
      <c r="C480">
        <v>935</v>
      </c>
      <c r="D480" s="10">
        <v>44583</v>
      </c>
      <c r="E480">
        <v>17478.41</v>
      </c>
      <c r="F480">
        <v>17478.41</v>
      </c>
      <c r="K480">
        <v>17478.41</v>
      </c>
    </row>
    <row r="481" spans="1:12" x14ac:dyDescent="0.25">
      <c r="A481" t="s">
        <v>1478</v>
      </c>
      <c r="B481" t="s">
        <v>1479</v>
      </c>
      <c r="C481">
        <v>932</v>
      </c>
      <c r="D481" s="10">
        <v>44586</v>
      </c>
      <c r="E481">
        <v>234038.1</v>
      </c>
      <c r="F481">
        <v>234038.1</v>
      </c>
      <c r="G481">
        <v>152936.34</v>
      </c>
      <c r="H481">
        <v>152936.34</v>
      </c>
      <c r="K481">
        <v>81101.759999999995</v>
      </c>
    </row>
    <row r="482" spans="1:12" x14ac:dyDescent="0.25">
      <c r="A482" t="s">
        <v>1480</v>
      </c>
      <c r="B482" t="s">
        <v>1455</v>
      </c>
      <c r="C482">
        <v>932</v>
      </c>
      <c r="D482" s="10">
        <v>44586</v>
      </c>
      <c r="E482">
        <v>42253.18</v>
      </c>
      <c r="F482">
        <v>42253.18</v>
      </c>
      <c r="K482">
        <v>42253.18</v>
      </c>
    </row>
    <row r="483" spans="1:12" x14ac:dyDescent="0.25">
      <c r="A483" t="s">
        <v>1481</v>
      </c>
      <c r="B483" t="s">
        <v>1482</v>
      </c>
      <c r="C483">
        <v>932</v>
      </c>
      <c r="D483" s="10">
        <v>44586</v>
      </c>
      <c r="E483">
        <v>19795.330000000002</v>
      </c>
      <c r="F483">
        <v>19795.330000000002</v>
      </c>
      <c r="K483">
        <v>19795.330000000002</v>
      </c>
    </row>
    <row r="484" spans="1:12" x14ac:dyDescent="0.25">
      <c r="A484" t="s">
        <v>1483</v>
      </c>
      <c r="B484" t="s">
        <v>1484</v>
      </c>
      <c r="C484">
        <v>932</v>
      </c>
      <c r="D484" s="10">
        <v>44586</v>
      </c>
      <c r="E484">
        <v>120069.83</v>
      </c>
      <c r="F484">
        <v>120069.83</v>
      </c>
      <c r="K484">
        <v>120069.83</v>
      </c>
    </row>
    <row r="485" spans="1:12" x14ac:dyDescent="0.25">
      <c r="A485" t="s">
        <v>1485</v>
      </c>
      <c r="B485" t="s">
        <v>1486</v>
      </c>
      <c r="C485">
        <v>932</v>
      </c>
      <c r="D485" s="10">
        <v>44586</v>
      </c>
      <c r="E485">
        <v>138765.5</v>
      </c>
      <c r="F485">
        <v>138765.5</v>
      </c>
      <c r="G485">
        <v>35976.559999999998</v>
      </c>
      <c r="H485">
        <v>35976.559999999998</v>
      </c>
      <c r="I485">
        <v>2131.48</v>
      </c>
      <c r="J485">
        <v>2131.48</v>
      </c>
      <c r="K485">
        <v>100657.46</v>
      </c>
    </row>
    <row r="486" spans="1:12" x14ac:dyDescent="0.25">
      <c r="A486" t="s">
        <v>1487</v>
      </c>
      <c r="B486" t="s">
        <v>1488</v>
      </c>
      <c r="C486">
        <v>931</v>
      </c>
      <c r="D486" s="10">
        <v>44587</v>
      </c>
      <c r="E486">
        <v>148956.49</v>
      </c>
      <c r="F486">
        <v>148956.49</v>
      </c>
      <c r="G486">
        <v>125658</v>
      </c>
      <c r="H486">
        <v>125658</v>
      </c>
      <c r="I486">
        <v>20380.71</v>
      </c>
      <c r="J486">
        <v>20380.71</v>
      </c>
      <c r="K486">
        <v>2917.78</v>
      </c>
    </row>
    <row r="487" spans="1:12" x14ac:dyDescent="0.25">
      <c r="A487" t="s">
        <v>1489</v>
      </c>
      <c r="B487" t="s">
        <v>1488</v>
      </c>
      <c r="C487">
        <v>929</v>
      </c>
      <c r="D487" s="10">
        <v>44589</v>
      </c>
      <c r="E487">
        <v>191121.34</v>
      </c>
      <c r="F487">
        <v>191121.34</v>
      </c>
      <c r="G487">
        <v>165572.75</v>
      </c>
      <c r="H487">
        <v>165572.75</v>
      </c>
      <c r="I487">
        <v>21882.81</v>
      </c>
      <c r="J487">
        <v>21882.81</v>
      </c>
      <c r="K487">
        <v>3665.78</v>
      </c>
    </row>
    <row r="488" spans="1:12" x14ac:dyDescent="0.25">
      <c r="A488" t="s">
        <v>1490</v>
      </c>
      <c r="B488" t="s">
        <v>1491</v>
      </c>
      <c r="C488">
        <v>928</v>
      </c>
      <c r="D488" s="10">
        <v>44590</v>
      </c>
      <c r="E488">
        <v>2188737.8199999998</v>
      </c>
      <c r="F488">
        <v>2188737.8199999998</v>
      </c>
      <c r="G488">
        <v>195756.47</v>
      </c>
      <c r="H488">
        <v>195756.47</v>
      </c>
      <c r="I488">
        <v>28383.58</v>
      </c>
      <c r="J488">
        <v>28383.58</v>
      </c>
      <c r="K488">
        <v>1964597.77</v>
      </c>
    </row>
    <row r="489" spans="1:12" x14ac:dyDescent="0.25">
      <c r="A489" t="s">
        <v>1492</v>
      </c>
      <c r="B489" t="s">
        <v>1493</v>
      </c>
      <c r="C489">
        <v>928</v>
      </c>
      <c r="D489" s="10">
        <v>44590</v>
      </c>
      <c r="E489">
        <v>1827887.01</v>
      </c>
      <c r="F489">
        <v>1827887.01</v>
      </c>
      <c r="G489">
        <v>996455.47</v>
      </c>
      <c r="H489">
        <v>996455.47</v>
      </c>
      <c r="I489">
        <v>331532.99</v>
      </c>
      <c r="J489">
        <v>331532.99</v>
      </c>
      <c r="K489">
        <v>499898.55</v>
      </c>
    </row>
    <row r="490" spans="1:12" x14ac:dyDescent="0.25">
      <c r="A490" t="s">
        <v>1494</v>
      </c>
      <c r="B490" t="s">
        <v>1442</v>
      </c>
      <c r="C490">
        <v>927</v>
      </c>
      <c r="D490" s="10">
        <v>44591</v>
      </c>
      <c r="E490">
        <v>33672</v>
      </c>
      <c r="F490">
        <v>33672</v>
      </c>
      <c r="K490">
        <v>30672</v>
      </c>
      <c r="L490">
        <v>3000</v>
      </c>
    </row>
    <row r="491" spans="1:12" x14ac:dyDescent="0.25">
      <c r="A491" t="s">
        <v>1495</v>
      </c>
      <c r="B491" t="s">
        <v>1496</v>
      </c>
      <c r="C491">
        <v>924</v>
      </c>
      <c r="D491" s="10">
        <v>44594</v>
      </c>
      <c r="E491">
        <v>32937.47</v>
      </c>
      <c r="F491">
        <v>32937.47</v>
      </c>
      <c r="K491">
        <v>32937.47</v>
      </c>
    </row>
    <row r="492" spans="1:12" x14ac:dyDescent="0.25">
      <c r="A492" t="s">
        <v>1497</v>
      </c>
      <c r="B492" t="s">
        <v>1470</v>
      </c>
      <c r="C492">
        <v>916</v>
      </c>
      <c r="D492" s="10">
        <v>44602</v>
      </c>
      <c r="E492">
        <v>67788.05</v>
      </c>
      <c r="F492">
        <v>67788.05</v>
      </c>
      <c r="K492">
        <v>67788.05</v>
      </c>
    </row>
    <row r="493" spans="1:12" x14ac:dyDescent="0.25">
      <c r="A493" t="s">
        <v>1498</v>
      </c>
      <c r="B493" t="s">
        <v>1499</v>
      </c>
      <c r="C493">
        <v>916</v>
      </c>
      <c r="D493" s="10">
        <v>44602</v>
      </c>
      <c r="E493">
        <v>295450.19</v>
      </c>
      <c r="F493">
        <v>295450.19</v>
      </c>
      <c r="G493">
        <v>225509.31</v>
      </c>
      <c r="H493">
        <v>225509.31</v>
      </c>
      <c r="I493">
        <v>54962.49</v>
      </c>
      <c r="J493">
        <v>54962.49</v>
      </c>
      <c r="K493">
        <v>14978.39</v>
      </c>
    </row>
    <row r="494" spans="1:12" x14ac:dyDescent="0.25">
      <c r="A494" t="s">
        <v>1500</v>
      </c>
      <c r="B494" t="s">
        <v>1501</v>
      </c>
      <c r="C494">
        <v>915</v>
      </c>
      <c r="D494" s="10">
        <v>44603</v>
      </c>
      <c r="E494">
        <v>307981.92</v>
      </c>
      <c r="F494">
        <v>307981.92</v>
      </c>
      <c r="G494">
        <v>277060.77</v>
      </c>
      <c r="H494">
        <v>277060.77</v>
      </c>
      <c r="I494">
        <v>14375.86</v>
      </c>
      <c r="J494">
        <v>14375.86</v>
      </c>
      <c r="K494">
        <v>16545.29</v>
      </c>
    </row>
    <row r="495" spans="1:12" x14ac:dyDescent="0.25">
      <c r="A495" t="s">
        <v>1502</v>
      </c>
      <c r="B495" t="s">
        <v>1420</v>
      </c>
      <c r="C495">
        <v>914</v>
      </c>
      <c r="D495" s="10">
        <v>44604</v>
      </c>
      <c r="E495">
        <v>178771.01</v>
      </c>
      <c r="F495">
        <v>178771.01</v>
      </c>
      <c r="G495">
        <v>111799</v>
      </c>
      <c r="H495">
        <v>111799</v>
      </c>
      <c r="I495">
        <v>11792.49</v>
      </c>
      <c r="J495">
        <v>11792.49</v>
      </c>
      <c r="K495">
        <v>55179.519999999997</v>
      </c>
    </row>
    <row r="496" spans="1:12" x14ac:dyDescent="0.25">
      <c r="A496" t="s">
        <v>1503</v>
      </c>
      <c r="B496" t="s">
        <v>1504</v>
      </c>
      <c r="C496">
        <v>911</v>
      </c>
      <c r="D496" s="10">
        <v>44607</v>
      </c>
      <c r="E496">
        <v>94447.35</v>
      </c>
      <c r="F496">
        <v>94447.35</v>
      </c>
      <c r="G496">
        <v>70754.86</v>
      </c>
      <c r="H496">
        <v>70754.86</v>
      </c>
      <c r="I496">
        <v>18572.669999999998</v>
      </c>
      <c r="J496">
        <v>18572.669999999998</v>
      </c>
      <c r="K496">
        <v>5119.82</v>
      </c>
    </row>
    <row r="497" spans="1:12" x14ac:dyDescent="0.25">
      <c r="A497" t="s">
        <v>1505</v>
      </c>
      <c r="B497" t="s">
        <v>1506</v>
      </c>
      <c r="C497">
        <v>911</v>
      </c>
      <c r="D497" s="10">
        <v>44607</v>
      </c>
      <c r="E497">
        <v>167500</v>
      </c>
      <c r="F497">
        <v>167500</v>
      </c>
      <c r="G497">
        <v>151175.47</v>
      </c>
      <c r="H497">
        <v>151175.47</v>
      </c>
      <c r="K497">
        <v>16324.53</v>
      </c>
    </row>
    <row r="498" spans="1:12" x14ac:dyDescent="0.25">
      <c r="A498" t="s">
        <v>1507</v>
      </c>
      <c r="B498" t="s">
        <v>1508</v>
      </c>
      <c r="C498">
        <v>910</v>
      </c>
      <c r="D498" s="10">
        <v>44608</v>
      </c>
      <c r="E498">
        <v>137065.20000000001</v>
      </c>
      <c r="F498">
        <v>137065.20000000001</v>
      </c>
      <c r="G498">
        <v>116694.96</v>
      </c>
      <c r="H498">
        <v>116694.96</v>
      </c>
      <c r="I498">
        <v>11989.21</v>
      </c>
      <c r="J498">
        <v>11989.21</v>
      </c>
      <c r="K498">
        <v>8381.0300000000007</v>
      </c>
    </row>
    <row r="499" spans="1:12" x14ac:dyDescent="0.25">
      <c r="A499" t="s">
        <v>1509</v>
      </c>
      <c r="B499" t="s">
        <v>1508</v>
      </c>
      <c r="C499">
        <v>910</v>
      </c>
      <c r="D499" s="10">
        <v>44608</v>
      </c>
      <c r="E499">
        <v>197891.23</v>
      </c>
      <c r="F499">
        <v>197891.23</v>
      </c>
      <c r="G499">
        <v>163263.93</v>
      </c>
      <c r="H499">
        <v>163263.93</v>
      </c>
      <c r="I499">
        <v>22901.68</v>
      </c>
      <c r="J499">
        <v>22901.68</v>
      </c>
      <c r="K499">
        <v>11725.62</v>
      </c>
    </row>
    <row r="500" spans="1:12" x14ac:dyDescent="0.25">
      <c r="A500" t="s">
        <v>1510</v>
      </c>
      <c r="B500" t="s">
        <v>1511</v>
      </c>
      <c r="C500">
        <v>910</v>
      </c>
      <c r="D500" s="10">
        <v>44608</v>
      </c>
      <c r="E500">
        <v>345922.99</v>
      </c>
      <c r="F500">
        <v>345922.99</v>
      </c>
      <c r="G500">
        <v>221017.86</v>
      </c>
      <c r="H500">
        <v>221017.86</v>
      </c>
      <c r="I500">
        <v>45293.53</v>
      </c>
      <c r="J500">
        <v>45293.53</v>
      </c>
      <c r="K500">
        <v>67623.17</v>
      </c>
      <c r="L500">
        <v>11988.43</v>
      </c>
    </row>
    <row r="501" spans="1:12" x14ac:dyDescent="0.25">
      <c r="A501" t="s">
        <v>1512</v>
      </c>
      <c r="B501" t="s">
        <v>1513</v>
      </c>
      <c r="C501">
        <v>910</v>
      </c>
      <c r="D501" s="10">
        <v>44608</v>
      </c>
      <c r="E501">
        <v>345124.76</v>
      </c>
      <c r="F501">
        <v>345124.76</v>
      </c>
      <c r="G501">
        <v>283080.28000000003</v>
      </c>
      <c r="H501">
        <v>283080.28000000003</v>
      </c>
      <c r="I501">
        <v>41713.65</v>
      </c>
      <c r="J501">
        <v>41713.65</v>
      </c>
      <c r="K501">
        <v>20330.830000000002</v>
      </c>
    </row>
    <row r="502" spans="1:12" x14ac:dyDescent="0.25">
      <c r="A502" t="s">
        <v>85</v>
      </c>
      <c r="B502" t="s">
        <v>84</v>
      </c>
      <c r="C502">
        <v>909</v>
      </c>
      <c r="D502" s="10">
        <v>44609</v>
      </c>
      <c r="E502">
        <v>130802.94</v>
      </c>
      <c r="F502">
        <v>191678.36</v>
      </c>
      <c r="G502">
        <v>84770.39</v>
      </c>
      <c r="H502">
        <v>27373.39</v>
      </c>
      <c r="I502">
        <v>73911.41</v>
      </c>
      <c r="J502">
        <v>77389.83</v>
      </c>
      <c r="K502">
        <v>29518.14</v>
      </c>
    </row>
    <row r="503" spans="1:12" x14ac:dyDescent="0.25">
      <c r="A503" t="s">
        <v>1514</v>
      </c>
      <c r="B503" t="s">
        <v>1515</v>
      </c>
      <c r="C503">
        <v>908</v>
      </c>
      <c r="D503" s="10">
        <v>44610</v>
      </c>
      <c r="E503">
        <v>234195.41</v>
      </c>
      <c r="F503">
        <v>234195.41</v>
      </c>
      <c r="G503">
        <v>148567.23000000001</v>
      </c>
      <c r="H503">
        <v>148567.23000000001</v>
      </c>
      <c r="I503">
        <v>41583.94</v>
      </c>
      <c r="J503">
        <v>41583.94</v>
      </c>
      <c r="K503">
        <v>44044.24</v>
      </c>
    </row>
    <row r="504" spans="1:12" x14ac:dyDescent="0.25">
      <c r="A504" t="s">
        <v>1516</v>
      </c>
      <c r="B504" t="s">
        <v>1517</v>
      </c>
      <c r="C504">
        <v>907</v>
      </c>
      <c r="D504" s="10">
        <v>44611</v>
      </c>
      <c r="E504">
        <v>578361.67000000004</v>
      </c>
      <c r="F504">
        <v>578361.67000000004</v>
      </c>
      <c r="G504">
        <v>449305.93</v>
      </c>
      <c r="H504">
        <v>449305.93</v>
      </c>
      <c r="I504">
        <v>97514.46</v>
      </c>
      <c r="J504">
        <v>97514.46</v>
      </c>
      <c r="K504">
        <v>31541.279999999999</v>
      </c>
    </row>
    <row r="505" spans="1:12" x14ac:dyDescent="0.25">
      <c r="A505" t="s">
        <v>1518</v>
      </c>
      <c r="B505" t="s">
        <v>1519</v>
      </c>
      <c r="C505">
        <v>906</v>
      </c>
      <c r="D505" s="10">
        <v>44612</v>
      </c>
      <c r="E505">
        <v>253711.37</v>
      </c>
      <c r="F505">
        <v>253711.37</v>
      </c>
      <c r="G505">
        <v>188012.23</v>
      </c>
      <c r="H505">
        <v>188012.23</v>
      </c>
      <c r="I505">
        <v>52602.21</v>
      </c>
      <c r="J505">
        <v>52602.21</v>
      </c>
      <c r="K505">
        <v>13096.93</v>
      </c>
    </row>
    <row r="506" spans="1:12" x14ac:dyDescent="0.25">
      <c r="A506" t="s">
        <v>1520</v>
      </c>
      <c r="B506" t="s">
        <v>1521</v>
      </c>
      <c r="C506">
        <v>904</v>
      </c>
      <c r="D506" s="10">
        <v>44614</v>
      </c>
      <c r="E506">
        <v>269323.46999999997</v>
      </c>
      <c r="F506">
        <v>269323.46999999997</v>
      </c>
      <c r="G506">
        <v>195543.37</v>
      </c>
      <c r="H506">
        <v>195543.37</v>
      </c>
      <c r="I506">
        <v>21816.34</v>
      </c>
      <c r="J506">
        <v>21816.34</v>
      </c>
      <c r="K506">
        <v>51963.76</v>
      </c>
    </row>
    <row r="507" spans="1:12" x14ac:dyDescent="0.25">
      <c r="A507" t="s">
        <v>1522</v>
      </c>
      <c r="B507" t="s">
        <v>1523</v>
      </c>
      <c r="C507">
        <v>904</v>
      </c>
      <c r="D507" s="10">
        <v>44614</v>
      </c>
      <c r="E507">
        <v>84643.06</v>
      </c>
      <c r="F507">
        <v>84643.06</v>
      </c>
      <c r="G507">
        <v>67895.75</v>
      </c>
      <c r="H507">
        <v>67895.75</v>
      </c>
      <c r="I507">
        <v>12091.02</v>
      </c>
      <c r="J507">
        <v>12091.02</v>
      </c>
      <c r="K507">
        <v>4656.29</v>
      </c>
    </row>
    <row r="508" spans="1:12" x14ac:dyDescent="0.25">
      <c r="A508" t="s">
        <v>1524</v>
      </c>
      <c r="B508" t="s">
        <v>1525</v>
      </c>
      <c r="C508">
        <v>904</v>
      </c>
      <c r="D508" s="10">
        <v>44614</v>
      </c>
      <c r="E508">
        <v>220947.03</v>
      </c>
      <c r="F508">
        <v>220947.03</v>
      </c>
      <c r="G508">
        <v>168816.6</v>
      </c>
      <c r="H508">
        <v>168816.6</v>
      </c>
      <c r="I508">
        <v>40552.99</v>
      </c>
      <c r="J508">
        <v>40552.99</v>
      </c>
      <c r="K508">
        <v>11577.44</v>
      </c>
    </row>
    <row r="509" spans="1:12" x14ac:dyDescent="0.25">
      <c r="A509" t="s">
        <v>1526</v>
      </c>
      <c r="B509" t="s">
        <v>1527</v>
      </c>
      <c r="C509">
        <v>903</v>
      </c>
      <c r="D509" s="10">
        <v>44615</v>
      </c>
      <c r="E509">
        <v>482903.11</v>
      </c>
      <c r="F509">
        <v>482903.11</v>
      </c>
      <c r="G509">
        <v>260536.4</v>
      </c>
      <c r="H509">
        <v>260536.4</v>
      </c>
      <c r="K509">
        <v>222366.71</v>
      </c>
    </row>
    <row r="510" spans="1:12" x14ac:dyDescent="0.25">
      <c r="A510" t="s">
        <v>1528</v>
      </c>
      <c r="B510" t="s">
        <v>1529</v>
      </c>
      <c r="C510">
        <v>902</v>
      </c>
      <c r="D510" s="10">
        <v>44616</v>
      </c>
      <c r="E510">
        <v>18357.53</v>
      </c>
      <c r="F510">
        <v>18357.53</v>
      </c>
      <c r="G510">
        <v>13559.44</v>
      </c>
      <c r="H510">
        <v>13559.44</v>
      </c>
      <c r="I510">
        <v>3882.83</v>
      </c>
      <c r="J510">
        <v>3882.83</v>
      </c>
      <c r="K510">
        <v>915.26</v>
      </c>
    </row>
    <row r="511" spans="1:12" x14ac:dyDescent="0.25">
      <c r="A511" t="s">
        <v>1530</v>
      </c>
      <c r="B511" t="s">
        <v>1531</v>
      </c>
      <c r="C511">
        <v>902</v>
      </c>
      <c r="D511" s="10">
        <v>44616</v>
      </c>
      <c r="E511">
        <v>513587.05</v>
      </c>
      <c r="F511">
        <v>513587.05</v>
      </c>
      <c r="G511">
        <v>290917.65000000002</v>
      </c>
      <c r="H511">
        <v>290917.65000000002</v>
      </c>
      <c r="K511">
        <v>204738.51</v>
      </c>
      <c r="L511">
        <v>17930.89</v>
      </c>
    </row>
    <row r="512" spans="1:12" x14ac:dyDescent="0.25">
      <c r="A512" t="s">
        <v>1532</v>
      </c>
      <c r="B512" t="s">
        <v>1519</v>
      </c>
      <c r="C512">
        <v>901</v>
      </c>
      <c r="D512" s="10">
        <v>44617</v>
      </c>
      <c r="E512">
        <v>287904.3</v>
      </c>
      <c r="F512">
        <v>287904.3</v>
      </c>
      <c r="G512">
        <v>230479.84</v>
      </c>
      <c r="H512">
        <v>230479.84</v>
      </c>
      <c r="I512">
        <v>41991.53</v>
      </c>
      <c r="J512">
        <v>41991.53</v>
      </c>
      <c r="K512">
        <v>15432.93</v>
      </c>
    </row>
    <row r="513" spans="1:11" x14ac:dyDescent="0.25">
      <c r="A513" t="s">
        <v>1533</v>
      </c>
      <c r="B513" t="s">
        <v>1534</v>
      </c>
      <c r="C513">
        <v>901</v>
      </c>
      <c r="D513" s="10">
        <v>44617</v>
      </c>
      <c r="E513">
        <v>221601.18</v>
      </c>
      <c r="F513">
        <v>221601.18</v>
      </c>
      <c r="G513">
        <v>169768.2</v>
      </c>
      <c r="H513">
        <v>169768.2</v>
      </c>
      <c r="I513">
        <v>40465.300000000003</v>
      </c>
      <c r="J513">
        <v>40465.300000000003</v>
      </c>
      <c r="K513">
        <v>11367.68</v>
      </c>
    </row>
    <row r="514" spans="1:11" x14ac:dyDescent="0.25">
      <c r="A514" t="s">
        <v>1535</v>
      </c>
      <c r="B514" t="s">
        <v>1534</v>
      </c>
      <c r="C514">
        <v>901</v>
      </c>
      <c r="D514" s="10">
        <v>44617</v>
      </c>
      <c r="E514">
        <v>173544.82</v>
      </c>
      <c r="F514">
        <v>173544.82</v>
      </c>
      <c r="G514">
        <v>130000</v>
      </c>
      <c r="H514">
        <v>130000</v>
      </c>
      <c r="I514">
        <v>34840.019999999997</v>
      </c>
      <c r="J514">
        <v>34840.019999999997</v>
      </c>
      <c r="K514">
        <v>8704.7999999999993</v>
      </c>
    </row>
    <row r="515" spans="1:11" x14ac:dyDescent="0.25">
      <c r="A515" t="s">
        <v>1536</v>
      </c>
      <c r="B515" t="s">
        <v>1537</v>
      </c>
      <c r="C515">
        <v>901</v>
      </c>
      <c r="D515" s="10">
        <v>44617</v>
      </c>
      <c r="E515">
        <v>210348.02</v>
      </c>
      <c r="F515">
        <v>210348.02</v>
      </c>
      <c r="G515">
        <v>157374.98000000001</v>
      </c>
      <c r="H515">
        <v>157374.98000000001</v>
      </c>
      <c r="I515">
        <v>42435.21</v>
      </c>
      <c r="J515">
        <v>42435.21</v>
      </c>
      <c r="K515">
        <v>10537.83</v>
      </c>
    </row>
    <row r="516" spans="1:11" x14ac:dyDescent="0.25">
      <c r="A516" t="s">
        <v>1538</v>
      </c>
      <c r="B516" t="s">
        <v>1539</v>
      </c>
      <c r="C516">
        <v>901</v>
      </c>
      <c r="D516" s="10">
        <v>44617</v>
      </c>
      <c r="E516">
        <v>280487.65999999997</v>
      </c>
      <c r="F516">
        <v>280487.65999999997</v>
      </c>
      <c r="G516">
        <v>269513.53000000003</v>
      </c>
      <c r="H516">
        <v>269513.53000000003</v>
      </c>
      <c r="K516">
        <v>10974.13</v>
      </c>
    </row>
    <row r="517" spans="1:11" x14ac:dyDescent="0.25">
      <c r="A517" t="s">
        <v>1540</v>
      </c>
      <c r="B517" t="s">
        <v>1541</v>
      </c>
      <c r="C517">
        <v>900</v>
      </c>
      <c r="D517" s="10">
        <v>44618</v>
      </c>
      <c r="E517">
        <v>911886.2</v>
      </c>
      <c r="F517">
        <v>911886.2</v>
      </c>
      <c r="G517">
        <v>485590.5</v>
      </c>
      <c r="H517">
        <v>485590.5</v>
      </c>
      <c r="I517">
        <v>192586.54</v>
      </c>
      <c r="J517">
        <v>192586.54</v>
      </c>
      <c r="K517">
        <v>233709.16</v>
      </c>
    </row>
    <row r="518" spans="1:11" x14ac:dyDescent="0.25">
      <c r="A518" t="s">
        <v>1542</v>
      </c>
      <c r="B518" t="s">
        <v>1543</v>
      </c>
      <c r="C518">
        <v>898</v>
      </c>
      <c r="D518" s="10">
        <v>44620</v>
      </c>
      <c r="E518">
        <v>2896757.32</v>
      </c>
      <c r="F518">
        <v>2896757.32</v>
      </c>
      <c r="G518">
        <v>255257.44</v>
      </c>
      <c r="H518">
        <v>255257.44</v>
      </c>
      <c r="I518">
        <v>48184.22</v>
      </c>
      <c r="J518">
        <v>48184.22</v>
      </c>
      <c r="K518">
        <v>2593315.66</v>
      </c>
    </row>
    <row r="519" spans="1:11" x14ac:dyDescent="0.25">
      <c r="A519" t="s">
        <v>1544</v>
      </c>
      <c r="B519" t="s">
        <v>1508</v>
      </c>
      <c r="C519">
        <v>898</v>
      </c>
      <c r="D519" s="10">
        <v>44620</v>
      </c>
      <c r="E519">
        <v>134489.06</v>
      </c>
      <c r="F519">
        <v>134489.06</v>
      </c>
      <c r="G519">
        <v>117058.82</v>
      </c>
      <c r="H519">
        <v>117058.82</v>
      </c>
      <c r="I519">
        <v>9781.6200000000008</v>
      </c>
      <c r="J519">
        <v>9781.6200000000008</v>
      </c>
      <c r="K519">
        <v>7648.62</v>
      </c>
    </row>
    <row r="520" spans="1:11" x14ac:dyDescent="0.25">
      <c r="A520" t="s">
        <v>1545</v>
      </c>
      <c r="B520" t="s">
        <v>1537</v>
      </c>
      <c r="C520">
        <v>898</v>
      </c>
      <c r="D520" s="10">
        <v>44620</v>
      </c>
      <c r="E520">
        <v>724410.15</v>
      </c>
      <c r="F520">
        <v>724410.15</v>
      </c>
      <c r="G520">
        <v>583556.47</v>
      </c>
      <c r="H520">
        <v>583556.47</v>
      </c>
      <c r="I520">
        <v>102724.1</v>
      </c>
      <c r="J520">
        <v>102724.1</v>
      </c>
      <c r="K520">
        <v>38129.58</v>
      </c>
    </row>
    <row r="521" spans="1:11" x14ac:dyDescent="0.25">
      <c r="A521" t="s">
        <v>1546</v>
      </c>
      <c r="B521" t="s">
        <v>1547</v>
      </c>
      <c r="C521">
        <v>898</v>
      </c>
      <c r="D521" s="10">
        <v>44620</v>
      </c>
      <c r="E521">
        <v>1241563.54</v>
      </c>
      <c r="F521">
        <v>1241563.54</v>
      </c>
      <c r="G521">
        <v>992657.44</v>
      </c>
      <c r="H521">
        <v>992657.44</v>
      </c>
      <c r="I521">
        <v>184045.86</v>
      </c>
      <c r="J521">
        <v>184045.86</v>
      </c>
      <c r="K521">
        <v>64860.24</v>
      </c>
    </row>
    <row r="522" spans="1:11" x14ac:dyDescent="0.25">
      <c r="A522" t="s">
        <v>1548</v>
      </c>
      <c r="B522" t="s">
        <v>1549</v>
      </c>
      <c r="C522">
        <v>898</v>
      </c>
      <c r="D522" s="10">
        <v>44620</v>
      </c>
      <c r="E522">
        <v>1085577.21</v>
      </c>
      <c r="F522">
        <v>1085577.21</v>
      </c>
      <c r="G522">
        <v>894567.06</v>
      </c>
      <c r="H522">
        <v>894567.06</v>
      </c>
      <c r="I522">
        <v>183815.15</v>
      </c>
      <c r="J522">
        <v>183815.15</v>
      </c>
      <c r="K522">
        <v>7195</v>
      </c>
    </row>
    <row r="523" spans="1:11" x14ac:dyDescent="0.25">
      <c r="A523" t="s">
        <v>1550</v>
      </c>
      <c r="B523" t="s">
        <v>1551</v>
      </c>
      <c r="C523">
        <v>898</v>
      </c>
      <c r="D523" s="10">
        <v>44620</v>
      </c>
      <c r="E523">
        <v>145625.62</v>
      </c>
      <c r="F523">
        <v>145625.62</v>
      </c>
      <c r="G523">
        <v>110000</v>
      </c>
      <c r="H523">
        <v>110000</v>
      </c>
      <c r="I523">
        <v>32909.58</v>
      </c>
      <c r="J523">
        <v>32909.58</v>
      </c>
      <c r="K523">
        <v>2716.04</v>
      </c>
    </row>
    <row r="524" spans="1:11" x14ac:dyDescent="0.25">
      <c r="A524" t="s">
        <v>1552</v>
      </c>
      <c r="B524" t="s">
        <v>1553</v>
      </c>
      <c r="C524">
        <v>896</v>
      </c>
      <c r="D524" s="10">
        <v>44622</v>
      </c>
      <c r="E524">
        <v>2168059.58</v>
      </c>
      <c r="F524">
        <v>2168059.58</v>
      </c>
      <c r="G524">
        <v>189983.15</v>
      </c>
      <c r="H524">
        <v>189983.15</v>
      </c>
      <c r="I524">
        <v>34847.599999999999</v>
      </c>
      <c r="J524">
        <v>34847.599999999999</v>
      </c>
      <c r="K524">
        <v>1943228.83</v>
      </c>
    </row>
    <row r="525" spans="1:11" x14ac:dyDescent="0.25">
      <c r="A525" t="s">
        <v>1554</v>
      </c>
      <c r="B525" t="s">
        <v>1555</v>
      </c>
      <c r="C525">
        <v>896</v>
      </c>
      <c r="D525" s="10">
        <v>44622</v>
      </c>
      <c r="E525">
        <v>109698.3</v>
      </c>
      <c r="F525">
        <v>109698.3</v>
      </c>
      <c r="G525">
        <v>86699.6</v>
      </c>
      <c r="H525">
        <v>86699.6</v>
      </c>
      <c r="I525">
        <v>17427.38</v>
      </c>
      <c r="J525">
        <v>17427.38</v>
      </c>
      <c r="K525">
        <v>5571.32</v>
      </c>
    </row>
    <row r="526" spans="1:11" x14ac:dyDescent="0.25">
      <c r="A526" t="s">
        <v>1556</v>
      </c>
      <c r="B526" t="s">
        <v>1557</v>
      </c>
      <c r="C526">
        <v>892</v>
      </c>
      <c r="D526" s="10">
        <v>44626</v>
      </c>
      <c r="E526">
        <v>232111.59</v>
      </c>
      <c r="F526">
        <v>232111.59</v>
      </c>
      <c r="G526">
        <v>81525.179999999993</v>
      </c>
      <c r="H526">
        <v>81525.179999999993</v>
      </c>
      <c r="I526">
        <v>111365.62</v>
      </c>
      <c r="J526">
        <v>111365.62</v>
      </c>
      <c r="K526">
        <v>39220.79</v>
      </c>
    </row>
    <row r="527" spans="1:11" x14ac:dyDescent="0.25">
      <c r="A527" t="s">
        <v>1558</v>
      </c>
      <c r="B527" t="s">
        <v>1559</v>
      </c>
      <c r="C527">
        <v>888</v>
      </c>
      <c r="D527" s="10">
        <v>44630</v>
      </c>
      <c r="E527">
        <v>107393.11</v>
      </c>
      <c r="F527">
        <v>107393.11</v>
      </c>
      <c r="I527">
        <v>10511.96</v>
      </c>
      <c r="J527">
        <v>10511.96</v>
      </c>
      <c r="K527">
        <v>96881.15</v>
      </c>
    </row>
    <row r="528" spans="1:11" x14ac:dyDescent="0.25">
      <c r="A528" t="s">
        <v>1560</v>
      </c>
      <c r="B528" t="s">
        <v>1529</v>
      </c>
      <c r="C528">
        <v>886</v>
      </c>
      <c r="D528" s="10">
        <v>44632</v>
      </c>
      <c r="E528">
        <v>782720.84</v>
      </c>
      <c r="F528">
        <v>782720.84</v>
      </c>
      <c r="G528">
        <v>585600</v>
      </c>
      <c r="H528">
        <v>585600</v>
      </c>
      <c r="I528">
        <v>162652.42000000001</v>
      </c>
      <c r="J528">
        <v>162652.42000000001</v>
      </c>
      <c r="K528">
        <v>34468.42</v>
      </c>
    </row>
    <row r="529" spans="1:12" x14ac:dyDescent="0.25">
      <c r="A529" t="s">
        <v>1561</v>
      </c>
      <c r="B529" t="s">
        <v>1562</v>
      </c>
      <c r="C529">
        <v>886</v>
      </c>
      <c r="D529" s="10">
        <v>44632</v>
      </c>
      <c r="E529">
        <v>369867.04</v>
      </c>
      <c r="F529">
        <v>369867.04</v>
      </c>
      <c r="G529">
        <v>296850.77</v>
      </c>
      <c r="H529">
        <v>296850.77</v>
      </c>
      <c r="I529">
        <v>55543.63</v>
      </c>
      <c r="J529">
        <v>55543.63</v>
      </c>
      <c r="K529">
        <v>17472.64</v>
      </c>
    </row>
    <row r="530" spans="1:12" x14ac:dyDescent="0.25">
      <c r="A530" t="s">
        <v>1563</v>
      </c>
      <c r="B530" t="s">
        <v>1564</v>
      </c>
      <c r="C530">
        <v>886</v>
      </c>
      <c r="D530" s="10">
        <v>44632</v>
      </c>
      <c r="E530">
        <v>536324.46</v>
      </c>
      <c r="F530">
        <v>536324.46</v>
      </c>
      <c r="G530">
        <v>413095.75</v>
      </c>
      <c r="H530">
        <v>413095.75</v>
      </c>
      <c r="I530">
        <v>119390.32</v>
      </c>
      <c r="J530">
        <v>119390.32</v>
      </c>
      <c r="K530">
        <v>3838.39</v>
      </c>
    </row>
    <row r="531" spans="1:12" x14ac:dyDescent="0.25">
      <c r="A531" t="s">
        <v>1565</v>
      </c>
      <c r="B531" t="s">
        <v>1562</v>
      </c>
      <c r="C531">
        <v>882</v>
      </c>
      <c r="D531" s="10">
        <v>44636</v>
      </c>
      <c r="E531">
        <v>135442.16</v>
      </c>
      <c r="F531">
        <v>135442.16</v>
      </c>
      <c r="G531">
        <v>109325.25</v>
      </c>
      <c r="H531">
        <v>109325.25</v>
      </c>
      <c r="I531">
        <v>19918.169999999998</v>
      </c>
      <c r="J531">
        <v>19918.169999999998</v>
      </c>
      <c r="K531">
        <v>6198.74</v>
      </c>
    </row>
    <row r="532" spans="1:12" x14ac:dyDescent="0.25">
      <c r="A532" t="s">
        <v>1566</v>
      </c>
      <c r="B532" t="s">
        <v>1567</v>
      </c>
      <c r="C532">
        <v>881</v>
      </c>
      <c r="D532" s="10">
        <v>44637</v>
      </c>
      <c r="E532">
        <v>117663.15</v>
      </c>
      <c r="F532">
        <v>117663.15</v>
      </c>
      <c r="G532">
        <v>92548.6</v>
      </c>
      <c r="H532">
        <v>92548.6</v>
      </c>
      <c r="I532">
        <v>19917.02</v>
      </c>
      <c r="J532">
        <v>19917.02</v>
      </c>
      <c r="K532">
        <v>5197.53</v>
      </c>
    </row>
    <row r="533" spans="1:12" x14ac:dyDescent="0.25">
      <c r="A533" t="s">
        <v>1568</v>
      </c>
      <c r="B533" t="s">
        <v>1557</v>
      </c>
      <c r="C533">
        <v>880</v>
      </c>
      <c r="D533" s="10">
        <v>44638</v>
      </c>
      <c r="E533">
        <v>244637.68</v>
      </c>
      <c r="F533">
        <v>244637.68</v>
      </c>
      <c r="G533">
        <v>86951.96</v>
      </c>
      <c r="H533">
        <v>86951.96</v>
      </c>
      <c r="I533">
        <v>117063.54</v>
      </c>
      <c r="J533">
        <v>117063.54</v>
      </c>
      <c r="K533">
        <v>40622.18</v>
      </c>
    </row>
    <row r="534" spans="1:12" x14ac:dyDescent="0.25">
      <c r="A534" t="s">
        <v>1569</v>
      </c>
      <c r="B534" t="s">
        <v>1570</v>
      </c>
      <c r="C534">
        <v>878</v>
      </c>
      <c r="D534" s="10">
        <v>44640</v>
      </c>
      <c r="E534">
        <v>318985.53000000003</v>
      </c>
      <c r="F534">
        <v>318985.53000000003</v>
      </c>
      <c r="G534">
        <v>153752.76</v>
      </c>
      <c r="H534">
        <v>153752.76</v>
      </c>
      <c r="I534">
        <v>133131.68</v>
      </c>
      <c r="J534">
        <v>133131.68</v>
      </c>
      <c r="K534">
        <v>32101.09</v>
      </c>
    </row>
    <row r="535" spans="1:12" x14ac:dyDescent="0.25">
      <c r="A535" t="s">
        <v>1571</v>
      </c>
      <c r="B535" t="s">
        <v>1557</v>
      </c>
      <c r="C535">
        <v>877</v>
      </c>
      <c r="D535" s="10">
        <v>44641</v>
      </c>
      <c r="E535">
        <v>172693.21</v>
      </c>
      <c r="F535">
        <v>172693.21</v>
      </c>
      <c r="G535">
        <v>61346.76</v>
      </c>
      <c r="H535">
        <v>61346.76</v>
      </c>
      <c r="I535">
        <v>82288.710000000006</v>
      </c>
      <c r="J535">
        <v>82288.710000000006</v>
      </c>
      <c r="K535">
        <v>29057.74</v>
      </c>
    </row>
    <row r="536" spans="1:12" x14ac:dyDescent="0.25">
      <c r="A536" t="s">
        <v>1572</v>
      </c>
      <c r="B536" t="s">
        <v>1573</v>
      </c>
      <c r="C536">
        <v>877</v>
      </c>
      <c r="D536" s="10">
        <v>44641</v>
      </c>
      <c r="E536">
        <v>290545.06</v>
      </c>
      <c r="F536">
        <v>290545.06</v>
      </c>
      <c r="G536">
        <v>42862.02</v>
      </c>
      <c r="H536">
        <v>42862.02</v>
      </c>
      <c r="I536">
        <v>238801.5</v>
      </c>
      <c r="J536">
        <v>238801.5</v>
      </c>
      <c r="K536">
        <v>8881.5400000000009</v>
      </c>
    </row>
    <row r="537" spans="1:12" x14ac:dyDescent="0.25">
      <c r="A537" t="s">
        <v>1574</v>
      </c>
      <c r="B537" t="s">
        <v>1575</v>
      </c>
      <c r="C537">
        <v>875</v>
      </c>
      <c r="D537" s="10">
        <v>44643</v>
      </c>
      <c r="E537">
        <v>2838617.95</v>
      </c>
      <c r="F537">
        <v>2838617.95</v>
      </c>
      <c r="G537">
        <v>1382886.78</v>
      </c>
      <c r="H537">
        <v>1382886.78</v>
      </c>
      <c r="I537">
        <v>187542.18</v>
      </c>
      <c r="J537">
        <v>187542.18</v>
      </c>
      <c r="K537">
        <v>1268188.99</v>
      </c>
    </row>
    <row r="538" spans="1:12" x14ac:dyDescent="0.25">
      <c r="A538" t="s">
        <v>1576</v>
      </c>
      <c r="B538" t="s">
        <v>1555</v>
      </c>
      <c r="C538">
        <v>875</v>
      </c>
      <c r="D538" s="10">
        <v>44643</v>
      </c>
      <c r="E538">
        <v>106252.33</v>
      </c>
      <c r="F538">
        <v>106252.33</v>
      </c>
      <c r="G538">
        <v>86699.6</v>
      </c>
      <c r="H538">
        <v>86699.6</v>
      </c>
      <c r="I538">
        <v>14964.59</v>
      </c>
      <c r="J538">
        <v>14964.59</v>
      </c>
      <c r="K538">
        <v>4588.1400000000003</v>
      </c>
    </row>
    <row r="539" spans="1:12" x14ac:dyDescent="0.25">
      <c r="A539" t="s">
        <v>1577</v>
      </c>
      <c r="B539" t="s">
        <v>1578</v>
      </c>
      <c r="C539">
        <v>875</v>
      </c>
      <c r="D539" s="10">
        <v>44643</v>
      </c>
      <c r="E539">
        <v>118180.95</v>
      </c>
      <c r="F539">
        <v>118180.95</v>
      </c>
      <c r="G539">
        <v>105093.83</v>
      </c>
      <c r="H539">
        <v>105093.83</v>
      </c>
      <c r="I539">
        <v>7525.55</v>
      </c>
      <c r="J539">
        <v>7525.55</v>
      </c>
      <c r="K539">
        <v>5561.57</v>
      </c>
    </row>
    <row r="540" spans="1:12" x14ac:dyDescent="0.25">
      <c r="A540" t="s">
        <v>1579</v>
      </c>
      <c r="B540" t="s">
        <v>1580</v>
      </c>
      <c r="C540">
        <v>873</v>
      </c>
      <c r="D540" s="10">
        <v>44645</v>
      </c>
      <c r="E540">
        <v>15676.99</v>
      </c>
      <c r="F540">
        <v>15676.99</v>
      </c>
      <c r="I540">
        <v>9829.1299999999992</v>
      </c>
      <c r="J540">
        <v>9829.1299999999992</v>
      </c>
      <c r="K540">
        <v>5847.86</v>
      </c>
    </row>
    <row r="541" spans="1:12" x14ac:dyDescent="0.25">
      <c r="A541" t="s">
        <v>1581</v>
      </c>
      <c r="B541" t="s">
        <v>1582</v>
      </c>
      <c r="C541">
        <v>872</v>
      </c>
      <c r="D541" s="10">
        <v>44646</v>
      </c>
      <c r="E541">
        <v>1418894.26</v>
      </c>
      <c r="F541">
        <v>1418894.26</v>
      </c>
      <c r="G541">
        <v>868613.88</v>
      </c>
      <c r="H541">
        <v>868613.88</v>
      </c>
      <c r="I541">
        <v>152490.42000000001</v>
      </c>
      <c r="J541">
        <v>152490.42000000001</v>
      </c>
      <c r="K541">
        <v>397789.96</v>
      </c>
    </row>
    <row r="542" spans="1:12" x14ac:dyDescent="0.25">
      <c r="A542" t="s">
        <v>1583</v>
      </c>
      <c r="B542" t="s">
        <v>1584</v>
      </c>
      <c r="C542">
        <v>869</v>
      </c>
      <c r="D542" s="10">
        <v>44649</v>
      </c>
      <c r="E542">
        <v>985790.77</v>
      </c>
      <c r="F542">
        <v>985790.77</v>
      </c>
      <c r="G542">
        <v>729903.21</v>
      </c>
      <c r="H542">
        <v>729903.21</v>
      </c>
      <c r="I542">
        <v>54867.68</v>
      </c>
      <c r="J542">
        <v>54867.68</v>
      </c>
      <c r="K542">
        <v>201019.88</v>
      </c>
    </row>
    <row r="543" spans="1:12" x14ac:dyDescent="0.25">
      <c r="A543" t="s">
        <v>1585</v>
      </c>
      <c r="B543" t="s">
        <v>1586</v>
      </c>
      <c r="C543">
        <v>868</v>
      </c>
      <c r="D543" s="10">
        <v>44650</v>
      </c>
      <c r="E543">
        <v>299340.5</v>
      </c>
      <c r="F543">
        <v>299340.5</v>
      </c>
      <c r="G543">
        <v>186575.46</v>
      </c>
      <c r="H543">
        <v>186575.46</v>
      </c>
      <c r="I543">
        <v>15140.28</v>
      </c>
      <c r="J543">
        <v>15140.28</v>
      </c>
      <c r="K543">
        <v>85454.75</v>
      </c>
      <c r="L543">
        <v>12170.01</v>
      </c>
    </row>
    <row r="544" spans="1:12" x14ac:dyDescent="0.25">
      <c r="A544" t="s">
        <v>1587</v>
      </c>
      <c r="B544" t="s">
        <v>1588</v>
      </c>
      <c r="C544">
        <v>865</v>
      </c>
      <c r="D544" s="10">
        <v>44653</v>
      </c>
      <c r="E544">
        <v>287707.90999999997</v>
      </c>
      <c r="F544">
        <v>287707.90999999997</v>
      </c>
      <c r="G544">
        <v>245619.82</v>
      </c>
      <c r="H544">
        <v>245619.82</v>
      </c>
      <c r="I544">
        <v>33083.839999999997</v>
      </c>
      <c r="J544">
        <v>33083.839999999997</v>
      </c>
      <c r="K544">
        <v>9004.25</v>
      </c>
    </row>
    <row r="545" spans="1:12" x14ac:dyDescent="0.25">
      <c r="A545" t="s">
        <v>1589</v>
      </c>
      <c r="B545" t="s">
        <v>1590</v>
      </c>
      <c r="C545">
        <v>865</v>
      </c>
      <c r="D545" s="10">
        <v>44653</v>
      </c>
      <c r="E545">
        <v>53312.89</v>
      </c>
      <c r="F545">
        <v>53312.89</v>
      </c>
      <c r="K545">
        <v>47998.19</v>
      </c>
      <c r="L545">
        <v>5314.7</v>
      </c>
    </row>
    <row r="546" spans="1:12" x14ac:dyDescent="0.25">
      <c r="A546" t="s">
        <v>1591</v>
      </c>
      <c r="B546" t="s">
        <v>1592</v>
      </c>
      <c r="C546">
        <v>864</v>
      </c>
      <c r="D546" s="10">
        <v>44654</v>
      </c>
      <c r="E546">
        <v>669486.55000000005</v>
      </c>
      <c r="F546">
        <v>669486.55000000005</v>
      </c>
      <c r="G546">
        <v>463654.9</v>
      </c>
      <c r="H546">
        <v>463654.9</v>
      </c>
      <c r="I546">
        <v>79392.960000000006</v>
      </c>
      <c r="J546">
        <v>79392.960000000006</v>
      </c>
      <c r="K546">
        <v>126438.69</v>
      </c>
    </row>
    <row r="547" spans="1:12" x14ac:dyDescent="0.25">
      <c r="A547" t="s">
        <v>1593</v>
      </c>
      <c r="B547" t="s">
        <v>1594</v>
      </c>
      <c r="C547">
        <v>864</v>
      </c>
      <c r="D547" s="10">
        <v>44654</v>
      </c>
      <c r="E547">
        <v>262606.06</v>
      </c>
      <c r="F547">
        <v>262606.06</v>
      </c>
      <c r="G547">
        <v>180657.57</v>
      </c>
      <c r="H547">
        <v>180657.57</v>
      </c>
      <c r="I547">
        <v>19181.98</v>
      </c>
      <c r="J547">
        <v>19181.98</v>
      </c>
      <c r="K547">
        <v>51475.44</v>
      </c>
      <c r="L547">
        <v>11291.07</v>
      </c>
    </row>
    <row r="548" spans="1:12" x14ac:dyDescent="0.25">
      <c r="A548" t="s">
        <v>1595</v>
      </c>
      <c r="B548" t="s">
        <v>1580</v>
      </c>
      <c r="C548">
        <v>863</v>
      </c>
      <c r="D548" s="10">
        <v>44655</v>
      </c>
      <c r="E548">
        <v>8454.2999999999993</v>
      </c>
      <c r="F548">
        <v>8454.2999999999993</v>
      </c>
      <c r="I548">
        <v>4218.54</v>
      </c>
      <c r="J548">
        <v>4218.54</v>
      </c>
      <c r="K548">
        <v>4235.76</v>
      </c>
    </row>
    <row r="549" spans="1:12" x14ac:dyDescent="0.25">
      <c r="A549" t="s">
        <v>1596</v>
      </c>
      <c r="B549" t="s">
        <v>1590</v>
      </c>
      <c r="C549">
        <v>862</v>
      </c>
      <c r="D549" s="10">
        <v>44656</v>
      </c>
      <c r="E549">
        <v>156180.94</v>
      </c>
      <c r="F549">
        <v>156180.94</v>
      </c>
      <c r="G549">
        <v>101424</v>
      </c>
      <c r="H549">
        <v>101424</v>
      </c>
      <c r="K549">
        <v>49756.94</v>
      </c>
      <c r="L549">
        <v>5000</v>
      </c>
    </row>
    <row r="550" spans="1:12" x14ac:dyDescent="0.25">
      <c r="A550" t="s">
        <v>1597</v>
      </c>
      <c r="B550" t="s">
        <v>1598</v>
      </c>
      <c r="C550">
        <v>861</v>
      </c>
      <c r="D550" s="10">
        <v>44657</v>
      </c>
      <c r="E550">
        <v>226262.46</v>
      </c>
      <c r="F550">
        <v>226262.46</v>
      </c>
      <c r="G550">
        <v>143102.51</v>
      </c>
      <c r="H550">
        <v>143102.51</v>
      </c>
      <c r="I550">
        <v>16625.87</v>
      </c>
      <c r="J550">
        <v>16625.87</v>
      </c>
      <c r="K550">
        <v>66534.080000000002</v>
      </c>
    </row>
    <row r="551" spans="1:12" x14ac:dyDescent="0.25">
      <c r="A551" t="s">
        <v>1599</v>
      </c>
      <c r="B551" t="s">
        <v>1600</v>
      </c>
      <c r="C551">
        <v>860</v>
      </c>
      <c r="D551" s="10">
        <v>44658</v>
      </c>
      <c r="E551">
        <v>62482.83</v>
      </c>
      <c r="F551">
        <v>62482.83</v>
      </c>
      <c r="G551">
        <v>28964.38</v>
      </c>
      <c r="H551">
        <v>28964.38</v>
      </c>
      <c r="K551">
        <v>33518.449999999997</v>
      </c>
    </row>
    <row r="552" spans="1:12" x14ac:dyDescent="0.25">
      <c r="A552" t="s">
        <v>1601</v>
      </c>
      <c r="B552" t="s">
        <v>1602</v>
      </c>
      <c r="C552">
        <v>859</v>
      </c>
      <c r="D552" s="10">
        <v>44659</v>
      </c>
      <c r="E552">
        <v>134177.06</v>
      </c>
      <c r="F552">
        <v>134177.06</v>
      </c>
      <c r="G552">
        <v>78719.33</v>
      </c>
      <c r="H552">
        <v>78719.33</v>
      </c>
      <c r="I552">
        <v>13428.7</v>
      </c>
      <c r="J552">
        <v>13428.7</v>
      </c>
      <c r="K552">
        <v>32342.86</v>
      </c>
      <c r="L552">
        <v>9686.17</v>
      </c>
    </row>
    <row r="553" spans="1:12" x14ac:dyDescent="0.25">
      <c r="A553" t="s">
        <v>1603</v>
      </c>
      <c r="B553" t="s">
        <v>1598</v>
      </c>
      <c r="C553">
        <v>854</v>
      </c>
      <c r="D553" s="10">
        <v>44664</v>
      </c>
      <c r="E553">
        <v>75613.75</v>
      </c>
      <c r="F553">
        <v>75613.75</v>
      </c>
      <c r="K553">
        <v>75613.75</v>
      </c>
    </row>
    <row r="554" spans="1:12" x14ac:dyDescent="0.25">
      <c r="A554" t="s">
        <v>1604</v>
      </c>
      <c r="B554" t="s">
        <v>1605</v>
      </c>
      <c r="C554">
        <v>852</v>
      </c>
      <c r="D554" s="10">
        <v>44666</v>
      </c>
      <c r="E554">
        <v>211699.34</v>
      </c>
      <c r="F554">
        <v>211699.34</v>
      </c>
      <c r="G554">
        <v>92007.14</v>
      </c>
      <c r="H554">
        <v>92007.14</v>
      </c>
      <c r="K554">
        <v>119692.2</v>
      </c>
    </row>
    <row r="555" spans="1:12" x14ac:dyDescent="0.25">
      <c r="A555" t="s">
        <v>1606</v>
      </c>
      <c r="B555" t="s">
        <v>1590</v>
      </c>
      <c r="C555">
        <v>852</v>
      </c>
      <c r="D555" s="10">
        <v>44666</v>
      </c>
      <c r="E555">
        <v>353587.87</v>
      </c>
      <c r="F555">
        <v>353587.87</v>
      </c>
      <c r="G555">
        <v>226198.69</v>
      </c>
      <c r="H555">
        <v>226198.69</v>
      </c>
      <c r="I555">
        <v>62170.559999999998</v>
      </c>
      <c r="J555">
        <v>62170.559999999998</v>
      </c>
      <c r="K555">
        <v>60218.62</v>
      </c>
      <c r="L555">
        <v>5000</v>
      </c>
    </row>
    <row r="556" spans="1:12" x14ac:dyDescent="0.25">
      <c r="A556" t="s">
        <v>1607</v>
      </c>
      <c r="B556" t="s">
        <v>1608</v>
      </c>
      <c r="C556">
        <v>850</v>
      </c>
      <c r="D556" s="10">
        <v>44668</v>
      </c>
      <c r="E556">
        <v>711314.68</v>
      </c>
      <c r="F556">
        <v>711314.68</v>
      </c>
      <c r="G556">
        <v>429470.36</v>
      </c>
      <c r="H556">
        <v>429470.36</v>
      </c>
      <c r="I556">
        <v>84717.43</v>
      </c>
      <c r="J556">
        <v>84717.43</v>
      </c>
      <c r="K556">
        <v>197126.89</v>
      </c>
    </row>
    <row r="557" spans="1:12" x14ac:dyDescent="0.25">
      <c r="A557" t="s">
        <v>1609</v>
      </c>
      <c r="B557" t="s">
        <v>1610</v>
      </c>
      <c r="C557">
        <v>850</v>
      </c>
      <c r="D557" s="10">
        <v>44668</v>
      </c>
      <c r="E557">
        <v>545653.65</v>
      </c>
      <c r="F557">
        <v>545653.65</v>
      </c>
      <c r="G557">
        <v>347050.87</v>
      </c>
      <c r="H557">
        <v>347050.87</v>
      </c>
      <c r="K557">
        <v>198602.78</v>
      </c>
    </row>
    <row r="558" spans="1:12" x14ac:dyDescent="0.25">
      <c r="A558" t="s">
        <v>1611</v>
      </c>
      <c r="B558" t="s">
        <v>1590</v>
      </c>
      <c r="C558">
        <v>849</v>
      </c>
      <c r="D558" s="10">
        <v>44669</v>
      </c>
      <c r="E558">
        <v>282767.19</v>
      </c>
      <c r="F558">
        <v>282767.19</v>
      </c>
      <c r="G558">
        <v>183838.7</v>
      </c>
      <c r="H558">
        <v>183838.7</v>
      </c>
      <c r="I558">
        <v>45284.77</v>
      </c>
      <c r="J558">
        <v>45284.77</v>
      </c>
      <c r="K558">
        <v>48643.72</v>
      </c>
      <c r="L558">
        <v>5000</v>
      </c>
    </row>
    <row r="559" spans="1:12" x14ac:dyDescent="0.25">
      <c r="A559" t="s">
        <v>1612</v>
      </c>
      <c r="B559" t="s">
        <v>1613</v>
      </c>
      <c r="C559">
        <v>848</v>
      </c>
      <c r="D559" s="10">
        <v>44670</v>
      </c>
      <c r="E559">
        <v>51458.83</v>
      </c>
      <c r="F559">
        <v>51458.83</v>
      </c>
      <c r="G559">
        <v>30048.27</v>
      </c>
      <c r="H559">
        <v>30048.27</v>
      </c>
      <c r="I559">
        <v>6133.13</v>
      </c>
      <c r="J559">
        <v>6133.13</v>
      </c>
      <c r="K559">
        <v>7934.55</v>
      </c>
      <c r="L559">
        <v>7342.88</v>
      </c>
    </row>
    <row r="560" spans="1:12" x14ac:dyDescent="0.25">
      <c r="A560" t="s">
        <v>1614</v>
      </c>
      <c r="B560" t="s">
        <v>1615</v>
      </c>
      <c r="C560">
        <v>846</v>
      </c>
      <c r="D560" s="10">
        <v>44672</v>
      </c>
      <c r="E560">
        <v>61799.839999999997</v>
      </c>
      <c r="F560">
        <v>61799.839999999997</v>
      </c>
      <c r="G560">
        <v>27480.02</v>
      </c>
      <c r="H560">
        <v>27480.02</v>
      </c>
      <c r="I560">
        <v>6889.97</v>
      </c>
      <c r="J560">
        <v>6889.97</v>
      </c>
      <c r="K560">
        <v>27429.85</v>
      </c>
    </row>
    <row r="561" spans="1:12" x14ac:dyDescent="0.25">
      <c r="A561" t="s">
        <v>1616</v>
      </c>
      <c r="B561" t="s">
        <v>1617</v>
      </c>
      <c r="C561">
        <v>843</v>
      </c>
      <c r="D561" s="10">
        <v>44675</v>
      </c>
      <c r="E561">
        <v>304531.88</v>
      </c>
      <c r="F561">
        <v>304531.88</v>
      </c>
      <c r="G561">
        <v>69119.5</v>
      </c>
      <c r="H561">
        <v>69119.5</v>
      </c>
      <c r="I561">
        <v>128890.64</v>
      </c>
      <c r="J561">
        <v>128890.64</v>
      </c>
      <c r="K561">
        <v>93477.04</v>
      </c>
      <c r="L561">
        <v>13044.7</v>
      </c>
    </row>
    <row r="562" spans="1:12" x14ac:dyDescent="0.25">
      <c r="A562" t="s">
        <v>1618</v>
      </c>
      <c r="B562" t="s">
        <v>1619</v>
      </c>
      <c r="C562">
        <v>842</v>
      </c>
      <c r="D562" s="10">
        <v>44676</v>
      </c>
      <c r="E562">
        <v>40931.06</v>
      </c>
      <c r="F562">
        <v>40931.06</v>
      </c>
      <c r="G562">
        <v>22869.38</v>
      </c>
      <c r="H562">
        <v>22869.38</v>
      </c>
      <c r="I562">
        <v>7663.43</v>
      </c>
      <c r="J562">
        <v>7663.43</v>
      </c>
      <c r="K562">
        <v>10398.25</v>
      </c>
    </row>
    <row r="563" spans="1:12" x14ac:dyDescent="0.25">
      <c r="A563" t="s">
        <v>1620</v>
      </c>
      <c r="B563" t="s">
        <v>1541</v>
      </c>
      <c r="C563">
        <v>841</v>
      </c>
      <c r="D563" s="10">
        <v>44677</v>
      </c>
      <c r="E563">
        <v>663722.25</v>
      </c>
      <c r="F563">
        <v>663722.25</v>
      </c>
      <c r="G563">
        <v>386298.82</v>
      </c>
      <c r="H563">
        <v>386298.82</v>
      </c>
      <c r="I563">
        <v>100894.46</v>
      </c>
      <c r="J563">
        <v>100894.46</v>
      </c>
      <c r="K563">
        <v>176528.97</v>
      </c>
    </row>
    <row r="564" spans="1:12" x14ac:dyDescent="0.25">
      <c r="A564" t="s">
        <v>1621</v>
      </c>
      <c r="B564" t="s">
        <v>1622</v>
      </c>
      <c r="C564">
        <v>840</v>
      </c>
      <c r="D564" s="10">
        <v>44678</v>
      </c>
      <c r="E564">
        <v>1289857.3500000001</v>
      </c>
      <c r="F564">
        <v>1289857.3500000001</v>
      </c>
      <c r="G564">
        <v>849727.94</v>
      </c>
      <c r="H564">
        <v>849727.94</v>
      </c>
      <c r="I564">
        <v>75998.45</v>
      </c>
      <c r="J564">
        <v>75998.45</v>
      </c>
      <c r="K564">
        <v>364130.96</v>
      </c>
    </row>
    <row r="565" spans="1:12" x14ac:dyDescent="0.25">
      <c r="A565" t="s">
        <v>1623</v>
      </c>
      <c r="B565" t="s">
        <v>1624</v>
      </c>
      <c r="C565">
        <v>838</v>
      </c>
      <c r="D565" s="10">
        <v>44680</v>
      </c>
      <c r="E565">
        <v>552608.65</v>
      </c>
      <c r="F565">
        <v>552608.65</v>
      </c>
      <c r="G565">
        <v>227921.22</v>
      </c>
      <c r="H565">
        <v>227921.22</v>
      </c>
      <c r="K565">
        <v>324687.43</v>
      </c>
    </row>
    <row r="566" spans="1:12" x14ac:dyDescent="0.25">
      <c r="A566" t="s">
        <v>1625</v>
      </c>
      <c r="B566" t="s">
        <v>1626</v>
      </c>
      <c r="C566">
        <v>838</v>
      </c>
      <c r="D566" s="10">
        <v>44680</v>
      </c>
      <c r="E566">
        <v>872061.21</v>
      </c>
      <c r="F566">
        <v>872061.21</v>
      </c>
      <c r="G566">
        <v>520512.45</v>
      </c>
      <c r="H566">
        <v>520512.45</v>
      </c>
      <c r="K566">
        <v>351548.76</v>
      </c>
    </row>
    <row r="567" spans="1:12" x14ac:dyDescent="0.25">
      <c r="A567" t="s">
        <v>1627</v>
      </c>
      <c r="B567" t="s">
        <v>1628</v>
      </c>
      <c r="C567">
        <v>836</v>
      </c>
      <c r="D567" s="10">
        <v>44682</v>
      </c>
      <c r="E567">
        <v>478043.07</v>
      </c>
      <c r="F567">
        <v>478043.07</v>
      </c>
      <c r="G567">
        <v>317000.24</v>
      </c>
      <c r="H567">
        <v>317000.24</v>
      </c>
      <c r="I567">
        <v>17936.240000000002</v>
      </c>
      <c r="J567">
        <v>17936.240000000002</v>
      </c>
      <c r="K567">
        <v>143106.59</v>
      </c>
    </row>
    <row r="568" spans="1:12" x14ac:dyDescent="0.25">
      <c r="A568" t="s">
        <v>257</v>
      </c>
      <c r="B568" t="s">
        <v>256</v>
      </c>
      <c r="C568">
        <v>830</v>
      </c>
      <c r="D568" s="10">
        <v>44688</v>
      </c>
      <c r="E568">
        <v>1330884.9099999999</v>
      </c>
      <c r="F568">
        <v>1423821.6</v>
      </c>
      <c r="G568">
        <v>475359.11</v>
      </c>
      <c r="H568">
        <v>383688.23</v>
      </c>
      <c r="I568">
        <v>734140.72</v>
      </c>
      <c r="J568">
        <v>735406.53</v>
      </c>
      <c r="K568">
        <v>213055.96</v>
      </c>
    </row>
    <row r="569" spans="1:12" x14ac:dyDescent="0.25">
      <c r="A569" t="s">
        <v>1629</v>
      </c>
      <c r="B569" t="s">
        <v>1630</v>
      </c>
      <c r="C569">
        <v>826</v>
      </c>
      <c r="D569" s="10">
        <v>44692</v>
      </c>
      <c r="E569">
        <v>501324.77</v>
      </c>
      <c r="F569">
        <v>501324.77</v>
      </c>
      <c r="G569">
        <v>301632.03000000003</v>
      </c>
      <c r="H569">
        <v>301632.03000000003</v>
      </c>
      <c r="I569">
        <v>120702.39999999999</v>
      </c>
      <c r="J569">
        <v>120702.39999999999</v>
      </c>
      <c r="K569">
        <v>78990.34</v>
      </c>
    </row>
    <row r="570" spans="1:12" x14ac:dyDescent="0.25">
      <c r="A570" t="s">
        <v>1631</v>
      </c>
      <c r="B570" t="s">
        <v>1632</v>
      </c>
      <c r="C570">
        <v>826</v>
      </c>
      <c r="D570" s="10">
        <v>44692</v>
      </c>
      <c r="E570">
        <v>800497.1</v>
      </c>
      <c r="F570">
        <v>800497.1</v>
      </c>
      <c r="G570">
        <v>464844.35</v>
      </c>
      <c r="H570">
        <v>464844.35</v>
      </c>
      <c r="I570">
        <v>110090.02</v>
      </c>
      <c r="J570">
        <v>110090.02</v>
      </c>
      <c r="K570">
        <v>207088.16</v>
      </c>
      <c r="L570">
        <v>18474.57</v>
      </c>
    </row>
    <row r="571" spans="1:12" x14ac:dyDescent="0.25">
      <c r="A571" t="s">
        <v>1633</v>
      </c>
      <c r="B571" t="s">
        <v>1634</v>
      </c>
      <c r="C571">
        <v>823</v>
      </c>
      <c r="D571" s="10">
        <v>44695</v>
      </c>
      <c r="E571">
        <v>528555.57999999996</v>
      </c>
      <c r="F571">
        <v>528555.57999999996</v>
      </c>
      <c r="G571">
        <v>291242.32</v>
      </c>
      <c r="H571">
        <v>291242.32</v>
      </c>
      <c r="I571">
        <v>107879.35</v>
      </c>
      <c r="J571">
        <v>107879.35</v>
      </c>
      <c r="K571">
        <v>129433.91</v>
      </c>
    </row>
    <row r="572" spans="1:12" x14ac:dyDescent="0.25">
      <c r="A572" t="s">
        <v>1635</v>
      </c>
      <c r="B572" t="s">
        <v>1636</v>
      </c>
      <c r="C572">
        <v>822</v>
      </c>
      <c r="D572" s="10">
        <v>44696</v>
      </c>
      <c r="E572">
        <v>170640.97</v>
      </c>
      <c r="F572">
        <v>170640.97</v>
      </c>
      <c r="G572">
        <v>102269.77</v>
      </c>
      <c r="H572">
        <v>102269.77</v>
      </c>
      <c r="I572">
        <v>22975.7</v>
      </c>
      <c r="J572">
        <v>22975.7</v>
      </c>
      <c r="K572">
        <v>45395.5</v>
      </c>
    </row>
    <row r="573" spans="1:12" x14ac:dyDescent="0.25">
      <c r="A573" t="s">
        <v>274</v>
      </c>
      <c r="B573" t="s">
        <v>273</v>
      </c>
      <c r="C573">
        <v>821</v>
      </c>
      <c r="D573" s="10">
        <v>44697</v>
      </c>
      <c r="E573">
        <v>407968.43</v>
      </c>
      <c r="F573">
        <v>407968.43</v>
      </c>
      <c r="G573">
        <v>281706.62</v>
      </c>
      <c r="H573">
        <v>281706.62</v>
      </c>
      <c r="K573">
        <v>126261.81</v>
      </c>
    </row>
    <row r="574" spans="1:12" x14ac:dyDescent="0.25">
      <c r="A574" t="s">
        <v>1637</v>
      </c>
      <c r="B574" t="s">
        <v>1521</v>
      </c>
      <c r="C574">
        <v>819</v>
      </c>
      <c r="D574" s="10">
        <v>44699</v>
      </c>
      <c r="E574">
        <v>276865.57</v>
      </c>
      <c r="F574">
        <v>276865.57</v>
      </c>
      <c r="G574">
        <v>182060.65</v>
      </c>
      <c r="H574">
        <v>182060.65</v>
      </c>
      <c r="I574">
        <v>49581.05</v>
      </c>
      <c r="J574">
        <v>49581.05</v>
      </c>
      <c r="K574">
        <v>45223.87</v>
      </c>
    </row>
    <row r="575" spans="1:12" x14ac:dyDescent="0.25">
      <c r="A575" t="s">
        <v>1638</v>
      </c>
      <c r="B575" t="s">
        <v>1639</v>
      </c>
      <c r="C575">
        <v>812</v>
      </c>
      <c r="D575" s="10">
        <v>44706</v>
      </c>
      <c r="E575">
        <v>232727.95</v>
      </c>
      <c r="F575">
        <v>232727.95</v>
      </c>
      <c r="I575">
        <v>154486.75</v>
      </c>
      <c r="J575">
        <v>154486.75</v>
      </c>
      <c r="K575">
        <v>65275.46</v>
      </c>
      <c r="L575">
        <v>12965.74</v>
      </c>
    </row>
    <row r="576" spans="1:12" x14ac:dyDescent="0.25">
      <c r="A576" t="s">
        <v>1640</v>
      </c>
      <c r="B576" t="s">
        <v>1636</v>
      </c>
      <c r="C576">
        <v>812</v>
      </c>
      <c r="D576" s="10">
        <v>44706</v>
      </c>
      <c r="E576">
        <v>162760.69</v>
      </c>
      <c r="F576">
        <v>162760.69</v>
      </c>
      <c r="G576">
        <v>98676.39</v>
      </c>
      <c r="H576">
        <v>98676.39</v>
      </c>
      <c r="I576">
        <v>20816.68</v>
      </c>
      <c r="J576">
        <v>20816.68</v>
      </c>
      <c r="K576">
        <v>43267.62</v>
      </c>
    </row>
    <row r="577" spans="1:12" x14ac:dyDescent="0.25">
      <c r="A577" t="s">
        <v>1641</v>
      </c>
      <c r="B577" t="s">
        <v>1642</v>
      </c>
      <c r="C577">
        <v>812</v>
      </c>
      <c r="D577" s="10">
        <v>44706</v>
      </c>
      <c r="E577">
        <v>598824.53</v>
      </c>
      <c r="F577">
        <v>598824.53</v>
      </c>
      <c r="G577">
        <v>328244.65000000002</v>
      </c>
      <c r="H577">
        <v>328244.65000000002</v>
      </c>
      <c r="I577">
        <v>237338.23</v>
      </c>
      <c r="J577">
        <v>237338.23</v>
      </c>
      <c r="K577">
        <v>18205.41</v>
      </c>
      <c r="L577">
        <v>15036.24</v>
      </c>
    </row>
    <row r="578" spans="1:12" x14ac:dyDescent="0.25">
      <c r="A578" t="s">
        <v>1643</v>
      </c>
      <c r="B578" t="s">
        <v>1634</v>
      </c>
      <c r="C578">
        <v>811</v>
      </c>
      <c r="D578" s="10">
        <v>44707</v>
      </c>
      <c r="E578">
        <v>274564.59999999998</v>
      </c>
      <c r="F578">
        <v>274564.59999999998</v>
      </c>
      <c r="G578">
        <v>153701.38</v>
      </c>
      <c r="H578">
        <v>153701.38</v>
      </c>
      <c r="I578">
        <v>53551.24</v>
      </c>
      <c r="J578">
        <v>53551.24</v>
      </c>
      <c r="K578">
        <v>67311.98</v>
      </c>
    </row>
    <row r="579" spans="1:12" x14ac:dyDescent="0.25">
      <c r="A579" t="s">
        <v>1644</v>
      </c>
      <c r="B579" t="s">
        <v>1645</v>
      </c>
      <c r="C579">
        <v>811</v>
      </c>
      <c r="D579" s="10">
        <v>44707</v>
      </c>
      <c r="E579">
        <v>631252.85</v>
      </c>
      <c r="F579">
        <v>631252.85</v>
      </c>
      <c r="G579">
        <v>227762.38</v>
      </c>
      <c r="H579">
        <v>227762.38</v>
      </c>
      <c r="I579">
        <v>288634.21999999997</v>
      </c>
      <c r="J579">
        <v>288634.21999999997</v>
      </c>
      <c r="K579">
        <v>99746.25</v>
      </c>
      <c r="L579">
        <v>15110</v>
      </c>
    </row>
    <row r="580" spans="1:12" x14ac:dyDescent="0.25">
      <c r="A580" t="s">
        <v>1646</v>
      </c>
      <c r="B580" t="s">
        <v>1636</v>
      </c>
      <c r="C580">
        <v>810</v>
      </c>
      <c r="D580" s="10">
        <v>44708</v>
      </c>
      <c r="E580">
        <v>158867.4</v>
      </c>
      <c r="F580">
        <v>158867.4</v>
      </c>
      <c r="G580">
        <v>96539.59</v>
      </c>
      <c r="H580">
        <v>96539.59</v>
      </c>
      <c r="I580">
        <v>20101.400000000001</v>
      </c>
      <c r="J580">
        <v>20101.400000000001</v>
      </c>
      <c r="K580">
        <v>42226.41</v>
      </c>
    </row>
    <row r="581" spans="1:12" x14ac:dyDescent="0.25">
      <c r="A581" t="s">
        <v>1647</v>
      </c>
      <c r="B581" t="s">
        <v>1636</v>
      </c>
      <c r="C581">
        <v>809</v>
      </c>
      <c r="D581" s="10">
        <v>44709</v>
      </c>
      <c r="E581">
        <v>165209.92000000001</v>
      </c>
      <c r="F581">
        <v>165209.92000000001</v>
      </c>
      <c r="G581">
        <v>100510.42</v>
      </c>
      <c r="H581">
        <v>100510.42</v>
      </c>
      <c r="I581">
        <v>20790.52</v>
      </c>
      <c r="J581">
        <v>20790.52</v>
      </c>
      <c r="K581">
        <v>43908.98</v>
      </c>
    </row>
    <row r="582" spans="1:12" x14ac:dyDescent="0.25">
      <c r="A582" t="s">
        <v>1648</v>
      </c>
      <c r="B582" t="s">
        <v>1649</v>
      </c>
      <c r="C582">
        <v>807</v>
      </c>
      <c r="D582" s="10">
        <v>44711</v>
      </c>
      <c r="E582">
        <v>1096197.1000000001</v>
      </c>
      <c r="F582">
        <v>1096197.1000000001</v>
      </c>
      <c r="G582">
        <v>750359.09</v>
      </c>
      <c r="H582">
        <v>750359.09</v>
      </c>
      <c r="I582">
        <v>266825.2</v>
      </c>
      <c r="J582">
        <v>266825.2</v>
      </c>
      <c r="K582">
        <v>79012.81</v>
      </c>
    </row>
    <row r="583" spans="1:12" x14ac:dyDescent="0.25">
      <c r="A583" t="s">
        <v>1650</v>
      </c>
      <c r="B583" t="s">
        <v>1651</v>
      </c>
      <c r="C583">
        <v>805</v>
      </c>
      <c r="D583" s="10">
        <v>44713</v>
      </c>
      <c r="E583">
        <v>77593.789999999994</v>
      </c>
      <c r="F583">
        <v>77593.789999999994</v>
      </c>
      <c r="G583">
        <v>25248.14</v>
      </c>
      <c r="H583">
        <v>25248.14</v>
      </c>
      <c r="K583">
        <v>37558.49</v>
      </c>
      <c r="L583">
        <v>14787.16</v>
      </c>
    </row>
    <row r="584" spans="1:12" x14ac:dyDescent="0.25">
      <c r="A584" t="s">
        <v>1652</v>
      </c>
      <c r="B584" t="s">
        <v>1653</v>
      </c>
      <c r="C584">
        <v>803</v>
      </c>
      <c r="D584" s="10">
        <v>44715</v>
      </c>
      <c r="E584">
        <v>116670.2</v>
      </c>
      <c r="F584">
        <v>116670.2</v>
      </c>
      <c r="G584">
        <v>77027.12</v>
      </c>
      <c r="H584">
        <v>77027.12</v>
      </c>
      <c r="I584">
        <v>6241.28</v>
      </c>
      <c r="J584">
        <v>6241.28</v>
      </c>
      <c r="K584">
        <v>33401.800000000003</v>
      </c>
    </row>
    <row r="585" spans="1:12" x14ac:dyDescent="0.25">
      <c r="A585" t="s">
        <v>1654</v>
      </c>
      <c r="B585" t="s">
        <v>1636</v>
      </c>
      <c r="C585">
        <v>801</v>
      </c>
      <c r="D585" s="10">
        <v>44717</v>
      </c>
      <c r="E585">
        <v>166711.54999999999</v>
      </c>
      <c r="F585">
        <v>166711.54999999999</v>
      </c>
      <c r="G585">
        <v>102289.56</v>
      </c>
      <c r="H585">
        <v>102289.56</v>
      </c>
      <c r="I585">
        <v>20177.669999999998</v>
      </c>
      <c r="J585">
        <v>20177.669999999998</v>
      </c>
      <c r="K585">
        <v>44244.32</v>
      </c>
    </row>
    <row r="586" spans="1:12" x14ac:dyDescent="0.25">
      <c r="A586" t="s">
        <v>1655</v>
      </c>
      <c r="B586" t="s">
        <v>1656</v>
      </c>
      <c r="C586">
        <v>798</v>
      </c>
      <c r="D586" s="10">
        <v>44720</v>
      </c>
      <c r="E586">
        <v>159480.13</v>
      </c>
      <c r="F586">
        <v>159480.13</v>
      </c>
      <c r="G586">
        <v>95538.49</v>
      </c>
      <c r="H586">
        <v>95538.49</v>
      </c>
      <c r="I586">
        <v>22772.19</v>
      </c>
      <c r="J586">
        <v>22772.19</v>
      </c>
      <c r="K586">
        <v>41169.449999999997</v>
      </c>
    </row>
    <row r="587" spans="1:12" x14ac:dyDescent="0.25">
      <c r="A587" t="s">
        <v>1657</v>
      </c>
      <c r="B587" t="s">
        <v>1656</v>
      </c>
      <c r="C587">
        <v>795</v>
      </c>
      <c r="D587" s="10">
        <v>44723</v>
      </c>
      <c r="E587">
        <v>157335.06</v>
      </c>
      <c r="F587">
        <v>157335.06</v>
      </c>
      <c r="G587">
        <v>93530.64</v>
      </c>
      <c r="H587">
        <v>93530.64</v>
      </c>
      <c r="I587">
        <v>23651.71</v>
      </c>
      <c r="J587">
        <v>23651.71</v>
      </c>
      <c r="K587">
        <v>40152.71</v>
      </c>
    </row>
    <row r="588" spans="1:12" x14ac:dyDescent="0.25">
      <c r="A588" t="s">
        <v>1658</v>
      </c>
      <c r="B588" t="s">
        <v>1659</v>
      </c>
      <c r="C588">
        <v>794</v>
      </c>
      <c r="D588" s="10">
        <v>44724</v>
      </c>
      <c r="E588">
        <v>248390.25</v>
      </c>
      <c r="F588">
        <v>248390.25</v>
      </c>
      <c r="G588">
        <v>136126.84</v>
      </c>
      <c r="H588">
        <v>136126.84</v>
      </c>
      <c r="I588">
        <v>42068.800000000003</v>
      </c>
      <c r="J588">
        <v>42068.800000000003</v>
      </c>
      <c r="K588">
        <v>58365.74</v>
      </c>
      <c r="L588">
        <v>11828.87</v>
      </c>
    </row>
    <row r="589" spans="1:12" x14ac:dyDescent="0.25">
      <c r="A589" t="s">
        <v>1660</v>
      </c>
      <c r="B589" t="s">
        <v>1636</v>
      </c>
      <c r="C589">
        <v>794</v>
      </c>
      <c r="D589" s="10">
        <v>44724</v>
      </c>
      <c r="E589">
        <v>372932.12</v>
      </c>
      <c r="F589">
        <v>372932.12</v>
      </c>
      <c r="G589">
        <v>230713.27</v>
      </c>
      <c r="H589">
        <v>230713.27</v>
      </c>
      <c r="I589">
        <v>43298.23</v>
      </c>
      <c r="J589">
        <v>43298.23</v>
      </c>
      <c r="K589">
        <v>98920.62</v>
      </c>
    </row>
    <row r="590" spans="1:12" x14ac:dyDescent="0.25">
      <c r="A590" t="s">
        <v>1661</v>
      </c>
      <c r="B590" t="s">
        <v>1636</v>
      </c>
      <c r="C590">
        <v>794</v>
      </c>
      <c r="D590" s="10">
        <v>44724</v>
      </c>
      <c r="E590">
        <v>152522.66</v>
      </c>
      <c r="F590">
        <v>152522.66</v>
      </c>
      <c r="G590">
        <v>94357.66</v>
      </c>
      <c r="H590">
        <v>94357.66</v>
      </c>
      <c r="I590">
        <v>17708.2</v>
      </c>
      <c r="J590">
        <v>17708.2</v>
      </c>
      <c r="K590">
        <v>40456.800000000003</v>
      </c>
    </row>
    <row r="591" spans="1:12" x14ac:dyDescent="0.25">
      <c r="A591" t="s">
        <v>38</v>
      </c>
      <c r="B591" t="s">
        <v>37</v>
      </c>
      <c r="C591">
        <v>794</v>
      </c>
      <c r="D591" s="10">
        <v>44724</v>
      </c>
      <c r="E591">
        <v>835443.41</v>
      </c>
      <c r="F591">
        <v>835443.41</v>
      </c>
      <c r="G591">
        <v>443666.24</v>
      </c>
      <c r="H591">
        <v>443666.24</v>
      </c>
      <c r="I591">
        <v>180956.57</v>
      </c>
      <c r="J591">
        <v>180956.57</v>
      </c>
      <c r="K591">
        <v>210820.6</v>
      </c>
    </row>
    <row r="592" spans="1:12" x14ac:dyDescent="0.25">
      <c r="A592" t="s">
        <v>1662</v>
      </c>
      <c r="B592" t="s">
        <v>1634</v>
      </c>
      <c r="C592">
        <v>793</v>
      </c>
      <c r="D592" s="10">
        <v>44725</v>
      </c>
      <c r="E592">
        <v>255845.02</v>
      </c>
      <c r="F592">
        <v>255845.02</v>
      </c>
      <c r="G592">
        <v>147455.22</v>
      </c>
      <c r="H592">
        <v>147455.22</v>
      </c>
      <c r="I592">
        <v>45246.53</v>
      </c>
      <c r="J592">
        <v>45246.53</v>
      </c>
      <c r="K592">
        <v>63143.27</v>
      </c>
    </row>
    <row r="593" spans="1:12" x14ac:dyDescent="0.25">
      <c r="A593" t="s">
        <v>1663</v>
      </c>
      <c r="B593" t="s">
        <v>1653</v>
      </c>
      <c r="C593">
        <v>793</v>
      </c>
      <c r="D593" s="10">
        <v>44725</v>
      </c>
      <c r="E593">
        <v>155421.23000000001</v>
      </c>
      <c r="F593">
        <v>155421.23000000001</v>
      </c>
      <c r="G593">
        <v>88583.72</v>
      </c>
      <c r="H593">
        <v>88583.72</v>
      </c>
      <c r="I593">
        <v>16988.66</v>
      </c>
      <c r="J593">
        <v>16988.66</v>
      </c>
      <c r="K593">
        <v>37933.32</v>
      </c>
      <c r="L593">
        <v>11915.53</v>
      </c>
    </row>
    <row r="594" spans="1:12" x14ac:dyDescent="0.25">
      <c r="A594" t="s">
        <v>1664</v>
      </c>
      <c r="B594" t="s">
        <v>1656</v>
      </c>
      <c r="C594">
        <v>784</v>
      </c>
      <c r="D594" s="10">
        <v>44734</v>
      </c>
      <c r="E594">
        <v>155176.9</v>
      </c>
      <c r="F594">
        <v>155176.9</v>
      </c>
      <c r="G594">
        <v>94694.98</v>
      </c>
      <c r="H594">
        <v>94694.98</v>
      </c>
      <c r="I594">
        <v>20391.849999999999</v>
      </c>
      <c r="J594">
        <v>20391.849999999999</v>
      </c>
      <c r="K594">
        <v>40090.07</v>
      </c>
    </row>
    <row r="595" spans="1:12" x14ac:dyDescent="0.25">
      <c r="A595" t="s">
        <v>1665</v>
      </c>
      <c r="B595" t="s">
        <v>1666</v>
      </c>
      <c r="C595">
        <v>776</v>
      </c>
      <c r="D595" s="10">
        <v>44742</v>
      </c>
      <c r="E595">
        <v>810005.09</v>
      </c>
      <c r="F595">
        <v>810005.09</v>
      </c>
      <c r="G595">
        <v>478102.78</v>
      </c>
      <c r="H595">
        <v>478102.78</v>
      </c>
      <c r="I595">
        <v>131558.12</v>
      </c>
      <c r="J595">
        <v>131558.12</v>
      </c>
      <c r="K595">
        <v>200344.19</v>
      </c>
    </row>
    <row r="596" spans="1:12" x14ac:dyDescent="0.25">
      <c r="A596" t="s">
        <v>1667</v>
      </c>
      <c r="B596" t="s">
        <v>1668</v>
      </c>
      <c r="C596">
        <v>775</v>
      </c>
      <c r="D596" s="10">
        <v>44743</v>
      </c>
      <c r="E596">
        <v>574501.49</v>
      </c>
      <c r="F596">
        <v>574501.49</v>
      </c>
      <c r="G596">
        <v>341433.95</v>
      </c>
      <c r="H596">
        <v>341433.95</v>
      </c>
      <c r="I596">
        <v>69605.179999999993</v>
      </c>
      <c r="J596">
        <v>69605.179999999993</v>
      </c>
      <c r="K596">
        <v>142890.1</v>
      </c>
      <c r="L596">
        <v>20572.259999999998</v>
      </c>
    </row>
    <row r="597" spans="1:12" x14ac:dyDescent="0.25">
      <c r="A597" t="s">
        <v>219</v>
      </c>
      <c r="B597" t="s">
        <v>218</v>
      </c>
      <c r="C597">
        <v>774</v>
      </c>
      <c r="D597" s="10">
        <v>44744</v>
      </c>
      <c r="E597">
        <v>127145.3</v>
      </c>
      <c r="F597">
        <v>132065.60000000001</v>
      </c>
      <c r="G597">
        <v>68963.759999999995</v>
      </c>
      <c r="H597">
        <v>64043.46</v>
      </c>
      <c r="I597">
        <v>40274.839999999997</v>
      </c>
      <c r="J597">
        <v>40274.839999999997</v>
      </c>
      <c r="K597">
        <v>13247.83</v>
      </c>
      <c r="L597">
        <v>9579.17</v>
      </c>
    </row>
    <row r="598" spans="1:12" x14ac:dyDescent="0.25">
      <c r="A598" t="s">
        <v>1669</v>
      </c>
      <c r="B598" t="s">
        <v>1670</v>
      </c>
      <c r="C598">
        <v>774</v>
      </c>
      <c r="D598" s="10">
        <v>44744</v>
      </c>
      <c r="E598">
        <v>1058445.55</v>
      </c>
      <c r="F598">
        <v>1058445.55</v>
      </c>
      <c r="G598">
        <v>695054.08</v>
      </c>
      <c r="H598">
        <v>695054.08</v>
      </c>
      <c r="I598">
        <v>60070.19</v>
      </c>
      <c r="J598">
        <v>60070.19</v>
      </c>
      <c r="K598">
        <v>283211.73</v>
      </c>
      <c r="L598">
        <v>20109.55</v>
      </c>
    </row>
    <row r="599" spans="1:12" x14ac:dyDescent="0.25">
      <c r="A599" t="s">
        <v>229</v>
      </c>
      <c r="B599" t="s">
        <v>228</v>
      </c>
      <c r="C599">
        <v>773</v>
      </c>
      <c r="D599" s="10">
        <v>44745</v>
      </c>
      <c r="E599">
        <v>947222.09</v>
      </c>
      <c r="F599">
        <v>947222.09</v>
      </c>
      <c r="G599">
        <v>234354.87</v>
      </c>
      <c r="H599">
        <v>234354.87</v>
      </c>
      <c r="I599">
        <v>372250.38</v>
      </c>
      <c r="J599">
        <v>372250.38</v>
      </c>
      <c r="K599">
        <v>318378.5</v>
      </c>
      <c r="L599">
        <v>22238.34</v>
      </c>
    </row>
    <row r="600" spans="1:12" x14ac:dyDescent="0.25">
      <c r="A600" t="s">
        <v>1671</v>
      </c>
      <c r="B600" t="s">
        <v>1656</v>
      </c>
      <c r="C600">
        <v>769</v>
      </c>
      <c r="D600" s="10">
        <v>44749</v>
      </c>
      <c r="E600">
        <v>130350.35</v>
      </c>
      <c r="F600">
        <v>130350.35</v>
      </c>
      <c r="G600">
        <v>92760.7</v>
      </c>
      <c r="H600">
        <v>92760.7</v>
      </c>
      <c r="K600">
        <v>35589.65</v>
      </c>
      <c r="L600">
        <v>2000</v>
      </c>
    </row>
    <row r="601" spans="1:12" x14ac:dyDescent="0.25">
      <c r="A601" t="s">
        <v>1672</v>
      </c>
      <c r="B601" t="s">
        <v>1673</v>
      </c>
      <c r="C601">
        <v>767</v>
      </c>
      <c r="D601" s="10">
        <v>44751</v>
      </c>
      <c r="E601">
        <v>1355084.58</v>
      </c>
      <c r="F601">
        <v>1355084.58</v>
      </c>
      <c r="G601">
        <v>700000</v>
      </c>
      <c r="H601">
        <v>700000</v>
      </c>
      <c r="I601">
        <v>343535.99</v>
      </c>
      <c r="J601">
        <v>343535.99</v>
      </c>
      <c r="K601">
        <v>289926</v>
      </c>
      <c r="L601">
        <v>21622.59</v>
      </c>
    </row>
    <row r="602" spans="1:12" x14ac:dyDescent="0.25">
      <c r="A602" t="s">
        <v>1674</v>
      </c>
      <c r="B602" t="s">
        <v>1628</v>
      </c>
      <c r="C602">
        <v>765</v>
      </c>
      <c r="D602" s="10">
        <v>44753</v>
      </c>
      <c r="E602">
        <v>166519.72</v>
      </c>
      <c r="F602">
        <v>166519.72</v>
      </c>
      <c r="G602">
        <v>106391.85</v>
      </c>
      <c r="H602">
        <v>106391.85</v>
      </c>
      <c r="I602">
        <v>16177.4</v>
      </c>
      <c r="J602">
        <v>16177.4</v>
      </c>
      <c r="K602">
        <v>43950.47</v>
      </c>
    </row>
    <row r="603" spans="1:12" x14ac:dyDescent="0.25">
      <c r="A603" t="s">
        <v>1675</v>
      </c>
      <c r="B603" t="s">
        <v>1676</v>
      </c>
      <c r="C603">
        <v>761</v>
      </c>
      <c r="D603" s="10">
        <v>44757</v>
      </c>
      <c r="E603">
        <v>261460.75</v>
      </c>
      <c r="F603">
        <v>261460.75</v>
      </c>
      <c r="G603">
        <v>147031.49</v>
      </c>
      <c r="H603">
        <v>147031.49</v>
      </c>
      <c r="I603">
        <v>42251.49</v>
      </c>
      <c r="J603">
        <v>42251.49</v>
      </c>
      <c r="K603">
        <v>60333.54</v>
      </c>
      <c r="L603">
        <v>11844.23</v>
      </c>
    </row>
    <row r="604" spans="1:12" x14ac:dyDescent="0.25">
      <c r="A604" t="s">
        <v>179</v>
      </c>
      <c r="B604" t="s">
        <v>178</v>
      </c>
      <c r="C604">
        <v>748</v>
      </c>
      <c r="D604" s="10">
        <v>44770</v>
      </c>
      <c r="E604">
        <v>331925.39</v>
      </c>
      <c r="F604">
        <v>395372.47</v>
      </c>
      <c r="G604">
        <v>137796.93</v>
      </c>
      <c r="H604">
        <v>115677.91</v>
      </c>
      <c r="I604">
        <v>179817.28</v>
      </c>
      <c r="J604">
        <v>221145.34</v>
      </c>
      <c r="K604">
        <v>36430.199999999997</v>
      </c>
    </row>
    <row r="605" spans="1:12" x14ac:dyDescent="0.25">
      <c r="A605" t="s">
        <v>200</v>
      </c>
      <c r="B605" t="s">
        <v>199</v>
      </c>
      <c r="C605">
        <v>747</v>
      </c>
      <c r="D605" s="10">
        <v>44771</v>
      </c>
      <c r="E605">
        <v>837720.3</v>
      </c>
      <c r="F605">
        <v>837720.3</v>
      </c>
      <c r="G605">
        <v>494147.5</v>
      </c>
      <c r="H605">
        <v>494147.5</v>
      </c>
      <c r="I605">
        <v>122323.12</v>
      </c>
      <c r="J605">
        <v>122323.12</v>
      </c>
      <c r="K605">
        <v>199329.22</v>
      </c>
      <c r="L605">
        <v>21920.46</v>
      </c>
    </row>
    <row r="606" spans="1:12" x14ac:dyDescent="0.25">
      <c r="A606" t="s">
        <v>1677</v>
      </c>
      <c r="B606" t="s">
        <v>1678</v>
      </c>
      <c r="C606">
        <v>744</v>
      </c>
      <c r="D606" s="10">
        <v>44774</v>
      </c>
      <c r="E606">
        <v>1235800.6000000001</v>
      </c>
      <c r="F606">
        <v>1235800.6000000001</v>
      </c>
      <c r="G606">
        <v>750876.09</v>
      </c>
      <c r="H606">
        <v>750876.09</v>
      </c>
      <c r="I606">
        <v>149259.60999999999</v>
      </c>
      <c r="J606">
        <v>149259.60999999999</v>
      </c>
      <c r="K606">
        <v>335664.9</v>
      </c>
    </row>
    <row r="607" spans="1:12" x14ac:dyDescent="0.25">
      <c r="A607" t="s">
        <v>1679</v>
      </c>
      <c r="B607" t="s">
        <v>1680</v>
      </c>
      <c r="C607">
        <v>743</v>
      </c>
      <c r="D607" s="10">
        <v>44775</v>
      </c>
      <c r="E607">
        <v>135890.53</v>
      </c>
      <c r="F607">
        <v>135890.53</v>
      </c>
      <c r="G607">
        <v>107594.14</v>
      </c>
      <c r="H607">
        <v>107594.14</v>
      </c>
      <c r="I607">
        <v>16920.29</v>
      </c>
      <c r="J607">
        <v>16920.29</v>
      </c>
      <c r="K607">
        <v>11376.1</v>
      </c>
    </row>
    <row r="608" spans="1:12" x14ac:dyDescent="0.25">
      <c r="A608" t="s">
        <v>1681</v>
      </c>
      <c r="B608" t="s">
        <v>1682</v>
      </c>
      <c r="C608">
        <v>740</v>
      </c>
      <c r="D608" s="10">
        <v>44778</v>
      </c>
      <c r="E608">
        <v>559067.43000000005</v>
      </c>
      <c r="F608">
        <v>559067.43000000005</v>
      </c>
      <c r="G608">
        <v>62617.29</v>
      </c>
      <c r="H608">
        <v>62617.29</v>
      </c>
      <c r="I608">
        <v>3701.38</v>
      </c>
      <c r="J608">
        <v>3701.38</v>
      </c>
      <c r="K608">
        <v>475576.02</v>
      </c>
      <c r="L608">
        <v>17172.740000000002</v>
      </c>
    </row>
    <row r="609" spans="1:12" x14ac:dyDescent="0.25">
      <c r="A609" t="s">
        <v>1683</v>
      </c>
      <c r="B609" t="s">
        <v>1680</v>
      </c>
      <c r="C609">
        <v>739</v>
      </c>
      <c r="D609" s="10">
        <v>44779</v>
      </c>
      <c r="E609">
        <v>120632.76</v>
      </c>
      <c r="F609">
        <v>120632.76</v>
      </c>
      <c r="G609">
        <v>96312.13</v>
      </c>
      <c r="H609">
        <v>96312.13</v>
      </c>
      <c r="I609">
        <v>14407.23</v>
      </c>
      <c r="J609">
        <v>14407.23</v>
      </c>
      <c r="K609">
        <v>9913.4</v>
      </c>
    </row>
    <row r="610" spans="1:12" x14ac:dyDescent="0.25">
      <c r="A610" t="s">
        <v>1684</v>
      </c>
      <c r="B610" t="s">
        <v>1685</v>
      </c>
      <c r="C610">
        <v>737</v>
      </c>
      <c r="D610" s="10">
        <v>44781</v>
      </c>
      <c r="E610">
        <v>2322443.86</v>
      </c>
      <c r="F610">
        <v>2322443.86</v>
      </c>
      <c r="G610">
        <v>254579.72</v>
      </c>
      <c r="H610">
        <v>254579.72</v>
      </c>
      <c r="I610">
        <v>38082.36</v>
      </c>
      <c r="J610">
        <v>38082.36</v>
      </c>
      <c r="K610">
        <v>2029781.78</v>
      </c>
    </row>
    <row r="611" spans="1:12" x14ac:dyDescent="0.25">
      <c r="A611" t="s">
        <v>265</v>
      </c>
      <c r="B611" t="s">
        <v>264</v>
      </c>
      <c r="C611">
        <v>737</v>
      </c>
      <c r="D611" s="10">
        <v>44781</v>
      </c>
      <c r="E611">
        <v>179919.72</v>
      </c>
      <c r="F611">
        <v>179919.72</v>
      </c>
      <c r="G611">
        <v>118573.92</v>
      </c>
      <c r="H611">
        <v>118573.92</v>
      </c>
      <c r="I611">
        <v>3512.36</v>
      </c>
      <c r="J611">
        <v>3512.36</v>
      </c>
      <c r="K611">
        <v>47368.11</v>
      </c>
      <c r="L611">
        <v>10465.33</v>
      </c>
    </row>
    <row r="612" spans="1:12" x14ac:dyDescent="0.25">
      <c r="A612" t="s">
        <v>275</v>
      </c>
      <c r="B612" t="s">
        <v>199</v>
      </c>
      <c r="C612">
        <v>736</v>
      </c>
      <c r="D612" s="10">
        <v>44782</v>
      </c>
      <c r="E612">
        <v>764834.77</v>
      </c>
      <c r="F612">
        <v>764834.77</v>
      </c>
      <c r="G612">
        <v>422614.63</v>
      </c>
      <c r="H612">
        <v>422614.63</v>
      </c>
      <c r="I612">
        <v>174256.19</v>
      </c>
      <c r="J612">
        <v>174256.19</v>
      </c>
      <c r="K612">
        <v>167963.95</v>
      </c>
    </row>
    <row r="613" spans="1:12" x14ac:dyDescent="0.25">
      <c r="A613" t="s">
        <v>213</v>
      </c>
      <c r="B613" t="s">
        <v>212</v>
      </c>
      <c r="C613">
        <v>735</v>
      </c>
      <c r="D613" s="10">
        <v>44783</v>
      </c>
      <c r="E613">
        <v>571229.56000000006</v>
      </c>
      <c r="F613">
        <v>571229.56000000006</v>
      </c>
      <c r="G613">
        <v>344945.56</v>
      </c>
      <c r="H613">
        <v>344945.56</v>
      </c>
      <c r="I613">
        <v>89375.1</v>
      </c>
      <c r="J613">
        <v>89375.1</v>
      </c>
      <c r="K613">
        <v>136908.9</v>
      </c>
    </row>
    <row r="614" spans="1:12" x14ac:dyDescent="0.25">
      <c r="A614" t="s">
        <v>1686</v>
      </c>
      <c r="B614" t="s">
        <v>1687</v>
      </c>
      <c r="C614">
        <v>735</v>
      </c>
      <c r="D614" s="10">
        <v>44783</v>
      </c>
      <c r="E614">
        <v>344856.21</v>
      </c>
      <c r="F614">
        <v>344856.21</v>
      </c>
      <c r="G614">
        <v>200335.03</v>
      </c>
      <c r="H614">
        <v>200335.03</v>
      </c>
      <c r="I614">
        <v>52526.22</v>
      </c>
      <c r="J614">
        <v>52526.22</v>
      </c>
      <c r="K614">
        <v>79512.97</v>
      </c>
      <c r="L614">
        <v>12481.99</v>
      </c>
    </row>
    <row r="615" spans="1:12" x14ac:dyDescent="0.25">
      <c r="A615" t="s">
        <v>1688</v>
      </c>
      <c r="B615" t="s">
        <v>1685</v>
      </c>
      <c r="C615">
        <v>734</v>
      </c>
      <c r="D615" s="10">
        <v>44784</v>
      </c>
      <c r="E615">
        <v>781317.61</v>
      </c>
      <c r="F615">
        <v>781317.61</v>
      </c>
      <c r="G615">
        <v>86356.46</v>
      </c>
      <c r="H615">
        <v>86356.46</v>
      </c>
      <c r="I615">
        <v>12456.62</v>
      </c>
      <c r="J615">
        <v>12456.62</v>
      </c>
      <c r="K615">
        <v>682504.53</v>
      </c>
    </row>
    <row r="616" spans="1:12" x14ac:dyDescent="0.25">
      <c r="A616" t="s">
        <v>1689</v>
      </c>
      <c r="B616" t="s">
        <v>1685</v>
      </c>
      <c r="C616">
        <v>731</v>
      </c>
      <c r="D616" s="10">
        <v>44787</v>
      </c>
      <c r="E616">
        <v>2048318.16</v>
      </c>
      <c r="F616">
        <v>2048318.16</v>
      </c>
      <c r="G616">
        <v>227999.63</v>
      </c>
      <c r="H616">
        <v>227999.63</v>
      </c>
      <c r="I616">
        <v>31670.09</v>
      </c>
      <c r="J616">
        <v>31670.09</v>
      </c>
      <c r="K616">
        <v>1788648.44</v>
      </c>
    </row>
    <row r="617" spans="1:12" x14ac:dyDescent="0.25">
      <c r="A617" t="s">
        <v>83</v>
      </c>
      <c r="B617" t="s">
        <v>82</v>
      </c>
      <c r="C617">
        <v>728</v>
      </c>
      <c r="D617" s="10">
        <v>44790</v>
      </c>
      <c r="E617">
        <v>318455.09000000003</v>
      </c>
      <c r="F617">
        <v>318455.09000000003</v>
      </c>
      <c r="G617">
        <v>188883.75</v>
      </c>
      <c r="H617">
        <v>188883.75</v>
      </c>
      <c r="I617">
        <v>43210.38</v>
      </c>
      <c r="J617">
        <v>43210.38</v>
      </c>
      <c r="K617">
        <v>74253.98</v>
      </c>
      <c r="L617">
        <v>12106.98</v>
      </c>
    </row>
    <row r="618" spans="1:12" x14ac:dyDescent="0.25">
      <c r="A618" t="s">
        <v>1690</v>
      </c>
      <c r="B618" t="s">
        <v>1691</v>
      </c>
      <c r="C618">
        <v>728</v>
      </c>
      <c r="D618" s="10">
        <v>44790</v>
      </c>
      <c r="E618">
        <v>5614.92</v>
      </c>
      <c r="F618">
        <v>5614.92</v>
      </c>
      <c r="K618">
        <v>5614.92</v>
      </c>
    </row>
    <row r="619" spans="1:12" x14ac:dyDescent="0.25">
      <c r="A619" t="s">
        <v>109</v>
      </c>
      <c r="B619" t="s">
        <v>108</v>
      </c>
      <c r="C619">
        <v>724</v>
      </c>
      <c r="D619" s="10">
        <v>44794</v>
      </c>
      <c r="E619">
        <v>579374.88</v>
      </c>
      <c r="F619">
        <v>579374.88</v>
      </c>
      <c r="G619">
        <v>340495.15</v>
      </c>
      <c r="H619">
        <v>340495.15</v>
      </c>
      <c r="I619">
        <v>91152.88</v>
      </c>
      <c r="J619">
        <v>91152.88</v>
      </c>
      <c r="K619">
        <v>133119.98000000001</v>
      </c>
      <c r="L619">
        <v>14606.87</v>
      </c>
    </row>
    <row r="620" spans="1:12" x14ac:dyDescent="0.25">
      <c r="A620" t="s">
        <v>149</v>
      </c>
      <c r="B620" t="s">
        <v>148</v>
      </c>
      <c r="C620">
        <v>721</v>
      </c>
      <c r="D620" s="10">
        <v>44797</v>
      </c>
      <c r="E620">
        <v>1580350.21</v>
      </c>
      <c r="F620">
        <v>1580350.21</v>
      </c>
      <c r="G620">
        <v>966941.07</v>
      </c>
      <c r="H620">
        <v>966941.07</v>
      </c>
      <c r="I620">
        <v>211932.29</v>
      </c>
      <c r="J620">
        <v>211932.29</v>
      </c>
      <c r="K620">
        <v>376468.83</v>
      </c>
      <c r="L620">
        <v>25008.02</v>
      </c>
    </row>
    <row r="621" spans="1:12" x14ac:dyDescent="0.25">
      <c r="A621" t="s">
        <v>1692</v>
      </c>
      <c r="B621" t="s">
        <v>1685</v>
      </c>
      <c r="C621">
        <v>715</v>
      </c>
      <c r="D621" s="10">
        <v>44803</v>
      </c>
      <c r="E621">
        <v>467903.07</v>
      </c>
      <c r="F621">
        <v>467903.07</v>
      </c>
      <c r="G621">
        <v>50650.14</v>
      </c>
      <c r="H621">
        <v>50650.14</v>
      </c>
      <c r="I621">
        <v>5592.33</v>
      </c>
      <c r="J621">
        <v>5592.33</v>
      </c>
      <c r="K621">
        <v>390677.81</v>
      </c>
      <c r="L621">
        <v>20982.79</v>
      </c>
    </row>
    <row r="622" spans="1:12" x14ac:dyDescent="0.25">
      <c r="A622" t="s">
        <v>204</v>
      </c>
      <c r="B622" t="s">
        <v>203</v>
      </c>
      <c r="C622">
        <v>715</v>
      </c>
      <c r="D622" s="10">
        <v>44803</v>
      </c>
      <c r="E622">
        <v>308198.15999999997</v>
      </c>
      <c r="F622">
        <v>308198.15999999997</v>
      </c>
      <c r="G622">
        <v>161018.21</v>
      </c>
      <c r="H622">
        <v>161018.21</v>
      </c>
      <c r="K622">
        <v>132123.06</v>
      </c>
      <c r="L622">
        <v>15056.89</v>
      </c>
    </row>
    <row r="623" spans="1:12" x14ac:dyDescent="0.25">
      <c r="A623" t="s">
        <v>1693</v>
      </c>
      <c r="B623" t="s">
        <v>1694</v>
      </c>
      <c r="C623">
        <v>711</v>
      </c>
      <c r="D623" s="10">
        <v>44807</v>
      </c>
      <c r="E623">
        <v>1971289.08</v>
      </c>
      <c r="F623">
        <v>1971289.08</v>
      </c>
      <c r="G623">
        <v>252337.44</v>
      </c>
      <c r="H623">
        <v>252337.44</v>
      </c>
      <c r="I623">
        <v>25841.279999999999</v>
      </c>
      <c r="J623">
        <v>25841.279999999999</v>
      </c>
      <c r="K623">
        <v>1686722.11</v>
      </c>
      <c r="L623">
        <v>6388.25</v>
      </c>
    </row>
    <row r="624" spans="1:12" x14ac:dyDescent="0.25">
      <c r="A624" t="s">
        <v>1695</v>
      </c>
      <c r="B624" t="s">
        <v>1673</v>
      </c>
      <c r="C624">
        <v>705</v>
      </c>
      <c r="D624" s="10">
        <v>44813</v>
      </c>
      <c r="E624">
        <v>58144.21</v>
      </c>
      <c r="F624">
        <v>58144.21</v>
      </c>
      <c r="G624">
        <v>32041.16</v>
      </c>
      <c r="H624">
        <v>32041.16</v>
      </c>
      <c r="I624">
        <v>13904.98</v>
      </c>
      <c r="J624">
        <v>13904.98</v>
      </c>
      <c r="K624">
        <v>12198.07</v>
      </c>
    </row>
    <row r="625" spans="1:12" x14ac:dyDescent="0.25">
      <c r="A625" t="s">
        <v>270</v>
      </c>
      <c r="B625" t="s">
        <v>269</v>
      </c>
      <c r="C625">
        <v>705</v>
      </c>
      <c r="D625" s="10">
        <v>44813</v>
      </c>
      <c r="E625">
        <v>1480115.41</v>
      </c>
      <c r="F625">
        <v>1480115.41</v>
      </c>
      <c r="G625">
        <v>915534.29</v>
      </c>
      <c r="H625">
        <v>915534.29</v>
      </c>
      <c r="I625">
        <v>184032.38</v>
      </c>
      <c r="J625">
        <v>184032.38</v>
      </c>
      <c r="K625">
        <v>359613.82</v>
      </c>
      <c r="L625">
        <v>20934.919999999998</v>
      </c>
    </row>
    <row r="626" spans="1:12" x14ac:dyDescent="0.25">
      <c r="A626" t="s">
        <v>1696</v>
      </c>
      <c r="B626" t="s">
        <v>1697</v>
      </c>
      <c r="C626">
        <v>700</v>
      </c>
      <c r="D626" s="10">
        <v>44818</v>
      </c>
      <c r="E626">
        <v>2235573.7599999998</v>
      </c>
      <c r="F626">
        <v>2235573.7599999998</v>
      </c>
      <c r="G626">
        <v>254968.95</v>
      </c>
      <c r="H626">
        <v>254968.95</v>
      </c>
      <c r="I626">
        <v>60113.55</v>
      </c>
      <c r="J626">
        <v>60113.55</v>
      </c>
      <c r="K626">
        <v>1920491.26</v>
      </c>
    </row>
    <row r="627" spans="1:12" x14ac:dyDescent="0.25">
      <c r="A627" t="s">
        <v>57</v>
      </c>
      <c r="B627" t="s">
        <v>56</v>
      </c>
      <c r="C627">
        <v>700</v>
      </c>
      <c r="D627" s="10">
        <v>44818</v>
      </c>
      <c r="E627">
        <v>114370.68</v>
      </c>
      <c r="F627">
        <v>114370.68</v>
      </c>
      <c r="I627">
        <v>35010.160000000003</v>
      </c>
      <c r="J627">
        <v>35010.160000000003</v>
      </c>
      <c r="K627">
        <v>79360.52</v>
      </c>
    </row>
    <row r="628" spans="1:12" x14ac:dyDescent="0.25">
      <c r="A628" t="s">
        <v>1698</v>
      </c>
      <c r="B628" t="s">
        <v>1699</v>
      </c>
      <c r="C628">
        <v>697</v>
      </c>
      <c r="D628" s="10">
        <v>44821</v>
      </c>
      <c r="E628">
        <v>150270.04999999999</v>
      </c>
      <c r="F628">
        <v>150270.04999999999</v>
      </c>
      <c r="G628">
        <v>84396.97</v>
      </c>
      <c r="H628">
        <v>84396.97</v>
      </c>
      <c r="I628">
        <v>14465.75</v>
      </c>
      <c r="J628">
        <v>14465.75</v>
      </c>
      <c r="K628">
        <v>31765.33</v>
      </c>
      <c r="L628">
        <v>19642</v>
      </c>
    </row>
    <row r="629" spans="1:12" x14ac:dyDescent="0.25">
      <c r="A629" t="s">
        <v>1700</v>
      </c>
      <c r="B629" t="s">
        <v>1668</v>
      </c>
      <c r="C629">
        <v>692</v>
      </c>
      <c r="D629" s="10">
        <v>44826</v>
      </c>
      <c r="E629">
        <v>609354.31000000006</v>
      </c>
      <c r="F629">
        <v>609354.31000000006</v>
      </c>
      <c r="G629">
        <v>422557.17</v>
      </c>
      <c r="H629">
        <v>422557.17</v>
      </c>
      <c r="I629">
        <v>28895.97</v>
      </c>
      <c r="J629">
        <v>28895.97</v>
      </c>
      <c r="K629">
        <v>157901.17000000001</v>
      </c>
    </row>
    <row r="630" spans="1:12" x14ac:dyDescent="0.25">
      <c r="A630" t="s">
        <v>1701</v>
      </c>
      <c r="B630" t="s">
        <v>1702</v>
      </c>
      <c r="C630">
        <v>691</v>
      </c>
      <c r="D630" s="10">
        <v>44827</v>
      </c>
      <c r="E630">
        <v>198424.88</v>
      </c>
      <c r="F630">
        <v>198424.88</v>
      </c>
      <c r="G630">
        <v>98003.53</v>
      </c>
      <c r="H630">
        <v>98003.53</v>
      </c>
      <c r="I630">
        <v>53206.239999999998</v>
      </c>
      <c r="J630">
        <v>53206.239999999998</v>
      </c>
      <c r="K630">
        <v>36739.300000000003</v>
      </c>
      <c r="L630">
        <v>10475.81</v>
      </c>
    </row>
    <row r="631" spans="1:12" x14ac:dyDescent="0.25">
      <c r="A631" t="s">
        <v>26</v>
      </c>
      <c r="B631" t="s">
        <v>25</v>
      </c>
      <c r="C631">
        <v>690</v>
      </c>
      <c r="D631" s="10">
        <v>44828</v>
      </c>
      <c r="E631">
        <v>855135.42</v>
      </c>
      <c r="F631">
        <v>855135.42</v>
      </c>
      <c r="G631">
        <v>510538.93</v>
      </c>
      <c r="H631">
        <v>510538.93</v>
      </c>
      <c r="I631">
        <v>144269.68</v>
      </c>
      <c r="J631">
        <v>144269.68</v>
      </c>
      <c r="K631">
        <v>190226.81</v>
      </c>
      <c r="L631">
        <v>10100</v>
      </c>
    </row>
    <row r="632" spans="1:12" x14ac:dyDescent="0.25">
      <c r="A632" t="s">
        <v>143</v>
      </c>
      <c r="B632" t="s">
        <v>142</v>
      </c>
      <c r="C632">
        <v>690</v>
      </c>
      <c r="D632" s="10">
        <v>44828</v>
      </c>
      <c r="E632">
        <v>890113.84</v>
      </c>
      <c r="F632">
        <v>890113.84</v>
      </c>
      <c r="G632">
        <v>575064.78</v>
      </c>
      <c r="H632">
        <v>575064.78</v>
      </c>
      <c r="I632">
        <v>100779.92</v>
      </c>
      <c r="J632">
        <v>100779.92</v>
      </c>
      <c r="K632">
        <v>214269.14</v>
      </c>
    </row>
    <row r="633" spans="1:12" x14ac:dyDescent="0.25">
      <c r="A633" t="s">
        <v>1703</v>
      </c>
      <c r="B633" t="s">
        <v>1680</v>
      </c>
      <c r="C633">
        <v>689</v>
      </c>
      <c r="D633" s="10">
        <v>44829</v>
      </c>
      <c r="E633">
        <v>100983.26</v>
      </c>
      <c r="F633">
        <v>100983.26</v>
      </c>
      <c r="G633">
        <v>79192.86</v>
      </c>
      <c r="H633">
        <v>79192.86</v>
      </c>
      <c r="I633">
        <v>14157.07</v>
      </c>
      <c r="J633">
        <v>14157.07</v>
      </c>
      <c r="K633">
        <v>7633.33</v>
      </c>
    </row>
    <row r="634" spans="1:12" x14ac:dyDescent="0.25">
      <c r="A634" t="s">
        <v>1704</v>
      </c>
      <c r="B634" t="s">
        <v>25</v>
      </c>
      <c r="C634">
        <v>686</v>
      </c>
      <c r="D634" s="10">
        <v>44832</v>
      </c>
      <c r="E634">
        <v>254387.21</v>
      </c>
      <c r="F634">
        <v>254387.21</v>
      </c>
      <c r="G634">
        <v>146529.69</v>
      </c>
      <c r="H634">
        <v>146529.69</v>
      </c>
      <c r="I634">
        <v>43657.81</v>
      </c>
      <c r="J634">
        <v>43657.81</v>
      </c>
      <c r="K634">
        <v>54280.46</v>
      </c>
      <c r="L634">
        <v>9919.25</v>
      </c>
    </row>
    <row r="635" spans="1:12" x14ac:dyDescent="0.25">
      <c r="A635" t="s">
        <v>1705</v>
      </c>
      <c r="B635" t="s">
        <v>1680</v>
      </c>
      <c r="C635">
        <v>684</v>
      </c>
      <c r="D635" s="10">
        <v>44834</v>
      </c>
      <c r="E635">
        <v>125995.57</v>
      </c>
      <c r="F635">
        <v>125995.57</v>
      </c>
      <c r="G635">
        <v>98821.17</v>
      </c>
      <c r="H635">
        <v>98821.17</v>
      </c>
      <c r="I635">
        <v>17056.8</v>
      </c>
      <c r="J635">
        <v>17056.8</v>
      </c>
      <c r="K635">
        <v>10117.6</v>
      </c>
    </row>
    <row r="636" spans="1:12" x14ac:dyDescent="0.25">
      <c r="A636" t="s">
        <v>1706</v>
      </c>
      <c r="B636" t="s">
        <v>1707</v>
      </c>
      <c r="C636">
        <v>683</v>
      </c>
      <c r="D636" s="10">
        <v>44835</v>
      </c>
      <c r="E636">
        <v>6263309.0199999996</v>
      </c>
      <c r="F636">
        <v>6263309.0199999996</v>
      </c>
      <c r="G636">
        <v>761323.76</v>
      </c>
      <c r="H636">
        <v>761323.76</v>
      </c>
      <c r="I636">
        <v>126049.61</v>
      </c>
      <c r="J636">
        <v>126049.61</v>
      </c>
      <c r="K636">
        <v>5361056.5999999996</v>
      </c>
      <c r="L636">
        <v>14879.05</v>
      </c>
    </row>
    <row r="637" spans="1:12" x14ac:dyDescent="0.25">
      <c r="A637" t="s">
        <v>255</v>
      </c>
      <c r="B637" t="s">
        <v>74</v>
      </c>
      <c r="C637">
        <v>677</v>
      </c>
      <c r="D637" s="10">
        <v>44841</v>
      </c>
      <c r="E637">
        <v>126873.68</v>
      </c>
      <c r="F637">
        <v>257520.59</v>
      </c>
      <c r="G637">
        <v>107547.4</v>
      </c>
      <c r="H637">
        <v>13406.3</v>
      </c>
      <c r="I637">
        <v>85126.48</v>
      </c>
      <c r="J637">
        <v>121632.29</v>
      </c>
      <c r="K637">
        <v>28340.9</v>
      </c>
    </row>
    <row r="638" spans="1:12" x14ac:dyDescent="0.25">
      <c r="A638" t="s">
        <v>1708</v>
      </c>
      <c r="B638" t="s">
        <v>1709</v>
      </c>
      <c r="C638">
        <v>670</v>
      </c>
      <c r="D638" s="10">
        <v>44848</v>
      </c>
      <c r="E638">
        <v>47379.55</v>
      </c>
      <c r="F638">
        <v>47379.55</v>
      </c>
      <c r="G638">
        <v>35828.65</v>
      </c>
      <c r="H638">
        <v>35828.65</v>
      </c>
      <c r="K638">
        <v>11550.9</v>
      </c>
    </row>
    <row r="639" spans="1:12" x14ac:dyDescent="0.25">
      <c r="A639" t="s">
        <v>63</v>
      </c>
      <c r="B639" t="s">
        <v>62</v>
      </c>
      <c r="C639">
        <v>669</v>
      </c>
      <c r="D639" s="10">
        <v>44849</v>
      </c>
      <c r="E639">
        <v>21830.799999999999</v>
      </c>
      <c r="F639">
        <v>191328.74</v>
      </c>
      <c r="G639">
        <v>159779.82</v>
      </c>
      <c r="J639">
        <v>9718.1200000000008</v>
      </c>
      <c r="K639">
        <v>21830.799999999999</v>
      </c>
    </row>
    <row r="640" spans="1:12" x14ac:dyDescent="0.25">
      <c r="A640" t="s">
        <v>75</v>
      </c>
      <c r="B640" t="s">
        <v>74</v>
      </c>
      <c r="C640">
        <v>667</v>
      </c>
      <c r="D640" s="10">
        <v>44851</v>
      </c>
      <c r="E640">
        <v>128774.6</v>
      </c>
      <c r="F640">
        <v>300810.34000000003</v>
      </c>
      <c r="G640">
        <v>130577.68</v>
      </c>
      <c r="H640">
        <v>13207.17</v>
      </c>
      <c r="I640">
        <v>83978.08</v>
      </c>
      <c r="J640">
        <v>138643.31</v>
      </c>
      <c r="K640">
        <v>31589.35</v>
      </c>
    </row>
    <row r="641" spans="1:12" x14ac:dyDescent="0.25">
      <c r="A641" t="s">
        <v>1710</v>
      </c>
      <c r="B641" t="s">
        <v>1711</v>
      </c>
      <c r="C641">
        <v>658</v>
      </c>
      <c r="D641" s="10">
        <v>44860</v>
      </c>
      <c r="E641">
        <v>378950.67</v>
      </c>
      <c r="F641">
        <v>378950.67</v>
      </c>
      <c r="G641">
        <v>243347.98</v>
      </c>
      <c r="H641">
        <v>243347.98</v>
      </c>
      <c r="I641">
        <v>49136.29</v>
      </c>
      <c r="J641">
        <v>49136.29</v>
      </c>
      <c r="K641">
        <v>86466.4</v>
      </c>
    </row>
    <row r="642" spans="1:12" x14ac:dyDescent="0.25">
      <c r="A642" t="s">
        <v>186</v>
      </c>
      <c r="B642" t="s">
        <v>185</v>
      </c>
      <c r="C642">
        <v>656</v>
      </c>
      <c r="D642" s="10">
        <v>44862</v>
      </c>
      <c r="E642">
        <v>1481508.81</v>
      </c>
      <c r="F642">
        <v>1481508.81</v>
      </c>
      <c r="G642">
        <v>937688.28</v>
      </c>
      <c r="H642">
        <v>937688.28</v>
      </c>
      <c r="I642">
        <v>190774.61</v>
      </c>
      <c r="J642">
        <v>190774.61</v>
      </c>
      <c r="K642">
        <v>332166.7</v>
      </c>
      <c r="L642">
        <v>20879.22</v>
      </c>
    </row>
    <row r="643" spans="1:12" x14ac:dyDescent="0.25">
      <c r="A643" t="s">
        <v>188</v>
      </c>
      <c r="B643" t="s">
        <v>187</v>
      </c>
      <c r="C643">
        <v>656</v>
      </c>
      <c r="D643" s="10">
        <v>44862</v>
      </c>
      <c r="E643">
        <v>1173348.6299999999</v>
      </c>
      <c r="F643">
        <v>1173348.6299999999</v>
      </c>
      <c r="G643">
        <v>746957.49</v>
      </c>
      <c r="H643">
        <v>746957.49</v>
      </c>
      <c r="I643">
        <v>142351.67999999999</v>
      </c>
      <c r="J643">
        <v>142351.67999999999</v>
      </c>
      <c r="K643">
        <v>264602.21999999997</v>
      </c>
      <c r="L643">
        <v>19437.240000000002</v>
      </c>
    </row>
    <row r="644" spans="1:12" x14ac:dyDescent="0.25">
      <c r="A644" t="s">
        <v>1712</v>
      </c>
      <c r="B644" t="s">
        <v>1713</v>
      </c>
      <c r="C644">
        <v>652</v>
      </c>
      <c r="D644" s="10">
        <v>44866</v>
      </c>
      <c r="E644">
        <v>157407.25</v>
      </c>
      <c r="F644">
        <v>157407.25</v>
      </c>
      <c r="G644">
        <v>123900.97</v>
      </c>
      <c r="H644">
        <v>123900.97</v>
      </c>
      <c r="I644">
        <v>15888.03</v>
      </c>
      <c r="J644">
        <v>15888.03</v>
      </c>
      <c r="K644">
        <v>17618.25</v>
      </c>
    </row>
    <row r="645" spans="1:12" x14ac:dyDescent="0.25">
      <c r="A645" t="s">
        <v>1714</v>
      </c>
      <c r="B645" t="s">
        <v>1715</v>
      </c>
      <c r="C645">
        <v>649</v>
      </c>
      <c r="D645" s="10">
        <v>44869</v>
      </c>
      <c r="E645">
        <v>71469.36</v>
      </c>
      <c r="F645">
        <v>71469.36</v>
      </c>
      <c r="G645">
        <v>41869.35</v>
      </c>
      <c r="H645">
        <v>41869.35</v>
      </c>
      <c r="I645">
        <v>6763.34</v>
      </c>
      <c r="J645">
        <v>6763.34</v>
      </c>
      <c r="K645">
        <v>14673.53</v>
      </c>
      <c r="L645">
        <v>8163.14</v>
      </c>
    </row>
    <row r="646" spans="1:12" x14ac:dyDescent="0.25">
      <c r="A646" t="s">
        <v>1716</v>
      </c>
      <c r="B646" t="s">
        <v>1680</v>
      </c>
      <c r="C646">
        <v>646</v>
      </c>
      <c r="D646" s="10">
        <v>44872</v>
      </c>
      <c r="E646">
        <v>56486.47</v>
      </c>
      <c r="F646">
        <v>56486.47</v>
      </c>
      <c r="G646">
        <v>43697.18</v>
      </c>
      <c r="H646">
        <v>43697.18</v>
      </c>
      <c r="I646">
        <v>8749.02</v>
      </c>
      <c r="J646">
        <v>8749.02</v>
      </c>
      <c r="K646">
        <v>4040.27</v>
      </c>
    </row>
    <row r="647" spans="1:12" x14ac:dyDescent="0.25">
      <c r="A647" t="s">
        <v>34</v>
      </c>
      <c r="B647" t="s">
        <v>33</v>
      </c>
      <c r="C647">
        <v>641</v>
      </c>
      <c r="D647" s="10">
        <v>44877</v>
      </c>
      <c r="E647">
        <v>352517.07</v>
      </c>
      <c r="F647">
        <v>352517.07</v>
      </c>
      <c r="G647">
        <v>185560.12</v>
      </c>
      <c r="H647">
        <v>185560.12</v>
      </c>
      <c r="K647">
        <v>150000.01</v>
      </c>
      <c r="L647">
        <v>16956.939999999999</v>
      </c>
    </row>
    <row r="648" spans="1:12" x14ac:dyDescent="0.25">
      <c r="A648" t="s">
        <v>1717</v>
      </c>
      <c r="B648" t="s">
        <v>1718</v>
      </c>
      <c r="C648">
        <v>634</v>
      </c>
      <c r="D648" s="10">
        <v>44884</v>
      </c>
      <c r="E648">
        <v>2129960.14</v>
      </c>
      <c r="F648">
        <v>2129960.14</v>
      </c>
      <c r="G648">
        <v>244671.35999999999</v>
      </c>
      <c r="H648">
        <v>244671.35999999999</v>
      </c>
      <c r="K648">
        <v>1885288.78</v>
      </c>
    </row>
    <row r="649" spans="1:12" x14ac:dyDescent="0.25">
      <c r="A649" t="s">
        <v>1719</v>
      </c>
      <c r="B649" t="s">
        <v>1720</v>
      </c>
      <c r="C649">
        <v>631</v>
      </c>
      <c r="D649" s="10">
        <v>44887</v>
      </c>
      <c r="E649">
        <v>514525.83</v>
      </c>
      <c r="F649">
        <v>514525.83</v>
      </c>
      <c r="G649">
        <v>353990.13</v>
      </c>
      <c r="H649">
        <v>353990.13</v>
      </c>
      <c r="I649">
        <v>118940.68</v>
      </c>
      <c r="J649">
        <v>118940.68</v>
      </c>
      <c r="K649">
        <v>27304.43</v>
      </c>
      <c r="L649">
        <v>14290.59</v>
      </c>
    </row>
    <row r="650" spans="1:12" x14ac:dyDescent="0.25">
      <c r="A650" t="s">
        <v>1721</v>
      </c>
      <c r="B650" t="s">
        <v>1722</v>
      </c>
      <c r="C650">
        <v>630</v>
      </c>
      <c r="D650" s="10">
        <v>44888</v>
      </c>
      <c r="E650">
        <v>303361.96999999997</v>
      </c>
      <c r="F650">
        <v>303361.96999999997</v>
      </c>
      <c r="G650">
        <v>185069.57</v>
      </c>
      <c r="H650">
        <v>185069.57</v>
      </c>
      <c r="I650">
        <v>83626.080000000002</v>
      </c>
      <c r="J650">
        <v>83626.080000000002</v>
      </c>
      <c r="K650">
        <v>22623.46</v>
      </c>
      <c r="L650">
        <v>12042.86</v>
      </c>
    </row>
    <row r="651" spans="1:12" x14ac:dyDescent="0.25">
      <c r="A651" t="s">
        <v>1723</v>
      </c>
      <c r="B651" t="s">
        <v>1724</v>
      </c>
      <c r="C651">
        <v>628</v>
      </c>
      <c r="D651" s="10">
        <v>44890</v>
      </c>
      <c r="E651">
        <v>605122.38</v>
      </c>
      <c r="F651">
        <v>605122.38</v>
      </c>
      <c r="G651">
        <v>400799.7</v>
      </c>
      <c r="H651">
        <v>400799.7</v>
      </c>
      <c r="I651">
        <v>133811.82999999999</v>
      </c>
      <c r="J651">
        <v>133811.82999999999</v>
      </c>
      <c r="K651">
        <v>55642.25</v>
      </c>
      <c r="L651">
        <v>14868.6</v>
      </c>
    </row>
    <row r="652" spans="1:12" x14ac:dyDescent="0.25">
      <c r="A652" t="s">
        <v>1725</v>
      </c>
      <c r="B652" t="s">
        <v>1726</v>
      </c>
      <c r="C652">
        <v>624</v>
      </c>
      <c r="D652" s="10">
        <v>44894</v>
      </c>
      <c r="E652">
        <v>692959.79</v>
      </c>
      <c r="F652">
        <v>692959.79</v>
      </c>
      <c r="G652">
        <v>417428.36</v>
      </c>
      <c r="H652">
        <v>417428.36</v>
      </c>
      <c r="I652">
        <v>212225.15</v>
      </c>
      <c r="J652">
        <v>212225.15</v>
      </c>
      <c r="K652">
        <v>47336.38</v>
      </c>
      <c r="L652">
        <v>15969.9</v>
      </c>
    </row>
    <row r="653" spans="1:12" x14ac:dyDescent="0.25">
      <c r="A653" t="s">
        <v>1727</v>
      </c>
      <c r="B653" t="s">
        <v>1728</v>
      </c>
      <c r="C653">
        <v>622</v>
      </c>
      <c r="D653" s="10">
        <v>44896</v>
      </c>
      <c r="E653">
        <v>314078.51</v>
      </c>
      <c r="F653">
        <v>314078.51</v>
      </c>
      <c r="G653">
        <v>109431.76</v>
      </c>
      <c r="H653">
        <v>109431.76</v>
      </c>
      <c r="I653">
        <v>168048.21</v>
      </c>
      <c r="J653">
        <v>168048.21</v>
      </c>
      <c r="K653">
        <v>36598.54</v>
      </c>
    </row>
    <row r="654" spans="1:12" x14ac:dyDescent="0.25">
      <c r="A654" t="s">
        <v>1729</v>
      </c>
      <c r="B654" t="s">
        <v>1730</v>
      </c>
      <c r="C654">
        <v>611</v>
      </c>
      <c r="D654" s="10">
        <v>44907</v>
      </c>
      <c r="E654">
        <v>13860.46</v>
      </c>
      <c r="F654">
        <v>13860.46</v>
      </c>
      <c r="K654">
        <v>13860.46</v>
      </c>
    </row>
    <row r="655" spans="1:12" x14ac:dyDescent="0.25">
      <c r="A655" t="s">
        <v>1731</v>
      </c>
      <c r="B655" t="s">
        <v>1730</v>
      </c>
      <c r="C655">
        <v>604</v>
      </c>
      <c r="D655" s="10">
        <v>44914</v>
      </c>
      <c r="E655">
        <v>78264.149999999994</v>
      </c>
      <c r="F655">
        <v>78264.149999999994</v>
      </c>
      <c r="I655">
        <v>54145.62</v>
      </c>
      <c r="J655">
        <v>54145.62</v>
      </c>
      <c r="K655">
        <v>24118.53</v>
      </c>
    </row>
    <row r="656" spans="1:12" x14ac:dyDescent="0.25">
      <c r="A656" t="s">
        <v>1732</v>
      </c>
      <c r="B656" t="s">
        <v>1733</v>
      </c>
      <c r="C656">
        <v>603</v>
      </c>
      <c r="D656" s="10">
        <v>44915</v>
      </c>
      <c r="E656">
        <v>405974.67</v>
      </c>
      <c r="F656">
        <v>405974.67</v>
      </c>
      <c r="G656">
        <v>39349.879999999997</v>
      </c>
      <c r="H656">
        <v>39349.879999999997</v>
      </c>
      <c r="I656">
        <v>37654.879999999997</v>
      </c>
      <c r="J656">
        <v>37654.879999999997</v>
      </c>
      <c r="K656">
        <v>327482.09999999998</v>
      </c>
      <c r="L656">
        <v>1487.81</v>
      </c>
    </row>
    <row r="657" spans="1:12" x14ac:dyDescent="0.25">
      <c r="A657" t="s">
        <v>1734</v>
      </c>
      <c r="B657" t="s">
        <v>1735</v>
      </c>
      <c r="C657">
        <v>603</v>
      </c>
      <c r="D657" s="10">
        <v>44915</v>
      </c>
      <c r="E657">
        <v>314791.89</v>
      </c>
      <c r="F657">
        <v>314791.89</v>
      </c>
      <c r="G657">
        <v>212357.23</v>
      </c>
      <c r="H657">
        <v>212357.23</v>
      </c>
      <c r="I657">
        <v>62288.98</v>
      </c>
      <c r="J657">
        <v>62288.98</v>
      </c>
      <c r="K657">
        <v>27980.19</v>
      </c>
      <c r="L657">
        <v>12165.49</v>
      </c>
    </row>
    <row r="658" spans="1:12" x14ac:dyDescent="0.25">
      <c r="A658" t="s">
        <v>1736</v>
      </c>
      <c r="B658" t="s">
        <v>1737</v>
      </c>
      <c r="C658">
        <v>603</v>
      </c>
      <c r="D658" s="10">
        <v>44915</v>
      </c>
      <c r="E658">
        <v>456509.88</v>
      </c>
      <c r="F658">
        <v>456509.88</v>
      </c>
      <c r="G658">
        <v>304765.15000000002</v>
      </c>
      <c r="H658">
        <v>304765.15000000002</v>
      </c>
      <c r="I658">
        <v>107669.88</v>
      </c>
      <c r="J658">
        <v>107669.88</v>
      </c>
      <c r="K658">
        <v>30446.04</v>
      </c>
      <c r="L658">
        <v>13628.81</v>
      </c>
    </row>
    <row r="659" spans="1:12" x14ac:dyDescent="0.25">
      <c r="A659" t="s">
        <v>1738</v>
      </c>
      <c r="B659" t="s">
        <v>1739</v>
      </c>
      <c r="C659">
        <v>600</v>
      </c>
      <c r="D659" s="10">
        <v>44918</v>
      </c>
      <c r="E659">
        <v>321997.18</v>
      </c>
      <c r="F659">
        <v>321997.18</v>
      </c>
      <c r="G659">
        <v>180436.57</v>
      </c>
      <c r="H659">
        <v>180436.57</v>
      </c>
      <c r="I659">
        <v>93700.32</v>
      </c>
      <c r="J659">
        <v>93700.32</v>
      </c>
      <c r="K659">
        <v>47860.29</v>
      </c>
    </row>
    <row r="660" spans="1:12" x14ac:dyDescent="0.25">
      <c r="A660" t="s">
        <v>1740</v>
      </c>
      <c r="B660" t="s">
        <v>1741</v>
      </c>
      <c r="C660">
        <v>599</v>
      </c>
      <c r="D660" s="10">
        <v>44919</v>
      </c>
      <c r="E660">
        <v>77755.509999999995</v>
      </c>
      <c r="F660">
        <v>77755.509999999995</v>
      </c>
      <c r="G660">
        <v>50616.45</v>
      </c>
      <c r="H660">
        <v>50616.45</v>
      </c>
      <c r="K660">
        <v>16692.87</v>
      </c>
      <c r="L660">
        <v>10446.19</v>
      </c>
    </row>
    <row r="661" spans="1:12" x14ac:dyDescent="0.25">
      <c r="A661" t="s">
        <v>1742</v>
      </c>
      <c r="B661" t="s">
        <v>1743</v>
      </c>
      <c r="C661">
        <v>598</v>
      </c>
      <c r="D661" s="10">
        <v>44920</v>
      </c>
      <c r="E661">
        <v>311232.8</v>
      </c>
      <c r="F661">
        <v>311232.8</v>
      </c>
      <c r="G661">
        <v>201867.89</v>
      </c>
      <c r="H661">
        <v>201867.89</v>
      </c>
      <c r="I661">
        <v>93842.94</v>
      </c>
      <c r="J661">
        <v>93842.94</v>
      </c>
      <c r="K661">
        <v>15521.97</v>
      </c>
    </row>
    <row r="662" spans="1:12" x14ac:dyDescent="0.25">
      <c r="A662" t="s">
        <v>1744</v>
      </c>
      <c r="B662" t="s">
        <v>1745</v>
      </c>
      <c r="C662">
        <v>595</v>
      </c>
      <c r="D662" s="10">
        <v>44923</v>
      </c>
      <c r="E662">
        <v>351355.26</v>
      </c>
      <c r="F662">
        <v>351355.26</v>
      </c>
      <c r="G662">
        <v>237825.37</v>
      </c>
      <c r="H662">
        <v>237825.37</v>
      </c>
      <c r="I662">
        <v>70696.05</v>
      </c>
      <c r="J662">
        <v>70696.05</v>
      </c>
      <c r="K662">
        <v>30308.47</v>
      </c>
      <c r="L662">
        <v>12525.37</v>
      </c>
    </row>
    <row r="663" spans="1:12" x14ac:dyDescent="0.25">
      <c r="A663" t="s">
        <v>22</v>
      </c>
      <c r="B663" t="s">
        <v>21</v>
      </c>
      <c r="C663">
        <v>582</v>
      </c>
      <c r="D663" s="10">
        <v>44936</v>
      </c>
      <c r="E663">
        <v>1115459.6399999999</v>
      </c>
      <c r="F663">
        <v>1795182.1</v>
      </c>
      <c r="G663">
        <v>908272.7</v>
      </c>
      <c r="H663">
        <v>228550.24</v>
      </c>
      <c r="I663">
        <v>712294.41</v>
      </c>
      <c r="J663">
        <v>712294.41</v>
      </c>
      <c r="K663">
        <v>151554.38</v>
      </c>
      <c r="L663">
        <v>23060.61</v>
      </c>
    </row>
    <row r="664" spans="1:12" x14ac:dyDescent="0.25">
      <c r="A664" t="s">
        <v>1746</v>
      </c>
      <c r="B664" t="s">
        <v>1747</v>
      </c>
      <c r="C664">
        <v>581</v>
      </c>
      <c r="D664" s="10">
        <v>44937</v>
      </c>
      <c r="E664">
        <v>791579.9</v>
      </c>
      <c r="F664">
        <v>791579.9</v>
      </c>
      <c r="G664">
        <v>523728.74</v>
      </c>
      <c r="H664">
        <v>523728.74</v>
      </c>
      <c r="I664">
        <v>188254.63</v>
      </c>
      <c r="J664">
        <v>188254.63</v>
      </c>
      <c r="K664">
        <v>62784.6</v>
      </c>
      <c r="L664">
        <v>16811.93</v>
      </c>
    </row>
    <row r="665" spans="1:12" x14ac:dyDescent="0.25">
      <c r="A665" t="s">
        <v>190</v>
      </c>
      <c r="B665" t="s">
        <v>189</v>
      </c>
      <c r="C665">
        <v>564</v>
      </c>
      <c r="D665" s="10">
        <v>44954</v>
      </c>
      <c r="E665">
        <v>156225.18</v>
      </c>
      <c r="F665">
        <v>301305.65000000002</v>
      </c>
      <c r="G665">
        <v>207666.7</v>
      </c>
      <c r="H665">
        <v>62586.23</v>
      </c>
      <c r="I665">
        <v>44881.21</v>
      </c>
      <c r="J665">
        <v>44881.21</v>
      </c>
      <c r="K665">
        <v>36700.33</v>
      </c>
      <c r="L665">
        <v>12057.41</v>
      </c>
    </row>
    <row r="666" spans="1:12" x14ac:dyDescent="0.25">
      <c r="A666" t="s">
        <v>1748</v>
      </c>
      <c r="B666" t="s">
        <v>1749</v>
      </c>
      <c r="C666">
        <v>563</v>
      </c>
      <c r="D666" s="10">
        <v>44955</v>
      </c>
      <c r="E666">
        <v>523332.78</v>
      </c>
      <c r="F666">
        <v>523332.78</v>
      </c>
      <c r="G666">
        <v>241206.49</v>
      </c>
      <c r="H666">
        <v>241206.49</v>
      </c>
      <c r="I666">
        <v>196269.41</v>
      </c>
      <c r="J666">
        <v>196269.41</v>
      </c>
      <c r="K666">
        <v>73331.600000000006</v>
      </c>
      <c r="L666">
        <v>12525.28</v>
      </c>
    </row>
    <row r="667" spans="1:12" x14ac:dyDescent="0.25">
      <c r="A667" t="s">
        <v>1750</v>
      </c>
      <c r="B667" t="s">
        <v>1751</v>
      </c>
      <c r="C667">
        <v>544</v>
      </c>
      <c r="D667" s="10">
        <v>44974</v>
      </c>
      <c r="E667">
        <v>149685.63</v>
      </c>
      <c r="F667">
        <v>149685.63</v>
      </c>
      <c r="G667">
        <v>129004.89</v>
      </c>
      <c r="H667">
        <v>129004.89</v>
      </c>
      <c r="K667">
        <v>20680.740000000002</v>
      </c>
    </row>
    <row r="668" spans="1:12" x14ac:dyDescent="0.25">
      <c r="A668" t="s">
        <v>1752</v>
      </c>
      <c r="B668" t="s">
        <v>1173</v>
      </c>
      <c r="C668">
        <v>538</v>
      </c>
      <c r="D668" s="10">
        <v>44980</v>
      </c>
      <c r="E668">
        <v>20488.990000000002</v>
      </c>
      <c r="F668">
        <v>20488.990000000002</v>
      </c>
      <c r="K668">
        <v>20488.990000000002</v>
      </c>
    </row>
    <row r="669" spans="1:12" x14ac:dyDescent="0.25">
      <c r="A669" t="s">
        <v>137</v>
      </c>
      <c r="B669" t="s">
        <v>84</v>
      </c>
      <c r="C669">
        <v>538</v>
      </c>
      <c r="D669" s="10">
        <v>44980</v>
      </c>
      <c r="E669">
        <v>125480.64</v>
      </c>
      <c r="F669">
        <v>184669.71</v>
      </c>
      <c r="G669">
        <v>85616.51</v>
      </c>
      <c r="H669">
        <v>28889.25</v>
      </c>
      <c r="I669">
        <v>75507.72</v>
      </c>
      <c r="J669">
        <v>77969.53</v>
      </c>
      <c r="K669">
        <v>21083.67</v>
      </c>
    </row>
    <row r="670" spans="1:12" x14ac:dyDescent="0.25">
      <c r="A670" t="s">
        <v>1753</v>
      </c>
      <c r="B670" t="s">
        <v>1754</v>
      </c>
      <c r="C670">
        <v>526</v>
      </c>
      <c r="D670" s="10">
        <v>44992</v>
      </c>
      <c r="E670">
        <v>387244.83</v>
      </c>
      <c r="F670">
        <v>387244.83</v>
      </c>
      <c r="G670">
        <v>189695.68</v>
      </c>
      <c r="H670">
        <v>189695.68</v>
      </c>
      <c r="I670">
        <v>143667.99</v>
      </c>
      <c r="J670">
        <v>143667.99</v>
      </c>
      <c r="K670">
        <v>53881.16</v>
      </c>
    </row>
    <row r="671" spans="1:12" x14ac:dyDescent="0.25">
      <c r="A671" t="s">
        <v>1755</v>
      </c>
      <c r="B671" t="s">
        <v>1756</v>
      </c>
      <c r="C671">
        <v>522</v>
      </c>
      <c r="D671" s="10">
        <v>44996</v>
      </c>
      <c r="E671">
        <v>6484.24</v>
      </c>
      <c r="F671">
        <v>6484.24</v>
      </c>
      <c r="K671">
        <v>6484.24</v>
      </c>
    </row>
    <row r="672" spans="1:12" x14ac:dyDescent="0.25">
      <c r="A672" t="s">
        <v>69</v>
      </c>
      <c r="B672" t="s">
        <v>68</v>
      </c>
      <c r="C672">
        <v>517</v>
      </c>
      <c r="D672" s="10">
        <v>45001</v>
      </c>
      <c r="E672">
        <v>5582.34</v>
      </c>
      <c r="F672">
        <v>111328.06</v>
      </c>
      <c r="G672">
        <v>99873.69</v>
      </c>
      <c r="J672">
        <v>5872.03</v>
      </c>
      <c r="K672">
        <v>5582.34</v>
      </c>
    </row>
    <row r="673" spans="1:12" x14ac:dyDescent="0.25">
      <c r="A673" t="s">
        <v>205</v>
      </c>
      <c r="B673" t="s">
        <v>84</v>
      </c>
      <c r="C673">
        <v>502</v>
      </c>
      <c r="D673" s="10">
        <v>45016</v>
      </c>
      <c r="E673">
        <v>123678.24</v>
      </c>
      <c r="F673">
        <v>182124.29</v>
      </c>
      <c r="G673">
        <v>85748.58</v>
      </c>
      <c r="H673">
        <v>28915.65</v>
      </c>
      <c r="I673">
        <v>75227.009999999995</v>
      </c>
      <c r="J673">
        <v>76840.13</v>
      </c>
      <c r="K673">
        <v>19535.580000000002</v>
      </c>
    </row>
    <row r="674" spans="1:12" x14ac:dyDescent="0.25">
      <c r="A674" t="s">
        <v>1757</v>
      </c>
      <c r="B674" t="s">
        <v>1758</v>
      </c>
      <c r="C674">
        <v>498</v>
      </c>
      <c r="D674" s="10">
        <v>45020</v>
      </c>
      <c r="E674">
        <v>904257.53</v>
      </c>
      <c r="F674">
        <v>904257.53</v>
      </c>
      <c r="G674">
        <v>763161.64</v>
      </c>
      <c r="H674">
        <v>763161.64</v>
      </c>
      <c r="I674">
        <v>108951.52</v>
      </c>
      <c r="J674">
        <v>108951.52</v>
      </c>
      <c r="K674">
        <v>32144.37</v>
      </c>
    </row>
    <row r="675" spans="1:12" x14ac:dyDescent="0.25">
      <c r="A675" t="s">
        <v>1759</v>
      </c>
      <c r="B675" t="s">
        <v>1760</v>
      </c>
      <c r="C675">
        <v>489</v>
      </c>
      <c r="D675" s="10">
        <v>45029</v>
      </c>
      <c r="E675">
        <v>169521.03</v>
      </c>
      <c r="F675">
        <v>169521.03</v>
      </c>
      <c r="G675">
        <v>102744.52</v>
      </c>
      <c r="H675">
        <v>102744.52</v>
      </c>
      <c r="I675">
        <v>43743.83</v>
      </c>
      <c r="J675">
        <v>43743.83</v>
      </c>
      <c r="K675">
        <v>12649.91</v>
      </c>
      <c r="L675">
        <v>10382.77</v>
      </c>
    </row>
    <row r="676" spans="1:12" x14ac:dyDescent="0.25">
      <c r="A676" t="s">
        <v>81</v>
      </c>
      <c r="B676" t="s">
        <v>80</v>
      </c>
      <c r="C676">
        <v>485</v>
      </c>
      <c r="D676" s="10">
        <v>45033</v>
      </c>
      <c r="E676">
        <v>399611.06</v>
      </c>
      <c r="F676">
        <v>478218.85</v>
      </c>
      <c r="G676">
        <v>214781.62</v>
      </c>
      <c r="H676">
        <v>139852.54</v>
      </c>
      <c r="I676">
        <v>190648.64</v>
      </c>
      <c r="J676">
        <v>194327.35</v>
      </c>
      <c r="K676">
        <v>56251.3</v>
      </c>
      <c r="L676">
        <v>12858.58</v>
      </c>
    </row>
    <row r="677" spans="1:12" x14ac:dyDescent="0.25">
      <c r="A677" t="s">
        <v>1761</v>
      </c>
      <c r="B677" t="s">
        <v>1762</v>
      </c>
      <c r="C677">
        <v>478</v>
      </c>
      <c r="D677" s="10">
        <v>45040</v>
      </c>
      <c r="E677">
        <v>295338.03999999998</v>
      </c>
      <c r="F677">
        <v>295338.03999999998</v>
      </c>
      <c r="G677">
        <v>200305.09</v>
      </c>
      <c r="H677">
        <v>200305.09</v>
      </c>
      <c r="I677">
        <v>56615.13</v>
      </c>
      <c r="J677">
        <v>56615.13</v>
      </c>
      <c r="K677">
        <v>26384.77</v>
      </c>
      <c r="L677">
        <v>12033.05</v>
      </c>
    </row>
    <row r="678" spans="1:12" x14ac:dyDescent="0.25">
      <c r="A678" t="s">
        <v>202</v>
      </c>
      <c r="B678" t="s">
        <v>201</v>
      </c>
      <c r="C678">
        <v>472</v>
      </c>
      <c r="D678" s="10">
        <v>45046</v>
      </c>
      <c r="E678">
        <v>313803.71999999997</v>
      </c>
      <c r="F678">
        <v>456614.08</v>
      </c>
      <c r="G678">
        <v>302836.65000000002</v>
      </c>
      <c r="H678">
        <v>160026.29</v>
      </c>
      <c r="I678">
        <v>131099.24</v>
      </c>
      <c r="J678">
        <v>131099.24</v>
      </c>
      <c r="K678">
        <v>8813.4</v>
      </c>
      <c r="L678">
        <v>13864.79</v>
      </c>
    </row>
    <row r="679" spans="1:12" x14ac:dyDescent="0.25">
      <c r="A679" t="s">
        <v>1763</v>
      </c>
      <c r="B679" t="s">
        <v>1764</v>
      </c>
      <c r="C679">
        <v>469</v>
      </c>
      <c r="D679" s="10">
        <v>45049</v>
      </c>
      <c r="E679">
        <v>782174.29</v>
      </c>
      <c r="F679">
        <v>782174.29</v>
      </c>
      <c r="G679">
        <v>96264.45</v>
      </c>
      <c r="H679">
        <v>96264.45</v>
      </c>
      <c r="I679">
        <v>85543.06</v>
      </c>
      <c r="J679">
        <v>85543.06</v>
      </c>
      <c r="K679">
        <v>600366.78</v>
      </c>
    </row>
    <row r="680" spans="1:12" x14ac:dyDescent="0.25">
      <c r="A680" t="s">
        <v>236</v>
      </c>
      <c r="B680" t="s">
        <v>235</v>
      </c>
      <c r="C680">
        <v>468</v>
      </c>
      <c r="D680" s="10">
        <v>45050</v>
      </c>
      <c r="E680">
        <v>126601.28</v>
      </c>
      <c r="F680">
        <v>237698.62</v>
      </c>
      <c r="G680">
        <v>153054.64000000001</v>
      </c>
      <c r="H680">
        <v>41957.3</v>
      </c>
      <c r="I680">
        <v>67946.14</v>
      </c>
      <c r="J680">
        <v>67946.14</v>
      </c>
      <c r="K680">
        <v>5102.7</v>
      </c>
      <c r="L680">
        <v>11595.14</v>
      </c>
    </row>
    <row r="681" spans="1:12" x14ac:dyDescent="0.25">
      <c r="A681" t="s">
        <v>121</v>
      </c>
      <c r="B681" t="s">
        <v>120</v>
      </c>
      <c r="C681">
        <v>450</v>
      </c>
      <c r="D681" s="10">
        <v>45068</v>
      </c>
      <c r="E681">
        <v>345882.21</v>
      </c>
      <c r="F681">
        <v>535775.51</v>
      </c>
      <c r="G681">
        <v>323475.14</v>
      </c>
      <c r="H681">
        <v>133581.84</v>
      </c>
      <c r="I681">
        <v>161728.70000000001</v>
      </c>
      <c r="J681">
        <v>161728.70000000001</v>
      </c>
      <c r="K681">
        <v>36158.050000000003</v>
      </c>
      <c r="L681">
        <v>14413.62</v>
      </c>
    </row>
    <row r="682" spans="1:12" x14ac:dyDescent="0.25">
      <c r="A682" t="s">
        <v>207</v>
      </c>
      <c r="B682" t="s">
        <v>206</v>
      </c>
      <c r="C682">
        <v>440</v>
      </c>
      <c r="D682" s="10">
        <v>45078</v>
      </c>
      <c r="E682">
        <v>303119.40000000002</v>
      </c>
      <c r="F682">
        <v>633970.35</v>
      </c>
      <c r="G682">
        <v>418557.53</v>
      </c>
      <c r="H682">
        <v>87706.58</v>
      </c>
      <c r="I682">
        <v>188958.66</v>
      </c>
      <c r="J682">
        <v>188958.66</v>
      </c>
      <c r="K682">
        <v>10765.38</v>
      </c>
      <c r="L682">
        <v>15688.78</v>
      </c>
    </row>
    <row r="683" spans="1:12" x14ac:dyDescent="0.25">
      <c r="A683" t="s">
        <v>51</v>
      </c>
      <c r="B683" t="s">
        <v>50</v>
      </c>
      <c r="C683">
        <v>427</v>
      </c>
      <c r="D683" s="10">
        <v>45091</v>
      </c>
      <c r="E683">
        <v>384075.7</v>
      </c>
      <c r="F683">
        <v>800023.35</v>
      </c>
      <c r="G683">
        <v>540292.54</v>
      </c>
      <c r="H683">
        <v>124344.89</v>
      </c>
      <c r="I683">
        <v>196661.44</v>
      </c>
      <c r="J683">
        <v>196661.44</v>
      </c>
      <c r="K683">
        <v>46059.28</v>
      </c>
      <c r="L683">
        <v>17010.09</v>
      </c>
    </row>
    <row r="684" spans="1:12" x14ac:dyDescent="0.25">
      <c r="A684" t="s">
        <v>73</v>
      </c>
      <c r="B684" t="s">
        <v>72</v>
      </c>
      <c r="C684">
        <v>424</v>
      </c>
      <c r="D684" s="10">
        <v>45094</v>
      </c>
      <c r="E684">
        <v>208788.07</v>
      </c>
      <c r="F684">
        <v>327957.94</v>
      </c>
      <c r="G684">
        <v>176315.99</v>
      </c>
      <c r="H684">
        <v>61548.17</v>
      </c>
      <c r="I684">
        <v>98006.12</v>
      </c>
      <c r="J684">
        <v>102408.17</v>
      </c>
      <c r="K684">
        <v>37602.129999999997</v>
      </c>
      <c r="L684">
        <v>11631.65</v>
      </c>
    </row>
    <row r="685" spans="1:12" x14ac:dyDescent="0.25">
      <c r="A685" t="s">
        <v>1765</v>
      </c>
      <c r="B685" t="s">
        <v>1766</v>
      </c>
      <c r="C685">
        <v>419</v>
      </c>
      <c r="D685" s="10">
        <v>45099</v>
      </c>
      <c r="E685">
        <v>8024.32</v>
      </c>
      <c r="F685">
        <v>8024.32</v>
      </c>
      <c r="L685">
        <v>8024.32</v>
      </c>
    </row>
    <row r="686" spans="1:12" x14ac:dyDescent="0.25">
      <c r="A686" t="s">
        <v>227</v>
      </c>
      <c r="B686" t="s">
        <v>226</v>
      </c>
      <c r="C686">
        <v>408</v>
      </c>
      <c r="D686" s="10">
        <v>45110</v>
      </c>
      <c r="E686">
        <v>155181.75</v>
      </c>
      <c r="F686">
        <v>334993.07</v>
      </c>
      <c r="G686">
        <v>214297.59</v>
      </c>
      <c r="H686">
        <v>34486.269999999997</v>
      </c>
      <c r="I686">
        <v>103038.97</v>
      </c>
      <c r="J686">
        <v>103038.97</v>
      </c>
      <c r="K686">
        <v>5092.21</v>
      </c>
      <c r="L686">
        <v>12564.3</v>
      </c>
    </row>
    <row r="687" spans="1:12" x14ac:dyDescent="0.25">
      <c r="A687" t="s">
        <v>107</v>
      </c>
      <c r="B687" t="s">
        <v>106</v>
      </c>
      <c r="C687">
        <v>390</v>
      </c>
      <c r="D687" s="10">
        <v>45128</v>
      </c>
      <c r="E687">
        <v>52554.79</v>
      </c>
      <c r="F687">
        <v>83182.48</v>
      </c>
      <c r="G687">
        <v>43756.97</v>
      </c>
      <c r="H687">
        <v>14291.74</v>
      </c>
      <c r="I687">
        <v>29047.83</v>
      </c>
      <c r="J687">
        <v>30210.29</v>
      </c>
      <c r="K687">
        <v>9215.2199999999993</v>
      </c>
    </row>
    <row r="688" spans="1:12" x14ac:dyDescent="0.25">
      <c r="A688" t="s">
        <v>79</v>
      </c>
      <c r="B688" t="s">
        <v>78</v>
      </c>
      <c r="C688">
        <v>363</v>
      </c>
      <c r="D688" s="10">
        <v>45155</v>
      </c>
      <c r="E688">
        <v>91311.15</v>
      </c>
      <c r="F688">
        <v>113493.99</v>
      </c>
      <c r="G688">
        <v>58089.47</v>
      </c>
      <c r="H688">
        <v>36726.050000000003</v>
      </c>
      <c r="I688">
        <v>30532.97</v>
      </c>
      <c r="J688">
        <v>31352.39</v>
      </c>
      <c r="K688">
        <v>11386.69</v>
      </c>
      <c r="L688">
        <v>12665.44</v>
      </c>
    </row>
    <row r="689" spans="1:12" x14ac:dyDescent="0.25">
      <c r="A689" t="s">
        <v>98</v>
      </c>
      <c r="B689" t="s">
        <v>78</v>
      </c>
      <c r="C689">
        <v>361</v>
      </c>
      <c r="D689" s="10">
        <v>45157</v>
      </c>
      <c r="E689">
        <v>96602.62</v>
      </c>
      <c r="F689">
        <v>141030.21</v>
      </c>
      <c r="G689">
        <v>73664.179999999993</v>
      </c>
      <c r="H689">
        <v>31260.36</v>
      </c>
      <c r="I689">
        <v>50982.16</v>
      </c>
      <c r="J689">
        <v>53005.93</v>
      </c>
      <c r="K689">
        <v>14360.1</v>
      </c>
    </row>
    <row r="690" spans="1:12" x14ac:dyDescent="0.25">
      <c r="A690" t="s">
        <v>102</v>
      </c>
      <c r="B690" t="s">
        <v>101</v>
      </c>
      <c r="C690">
        <v>360</v>
      </c>
      <c r="D690" s="10">
        <v>45158</v>
      </c>
      <c r="E690">
        <v>302660.88</v>
      </c>
      <c r="F690">
        <v>337872.47</v>
      </c>
      <c r="G690">
        <v>173551.16</v>
      </c>
      <c r="H690">
        <v>139818.26999999999</v>
      </c>
      <c r="I690">
        <v>117505.24</v>
      </c>
      <c r="J690">
        <v>118983.94</v>
      </c>
      <c r="K690">
        <v>33738.35</v>
      </c>
      <c r="L690">
        <v>11599.02</v>
      </c>
    </row>
    <row r="691" spans="1:12" x14ac:dyDescent="0.25">
      <c r="A691" t="s">
        <v>111</v>
      </c>
      <c r="B691" t="s">
        <v>110</v>
      </c>
      <c r="C691">
        <v>359</v>
      </c>
      <c r="D691" s="10">
        <v>45159</v>
      </c>
      <c r="E691">
        <v>217194.42</v>
      </c>
      <c r="F691">
        <v>274836.95</v>
      </c>
      <c r="G691">
        <v>129429.49</v>
      </c>
      <c r="H691">
        <v>74906</v>
      </c>
      <c r="I691">
        <v>117197.22</v>
      </c>
      <c r="J691">
        <v>120316.26</v>
      </c>
      <c r="K691">
        <v>25091.200000000001</v>
      </c>
    </row>
    <row r="692" spans="1:12" x14ac:dyDescent="0.25">
      <c r="A692" t="s">
        <v>167</v>
      </c>
      <c r="B692" t="s">
        <v>78</v>
      </c>
      <c r="C692">
        <v>354</v>
      </c>
      <c r="D692" s="10">
        <v>45164</v>
      </c>
      <c r="E692">
        <v>96430</v>
      </c>
      <c r="F692">
        <v>129314.73</v>
      </c>
      <c r="G692">
        <v>68136.69</v>
      </c>
      <c r="H692">
        <v>36360.22</v>
      </c>
      <c r="I692">
        <v>47044.77</v>
      </c>
      <c r="J692">
        <v>48153.03</v>
      </c>
      <c r="K692">
        <v>13025.01</v>
      </c>
    </row>
    <row r="693" spans="1:12" x14ac:dyDescent="0.25">
      <c r="A693" t="s">
        <v>211</v>
      </c>
      <c r="B693" t="s">
        <v>210</v>
      </c>
      <c r="C693">
        <v>348</v>
      </c>
      <c r="D693" s="10">
        <v>45170</v>
      </c>
      <c r="E693">
        <v>313020.2</v>
      </c>
      <c r="F693">
        <v>503872.92</v>
      </c>
      <c r="G693">
        <v>251065.36</v>
      </c>
      <c r="H693">
        <v>65113.61</v>
      </c>
      <c r="I693">
        <v>188013.54</v>
      </c>
      <c r="J693">
        <v>192914.51</v>
      </c>
      <c r="K693">
        <v>47180.2</v>
      </c>
      <c r="L693">
        <v>12712.85</v>
      </c>
    </row>
    <row r="694" spans="1:12" x14ac:dyDescent="0.25">
      <c r="A694" t="s">
        <v>215</v>
      </c>
      <c r="B694" t="s">
        <v>214</v>
      </c>
      <c r="C694">
        <v>347</v>
      </c>
      <c r="D694" s="10">
        <v>45171</v>
      </c>
      <c r="E694">
        <v>170283.06</v>
      </c>
      <c r="F694">
        <v>494369.34</v>
      </c>
      <c r="G694">
        <v>386511.69</v>
      </c>
      <c r="H694">
        <v>69104.02</v>
      </c>
      <c r="I694">
        <v>90091.28</v>
      </c>
      <c r="J694">
        <v>96769.89</v>
      </c>
      <c r="K694">
        <v>11087.76</v>
      </c>
    </row>
    <row r="695" spans="1:12" x14ac:dyDescent="0.25">
      <c r="A695" t="s">
        <v>1767</v>
      </c>
      <c r="B695" t="s">
        <v>1768</v>
      </c>
      <c r="C695">
        <v>338</v>
      </c>
      <c r="D695" s="10">
        <v>45180</v>
      </c>
      <c r="E695">
        <v>470546.97</v>
      </c>
      <c r="F695">
        <v>470546.97</v>
      </c>
      <c r="G695">
        <v>257945.25</v>
      </c>
      <c r="H695">
        <v>257945.25</v>
      </c>
      <c r="I695">
        <v>150484.54999999999</v>
      </c>
      <c r="J695">
        <v>150484.54999999999</v>
      </c>
      <c r="K695">
        <v>49759.9</v>
      </c>
      <c r="L695">
        <v>12357.27</v>
      </c>
    </row>
    <row r="696" spans="1:12" x14ac:dyDescent="0.25">
      <c r="A696" t="s">
        <v>1769</v>
      </c>
      <c r="B696" t="s">
        <v>1770</v>
      </c>
      <c r="C696">
        <v>329</v>
      </c>
      <c r="D696" s="10">
        <v>45189</v>
      </c>
      <c r="E696">
        <v>587356.73</v>
      </c>
      <c r="F696">
        <v>587356.73</v>
      </c>
      <c r="G696">
        <v>280388.82</v>
      </c>
      <c r="H696">
        <v>280388.82</v>
      </c>
      <c r="I696">
        <v>231708.45</v>
      </c>
      <c r="J696">
        <v>231708.45</v>
      </c>
      <c r="K696">
        <v>62129.33</v>
      </c>
      <c r="L696">
        <v>13130.13</v>
      </c>
    </row>
    <row r="697" spans="1:12" x14ac:dyDescent="0.25">
      <c r="A697" t="s">
        <v>1771</v>
      </c>
      <c r="B697" t="s">
        <v>112</v>
      </c>
      <c r="C697">
        <v>279</v>
      </c>
      <c r="D697" s="10">
        <v>45239</v>
      </c>
      <c r="E697">
        <v>55728.74</v>
      </c>
      <c r="F697">
        <v>55728.74</v>
      </c>
      <c r="G697">
        <v>32487.77</v>
      </c>
      <c r="H697">
        <v>32487.77</v>
      </c>
      <c r="I697">
        <v>18119.650000000001</v>
      </c>
      <c r="J697">
        <v>18119.650000000001</v>
      </c>
      <c r="K697">
        <v>5121.32</v>
      </c>
    </row>
    <row r="698" spans="1:12" x14ac:dyDescent="0.25">
      <c r="A698" t="s">
        <v>113</v>
      </c>
      <c r="B698" t="s">
        <v>112</v>
      </c>
      <c r="C698">
        <v>267</v>
      </c>
      <c r="D698" s="10">
        <v>45251</v>
      </c>
      <c r="E698">
        <v>103464.82</v>
      </c>
      <c r="F698">
        <v>250209</v>
      </c>
      <c r="G698">
        <v>177462.1</v>
      </c>
      <c r="H698">
        <v>35839.61</v>
      </c>
      <c r="I698">
        <v>60565.7</v>
      </c>
      <c r="J698">
        <v>65687.39</v>
      </c>
      <c r="K698">
        <v>7059.51</v>
      </c>
    </row>
    <row r="699" spans="1:12" x14ac:dyDescent="0.25">
      <c r="A699" t="s">
        <v>151</v>
      </c>
      <c r="B699" t="s">
        <v>150</v>
      </c>
      <c r="C699">
        <v>234</v>
      </c>
      <c r="D699" s="10">
        <v>45284</v>
      </c>
      <c r="E699">
        <v>17770.66</v>
      </c>
      <c r="F699">
        <v>126947.09</v>
      </c>
      <c r="G699">
        <v>110795.66</v>
      </c>
      <c r="H699">
        <v>4672.1000000000004</v>
      </c>
      <c r="I699">
        <v>4687.6499999999996</v>
      </c>
      <c r="J699">
        <v>7740.52</v>
      </c>
      <c r="K699">
        <v>8410.91</v>
      </c>
    </row>
    <row r="700" spans="1:12" x14ac:dyDescent="0.25">
      <c r="A700" t="s">
        <v>244</v>
      </c>
      <c r="B700" t="s">
        <v>243</v>
      </c>
      <c r="C700">
        <v>222</v>
      </c>
      <c r="D700" s="10">
        <v>45296</v>
      </c>
      <c r="E700">
        <v>52051.11</v>
      </c>
      <c r="F700">
        <v>285283.36</v>
      </c>
      <c r="G700">
        <v>246429.46</v>
      </c>
      <c r="H700">
        <v>16037.66</v>
      </c>
      <c r="I700">
        <v>10662.53</v>
      </c>
      <c r="J700">
        <v>13502.98</v>
      </c>
      <c r="K700">
        <v>25350.92</v>
      </c>
    </row>
    <row r="701" spans="1:12" x14ac:dyDescent="0.25">
      <c r="A701" t="s">
        <v>1772</v>
      </c>
      <c r="B701" t="s">
        <v>1773</v>
      </c>
      <c r="C701">
        <v>212</v>
      </c>
      <c r="D701" s="10">
        <v>45306</v>
      </c>
      <c r="E701">
        <v>69894.17</v>
      </c>
      <c r="F701">
        <v>69894.17</v>
      </c>
      <c r="G701">
        <v>42264.29</v>
      </c>
      <c r="H701">
        <v>42264.29</v>
      </c>
      <c r="I701">
        <v>22791.46</v>
      </c>
      <c r="J701">
        <v>22791.46</v>
      </c>
      <c r="K701">
        <v>4838.42</v>
      </c>
    </row>
    <row r="702" spans="1:12" x14ac:dyDescent="0.25">
      <c r="A702" t="s">
        <v>59</v>
      </c>
      <c r="B702" t="s">
        <v>58</v>
      </c>
      <c r="C702">
        <v>182</v>
      </c>
      <c r="D702" s="10">
        <v>45336</v>
      </c>
      <c r="E702">
        <v>13353.76</v>
      </c>
      <c r="F702">
        <v>232982.17</v>
      </c>
      <c r="G702">
        <v>219628.41</v>
      </c>
      <c r="I702">
        <v>10259.36</v>
      </c>
      <c r="J702">
        <v>10259.36</v>
      </c>
      <c r="K702">
        <v>3094.4</v>
      </c>
    </row>
    <row r="703" spans="1:12" x14ac:dyDescent="0.25">
      <c r="A703" t="s">
        <v>91</v>
      </c>
      <c r="B703" t="s">
        <v>90</v>
      </c>
      <c r="C703">
        <v>178</v>
      </c>
      <c r="D703" s="10">
        <v>45340</v>
      </c>
      <c r="E703">
        <v>33793.620000000003</v>
      </c>
      <c r="F703">
        <v>42909.65</v>
      </c>
      <c r="G703">
        <v>32183.25</v>
      </c>
      <c r="H703">
        <v>23392.36</v>
      </c>
      <c r="I703">
        <v>7307.81</v>
      </c>
      <c r="J703">
        <v>7632.95</v>
      </c>
      <c r="K703">
        <v>3093.45</v>
      </c>
    </row>
    <row r="704" spans="1:12" x14ac:dyDescent="0.25">
      <c r="A704" t="s">
        <v>263</v>
      </c>
      <c r="B704" t="s">
        <v>262</v>
      </c>
      <c r="C704">
        <v>159</v>
      </c>
      <c r="D704" s="10">
        <v>45359</v>
      </c>
      <c r="E704">
        <v>541542.28</v>
      </c>
      <c r="F704">
        <v>1116217.6200000001</v>
      </c>
      <c r="G704">
        <v>742627.39</v>
      </c>
      <c r="H704">
        <v>175503.35</v>
      </c>
      <c r="I704">
        <v>302276.94</v>
      </c>
      <c r="J704">
        <v>309828.24</v>
      </c>
      <c r="K704">
        <v>63761.99</v>
      </c>
    </row>
    <row r="705" spans="1:11" x14ac:dyDescent="0.25">
      <c r="A705" t="s">
        <v>71</v>
      </c>
      <c r="B705" t="s">
        <v>70</v>
      </c>
      <c r="C705">
        <v>151</v>
      </c>
      <c r="D705" s="10">
        <v>45367</v>
      </c>
      <c r="E705">
        <v>77693.39</v>
      </c>
      <c r="F705">
        <v>157695.37</v>
      </c>
      <c r="G705">
        <v>143205.79999999999</v>
      </c>
      <c r="H705">
        <v>63203.82</v>
      </c>
      <c r="I705">
        <v>13174.94</v>
      </c>
      <c r="J705">
        <v>13174.94</v>
      </c>
      <c r="K705">
        <v>1314.63</v>
      </c>
    </row>
    <row r="706" spans="1:11" x14ac:dyDescent="0.25">
      <c r="A706" t="s">
        <v>134</v>
      </c>
      <c r="B706" t="s">
        <v>133</v>
      </c>
      <c r="C706">
        <v>144</v>
      </c>
      <c r="D706" s="10">
        <v>45374</v>
      </c>
      <c r="E706">
        <v>64574.5</v>
      </c>
      <c r="F706">
        <v>177484.37</v>
      </c>
      <c r="G706">
        <v>122063.51</v>
      </c>
      <c r="H706">
        <v>14594.8</v>
      </c>
      <c r="I706">
        <v>47089.21</v>
      </c>
      <c r="J706">
        <v>52530.37</v>
      </c>
      <c r="K706">
        <v>2890.49</v>
      </c>
    </row>
    <row r="707" spans="1:11" x14ac:dyDescent="0.25">
      <c r="A707" t="s">
        <v>36</v>
      </c>
      <c r="B707" t="s">
        <v>35</v>
      </c>
      <c r="C707">
        <v>94</v>
      </c>
      <c r="D707" s="10">
        <v>45424</v>
      </c>
      <c r="E707">
        <v>289806.84999999998</v>
      </c>
      <c r="F707">
        <v>731999.05</v>
      </c>
      <c r="G707">
        <v>576927.80000000005</v>
      </c>
      <c r="H707">
        <v>136353.04999999999</v>
      </c>
      <c r="I707">
        <v>124168.94</v>
      </c>
      <c r="J707">
        <v>125786.39</v>
      </c>
      <c r="K707">
        <v>29284.86</v>
      </c>
    </row>
    <row r="708" spans="1:11" x14ac:dyDescent="0.25">
      <c r="A708" t="s">
        <v>155</v>
      </c>
      <c r="B708" t="s">
        <v>35</v>
      </c>
      <c r="C708">
        <v>81</v>
      </c>
      <c r="D708" s="10">
        <v>45437</v>
      </c>
      <c r="E708">
        <v>19717.11</v>
      </c>
      <c r="F708">
        <v>67537.429999999993</v>
      </c>
      <c r="G708">
        <v>55078.39</v>
      </c>
      <c r="H708">
        <v>8780.2000000000007</v>
      </c>
      <c r="I708">
        <v>8527.7800000000007</v>
      </c>
      <c r="J708">
        <v>10049.91</v>
      </c>
      <c r="K708">
        <v>2409.13</v>
      </c>
    </row>
    <row r="709" spans="1:11" x14ac:dyDescent="0.25">
      <c r="A709" t="s">
        <v>231</v>
      </c>
      <c r="B709" t="s">
        <v>230</v>
      </c>
      <c r="C709">
        <v>72</v>
      </c>
      <c r="D709" s="10">
        <v>45446</v>
      </c>
      <c r="E709">
        <v>300.54000000000002</v>
      </c>
      <c r="F709">
        <v>350147.98</v>
      </c>
      <c r="G709">
        <v>333475.18</v>
      </c>
      <c r="J709">
        <v>16372.26</v>
      </c>
      <c r="K709">
        <v>300.54000000000002</v>
      </c>
    </row>
    <row r="710" spans="1:11" x14ac:dyDescent="0.25">
      <c r="A710" t="s">
        <v>114</v>
      </c>
      <c r="B710" t="s">
        <v>45</v>
      </c>
      <c r="C710">
        <v>54</v>
      </c>
      <c r="D710" s="10">
        <v>45464</v>
      </c>
      <c r="E710">
        <v>9903.2800000000007</v>
      </c>
      <c r="F710">
        <v>114246.38</v>
      </c>
      <c r="G710">
        <v>107148.59</v>
      </c>
      <c r="H710">
        <v>6511.15</v>
      </c>
      <c r="I710">
        <v>267.68</v>
      </c>
      <c r="J710">
        <v>3973.34</v>
      </c>
      <c r="K710">
        <v>3124.45</v>
      </c>
    </row>
    <row r="711" spans="1:11" x14ac:dyDescent="0.25">
      <c r="A711" t="s">
        <v>147</v>
      </c>
      <c r="B711" t="s">
        <v>146</v>
      </c>
      <c r="C711">
        <v>51</v>
      </c>
      <c r="D711" s="10">
        <v>45467</v>
      </c>
      <c r="E711">
        <v>64178.5</v>
      </c>
      <c r="F711">
        <v>64178.5</v>
      </c>
      <c r="G711">
        <v>55322.09</v>
      </c>
      <c r="H711">
        <v>55322.09</v>
      </c>
      <c r="I711">
        <v>7332.84</v>
      </c>
      <c r="J711">
        <v>7332.84</v>
      </c>
      <c r="K711">
        <v>1523.57</v>
      </c>
    </row>
    <row r="712" spans="1:11" x14ac:dyDescent="0.25">
      <c r="A712" t="s">
        <v>46</v>
      </c>
      <c r="B712" t="s">
        <v>45</v>
      </c>
      <c r="C712">
        <v>32</v>
      </c>
      <c r="D712" s="10">
        <v>45486</v>
      </c>
      <c r="E712">
        <v>95732</v>
      </c>
      <c r="F712">
        <v>511554.2</v>
      </c>
      <c r="G712">
        <v>452267.28</v>
      </c>
      <c r="H712">
        <v>37206.97</v>
      </c>
      <c r="I712">
        <v>50709.85</v>
      </c>
      <c r="J712">
        <v>51471.74</v>
      </c>
      <c r="K712">
        <v>7815.18</v>
      </c>
    </row>
    <row r="713" spans="1:11" x14ac:dyDescent="0.25">
      <c r="A713" t="s">
        <v>53</v>
      </c>
      <c r="B713" t="s">
        <v>52</v>
      </c>
      <c r="C713">
        <v>31</v>
      </c>
      <c r="D713" s="10">
        <v>45487</v>
      </c>
      <c r="E713">
        <v>4923.32</v>
      </c>
      <c r="F713">
        <v>63978.400000000001</v>
      </c>
      <c r="G713">
        <v>59055.08</v>
      </c>
      <c r="I713">
        <v>3934.74</v>
      </c>
      <c r="J713">
        <v>3934.74</v>
      </c>
      <c r="K713">
        <v>988.58</v>
      </c>
    </row>
    <row r="714" spans="1:11" x14ac:dyDescent="0.25">
      <c r="A714" t="s">
        <v>89</v>
      </c>
      <c r="B714" t="s">
        <v>88</v>
      </c>
      <c r="C714">
        <v>27</v>
      </c>
      <c r="D714" s="10">
        <v>45491</v>
      </c>
      <c r="E714">
        <v>10316.27</v>
      </c>
      <c r="F714">
        <v>90449.39</v>
      </c>
      <c r="G714">
        <v>82778.91</v>
      </c>
      <c r="H714">
        <v>5503.91</v>
      </c>
      <c r="I714">
        <v>3605.44</v>
      </c>
      <c r="J714">
        <v>6463.56</v>
      </c>
      <c r="K714">
        <v>1206.92</v>
      </c>
    </row>
    <row r="715" spans="1:11" x14ac:dyDescent="0.25">
      <c r="A715" t="s">
        <v>123</v>
      </c>
      <c r="B715" t="s">
        <v>122</v>
      </c>
      <c r="C715">
        <v>23</v>
      </c>
      <c r="D715" s="10">
        <v>45495</v>
      </c>
      <c r="E715">
        <v>18.09</v>
      </c>
      <c r="F715">
        <v>145455.35</v>
      </c>
      <c r="G715">
        <v>139545.75</v>
      </c>
      <c r="J715">
        <v>5891.51</v>
      </c>
      <c r="K715">
        <v>18.09</v>
      </c>
    </row>
    <row r="716" spans="1:11" x14ac:dyDescent="0.25">
      <c r="A716" t="s">
        <v>132</v>
      </c>
      <c r="B716" t="s">
        <v>131</v>
      </c>
      <c r="C716">
        <v>22</v>
      </c>
      <c r="D716" s="10">
        <v>45496</v>
      </c>
      <c r="E716">
        <v>59810.32</v>
      </c>
      <c r="F716">
        <v>673731.99</v>
      </c>
      <c r="G716">
        <v>601100.55000000005</v>
      </c>
      <c r="H716">
        <v>16763.919999999998</v>
      </c>
      <c r="I716">
        <v>42349.4</v>
      </c>
      <c r="J716">
        <v>71934.44</v>
      </c>
      <c r="K716">
        <v>697</v>
      </c>
    </row>
    <row r="717" spans="1:11" x14ac:dyDescent="0.25">
      <c r="A717" t="s">
        <v>173</v>
      </c>
      <c r="B717" t="s">
        <v>172</v>
      </c>
      <c r="C717">
        <v>18</v>
      </c>
      <c r="D717" s="10">
        <v>45500</v>
      </c>
      <c r="E717">
        <v>3.43</v>
      </c>
      <c r="F717">
        <v>83626.39</v>
      </c>
      <c r="G717">
        <v>81610.64</v>
      </c>
      <c r="J717">
        <v>2012.32</v>
      </c>
      <c r="K717">
        <v>3.43</v>
      </c>
    </row>
    <row r="718" spans="1:11" x14ac:dyDescent="0.25">
      <c r="A718" t="s">
        <v>259</v>
      </c>
      <c r="B718" t="s">
        <v>258</v>
      </c>
      <c r="C718">
        <v>7</v>
      </c>
      <c r="D718" s="10">
        <v>45511</v>
      </c>
      <c r="E718">
        <v>6719.06</v>
      </c>
      <c r="F718">
        <v>29640.5</v>
      </c>
      <c r="G718">
        <v>27637.18</v>
      </c>
      <c r="H718">
        <v>5002.24</v>
      </c>
      <c r="I718">
        <v>1612.35</v>
      </c>
      <c r="J718">
        <v>1898.85</v>
      </c>
      <c r="K718">
        <v>104.47</v>
      </c>
    </row>
    <row r="719" spans="1:11" x14ac:dyDescent="0.25">
      <c r="A719" t="s">
        <v>271</v>
      </c>
      <c r="B719" t="s">
        <v>140</v>
      </c>
      <c r="C719">
        <v>5</v>
      </c>
      <c r="D719" s="10">
        <v>45513</v>
      </c>
      <c r="E719">
        <v>5022.8999999999996</v>
      </c>
      <c r="F719">
        <v>61227.45</v>
      </c>
      <c r="G719">
        <v>58200.9</v>
      </c>
      <c r="H719">
        <v>2378.69</v>
      </c>
      <c r="I719">
        <v>2487.0700000000002</v>
      </c>
      <c r="J719">
        <v>2869.41</v>
      </c>
      <c r="K719">
        <v>157.13999999999999</v>
      </c>
    </row>
    <row r="720" spans="1:11" x14ac:dyDescent="0.25">
      <c r="A720" t="s">
        <v>18</v>
      </c>
      <c r="B720" t="s">
        <v>17</v>
      </c>
      <c r="C720">
        <v>4</v>
      </c>
      <c r="D720" s="10">
        <v>45514</v>
      </c>
      <c r="E720">
        <v>57623.73</v>
      </c>
      <c r="F720">
        <v>255009.6</v>
      </c>
      <c r="G720">
        <v>237634.06</v>
      </c>
      <c r="H720">
        <v>41836.03</v>
      </c>
      <c r="I720">
        <v>15274.41</v>
      </c>
      <c r="J720">
        <v>16862.25</v>
      </c>
      <c r="K720">
        <v>513.29</v>
      </c>
    </row>
    <row r="721" spans="1:11" x14ac:dyDescent="0.25">
      <c r="A721" t="s">
        <v>20</v>
      </c>
      <c r="B721" t="s">
        <v>19</v>
      </c>
      <c r="C721">
        <v>4</v>
      </c>
      <c r="D721" s="10">
        <v>45514</v>
      </c>
      <c r="E721">
        <v>70803.47</v>
      </c>
      <c r="F721">
        <v>311968.26</v>
      </c>
      <c r="G721">
        <v>290711.74</v>
      </c>
      <c r="H721">
        <v>51486.96</v>
      </c>
      <c r="I721">
        <v>18688.57</v>
      </c>
      <c r="J721">
        <v>20628.580000000002</v>
      </c>
      <c r="K721">
        <v>627.94000000000005</v>
      </c>
    </row>
    <row r="722" spans="1:11" x14ac:dyDescent="0.25">
      <c r="A722" t="s">
        <v>30</v>
      </c>
      <c r="B722" t="s">
        <v>29</v>
      </c>
      <c r="C722">
        <v>3</v>
      </c>
      <c r="D722" s="10">
        <v>45515</v>
      </c>
      <c r="E722">
        <v>28879.95</v>
      </c>
      <c r="F722">
        <v>155805.99</v>
      </c>
      <c r="G722">
        <v>148642.13</v>
      </c>
      <c r="H722">
        <v>22235.57</v>
      </c>
      <c r="I722">
        <v>6403.58</v>
      </c>
      <c r="J722">
        <v>6923.06</v>
      </c>
      <c r="K722">
        <v>240.8</v>
      </c>
    </row>
    <row r="723" spans="1:11" x14ac:dyDescent="0.25">
      <c r="A723" t="s">
        <v>32</v>
      </c>
      <c r="B723" t="s">
        <v>31</v>
      </c>
      <c r="C723">
        <v>2</v>
      </c>
      <c r="D723" s="10">
        <v>45516</v>
      </c>
      <c r="E723">
        <v>65061.74</v>
      </c>
      <c r="F723">
        <v>222549.56</v>
      </c>
      <c r="G723">
        <v>208559.4</v>
      </c>
      <c r="H723">
        <v>51699.02</v>
      </c>
      <c r="I723">
        <v>13137.48</v>
      </c>
      <c r="J723">
        <v>13764.92</v>
      </c>
      <c r="K723">
        <v>225.24</v>
      </c>
    </row>
    <row r="724" spans="1:11" x14ac:dyDescent="0.25">
      <c r="A724" t="s">
        <v>42</v>
      </c>
      <c r="B724" t="s">
        <v>41</v>
      </c>
      <c r="C724">
        <v>2</v>
      </c>
      <c r="D724" s="10">
        <v>45516</v>
      </c>
      <c r="E724">
        <v>70294.850000000006</v>
      </c>
      <c r="F724">
        <v>233411.28</v>
      </c>
      <c r="G724">
        <v>217448.65</v>
      </c>
      <c r="H724">
        <v>55044.13</v>
      </c>
      <c r="I724">
        <v>15015.88</v>
      </c>
      <c r="J724">
        <v>15727.79</v>
      </c>
      <c r="K724">
        <v>234.84</v>
      </c>
    </row>
    <row r="725" spans="1:11" x14ac:dyDescent="0.25">
      <c r="A725" t="s">
        <v>1774</v>
      </c>
      <c r="B725" t="s">
        <v>1775</v>
      </c>
      <c r="C725">
        <v>1</v>
      </c>
      <c r="D725" s="10">
        <v>45517</v>
      </c>
      <c r="E725">
        <v>5281.34</v>
      </c>
      <c r="F725">
        <v>5281.34</v>
      </c>
      <c r="K725">
        <v>5281.34</v>
      </c>
    </row>
    <row r="726" spans="1:11" x14ac:dyDescent="0.25">
      <c r="A726" t="s">
        <v>180</v>
      </c>
      <c r="B726" t="s">
        <v>49</v>
      </c>
      <c r="F726">
        <v>36871.81</v>
      </c>
      <c r="G726">
        <v>35983.56</v>
      </c>
      <c r="J726">
        <v>888.25</v>
      </c>
    </row>
    <row r="727" spans="1:11" x14ac:dyDescent="0.25">
      <c r="A727" t="s">
        <v>249</v>
      </c>
      <c r="B727" t="s">
        <v>49</v>
      </c>
      <c r="F727">
        <v>36514.18</v>
      </c>
      <c r="G727">
        <v>36118.36</v>
      </c>
      <c r="J727">
        <v>395.82</v>
      </c>
    </row>
    <row r="728" spans="1:11" x14ac:dyDescent="0.25">
      <c r="A728" t="s">
        <v>246</v>
      </c>
      <c r="B728" t="s">
        <v>245</v>
      </c>
      <c r="F728">
        <v>37952.36</v>
      </c>
      <c r="J728">
        <v>23824.66</v>
      </c>
    </row>
    <row r="729" spans="1:11" x14ac:dyDescent="0.25">
      <c r="A729" t="s">
        <v>166</v>
      </c>
      <c r="B729" t="s">
        <v>165</v>
      </c>
      <c r="F729">
        <v>9535.7800000000007</v>
      </c>
      <c r="G729">
        <v>9293.8799999999992</v>
      </c>
      <c r="J729">
        <v>241.9</v>
      </c>
    </row>
    <row r="730" spans="1:11" x14ac:dyDescent="0.25">
      <c r="A730" t="s">
        <v>194</v>
      </c>
      <c r="B730" t="s">
        <v>193</v>
      </c>
      <c r="F730">
        <v>3078.7</v>
      </c>
      <c r="G730">
        <v>2986.88</v>
      </c>
      <c r="J730">
        <v>91.82</v>
      </c>
    </row>
    <row r="731" spans="1:11" x14ac:dyDescent="0.25">
      <c r="A731" t="s">
        <v>126</v>
      </c>
      <c r="B731" t="s">
        <v>125</v>
      </c>
      <c r="F731">
        <v>16302.05</v>
      </c>
      <c r="G731">
        <v>15825.13</v>
      </c>
      <c r="J731">
        <v>476.92</v>
      </c>
    </row>
    <row r="732" spans="1:11" x14ac:dyDescent="0.25">
      <c r="A732" t="s">
        <v>61</v>
      </c>
      <c r="B732" t="s">
        <v>60</v>
      </c>
      <c r="F732">
        <v>21906.97</v>
      </c>
      <c r="G732">
        <v>21042.22</v>
      </c>
      <c r="J732">
        <v>864.75</v>
      </c>
    </row>
    <row r="733" spans="1:11" x14ac:dyDescent="0.25">
      <c r="A733" t="s">
        <v>124</v>
      </c>
      <c r="B733" t="s">
        <v>39</v>
      </c>
      <c r="F733">
        <v>58025.62</v>
      </c>
      <c r="G733">
        <v>55440.43</v>
      </c>
      <c r="J733">
        <v>2585.19</v>
      </c>
    </row>
    <row r="734" spans="1:11" x14ac:dyDescent="0.25">
      <c r="A734" t="s">
        <v>40</v>
      </c>
      <c r="B734" t="s">
        <v>39</v>
      </c>
      <c r="F734">
        <v>100002.86</v>
      </c>
      <c r="G734">
        <v>99675.16</v>
      </c>
      <c r="J734">
        <v>327.7</v>
      </c>
    </row>
    <row r="735" spans="1:11" x14ac:dyDescent="0.25">
      <c r="A735" t="s">
        <v>225</v>
      </c>
      <c r="B735" t="s">
        <v>39</v>
      </c>
      <c r="F735">
        <v>92541.18</v>
      </c>
      <c r="G735">
        <v>90751.02</v>
      </c>
      <c r="J735">
        <v>1790.16</v>
      </c>
    </row>
    <row r="736" spans="1:11" x14ac:dyDescent="0.25">
      <c r="A736" t="s">
        <v>254</v>
      </c>
      <c r="B736" t="s">
        <v>39</v>
      </c>
      <c r="F736">
        <v>36778.26</v>
      </c>
      <c r="G736">
        <v>36300.879999999997</v>
      </c>
      <c r="J736">
        <v>477.38</v>
      </c>
    </row>
    <row r="737" spans="1:10" x14ac:dyDescent="0.25">
      <c r="A737" t="s">
        <v>1776</v>
      </c>
      <c r="B737" t="s">
        <v>1777</v>
      </c>
      <c r="F737">
        <v>288158.86</v>
      </c>
      <c r="G737">
        <v>149392.56</v>
      </c>
      <c r="J737">
        <v>138766.29999999999</v>
      </c>
    </row>
    <row r="738" spans="1:10" x14ac:dyDescent="0.25">
      <c r="A738" t="s">
        <v>184</v>
      </c>
      <c r="B738" t="s">
        <v>183</v>
      </c>
      <c r="F738">
        <v>21564.98</v>
      </c>
      <c r="G738">
        <v>20855.88</v>
      </c>
      <c r="J738">
        <v>709.1</v>
      </c>
    </row>
    <row r="739" spans="1:10" x14ac:dyDescent="0.25">
      <c r="A739" t="s">
        <v>261</v>
      </c>
      <c r="B739" t="s">
        <v>260</v>
      </c>
      <c r="F739">
        <v>23250.75</v>
      </c>
      <c r="G739">
        <v>23250.75</v>
      </c>
    </row>
    <row r="740" spans="1:10" x14ac:dyDescent="0.25">
      <c r="A740" t="s">
        <v>16</v>
      </c>
      <c r="B740" t="s">
        <v>15</v>
      </c>
      <c r="F740">
        <v>124355.48</v>
      </c>
      <c r="G740">
        <v>123462.49</v>
      </c>
      <c r="J740">
        <v>892.99</v>
      </c>
    </row>
    <row r="741" spans="1:10" x14ac:dyDescent="0.25">
      <c r="A741" t="s">
        <v>266</v>
      </c>
      <c r="B741" t="s">
        <v>15</v>
      </c>
      <c r="F741">
        <v>63377.25</v>
      </c>
      <c r="G741">
        <v>62615.57</v>
      </c>
      <c r="J741">
        <v>761.68</v>
      </c>
    </row>
    <row r="742" spans="1:10" x14ac:dyDescent="0.25">
      <c r="A742" t="s">
        <v>169</v>
      </c>
      <c r="B742" t="s">
        <v>168</v>
      </c>
      <c r="F742">
        <v>11025.75</v>
      </c>
      <c r="G742">
        <v>10746.06</v>
      </c>
      <c r="J742">
        <v>279.69</v>
      </c>
    </row>
    <row r="743" spans="1:10" x14ac:dyDescent="0.25">
      <c r="A743" t="s">
        <v>209</v>
      </c>
      <c r="B743" t="s">
        <v>208</v>
      </c>
      <c r="F743">
        <v>192356.34</v>
      </c>
      <c r="G743">
        <v>187416.75</v>
      </c>
      <c r="J743">
        <v>4939.59</v>
      </c>
    </row>
    <row r="744" spans="1:10" x14ac:dyDescent="0.25">
      <c r="A744" t="s">
        <v>164</v>
      </c>
      <c r="B744" t="s">
        <v>163</v>
      </c>
      <c r="F744">
        <v>70694.89</v>
      </c>
      <c r="G744">
        <v>68106.83</v>
      </c>
      <c r="J744">
        <v>2588.06</v>
      </c>
    </row>
    <row r="745" spans="1:10" x14ac:dyDescent="0.25">
      <c r="A745" t="s">
        <v>87</v>
      </c>
      <c r="B745" t="s">
        <v>86</v>
      </c>
      <c r="F745">
        <v>19224.919999999998</v>
      </c>
      <c r="G745">
        <v>18239.96</v>
      </c>
      <c r="J745">
        <v>984.96</v>
      </c>
    </row>
    <row r="746" spans="1:10" x14ac:dyDescent="0.25">
      <c r="A746" t="s">
        <v>139</v>
      </c>
      <c r="B746" t="s">
        <v>138</v>
      </c>
      <c r="F746">
        <v>130393.89</v>
      </c>
      <c r="G746">
        <v>125623.63</v>
      </c>
      <c r="J746">
        <v>4770.26</v>
      </c>
    </row>
    <row r="747" spans="1:10" x14ac:dyDescent="0.25">
      <c r="A747" t="s">
        <v>198</v>
      </c>
      <c r="B747" t="s">
        <v>197</v>
      </c>
      <c r="F747">
        <v>28891.69</v>
      </c>
      <c r="G747">
        <v>27912.83</v>
      </c>
      <c r="J747">
        <v>978.86</v>
      </c>
    </row>
    <row r="748" spans="1:10" x14ac:dyDescent="0.25">
      <c r="A748" t="s">
        <v>268</v>
      </c>
      <c r="B748" t="s">
        <v>267</v>
      </c>
      <c r="F748">
        <v>25657.63</v>
      </c>
      <c r="G748">
        <v>25400.15</v>
      </c>
      <c r="J748">
        <v>257.48</v>
      </c>
    </row>
    <row r="749" spans="1:10" x14ac:dyDescent="0.25">
      <c r="A749" t="s">
        <v>93</v>
      </c>
      <c r="B749" t="s">
        <v>92</v>
      </c>
      <c r="F749">
        <v>40997.22</v>
      </c>
      <c r="G749">
        <v>39061.279999999999</v>
      </c>
      <c r="J749">
        <v>1935.94</v>
      </c>
    </row>
    <row r="750" spans="1:10" x14ac:dyDescent="0.25">
      <c r="A750" t="s">
        <v>152</v>
      </c>
      <c r="B750" t="s">
        <v>92</v>
      </c>
      <c r="F750">
        <v>46920.22</v>
      </c>
      <c r="G750">
        <v>45004.15</v>
      </c>
      <c r="J750">
        <v>1916.07</v>
      </c>
    </row>
    <row r="751" spans="1:10" x14ac:dyDescent="0.25">
      <c r="A751" t="s">
        <v>119</v>
      </c>
      <c r="B751" t="s">
        <v>92</v>
      </c>
      <c r="F751">
        <v>58363.6</v>
      </c>
      <c r="G751">
        <v>55655.54</v>
      </c>
      <c r="J751">
        <v>2708.06</v>
      </c>
    </row>
    <row r="752" spans="1:10" x14ac:dyDescent="0.25">
      <c r="A752" t="s">
        <v>118</v>
      </c>
      <c r="B752" t="s">
        <v>117</v>
      </c>
      <c r="F752">
        <v>12291.68</v>
      </c>
      <c r="G752">
        <v>11721.35</v>
      </c>
      <c r="J752">
        <v>570.33000000000004</v>
      </c>
    </row>
    <row r="753" spans="1:10" x14ac:dyDescent="0.25">
      <c r="A753" t="s">
        <v>221</v>
      </c>
      <c r="B753" t="s">
        <v>220</v>
      </c>
      <c r="F753">
        <v>55547.58</v>
      </c>
      <c r="G753">
        <v>54350.38</v>
      </c>
      <c r="J753">
        <v>1197.2</v>
      </c>
    </row>
    <row r="754" spans="1:10" x14ac:dyDescent="0.25">
      <c r="A754" t="s">
        <v>136</v>
      </c>
      <c r="B754" t="s">
        <v>135</v>
      </c>
      <c r="F754">
        <v>229267.94</v>
      </c>
      <c r="G754">
        <v>221265.99</v>
      </c>
      <c r="J754">
        <v>8001.95</v>
      </c>
    </row>
    <row r="755" spans="1:10" x14ac:dyDescent="0.25">
      <c r="A755" t="s">
        <v>242</v>
      </c>
      <c r="B755" t="s">
        <v>241</v>
      </c>
      <c r="F755">
        <v>94280.93</v>
      </c>
      <c r="G755">
        <v>93132.72</v>
      </c>
      <c r="J755">
        <v>1148.21</v>
      </c>
    </row>
    <row r="756" spans="1:10" x14ac:dyDescent="0.25">
      <c r="A756" t="s">
        <v>177</v>
      </c>
      <c r="B756" t="s">
        <v>176</v>
      </c>
      <c r="F756">
        <v>221320.89</v>
      </c>
      <c r="G756">
        <v>215994.99</v>
      </c>
      <c r="J756">
        <v>5325.9</v>
      </c>
    </row>
    <row r="757" spans="1:10" x14ac:dyDescent="0.25">
      <c r="A757" t="s">
        <v>182</v>
      </c>
      <c r="B757" t="s">
        <v>181</v>
      </c>
      <c r="F757">
        <v>101303.19</v>
      </c>
      <c r="G757">
        <v>98997.759999999995</v>
      </c>
      <c r="J757">
        <v>2305.4299999999998</v>
      </c>
    </row>
    <row r="758" spans="1:10" x14ac:dyDescent="0.25">
      <c r="A758" t="s">
        <v>128</v>
      </c>
      <c r="B758" t="s">
        <v>127</v>
      </c>
      <c r="F758">
        <v>123894.03</v>
      </c>
      <c r="G758">
        <v>120269.47</v>
      </c>
      <c r="J758">
        <v>3624.56</v>
      </c>
    </row>
    <row r="759" spans="1:10" x14ac:dyDescent="0.25">
      <c r="A759" t="s">
        <v>158</v>
      </c>
      <c r="B759" t="s">
        <v>157</v>
      </c>
      <c r="F759">
        <v>247129.9</v>
      </c>
      <c r="G759">
        <v>240539.77</v>
      </c>
      <c r="J759">
        <v>6590.13</v>
      </c>
    </row>
    <row r="760" spans="1:10" x14ac:dyDescent="0.25">
      <c r="A760" t="s">
        <v>253</v>
      </c>
      <c r="B760" t="s">
        <v>64</v>
      </c>
      <c r="F760">
        <v>146494.26</v>
      </c>
      <c r="G760">
        <v>144906.25</v>
      </c>
      <c r="J760">
        <v>1588.01</v>
      </c>
    </row>
    <row r="761" spans="1:10" x14ac:dyDescent="0.25">
      <c r="A761" t="s">
        <v>272</v>
      </c>
      <c r="B761" t="s">
        <v>64</v>
      </c>
      <c r="F761">
        <v>175078.41</v>
      </c>
      <c r="G761">
        <v>173887.4</v>
      </c>
      <c r="J761">
        <v>1191.01</v>
      </c>
    </row>
    <row r="762" spans="1:10" x14ac:dyDescent="0.25">
      <c r="A762" t="s">
        <v>65</v>
      </c>
      <c r="B762" t="s">
        <v>64</v>
      </c>
      <c r="F762">
        <v>75276.41</v>
      </c>
      <c r="G762">
        <v>72304.97</v>
      </c>
      <c r="J762">
        <v>2971.44</v>
      </c>
    </row>
    <row r="763" spans="1:10" x14ac:dyDescent="0.25">
      <c r="A763" t="s">
        <v>156</v>
      </c>
      <c r="B763" t="s">
        <v>64</v>
      </c>
      <c r="F763">
        <v>108677.65</v>
      </c>
      <c r="G763">
        <v>105779.58</v>
      </c>
      <c r="J763">
        <v>2898.07</v>
      </c>
    </row>
    <row r="764" spans="1:10" x14ac:dyDescent="0.25">
      <c r="A764" t="s">
        <v>234</v>
      </c>
      <c r="B764" t="s">
        <v>103</v>
      </c>
      <c r="F764">
        <v>24490.97</v>
      </c>
      <c r="G764">
        <v>24140.44</v>
      </c>
      <c r="J764">
        <v>350.53</v>
      </c>
    </row>
    <row r="765" spans="1:10" x14ac:dyDescent="0.25">
      <c r="A765" t="s">
        <v>248</v>
      </c>
      <c r="B765" t="s">
        <v>247</v>
      </c>
      <c r="F765">
        <v>4856.03</v>
      </c>
      <c r="G765">
        <v>4760.9399999999996</v>
      </c>
      <c r="J765">
        <v>95.09</v>
      </c>
    </row>
    <row r="766" spans="1:10" x14ac:dyDescent="0.25">
      <c r="A766" t="s">
        <v>28</v>
      </c>
      <c r="B766" t="s">
        <v>27</v>
      </c>
      <c r="F766">
        <v>96571.93</v>
      </c>
      <c r="G766">
        <v>96176.68</v>
      </c>
      <c r="J766">
        <v>395.25</v>
      </c>
    </row>
    <row r="767" spans="1:10" x14ac:dyDescent="0.25">
      <c r="A767" t="s">
        <v>233</v>
      </c>
      <c r="B767" t="s">
        <v>232</v>
      </c>
      <c r="F767">
        <v>52149.67</v>
      </c>
      <c r="G767">
        <v>51444.94</v>
      </c>
      <c r="J767">
        <v>704.73</v>
      </c>
    </row>
    <row r="768" spans="1:10" x14ac:dyDescent="0.25">
      <c r="A768" t="s">
        <v>67</v>
      </c>
      <c r="B768" t="s">
        <v>66</v>
      </c>
      <c r="F768">
        <v>99141.02</v>
      </c>
      <c r="G768">
        <v>95227.56</v>
      </c>
      <c r="J768">
        <v>3913.46</v>
      </c>
    </row>
    <row r="769" spans="1:10" x14ac:dyDescent="0.25">
      <c r="A769" t="s">
        <v>100</v>
      </c>
      <c r="B769" t="s">
        <v>99</v>
      </c>
      <c r="F769">
        <v>28400.13</v>
      </c>
      <c r="G769">
        <v>26907.33</v>
      </c>
      <c r="J769">
        <v>1492.8</v>
      </c>
    </row>
    <row r="770" spans="1:10" x14ac:dyDescent="0.25">
      <c r="A770" t="s">
        <v>175</v>
      </c>
      <c r="B770" t="s">
        <v>174</v>
      </c>
      <c r="F770">
        <v>303934.71000000002</v>
      </c>
      <c r="G770">
        <v>296620.77</v>
      </c>
      <c r="J770">
        <v>7313.94</v>
      </c>
    </row>
    <row r="771" spans="1:10" x14ac:dyDescent="0.25">
      <c r="A771" t="s">
        <v>224</v>
      </c>
      <c r="B771" t="s">
        <v>23</v>
      </c>
      <c r="F771">
        <v>194310.65</v>
      </c>
      <c r="G771">
        <v>191168.16</v>
      </c>
      <c r="J771">
        <v>3142.49</v>
      </c>
    </row>
    <row r="772" spans="1:10" x14ac:dyDescent="0.25">
      <c r="A772" t="s">
        <v>24</v>
      </c>
      <c r="B772" t="s">
        <v>23</v>
      </c>
      <c r="F772">
        <v>33590.75</v>
      </c>
      <c r="G772">
        <v>33345.910000000003</v>
      </c>
      <c r="J772">
        <v>244.84</v>
      </c>
    </row>
    <row r="773" spans="1:10" x14ac:dyDescent="0.25">
      <c r="A773" t="s">
        <v>55</v>
      </c>
      <c r="B773" t="s">
        <v>54</v>
      </c>
      <c r="F773">
        <v>14017.58</v>
      </c>
      <c r="G773">
        <v>14017.58</v>
      </c>
    </row>
    <row r="774" spans="1:10" x14ac:dyDescent="0.25">
      <c r="A774" t="s">
        <v>145</v>
      </c>
      <c r="B774" t="s">
        <v>144</v>
      </c>
      <c r="F774">
        <v>145705.06</v>
      </c>
      <c r="G774">
        <v>140141.63</v>
      </c>
      <c r="J774">
        <v>5563.43</v>
      </c>
    </row>
    <row r="775" spans="1:10" x14ac:dyDescent="0.25">
      <c r="A775" t="s">
        <v>141</v>
      </c>
      <c r="B775" t="s">
        <v>140</v>
      </c>
      <c r="F775">
        <v>131962.07999999999</v>
      </c>
      <c r="G775">
        <v>127275.55</v>
      </c>
      <c r="J775">
        <v>4686.53</v>
      </c>
    </row>
    <row r="776" spans="1:10" x14ac:dyDescent="0.25">
      <c r="A776" t="s">
        <v>162</v>
      </c>
      <c r="B776" t="s">
        <v>161</v>
      </c>
      <c r="F776">
        <v>205974.37</v>
      </c>
      <c r="G776">
        <v>198995.88</v>
      </c>
      <c r="J776">
        <v>6978.49</v>
      </c>
    </row>
    <row r="777" spans="1:10" x14ac:dyDescent="0.25">
      <c r="A777" t="s">
        <v>217</v>
      </c>
      <c r="B777" t="s">
        <v>216</v>
      </c>
      <c r="F777">
        <v>126998.89</v>
      </c>
      <c r="G777">
        <v>124582.33</v>
      </c>
      <c r="J777">
        <v>2416.56</v>
      </c>
    </row>
    <row r="778" spans="1:10" x14ac:dyDescent="0.25">
      <c r="A778" t="s">
        <v>154</v>
      </c>
      <c r="B778" t="s">
        <v>153</v>
      </c>
      <c r="F778">
        <v>77505.570000000007</v>
      </c>
      <c r="G778">
        <v>74879.649999999994</v>
      </c>
      <c r="J778">
        <v>2625.92</v>
      </c>
    </row>
    <row r="779" spans="1:10" x14ac:dyDescent="0.25">
      <c r="A779" t="s">
        <v>116</v>
      </c>
      <c r="B779" t="s">
        <v>115</v>
      </c>
      <c r="F779">
        <v>279822.28000000003</v>
      </c>
      <c r="G779">
        <v>268522.27</v>
      </c>
      <c r="J779">
        <v>11300.01</v>
      </c>
    </row>
    <row r="780" spans="1:10" x14ac:dyDescent="0.25">
      <c r="A780" t="s">
        <v>1778</v>
      </c>
      <c r="B780" t="s">
        <v>1779</v>
      </c>
      <c r="F780">
        <v>240534.88</v>
      </c>
      <c r="G780">
        <v>117198.48</v>
      </c>
      <c r="J780">
        <v>123336.4</v>
      </c>
    </row>
    <row r="781" spans="1:10" x14ac:dyDescent="0.25">
      <c r="A781" t="s">
        <v>240</v>
      </c>
      <c r="B781" t="s">
        <v>239</v>
      </c>
      <c r="F781">
        <v>127479.49</v>
      </c>
      <c r="G781">
        <v>125499.01</v>
      </c>
      <c r="J781">
        <v>1980.48</v>
      </c>
    </row>
    <row r="782" spans="1:10" x14ac:dyDescent="0.25">
      <c r="A782" t="s">
        <v>252</v>
      </c>
      <c r="B782" t="s">
        <v>251</v>
      </c>
      <c r="F782">
        <v>558257.42000000004</v>
      </c>
      <c r="G782">
        <v>552205.85</v>
      </c>
      <c r="J782">
        <v>6051.57</v>
      </c>
    </row>
    <row r="783" spans="1:10" x14ac:dyDescent="0.25">
      <c r="A783" t="s">
        <v>44</v>
      </c>
      <c r="B783" t="s">
        <v>43</v>
      </c>
      <c r="F783">
        <v>83848.63</v>
      </c>
      <c r="G783">
        <v>83733.929999999993</v>
      </c>
      <c r="J783">
        <v>114.7</v>
      </c>
    </row>
    <row r="784" spans="1:10" x14ac:dyDescent="0.25">
      <c r="A784" t="s">
        <v>250</v>
      </c>
      <c r="B784" t="s">
        <v>43</v>
      </c>
      <c r="F784">
        <v>123074.2</v>
      </c>
      <c r="G784">
        <v>121371.67</v>
      </c>
      <c r="J784">
        <v>1702.53</v>
      </c>
    </row>
    <row r="785" spans="1:12" x14ac:dyDescent="0.25">
      <c r="A785" t="s">
        <v>196</v>
      </c>
      <c r="B785" t="s">
        <v>195</v>
      </c>
      <c r="F785">
        <v>178332.56</v>
      </c>
      <c r="G785">
        <v>174507.73</v>
      </c>
      <c r="J785">
        <v>3824.83</v>
      </c>
    </row>
    <row r="786" spans="1:12" x14ac:dyDescent="0.25">
      <c r="A786" t="s">
        <v>171</v>
      </c>
      <c r="B786" t="s">
        <v>170</v>
      </c>
      <c r="F786">
        <v>296056.28000000003</v>
      </c>
      <c r="G786">
        <v>286313.77</v>
      </c>
      <c r="J786">
        <v>9742.51</v>
      </c>
    </row>
    <row r="787" spans="1:12" x14ac:dyDescent="0.25">
      <c r="A787" t="s">
        <v>238</v>
      </c>
      <c r="B787" t="s">
        <v>237</v>
      </c>
      <c r="F787">
        <v>113045.35</v>
      </c>
      <c r="G787">
        <v>111097.34</v>
      </c>
      <c r="J787">
        <v>1948.01</v>
      </c>
    </row>
    <row r="788" spans="1:12" x14ac:dyDescent="0.25">
      <c r="A788" t="s">
        <v>48</v>
      </c>
      <c r="B788" t="s">
        <v>47</v>
      </c>
      <c r="F788">
        <v>135162.32999999999</v>
      </c>
      <c r="G788">
        <v>134877.79</v>
      </c>
      <c r="J788">
        <v>284.54000000000002</v>
      </c>
    </row>
    <row r="789" spans="1:12" x14ac:dyDescent="0.25">
      <c r="A789" t="s">
        <v>77</v>
      </c>
      <c r="B789" t="s">
        <v>76</v>
      </c>
      <c r="F789">
        <v>695620.08</v>
      </c>
      <c r="G789">
        <v>666477.66</v>
      </c>
      <c r="J789">
        <v>29142.42</v>
      </c>
    </row>
    <row r="790" spans="1:12" x14ac:dyDescent="0.25">
      <c r="A790" t="s">
        <v>160</v>
      </c>
      <c r="B790" t="s">
        <v>159</v>
      </c>
      <c r="F790">
        <v>168755.7</v>
      </c>
      <c r="G790">
        <v>163124.54999999999</v>
      </c>
      <c r="J790">
        <v>5631.15</v>
      </c>
    </row>
    <row r="791" spans="1:12" x14ac:dyDescent="0.25">
      <c r="A791" t="s">
        <v>223</v>
      </c>
      <c r="B791" t="s">
        <v>222</v>
      </c>
      <c r="F791">
        <v>92565.33</v>
      </c>
      <c r="G791">
        <v>89905.12</v>
      </c>
      <c r="J791">
        <v>2660.21</v>
      </c>
    </row>
    <row r="792" spans="1:12" x14ac:dyDescent="0.25">
      <c r="A792" t="s">
        <v>11</v>
      </c>
      <c r="C792" t="s">
        <v>1780</v>
      </c>
      <c r="E792">
        <v>410000573.19999999</v>
      </c>
      <c r="F792">
        <v>428955634.47000003</v>
      </c>
      <c r="G792">
        <v>154937834.5</v>
      </c>
      <c r="H792">
        <v>136782333.34999999</v>
      </c>
      <c r="I792">
        <v>93307189.049999997</v>
      </c>
      <c r="J792">
        <v>94092621.469999999</v>
      </c>
      <c r="K792">
        <v>176330797.77000001</v>
      </c>
      <c r="L792">
        <v>3570753.03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A3B8C-0D31-4556-BD2B-F0E56F97686C}">
  <sheetPr codeName="Sheet3"/>
  <dimension ref="A1:H54"/>
  <sheetViews>
    <sheetView workbookViewId="0">
      <selection activeCell="B24" sqref="B24"/>
    </sheetView>
  </sheetViews>
  <sheetFormatPr defaultRowHeight="15" x14ac:dyDescent="0.25"/>
  <cols>
    <col min="1" max="1" width="35.140625" bestFit="1" customWidth="1"/>
    <col min="2" max="2" width="34.140625" bestFit="1" customWidth="1"/>
    <col min="3" max="3" width="12.7109375" bestFit="1" customWidth="1"/>
    <col min="4" max="4" width="20.42578125" bestFit="1" customWidth="1"/>
    <col min="6" max="6" width="35.140625" bestFit="1" customWidth="1"/>
    <col min="7" max="7" width="34.140625" bestFit="1" customWidth="1"/>
  </cols>
  <sheetData>
    <row r="1" spans="1:8" x14ac:dyDescent="0.25">
      <c r="A1" s="11" t="s">
        <v>276</v>
      </c>
      <c r="B1" s="12"/>
      <c r="C1" s="12"/>
      <c r="D1" s="13"/>
      <c r="F1" s="14" t="s">
        <v>277</v>
      </c>
      <c r="G1" s="15"/>
      <c r="H1" s="16"/>
    </row>
    <row r="2" spans="1:8" ht="15.75" thickBot="1" x14ac:dyDescent="0.3">
      <c r="A2" s="17" t="s">
        <v>278</v>
      </c>
      <c r="B2" s="18" t="s">
        <v>279</v>
      </c>
      <c r="C2" s="19" t="s">
        <v>280</v>
      </c>
      <c r="D2" s="20" t="s">
        <v>281</v>
      </c>
      <c r="F2" s="21" t="s">
        <v>282</v>
      </c>
      <c r="G2" s="22" t="s">
        <v>279</v>
      </c>
      <c r="H2" s="23" t="s">
        <v>283</v>
      </c>
    </row>
    <row r="3" spans="1:8" x14ac:dyDescent="0.25">
      <c r="C3" s="10" t="str">
        <f>IFERROR(VLOOKUP(B3,'реестр просрочников'!B:D,3,0)+1,"")</f>
        <v/>
      </c>
      <c r="D3" t="str">
        <f>IFERROR(IF(B3="","",IF(VLOOKUP(B3,G:G,1,0)&gt;"","есть")),"добавить")</f>
        <v/>
      </c>
      <c r="H3" t="str">
        <f>IFERROR(IF(G3="","",IF(VLOOKUP(G3,B:B,1,0)&gt;"","актуально")),"поставить дату погашения")</f>
        <v/>
      </c>
    </row>
    <row r="4" spans="1:8" x14ac:dyDescent="0.25">
      <c r="C4" s="10" t="str">
        <f>IFERROR(VLOOKUP(B4,'реестр просрочников'!B:D,3,0)+1,"")</f>
        <v/>
      </c>
      <c r="D4" t="str">
        <f t="shared" ref="D4:D52" si="0">IFERROR(IF(B4="","",IF(VLOOKUP(B4,G:G,1,0)&gt;"","есть")),"добавить")</f>
        <v/>
      </c>
      <c r="H4" t="str">
        <f t="shared" ref="H4:H50" si="1">IFERROR(IF(G4="","",IF(VLOOKUP(G4,B:B,1,0)&gt;"","актуально")),"поставить дату погашения")</f>
        <v/>
      </c>
    </row>
    <row r="5" spans="1:8" x14ac:dyDescent="0.25">
      <c r="C5" s="10" t="str">
        <f>IFERROR(VLOOKUP(B5,'реестр просрочников'!B:D,3,0)+1,"")</f>
        <v/>
      </c>
      <c r="D5" t="str">
        <f t="shared" si="0"/>
        <v/>
      </c>
      <c r="H5" t="str">
        <f t="shared" si="1"/>
        <v/>
      </c>
    </row>
    <row r="6" spans="1:8" x14ac:dyDescent="0.25">
      <c r="C6" s="10" t="str">
        <f>IFERROR(VLOOKUP(B6,'реестр просрочников'!B:D,3,0)+1,"")</f>
        <v/>
      </c>
      <c r="D6" t="str">
        <f t="shared" si="0"/>
        <v/>
      </c>
      <c r="H6" t="str">
        <f t="shared" si="1"/>
        <v/>
      </c>
    </row>
    <row r="7" spans="1:8" x14ac:dyDescent="0.25">
      <c r="C7" s="10" t="str">
        <f>IFERROR(VLOOKUP(B7,'реестр просрочников'!B:D,3,0)+1,"")</f>
        <v/>
      </c>
      <c r="D7" t="str">
        <f t="shared" si="0"/>
        <v/>
      </c>
      <c r="H7" t="str">
        <f t="shared" si="1"/>
        <v/>
      </c>
    </row>
    <row r="8" spans="1:8" x14ac:dyDescent="0.25">
      <c r="C8" s="10" t="str">
        <f>IFERROR(VLOOKUP(B8,'реестр просрочников'!B:D,3,0)+1,"")</f>
        <v/>
      </c>
      <c r="D8" t="str">
        <f t="shared" si="0"/>
        <v/>
      </c>
      <c r="H8" t="str">
        <f t="shared" si="1"/>
        <v/>
      </c>
    </row>
    <row r="9" spans="1:8" x14ac:dyDescent="0.25">
      <c r="C9" s="10" t="str">
        <f>IFERROR(VLOOKUP(B9,'реестр просрочников'!B:D,3,0)+1,"")</f>
        <v/>
      </c>
      <c r="D9" t="str">
        <f t="shared" si="0"/>
        <v/>
      </c>
      <c r="H9" t="str">
        <f t="shared" si="1"/>
        <v/>
      </c>
    </row>
    <row r="10" spans="1:8" x14ac:dyDescent="0.25">
      <c r="C10" s="10" t="str">
        <f>IFERROR(VLOOKUP(B10,'реестр просрочников'!B:D,3,0)+1,"")</f>
        <v/>
      </c>
      <c r="D10" t="str">
        <f t="shared" si="0"/>
        <v/>
      </c>
      <c r="H10" t="str">
        <f t="shared" si="1"/>
        <v/>
      </c>
    </row>
    <row r="11" spans="1:8" x14ac:dyDescent="0.25">
      <c r="C11" s="10" t="str">
        <f>IFERROR(VLOOKUP(B11,'реестр просрочников'!B:D,3,0)+1,"")</f>
        <v/>
      </c>
      <c r="D11" t="str">
        <f t="shared" si="0"/>
        <v/>
      </c>
      <c r="H11" t="str">
        <f t="shared" si="1"/>
        <v/>
      </c>
    </row>
    <row r="12" spans="1:8" x14ac:dyDescent="0.25">
      <c r="C12" s="10" t="str">
        <f>IFERROR(VLOOKUP(B12,'реестр просрочников'!B:D,3,0)+1,"")</f>
        <v/>
      </c>
      <c r="D12" t="str">
        <f t="shared" si="0"/>
        <v/>
      </c>
      <c r="H12" t="str">
        <f t="shared" si="1"/>
        <v/>
      </c>
    </row>
    <row r="13" spans="1:8" x14ac:dyDescent="0.25">
      <c r="C13" s="10" t="str">
        <f>IFERROR(VLOOKUP(B13,'реестр просрочников'!B:D,3,0)+1,"")</f>
        <v/>
      </c>
      <c r="D13" t="str">
        <f t="shared" si="0"/>
        <v/>
      </c>
      <c r="H13" t="str">
        <f t="shared" si="1"/>
        <v/>
      </c>
    </row>
    <row r="14" spans="1:8" x14ac:dyDescent="0.25">
      <c r="C14" s="10" t="str">
        <f>IFERROR(VLOOKUP(B14,'реестр просрочников'!B:D,3,0)+1,"")</f>
        <v/>
      </c>
      <c r="D14" t="str">
        <f t="shared" si="0"/>
        <v/>
      </c>
      <c r="H14" t="str">
        <f t="shared" si="1"/>
        <v/>
      </c>
    </row>
    <row r="15" spans="1:8" x14ac:dyDescent="0.25">
      <c r="C15" s="10" t="str">
        <f>IFERROR(VLOOKUP(B15,'реестр просрочников'!B:D,3,0)+1,"")</f>
        <v/>
      </c>
      <c r="D15" t="str">
        <f t="shared" si="0"/>
        <v/>
      </c>
      <c r="H15" t="str">
        <f t="shared" si="1"/>
        <v/>
      </c>
    </row>
    <row r="16" spans="1:8" x14ac:dyDescent="0.25">
      <c r="C16" s="10" t="str">
        <f>IFERROR(VLOOKUP(B16,'реестр просрочников'!B:D,3,0)+1,"")</f>
        <v/>
      </c>
      <c r="D16" t="str">
        <f t="shared" si="0"/>
        <v/>
      </c>
      <c r="H16" t="str">
        <f t="shared" si="1"/>
        <v/>
      </c>
    </row>
    <row r="17" spans="3:8" x14ac:dyDescent="0.25">
      <c r="C17" s="10" t="str">
        <f>IFERROR(VLOOKUP(B17,'реестр просрочников'!B:D,3,0)+1,"")</f>
        <v/>
      </c>
      <c r="D17" t="str">
        <f t="shared" si="0"/>
        <v/>
      </c>
      <c r="H17" t="str">
        <f t="shared" si="1"/>
        <v/>
      </c>
    </row>
    <row r="18" spans="3:8" x14ac:dyDescent="0.25">
      <c r="C18" s="10" t="str">
        <f>IFERROR(VLOOKUP(B18,'реестр просрочников'!B:D,3,0)+1,"")</f>
        <v/>
      </c>
      <c r="D18" t="str">
        <f t="shared" si="0"/>
        <v/>
      </c>
      <c r="H18" t="str">
        <f t="shared" si="1"/>
        <v/>
      </c>
    </row>
    <row r="19" spans="3:8" x14ac:dyDescent="0.25">
      <c r="C19" s="10" t="str">
        <f>IFERROR(VLOOKUP(B19,'реестр просрочников'!B:D,3,0)+1,"")</f>
        <v/>
      </c>
      <c r="D19" t="str">
        <f t="shared" si="0"/>
        <v/>
      </c>
      <c r="H19" t="str">
        <f t="shared" si="1"/>
        <v/>
      </c>
    </row>
    <row r="20" spans="3:8" x14ac:dyDescent="0.25">
      <c r="C20" s="10" t="str">
        <f>IFERROR(VLOOKUP(B20,'реестр просрочников'!B:D,3,0)+1,"")</f>
        <v/>
      </c>
      <c r="D20" t="str">
        <f t="shared" si="0"/>
        <v/>
      </c>
      <c r="H20" t="str">
        <f t="shared" si="1"/>
        <v/>
      </c>
    </row>
    <row r="21" spans="3:8" x14ac:dyDescent="0.25">
      <c r="C21" s="10" t="str">
        <f>IFERROR(VLOOKUP(B21,'реестр просрочников'!B:D,3,0)+1,"")</f>
        <v/>
      </c>
      <c r="D21" t="str">
        <f t="shared" si="0"/>
        <v/>
      </c>
      <c r="H21" t="str">
        <f t="shared" si="1"/>
        <v/>
      </c>
    </row>
    <row r="22" spans="3:8" x14ac:dyDescent="0.25">
      <c r="C22" s="10" t="str">
        <f>IFERROR(VLOOKUP(B22,'реестр просрочников'!B:D,3,0)+1,"")</f>
        <v/>
      </c>
      <c r="D22" t="str">
        <f t="shared" si="0"/>
        <v/>
      </c>
      <c r="H22" t="str">
        <f t="shared" si="1"/>
        <v/>
      </c>
    </row>
    <row r="23" spans="3:8" x14ac:dyDescent="0.25">
      <c r="C23" s="10" t="str">
        <f>IFERROR(VLOOKUP(B23,'реестр просрочников'!B:D,3,0)+1,"")</f>
        <v/>
      </c>
      <c r="D23" t="str">
        <f t="shared" si="0"/>
        <v/>
      </c>
      <c r="H23" t="str">
        <f t="shared" si="1"/>
        <v/>
      </c>
    </row>
    <row r="24" spans="3:8" x14ac:dyDescent="0.25">
      <c r="C24" s="10" t="str">
        <f>IFERROR(VLOOKUP(B24,'реестр просрочников'!B:D,3,0)+1,"")</f>
        <v/>
      </c>
      <c r="D24" t="str">
        <f t="shared" si="0"/>
        <v/>
      </c>
      <c r="H24" t="str">
        <f t="shared" si="1"/>
        <v/>
      </c>
    </row>
    <row r="25" spans="3:8" x14ac:dyDescent="0.25">
      <c r="C25" s="10" t="str">
        <f>IFERROR(VLOOKUP(B25,'реестр просрочников'!B:D,3,0)+1,"")</f>
        <v/>
      </c>
      <c r="D25" t="str">
        <f t="shared" si="0"/>
        <v/>
      </c>
      <c r="H25" t="str">
        <f t="shared" si="1"/>
        <v/>
      </c>
    </row>
    <row r="26" spans="3:8" x14ac:dyDescent="0.25">
      <c r="C26" s="10" t="str">
        <f>IFERROR(VLOOKUP(B26,'реестр просрочников'!B:D,3,0)+1,"")</f>
        <v/>
      </c>
      <c r="D26" t="str">
        <f t="shared" si="0"/>
        <v/>
      </c>
      <c r="H26" t="str">
        <f t="shared" si="1"/>
        <v/>
      </c>
    </row>
    <row r="27" spans="3:8" x14ac:dyDescent="0.25">
      <c r="C27" s="10" t="str">
        <f>IFERROR(VLOOKUP(B27,'реестр просрочников'!B:D,3,0)+1,"")</f>
        <v/>
      </c>
      <c r="D27" t="str">
        <f t="shared" si="0"/>
        <v/>
      </c>
      <c r="H27" t="str">
        <f t="shared" si="1"/>
        <v/>
      </c>
    </row>
    <row r="28" spans="3:8" x14ac:dyDescent="0.25">
      <c r="C28" s="10" t="str">
        <f>IFERROR(VLOOKUP(B28,'реестр просрочников'!B:D,3,0)+1,"")</f>
        <v/>
      </c>
      <c r="D28" t="str">
        <f t="shared" si="0"/>
        <v/>
      </c>
      <c r="H28" t="str">
        <f t="shared" si="1"/>
        <v/>
      </c>
    </row>
    <row r="29" spans="3:8" x14ac:dyDescent="0.25">
      <c r="C29" s="10" t="str">
        <f>IFERROR(VLOOKUP(B29,'реестр просрочников'!B:D,3,0)+1,"")</f>
        <v/>
      </c>
      <c r="D29" t="str">
        <f t="shared" si="0"/>
        <v/>
      </c>
      <c r="H29" t="str">
        <f t="shared" si="1"/>
        <v/>
      </c>
    </row>
    <row r="30" spans="3:8" x14ac:dyDescent="0.25">
      <c r="C30" s="10" t="str">
        <f>IFERROR(VLOOKUP(B30,'реестр просрочников'!B:D,3,0)+1,"")</f>
        <v/>
      </c>
      <c r="D30" t="str">
        <f t="shared" si="0"/>
        <v/>
      </c>
      <c r="H30" t="str">
        <f t="shared" si="1"/>
        <v/>
      </c>
    </row>
    <row r="31" spans="3:8" x14ac:dyDescent="0.25">
      <c r="C31" s="10" t="str">
        <f>IFERROR(VLOOKUP(B31,'реестр просрочников'!B:D,3,0)+1,"")</f>
        <v/>
      </c>
      <c r="D31" t="str">
        <f t="shared" si="0"/>
        <v/>
      </c>
      <c r="H31" t="str">
        <f t="shared" si="1"/>
        <v/>
      </c>
    </row>
    <row r="32" spans="3:8" x14ac:dyDescent="0.25">
      <c r="C32" s="10" t="str">
        <f>IFERROR(VLOOKUP(B32,'реестр просрочников'!B:D,3,0)+1,"")</f>
        <v/>
      </c>
      <c r="D32" t="str">
        <f t="shared" si="0"/>
        <v/>
      </c>
      <c r="H32" t="str">
        <f t="shared" si="1"/>
        <v/>
      </c>
    </row>
    <row r="33" spans="3:8" x14ac:dyDescent="0.25">
      <c r="C33" s="10" t="str">
        <f>IFERROR(VLOOKUP(B33,'реестр просрочников'!B:D,3,0)+1,"")</f>
        <v/>
      </c>
      <c r="D33" t="str">
        <f t="shared" si="0"/>
        <v/>
      </c>
      <c r="H33" t="str">
        <f t="shared" si="1"/>
        <v/>
      </c>
    </row>
    <row r="34" spans="3:8" x14ac:dyDescent="0.25">
      <c r="C34" s="10" t="str">
        <f>IFERROR(VLOOKUP(B34,'реестр просрочников'!B:D,3,0)+1,"")</f>
        <v/>
      </c>
      <c r="D34" t="str">
        <f t="shared" si="0"/>
        <v/>
      </c>
      <c r="H34" t="str">
        <f t="shared" si="1"/>
        <v/>
      </c>
    </row>
    <row r="35" spans="3:8" x14ac:dyDescent="0.25">
      <c r="C35" s="10" t="str">
        <f>IFERROR(VLOOKUP(B35,'реестр просрочников'!B:D,3,0)+1,"")</f>
        <v/>
      </c>
      <c r="D35" t="str">
        <f t="shared" si="0"/>
        <v/>
      </c>
      <c r="H35" t="str">
        <f t="shared" si="1"/>
        <v/>
      </c>
    </row>
    <row r="36" spans="3:8" x14ac:dyDescent="0.25">
      <c r="C36" s="10" t="str">
        <f>IFERROR(VLOOKUP(B36,'реестр просрочников'!B:D,3,0)+1,"")</f>
        <v/>
      </c>
      <c r="D36" t="str">
        <f t="shared" si="0"/>
        <v/>
      </c>
      <c r="H36" t="str">
        <f t="shared" si="1"/>
        <v/>
      </c>
    </row>
    <row r="37" spans="3:8" x14ac:dyDescent="0.25">
      <c r="C37" s="10" t="str">
        <f>IFERROR(VLOOKUP(B37,'реестр просрочников'!B:D,3,0)+1,"")</f>
        <v/>
      </c>
      <c r="D37" t="str">
        <f t="shared" si="0"/>
        <v/>
      </c>
      <c r="H37" t="str">
        <f t="shared" si="1"/>
        <v/>
      </c>
    </row>
    <row r="38" spans="3:8" x14ac:dyDescent="0.25">
      <c r="C38" s="10" t="str">
        <f>IFERROR(VLOOKUP(B38,'реестр просрочников'!B:D,3,0)+1,"")</f>
        <v/>
      </c>
      <c r="D38" t="str">
        <f t="shared" si="0"/>
        <v/>
      </c>
      <c r="H38" t="str">
        <f t="shared" si="1"/>
        <v/>
      </c>
    </row>
    <row r="39" spans="3:8" x14ac:dyDescent="0.25">
      <c r="C39" s="10" t="str">
        <f>IFERROR(VLOOKUP(B39,'реестр просрочников'!B:D,3,0)+1,"")</f>
        <v/>
      </c>
      <c r="D39" t="str">
        <f t="shared" si="0"/>
        <v/>
      </c>
      <c r="H39" t="str">
        <f t="shared" si="1"/>
        <v/>
      </c>
    </row>
    <row r="40" spans="3:8" x14ac:dyDescent="0.25">
      <c r="C40" s="10" t="str">
        <f>IFERROR(VLOOKUP(B40,'реестр просрочников'!B:D,3,0)+1,"")</f>
        <v/>
      </c>
      <c r="D40" t="str">
        <f t="shared" si="0"/>
        <v/>
      </c>
      <c r="H40" t="str">
        <f t="shared" si="1"/>
        <v/>
      </c>
    </row>
    <row r="41" spans="3:8" x14ac:dyDescent="0.25">
      <c r="C41" s="10" t="str">
        <f>IFERROR(VLOOKUP(B41,'реестр просрочников'!B:D,3,0)+1,"")</f>
        <v/>
      </c>
      <c r="D41" t="str">
        <f t="shared" si="0"/>
        <v/>
      </c>
      <c r="H41" t="str">
        <f t="shared" si="1"/>
        <v/>
      </c>
    </row>
    <row r="42" spans="3:8" x14ac:dyDescent="0.25">
      <c r="C42" s="10" t="str">
        <f>IFERROR(VLOOKUP(B42,'реестр просрочников'!B:D,3,0)+1,"")</f>
        <v/>
      </c>
      <c r="D42" t="str">
        <f t="shared" si="0"/>
        <v/>
      </c>
      <c r="H42" t="str">
        <f t="shared" si="1"/>
        <v/>
      </c>
    </row>
    <row r="43" spans="3:8" x14ac:dyDescent="0.25">
      <c r="C43" s="10" t="str">
        <f>IFERROR(VLOOKUP(B43,'реестр просрочников'!B:D,3,0)+1,"")</f>
        <v/>
      </c>
      <c r="D43" t="str">
        <f t="shared" si="0"/>
        <v/>
      </c>
      <c r="H43" t="str">
        <f t="shared" si="1"/>
        <v/>
      </c>
    </row>
    <row r="44" spans="3:8" x14ac:dyDescent="0.25">
      <c r="C44" s="10" t="str">
        <f>IFERROR(VLOOKUP(B44,'реестр просрочников'!B:D,3,0)+1,"")</f>
        <v/>
      </c>
      <c r="D44" t="str">
        <f t="shared" si="0"/>
        <v/>
      </c>
      <c r="H44" t="str">
        <f t="shared" si="1"/>
        <v/>
      </c>
    </row>
    <row r="45" spans="3:8" x14ac:dyDescent="0.25">
      <c r="C45" s="10" t="str">
        <f>IFERROR(VLOOKUP(B45,'реестр просрочников'!B:D,3,0)+1,"")</f>
        <v/>
      </c>
      <c r="D45" t="str">
        <f t="shared" si="0"/>
        <v/>
      </c>
      <c r="H45" t="str">
        <f t="shared" si="1"/>
        <v/>
      </c>
    </row>
    <row r="46" spans="3:8" x14ac:dyDescent="0.25">
      <c r="C46" s="10" t="str">
        <f>IFERROR(VLOOKUP(B46,'реестр просрочников'!B:D,3,0)+1,"")</f>
        <v/>
      </c>
      <c r="D46" t="str">
        <f t="shared" si="0"/>
        <v/>
      </c>
      <c r="H46" t="str">
        <f t="shared" si="1"/>
        <v/>
      </c>
    </row>
    <row r="47" spans="3:8" x14ac:dyDescent="0.25">
      <c r="C47" s="10" t="str">
        <f>IFERROR(VLOOKUP(B47,'реестр просрочников'!B:D,3,0)+1,"")</f>
        <v/>
      </c>
      <c r="D47" t="str">
        <f t="shared" si="0"/>
        <v/>
      </c>
      <c r="H47" t="str">
        <f t="shared" si="1"/>
        <v/>
      </c>
    </row>
    <row r="48" spans="3:8" x14ac:dyDescent="0.25">
      <c r="C48" s="10" t="str">
        <f>IFERROR(VLOOKUP(B48,'реестр просрочников'!B:D,3,0)+1,"")</f>
        <v/>
      </c>
      <c r="D48" t="str">
        <f t="shared" si="0"/>
        <v/>
      </c>
      <c r="H48" t="str">
        <f t="shared" si="1"/>
        <v/>
      </c>
    </row>
    <row r="49" spans="3:8" x14ac:dyDescent="0.25">
      <c r="C49" s="10" t="str">
        <f>IFERROR(VLOOKUP(B49,'реестр просрочников'!B:D,3,0)+1,"")</f>
        <v/>
      </c>
      <c r="D49" t="str">
        <f t="shared" si="0"/>
        <v/>
      </c>
      <c r="H49" t="str">
        <f t="shared" si="1"/>
        <v/>
      </c>
    </row>
    <row r="50" spans="3:8" x14ac:dyDescent="0.25">
      <c r="C50" s="10" t="str">
        <f>IFERROR(VLOOKUP(B50,'реестр просрочников'!B:D,3,0)+1,"")</f>
        <v/>
      </c>
      <c r="D50" t="str">
        <f t="shared" si="0"/>
        <v/>
      </c>
      <c r="H50" t="str">
        <f t="shared" si="1"/>
        <v/>
      </c>
    </row>
    <row r="51" spans="3:8" x14ac:dyDescent="0.25">
      <c r="C51" s="10"/>
      <c r="D51" t="str">
        <f t="shared" si="0"/>
        <v/>
      </c>
      <c r="H51" t="str">
        <f t="shared" ref="H51:H54" si="2">IFERROR(IF(G51="","",IF(VLOOKUP(G51,B:B,1,0)&gt;"","актуально")),"поставить дату погашения")</f>
        <v/>
      </c>
    </row>
    <row r="52" spans="3:8" x14ac:dyDescent="0.25">
      <c r="C52" s="10"/>
      <c r="D52" t="str">
        <f t="shared" si="0"/>
        <v/>
      </c>
      <c r="H52" t="str">
        <f t="shared" si="2"/>
        <v/>
      </c>
    </row>
    <row r="53" spans="3:8" x14ac:dyDescent="0.25">
      <c r="H53" t="str">
        <f t="shared" si="2"/>
        <v/>
      </c>
    </row>
    <row r="54" spans="3:8" x14ac:dyDescent="0.25">
      <c r="H54" t="str">
        <f t="shared" si="2"/>
        <v/>
      </c>
    </row>
  </sheetData>
  <conditionalFormatting sqref="G1:G2 G1001:G1048576">
    <cfRule type="duplicateValues" dxfId="0" priority="1"/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97799-C5D7-41D0-B294-619820EC85E5}">
  <sheetPr codeName="Sheet4"/>
  <dimension ref="A1:O1000"/>
  <sheetViews>
    <sheetView workbookViewId="0">
      <selection activeCell="B24" sqref="B24"/>
    </sheetView>
  </sheetViews>
  <sheetFormatPr defaultRowHeight="15" x14ac:dyDescent="0.25"/>
  <cols>
    <col min="1" max="1" width="38.7109375" bestFit="1" customWidth="1"/>
    <col min="2" max="2" width="82.85546875" bestFit="1" customWidth="1"/>
    <col min="3" max="3" width="13.5703125" bestFit="1" customWidth="1"/>
    <col min="4" max="4" width="25.85546875" style="1" bestFit="1" customWidth="1"/>
    <col min="5" max="5" width="14" style="1" bestFit="1" customWidth="1"/>
    <col min="6" max="6" width="10.85546875" bestFit="1" customWidth="1"/>
    <col min="9" max="9" width="17.7109375" bestFit="1" customWidth="1"/>
    <col min="10" max="10" width="4.42578125" bestFit="1" customWidth="1"/>
    <col min="11" max="11" width="14.7109375" bestFit="1" customWidth="1"/>
    <col min="12" max="12" width="16.42578125" bestFit="1" customWidth="1"/>
  </cols>
  <sheetData>
    <row r="1" spans="1:15" ht="15.75" x14ac:dyDescent="0.25">
      <c r="D1"/>
      <c r="H1" s="2" t="s">
        <v>0</v>
      </c>
      <c r="I1" s="3">
        <f ca="1">SUMIF($F:$F,"грядет",$D:$D)</f>
        <v>419516.65</v>
      </c>
      <c r="J1" s="24">
        <f t="shared" ref="J1" ca="1" si="0">COUNTIF($F:$F,"грядет")</f>
        <v>28</v>
      </c>
      <c r="K1" s="4">
        <f ca="1">I1/J1</f>
        <v>14982.737500000001</v>
      </c>
      <c r="L1" s="4">
        <f ca="1">SUMIFS(D:D,C:C,TODAY(),F:F,"грядет")</f>
        <v>28729.480000000003</v>
      </c>
    </row>
    <row r="2" spans="1:15" ht="16.5" thickBot="1" x14ac:dyDescent="0.3">
      <c r="A2" t="s">
        <v>1</v>
      </c>
      <c r="D2"/>
      <c r="H2" s="5" t="s">
        <v>2</v>
      </c>
      <c r="I2" s="6">
        <f ca="1">SUMIF($F:$F,"грядет",$E:$E)</f>
        <v>3132678.01</v>
      </c>
      <c r="J2" s="25"/>
      <c r="K2" s="7">
        <f ca="1">I2/J1</f>
        <v>111881.3575</v>
      </c>
      <c r="L2" s="7">
        <f ca="1">SUMIFS(E:E,C:C,TODAY(),F:F,"грядет")</f>
        <v>194986.18</v>
      </c>
    </row>
    <row r="3" spans="1:15" x14ac:dyDescent="0.25">
      <c r="D3"/>
    </row>
    <row r="4" spans="1:15" x14ac:dyDescent="0.25">
      <c r="A4" t="s">
        <v>3</v>
      </c>
      <c r="B4" t="s">
        <v>284</v>
      </c>
      <c r="D4"/>
    </row>
    <row r="5" spans="1:15" x14ac:dyDescent="0.25">
      <c r="A5" t="s">
        <v>4</v>
      </c>
      <c r="B5" t="s">
        <v>5</v>
      </c>
      <c r="D5"/>
    </row>
    <row r="6" spans="1:15" x14ac:dyDescent="0.25">
      <c r="B6" t="s">
        <v>6</v>
      </c>
      <c r="D6"/>
    </row>
    <row r="7" spans="1:15" x14ac:dyDescent="0.25">
      <c r="B7" t="s">
        <v>7</v>
      </c>
      <c r="D7"/>
    </row>
    <row r="8" spans="1:15" x14ac:dyDescent="0.25">
      <c r="D8"/>
    </row>
    <row r="9" spans="1:15" x14ac:dyDescent="0.25">
      <c r="A9" t="s">
        <v>8</v>
      </c>
      <c r="B9" t="s">
        <v>9</v>
      </c>
      <c r="C9" t="s">
        <v>10</v>
      </c>
      <c r="D9" t="s">
        <v>11</v>
      </c>
    </row>
    <row r="10" spans="1:15" x14ac:dyDescent="0.25">
      <c r="D10" t="s">
        <v>12</v>
      </c>
      <c r="E10" s="8" t="s">
        <v>13</v>
      </c>
      <c r="F10" s="9" t="s">
        <v>14</v>
      </c>
      <c r="K10" s="10"/>
      <c r="O10" s="10"/>
    </row>
    <row r="11" spans="1:15" x14ac:dyDescent="0.25">
      <c r="A11" t="s">
        <v>206</v>
      </c>
      <c r="B11" t="s">
        <v>207</v>
      </c>
      <c r="C11" s="10">
        <v>45505</v>
      </c>
      <c r="D11">
        <v>30622.799999999999</v>
      </c>
      <c r="E11" s="1">
        <f>IFERROR(VLOOKUP(B11,'РП (расш)'!A:G,7,0),"")</f>
        <v>418557.53</v>
      </c>
      <c r="F11" t="str">
        <f ca="1">IF(B11="","",IF(B11&gt;0,IFERROR(IF(VLOOKUP(LEFT(B11,10),[1]Лист1!$A:$A,1,0)&gt;0,"КО"),IF(E11="","погашен",IF(B11&gt;0,IFERROR(IF(VLOOKUP(B11,'реестр просрочников'!B:B,1,0)&gt;0,"просрочен",),IF(TODAY()&gt;C11,"оплачен","грядет")),"")))))</f>
        <v>КО</v>
      </c>
      <c r="K11" s="10"/>
      <c r="O11" s="10"/>
    </row>
    <row r="12" spans="1:15" x14ac:dyDescent="0.25">
      <c r="A12" t="s">
        <v>208</v>
      </c>
      <c r="B12" t="s">
        <v>209</v>
      </c>
      <c r="C12" s="10">
        <v>45505</v>
      </c>
      <c r="D12">
        <v>18575.490000000002</v>
      </c>
      <c r="E12" s="1">
        <f>IFERROR(VLOOKUP(B12,'РП (расш)'!A:G,7,0),"")</f>
        <v>187416.75</v>
      </c>
      <c r="F12" t="str">
        <f ca="1">IF(B12="","",IF(B12&gt;0,IFERROR(IF(VLOOKUP(LEFT(B12,10),[1]Лист1!$A:$A,1,0)&gt;0,"КО"),IF(E12="","погашен",IF(B12&gt;0,IFERROR(IF(VLOOKUP(B12,'реестр просрочников'!B:B,1,0)&gt;0,"просрочен",),IF(TODAY()&gt;C12,"оплачен","грядет")),"")))))</f>
        <v>оплачен</v>
      </c>
      <c r="K12" s="10"/>
      <c r="O12" s="10"/>
    </row>
    <row r="13" spans="1:15" x14ac:dyDescent="0.25">
      <c r="A13" t="s">
        <v>210</v>
      </c>
      <c r="B13" t="s">
        <v>211</v>
      </c>
      <c r="C13" s="10">
        <v>45505</v>
      </c>
      <c r="D13">
        <v>19347.96</v>
      </c>
      <c r="E13" s="1">
        <f>IFERROR(VLOOKUP(B13,'РП (расш)'!A:G,7,0),"")</f>
        <v>251065.36</v>
      </c>
      <c r="F13" t="str">
        <f ca="1">IF(B13="","",IF(B13&gt;0,IFERROR(IF(VLOOKUP(LEFT(B13,10),[1]Лист1!$A:$A,1,0)&gt;0,"КО"),IF(E13="","погашен",IF(B13&gt;0,IFERROR(IF(VLOOKUP(B13,'реестр просрочников'!B:B,1,0)&gt;0,"просрочен",),IF(TODAY()&gt;C13,"оплачен","грядет")),"")))))</f>
        <v>КО</v>
      </c>
      <c r="K13" s="10"/>
      <c r="O13" s="10"/>
    </row>
    <row r="14" spans="1:15" x14ac:dyDescent="0.25">
      <c r="A14" t="s">
        <v>212</v>
      </c>
      <c r="B14" t="s">
        <v>213</v>
      </c>
      <c r="C14" s="10">
        <v>45506</v>
      </c>
      <c r="D14">
        <v>22391.27</v>
      </c>
      <c r="E14" s="1">
        <f>IFERROR(VLOOKUP(B14,'РП (расш)'!A:G,7,0),"")</f>
        <v>344945.56</v>
      </c>
      <c r="F14" t="str">
        <f ca="1">IF(B14="","",IF(B14&gt;0,IFERROR(IF(VLOOKUP(LEFT(B14,10),[1]Лист1!$A:$A,1,0)&gt;0,"КО"),IF(E14="","погашен",IF(B14&gt;0,IFERROR(IF(VLOOKUP(B14,'реестр просрочников'!B:B,1,0)&gt;0,"просрочен",),IF(TODAY()&gt;C14,"оплачен","грядет")),"")))))</f>
        <v>КО</v>
      </c>
      <c r="K14" s="10"/>
      <c r="O14" s="10"/>
    </row>
    <row r="15" spans="1:15" x14ac:dyDescent="0.25">
      <c r="A15" t="s">
        <v>214</v>
      </c>
      <c r="B15" t="s">
        <v>215</v>
      </c>
      <c r="C15" s="10">
        <v>45506</v>
      </c>
      <c r="D15">
        <v>27818.85</v>
      </c>
      <c r="E15" s="1">
        <f>IFERROR(VLOOKUP(B15,'РП (расш)'!A:G,7,0),"")</f>
        <v>386511.69</v>
      </c>
      <c r="F15" t="str">
        <f ca="1">IF(B15="","",IF(B15&gt;0,IFERROR(IF(VLOOKUP(LEFT(B15,10),[1]Лист1!$A:$A,1,0)&gt;0,"КО"),IF(E15="","погашен",IF(B15&gt;0,IFERROR(IF(VLOOKUP(B15,'реестр просрочников'!B:B,1,0)&gt;0,"просрочен",),IF(TODAY()&gt;C15,"оплачен","грядет")),"")))))</f>
        <v>КО</v>
      </c>
      <c r="K15" s="10"/>
      <c r="O15" s="10"/>
    </row>
    <row r="16" spans="1:15" x14ac:dyDescent="0.25">
      <c r="A16" t="s">
        <v>216</v>
      </c>
      <c r="B16" t="s">
        <v>217</v>
      </c>
      <c r="C16" s="10">
        <v>45506</v>
      </c>
      <c r="D16">
        <v>12492.02</v>
      </c>
      <c r="E16" s="1">
        <f>IFERROR(VLOOKUP(B16,'РП (расш)'!A:G,7,0),"")</f>
        <v>124582.33</v>
      </c>
      <c r="F16" t="str">
        <f ca="1">IF(B16="","",IF(B16&gt;0,IFERROR(IF(VLOOKUP(LEFT(B16,10),[1]Лист1!$A:$A,1,0)&gt;0,"КО"),IF(E16="","погашен",IF(B16&gt;0,IFERROR(IF(VLOOKUP(B16,'реестр просрочников'!B:B,1,0)&gt;0,"просрочен",),IF(TODAY()&gt;C16,"оплачен","грядет")),"")))))</f>
        <v>оплачен</v>
      </c>
      <c r="K16" s="10"/>
      <c r="O16" s="10"/>
    </row>
    <row r="17" spans="1:15" x14ac:dyDescent="0.25">
      <c r="A17" t="s">
        <v>218</v>
      </c>
      <c r="B17" t="s">
        <v>219</v>
      </c>
      <c r="C17" s="10">
        <v>45506</v>
      </c>
      <c r="D17">
        <v>6462.97</v>
      </c>
      <c r="E17" s="1">
        <f>IFERROR(VLOOKUP(B17,'РП (расш)'!A:G,7,0),"")</f>
        <v>68963.759999999995</v>
      </c>
      <c r="F17" t="str">
        <f ca="1">IF(B17="","",IF(B17&gt;0,IFERROR(IF(VLOOKUP(LEFT(B17,10),[1]Лист1!$A:$A,1,0)&gt;0,"КО"),IF(E17="","погашен",IF(B17&gt;0,IFERROR(IF(VLOOKUP(B17,'реестр просрочников'!B:B,1,0)&gt;0,"просрочен",),IF(TODAY()&gt;C17,"оплачен","грядет")),"")))))</f>
        <v>КО</v>
      </c>
      <c r="K17" s="10"/>
      <c r="O17" s="10"/>
    </row>
    <row r="18" spans="1:15" x14ac:dyDescent="0.25">
      <c r="A18" t="s">
        <v>220</v>
      </c>
      <c r="B18" t="s">
        <v>221</v>
      </c>
      <c r="C18" s="10">
        <v>45506</v>
      </c>
      <c r="D18">
        <v>9774.56</v>
      </c>
      <c r="E18" s="1">
        <f>IFERROR(VLOOKUP(B18,'РП (расш)'!A:G,7,0),"")</f>
        <v>54350.38</v>
      </c>
      <c r="F18" t="str">
        <f ca="1">IF(B18="","",IF(B18&gt;0,IFERROR(IF(VLOOKUP(LEFT(B18,10),[1]Лист1!$A:$A,1,0)&gt;0,"КО"),IF(E18="","погашен",IF(B18&gt;0,IFERROR(IF(VLOOKUP(B18,'реестр просрочников'!B:B,1,0)&gt;0,"просрочен",),IF(TODAY()&gt;C18,"оплачен","грядет")),"")))))</f>
        <v>оплачен</v>
      </c>
      <c r="K18" s="10"/>
    </row>
    <row r="19" spans="1:15" x14ac:dyDescent="0.25">
      <c r="A19" t="s">
        <v>222</v>
      </c>
      <c r="B19" t="s">
        <v>223</v>
      </c>
      <c r="C19" s="10">
        <v>45506</v>
      </c>
      <c r="D19">
        <v>8796.0300000000007</v>
      </c>
      <c r="E19" s="1">
        <f>IFERROR(VLOOKUP(B19,'РП (расш)'!A:G,7,0),"")</f>
        <v>89905.12</v>
      </c>
      <c r="F19" t="str">
        <f ca="1">IF(B19="","",IF(B19&gt;0,IFERROR(IF(VLOOKUP(LEFT(B19,10),[1]Лист1!$A:$A,1,0)&gt;0,"КО"),IF(E19="","погашен",IF(B19&gt;0,IFERROR(IF(VLOOKUP(B19,'реестр просрочников'!B:B,1,0)&gt;0,"просрочен",),IF(TODAY()&gt;C19,"оплачен","грядет")),"")))))</f>
        <v>оплачен</v>
      </c>
      <c r="K19" s="10"/>
    </row>
    <row r="20" spans="1:15" x14ac:dyDescent="0.25">
      <c r="A20" t="s">
        <v>23</v>
      </c>
      <c r="B20" t="s">
        <v>224</v>
      </c>
      <c r="C20" s="10">
        <v>45506</v>
      </c>
      <c r="D20">
        <v>19400.939999999999</v>
      </c>
      <c r="E20" s="1">
        <f>IFERROR(VLOOKUP(B20,'РП (расш)'!A:G,7,0),"")</f>
        <v>191168.16</v>
      </c>
      <c r="F20" t="str">
        <f ca="1">IF(B20="","",IF(B20&gt;0,IFERROR(IF(VLOOKUP(LEFT(B20,10),[1]Лист1!$A:$A,1,0)&gt;0,"КО"),IF(E20="","погашен",IF(B20&gt;0,IFERROR(IF(VLOOKUP(B20,'реестр просрочников'!B:B,1,0)&gt;0,"просрочен",),IF(TODAY()&gt;C20,"оплачен","грядет")),"")))))</f>
        <v>оплачен</v>
      </c>
      <c r="K20" s="10"/>
    </row>
    <row r="21" spans="1:15" x14ac:dyDescent="0.25">
      <c r="A21" t="s">
        <v>39</v>
      </c>
      <c r="B21" t="s">
        <v>225</v>
      </c>
      <c r="C21" s="10">
        <v>45506</v>
      </c>
      <c r="D21">
        <v>13829.61</v>
      </c>
      <c r="E21" s="1">
        <f>IFERROR(VLOOKUP(B21,'РП (расш)'!A:G,7,0),"")</f>
        <v>90751.02</v>
      </c>
      <c r="F21" t="str">
        <f ca="1">IF(B21="","",IF(B21&gt;0,IFERROR(IF(VLOOKUP(LEFT(B21,10),[1]Лист1!$A:$A,1,0)&gt;0,"КО"),IF(E21="","погашен",IF(B21&gt;0,IFERROR(IF(VLOOKUP(B21,'реестр просрочников'!B:B,1,0)&gt;0,"просрочен",),IF(TODAY()&gt;C21,"оплачен","грядет")),"")))))</f>
        <v>оплачен</v>
      </c>
      <c r="K21" s="10"/>
    </row>
    <row r="22" spans="1:15" x14ac:dyDescent="0.25">
      <c r="A22" t="s">
        <v>226</v>
      </c>
      <c r="B22" t="s">
        <v>227</v>
      </c>
      <c r="C22" s="10">
        <v>45507</v>
      </c>
      <c r="D22">
        <v>17592.11</v>
      </c>
      <c r="E22" s="1">
        <f>IFERROR(VLOOKUP(B22,'РП (расш)'!A:G,7,0),"")</f>
        <v>214297.59</v>
      </c>
      <c r="F22" t="str">
        <f ca="1">IF(B22="","",IF(B22&gt;0,IFERROR(IF(VLOOKUP(LEFT(B22,10),[1]Лист1!$A:$A,1,0)&gt;0,"КО"),IF(E22="","погашен",IF(B22&gt;0,IFERROR(IF(VLOOKUP(B22,'реестр просрочников'!B:B,1,0)&gt;0,"просрочен",),IF(TODAY()&gt;C22,"оплачен","грядет")),"")))))</f>
        <v>КО</v>
      </c>
      <c r="K22" s="10"/>
    </row>
    <row r="23" spans="1:15" x14ac:dyDescent="0.25">
      <c r="A23" t="s">
        <v>228</v>
      </c>
      <c r="B23" t="s">
        <v>229</v>
      </c>
      <c r="C23" s="10">
        <v>45507</v>
      </c>
      <c r="D23">
        <v>65364.160000000003</v>
      </c>
      <c r="E23" s="1">
        <f>IFERROR(VLOOKUP(B23,'РП (расш)'!A:G,7,0),"")</f>
        <v>234354.87</v>
      </c>
      <c r="F23" t="str">
        <f ca="1">IF(B23="","",IF(B23&gt;0,IFERROR(IF(VLOOKUP(LEFT(B23,10),[1]Лист1!$A:$A,1,0)&gt;0,"КО"),IF(E23="","погашен",IF(B23&gt;0,IFERROR(IF(VLOOKUP(B23,'реестр просрочников'!B:B,1,0)&gt;0,"просрочен",),IF(TODAY()&gt;C23,"оплачен","грядет")),"")))))</f>
        <v>КО</v>
      </c>
      <c r="K23" s="10"/>
    </row>
    <row r="24" spans="1:15" x14ac:dyDescent="0.25">
      <c r="A24" t="s">
        <v>232</v>
      </c>
      <c r="B24" t="s">
        <v>233</v>
      </c>
      <c r="C24" s="10">
        <v>45508</v>
      </c>
      <c r="D24">
        <v>5511.63</v>
      </c>
      <c r="E24" s="1">
        <f>IFERROR(VLOOKUP(B24,'РП (расш)'!A:G,7,0),"")</f>
        <v>51444.94</v>
      </c>
      <c r="F24" t="str">
        <f ca="1">IF(B24="","",IF(B24&gt;0,IFERROR(IF(VLOOKUP(LEFT(B24,10),[1]Лист1!$A:$A,1,0)&gt;0,"КО"),IF(E24="","погашен",IF(B24&gt;0,IFERROR(IF(VLOOKUP(B24,'реестр просрочников'!B:B,1,0)&gt;0,"просрочен",),IF(TODAY()&gt;C24,"оплачен","грядет")),"")))))</f>
        <v>оплачен</v>
      </c>
      <c r="K24" s="10"/>
    </row>
    <row r="25" spans="1:15" x14ac:dyDescent="0.25">
      <c r="A25" t="s">
        <v>103</v>
      </c>
      <c r="B25" t="s">
        <v>234</v>
      </c>
      <c r="C25" s="10">
        <v>45508</v>
      </c>
      <c r="D25">
        <v>2818.68</v>
      </c>
      <c r="E25" s="1">
        <f>IFERROR(VLOOKUP(B25,'РП (расш)'!A:G,7,0),"")</f>
        <v>24140.44</v>
      </c>
      <c r="F25" t="str">
        <f ca="1">IF(B25="","",IF(B25&gt;0,IFERROR(IF(VLOOKUP(LEFT(B25,10),[1]Лист1!$A:$A,1,0)&gt;0,"КО"),IF(E25="","погашен",IF(B25&gt;0,IFERROR(IF(VLOOKUP(B25,'реестр просрочников'!B:B,1,0)&gt;0,"просрочен",),IF(TODAY()&gt;C25,"оплачен","грядет")),"")))))</f>
        <v>оплачен</v>
      </c>
      <c r="K25" s="10"/>
    </row>
    <row r="26" spans="1:15" x14ac:dyDescent="0.25">
      <c r="A26" t="s">
        <v>235</v>
      </c>
      <c r="B26" t="s">
        <v>236</v>
      </c>
      <c r="C26" s="10">
        <v>45508</v>
      </c>
      <c r="D26">
        <v>9909.17</v>
      </c>
      <c r="E26" s="1">
        <f>IFERROR(VLOOKUP(B26,'РП (расш)'!A:G,7,0),"")</f>
        <v>153054.64000000001</v>
      </c>
      <c r="F26" t="str">
        <f ca="1">IF(B26="","",IF(B26&gt;0,IFERROR(IF(VLOOKUP(LEFT(B26,10),[1]Лист1!$A:$A,1,0)&gt;0,"КО"),IF(E26="","погашен",IF(B26&gt;0,IFERROR(IF(VLOOKUP(B26,'реестр просрочников'!B:B,1,0)&gt;0,"просрочен",),IF(TODAY()&gt;C26,"оплачен","грядет")),"")))))</f>
        <v>КО</v>
      </c>
      <c r="K26" s="10"/>
    </row>
    <row r="27" spans="1:15" x14ac:dyDescent="0.25">
      <c r="A27" t="s">
        <v>237</v>
      </c>
      <c r="B27" t="s">
        <v>238</v>
      </c>
      <c r="C27" s="10">
        <v>45508</v>
      </c>
      <c r="D27">
        <v>9909.17</v>
      </c>
      <c r="E27" s="1">
        <f>IFERROR(VLOOKUP(B27,'РП (расш)'!A:G,7,0),"")</f>
        <v>111097.34</v>
      </c>
      <c r="F27" t="str">
        <f ca="1">IF(B27="","",IF(B27&gt;0,IFERROR(IF(VLOOKUP(LEFT(B27,10),[1]Лист1!$A:$A,1,0)&gt;0,"КО"),IF(E27="","погашен",IF(B27&gt;0,IFERROR(IF(VLOOKUP(B27,'реестр просрочников'!B:B,1,0)&gt;0,"просрочен",),IF(TODAY()&gt;C27,"оплачен","грядет")),"")))))</f>
        <v>оплачен</v>
      </c>
      <c r="K27" s="10"/>
    </row>
    <row r="28" spans="1:15" x14ac:dyDescent="0.25">
      <c r="A28" t="s">
        <v>239</v>
      </c>
      <c r="B28" t="s">
        <v>240</v>
      </c>
      <c r="C28" s="10">
        <v>45509</v>
      </c>
      <c r="D28">
        <v>35820.83</v>
      </c>
      <c r="E28" s="1">
        <f>IFERROR(VLOOKUP(B28,'РП (расш)'!A:G,7,0),"")</f>
        <v>125499.01</v>
      </c>
      <c r="F28" t="str">
        <f ca="1">IF(B28="","",IF(B28&gt;0,IFERROR(IF(VLOOKUP(LEFT(B28,10),[1]Лист1!$A:$A,1,0)&gt;0,"КО"),IF(E28="","погашен",IF(B28&gt;0,IFERROR(IF(VLOOKUP(B28,'реестр просрочников'!B:B,1,0)&gt;0,"просрочен",),IF(TODAY()&gt;C28,"оплачен","грядет")),"")))))</f>
        <v>оплачен</v>
      </c>
    </row>
    <row r="29" spans="1:15" x14ac:dyDescent="0.25">
      <c r="A29" t="s">
        <v>241</v>
      </c>
      <c r="B29" t="s">
        <v>242</v>
      </c>
      <c r="C29" s="10">
        <v>45509</v>
      </c>
      <c r="D29">
        <v>13779.08</v>
      </c>
      <c r="E29" s="1">
        <f>IFERROR(VLOOKUP(B29,'РП (расш)'!A:G,7,0),"")</f>
        <v>93132.72</v>
      </c>
      <c r="F29" t="str">
        <f ca="1">IF(B29="","",IF(B29&gt;0,IFERROR(IF(VLOOKUP(LEFT(B29,10),[1]Лист1!$A:$A,1,0)&gt;0,"КО"),IF(E29="","погашен",IF(B29&gt;0,IFERROR(IF(VLOOKUP(B29,'реестр просрочников'!B:B,1,0)&gt;0,"просрочен",),IF(TODAY()&gt;C29,"оплачен","грядет")),"")))))</f>
        <v>оплачен</v>
      </c>
    </row>
    <row r="30" spans="1:15" x14ac:dyDescent="0.25">
      <c r="A30" t="s">
        <v>243</v>
      </c>
      <c r="B30" t="s">
        <v>244</v>
      </c>
      <c r="C30" s="10">
        <v>45509</v>
      </c>
      <c r="D30">
        <v>26502.47</v>
      </c>
      <c r="E30" s="1">
        <f>IFERROR(VLOOKUP(B30,'РП (расш)'!A:G,7,0),"")</f>
        <v>246429.46</v>
      </c>
      <c r="F30" t="str">
        <f ca="1">IF(B30="","",IF(B30&gt;0,IFERROR(IF(VLOOKUP(LEFT(B30,10),[1]Лист1!$A:$A,1,0)&gt;0,"КО"),IF(E30="","погашен",IF(B30&gt;0,IFERROR(IF(VLOOKUP(B30,'реестр просрочников'!B:B,1,0)&gt;0,"просрочен",),IF(TODAY()&gt;C30,"оплачен","грядет")),"")))))</f>
        <v>просрочен</v>
      </c>
    </row>
    <row r="31" spans="1:15" x14ac:dyDescent="0.25">
      <c r="A31" t="s">
        <v>245</v>
      </c>
      <c r="B31" t="s">
        <v>246</v>
      </c>
      <c r="C31" s="10">
        <v>45509</v>
      </c>
      <c r="D31">
        <v>18976.150000000001</v>
      </c>
      <c r="E31" s="1">
        <f>IFERROR(VLOOKUP(B31,'РП (расш)'!A:G,7,0),"")</f>
        <v>0</v>
      </c>
      <c r="F31" t="str">
        <f ca="1">IF(B31="","",IF(B31&gt;0,IFERROR(IF(VLOOKUP(LEFT(B31,10),[1]Лист1!$A:$A,1,0)&gt;0,"КО"),IF(E31="","погашен",IF(B31&gt;0,IFERROR(IF(VLOOKUP(B31,'реестр просрочников'!B:B,1,0)&gt;0,"просрочен",),IF(TODAY()&gt;C31,"оплачен","грядет")),"")))))</f>
        <v>КО</v>
      </c>
    </row>
    <row r="32" spans="1:15" x14ac:dyDescent="0.25">
      <c r="A32" t="s">
        <v>247</v>
      </c>
      <c r="B32" t="s">
        <v>248</v>
      </c>
      <c r="C32" s="10">
        <v>45509</v>
      </c>
      <c r="D32">
        <v>640.47</v>
      </c>
      <c r="E32" s="1">
        <f>IFERROR(VLOOKUP(B32,'РП (расш)'!A:G,7,0),"")</f>
        <v>4760.9399999999996</v>
      </c>
      <c r="F32" t="str">
        <f ca="1">IF(B32="","",IF(B32&gt;0,IFERROR(IF(VLOOKUP(LEFT(B32,10),[1]Лист1!$A:$A,1,0)&gt;0,"КО"),IF(E32="","погашен",IF(B32&gt;0,IFERROR(IF(VLOOKUP(B32,'реестр просрочников'!B:B,1,0)&gt;0,"просрочен",),IF(TODAY()&gt;C32,"оплачен","грядет")),"")))))</f>
        <v>оплачен</v>
      </c>
    </row>
    <row r="33" spans="1:6" x14ac:dyDescent="0.25">
      <c r="A33" t="s">
        <v>49</v>
      </c>
      <c r="B33" t="s">
        <v>249</v>
      </c>
      <c r="C33" s="10">
        <v>45510</v>
      </c>
      <c r="D33">
        <v>10011.07</v>
      </c>
      <c r="E33" s="1">
        <f>IFERROR(VLOOKUP(B33,'РП (расш)'!A:G,7,0),"")</f>
        <v>36118.36</v>
      </c>
      <c r="F33" t="str">
        <f ca="1">IF(B33="","",IF(B33&gt;0,IFERROR(IF(VLOOKUP(LEFT(B33,10),[1]Лист1!$A:$A,1,0)&gt;0,"КО"),IF(E33="","погашен",IF(B33&gt;0,IFERROR(IF(VLOOKUP(B33,'реестр просрочников'!B:B,1,0)&gt;0,"просрочен",),IF(TODAY()&gt;C33,"оплачен","грядет")),"")))))</f>
        <v>оплачен</v>
      </c>
    </row>
    <row r="34" spans="1:6" x14ac:dyDescent="0.25">
      <c r="A34" t="s">
        <v>43</v>
      </c>
      <c r="B34" t="s">
        <v>250</v>
      </c>
      <c r="C34" s="10">
        <v>45510</v>
      </c>
      <c r="D34">
        <v>11131.95</v>
      </c>
      <c r="E34" s="1">
        <f>IFERROR(VLOOKUP(B34,'РП (расш)'!A:G,7,0),"")</f>
        <v>121371.67</v>
      </c>
      <c r="F34" t="str">
        <f ca="1">IF(B34="","",IF(B34&gt;0,IFERROR(IF(VLOOKUP(LEFT(B34,10),[1]Лист1!$A:$A,1,0)&gt;0,"КО"),IF(E34="","погашен",IF(B34&gt;0,IFERROR(IF(VLOOKUP(B34,'реестр просрочников'!B:B,1,0)&gt;0,"просрочен",),IF(TODAY()&gt;C34,"оплачен","грядет")),"")))))</f>
        <v>оплачен</v>
      </c>
    </row>
    <row r="35" spans="1:6" x14ac:dyDescent="0.25">
      <c r="A35" t="s">
        <v>251</v>
      </c>
      <c r="B35" t="s">
        <v>252</v>
      </c>
      <c r="C35" s="10">
        <v>45510</v>
      </c>
      <c r="D35">
        <v>48224.05</v>
      </c>
      <c r="E35" s="1">
        <f>IFERROR(VLOOKUP(B35,'РП (расш)'!A:G,7,0),"")</f>
        <v>552205.85</v>
      </c>
      <c r="F35" t="str">
        <f ca="1">IF(B35="","",IF(B35&gt;0,IFERROR(IF(VLOOKUP(LEFT(B35,10),[1]Лист1!$A:$A,1,0)&gt;0,"КО"),IF(E35="","погашен",IF(B35&gt;0,IFERROR(IF(VLOOKUP(B35,'реестр просрочников'!B:B,1,0)&gt;0,"просрочен",),IF(TODAY()&gt;C35,"оплачен","грядет")),"")))))</f>
        <v>оплачен</v>
      </c>
    </row>
    <row r="36" spans="1:6" x14ac:dyDescent="0.25">
      <c r="A36" t="s">
        <v>64</v>
      </c>
      <c r="B36" t="s">
        <v>253</v>
      </c>
      <c r="C36" s="10">
        <v>45510</v>
      </c>
      <c r="D36">
        <v>12125.59</v>
      </c>
      <c r="E36" s="1">
        <f>IFERROR(VLOOKUP(B36,'РП (расш)'!A:G,7,0),"")</f>
        <v>144906.25</v>
      </c>
      <c r="F36" t="str">
        <f ca="1">IF(B36="","",IF(B36&gt;0,IFERROR(IF(VLOOKUP(LEFT(B36,10),[1]Лист1!$A:$A,1,0)&gt;0,"КО"),IF(E36="","погашен",IF(B36&gt;0,IFERROR(IF(VLOOKUP(B36,'реестр просрочников'!B:B,1,0)&gt;0,"просрочен",),IF(TODAY()&gt;C36,"оплачен","грядет")),"")))))</f>
        <v>оплачен</v>
      </c>
    </row>
    <row r="37" spans="1:6" x14ac:dyDescent="0.25">
      <c r="A37" t="s">
        <v>39</v>
      </c>
      <c r="B37" t="s">
        <v>254</v>
      </c>
      <c r="C37" s="10">
        <v>45510</v>
      </c>
      <c r="D37">
        <v>5531.84</v>
      </c>
      <c r="E37" s="1">
        <f>IFERROR(VLOOKUP(B37,'РП (расш)'!A:G,7,0),"")</f>
        <v>36300.879999999997</v>
      </c>
      <c r="F37" t="str">
        <f ca="1">IF(B37="","",IF(B37&gt;0,IFERROR(IF(VLOOKUP(LEFT(B37,10),[1]Лист1!$A:$A,1,0)&gt;0,"КО"),IF(E37="","погашен",IF(B37&gt;0,IFERROR(IF(VLOOKUP(B37,'реестр просрочников'!B:B,1,0)&gt;0,"просрочен",),IF(TODAY()&gt;C37,"оплачен","грядет")),"")))))</f>
        <v>оплачен</v>
      </c>
    </row>
    <row r="38" spans="1:6" x14ac:dyDescent="0.25">
      <c r="A38" t="s">
        <v>74</v>
      </c>
      <c r="B38" t="s">
        <v>255</v>
      </c>
      <c r="C38" s="10">
        <v>45511</v>
      </c>
      <c r="D38">
        <v>6606.07</v>
      </c>
      <c r="E38" s="1">
        <f>IFERROR(VLOOKUP(B38,'РП (расш)'!A:G,7,0),"")</f>
        <v>107547.4</v>
      </c>
      <c r="F38" t="str">
        <f ca="1">IF(B38="","",IF(B38&gt;0,IFERROR(IF(VLOOKUP(LEFT(B38,10),[1]Лист1!$A:$A,1,0)&gt;0,"КО"),IF(E38="","погашен",IF(B38&gt;0,IFERROR(IF(VLOOKUP(B38,'реестр просрочников'!B:B,1,0)&gt;0,"просрочен",),IF(TODAY()&gt;C38,"оплачен","грядет")),"")))))</f>
        <v>оплачен</v>
      </c>
    </row>
    <row r="39" spans="1:6" x14ac:dyDescent="0.25">
      <c r="A39" t="s">
        <v>256</v>
      </c>
      <c r="B39" t="s">
        <v>257</v>
      </c>
      <c r="C39" s="10">
        <v>45511</v>
      </c>
      <c r="D39">
        <v>34154.120000000003</v>
      </c>
      <c r="E39" s="1">
        <f>IFERROR(VLOOKUP(B39,'РП (расш)'!A:G,7,0),"")</f>
        <v>475359.11</v>
      </c>
      <c r="F39" t="str">
        <f ca="1">IF(B39="","",IF(B39&gt;0,IFERROR(IF(VLOOKUP(LEFT(B39,10),[1]Лист1!$A:$A,1,0)&gt;0,"КО"),IF(E39="","погашен",IF(B39&gt;0,IFERROR(IF(VLOOKUP(B39,'реестр просрочников'!B:B,1,0)&gt;0,"просрочен",),IF(TODAY()&gt;C39,"оплачен","грядет")),"")))))</f>
        <v>КО</v>
      </c>
    </row>
    <row r="40" spans="1:6" x14ac:dyDescent="0.25">
      <c r="A40" t="s">
        <v>258</v>
      </c>
      <c r="B40" t="s">
        <v>259</v>
      </c>
      <c r="C40" s="10">
        <v>45511</v>
      </c>
      <c r="D40">
        <v>6551.44</v>
      </c>
      <c r="E40" s="1">
        <f>IFERROR(VLOOKUP(B40,'РП (расш)'!A:G,7,0),"")</f>
        <v>27637.18</v>
      </c>
      <c r="F40" t="str">
        <f ca="1">IF(B40="","",IF(B40&gt;0,IFERROR(IF(VLOOKUP(LEFT(B40,10),[1]Лист1!$A:$A,1,0)&gt;0,"КО"),IF(E40="","погашен",IF(B40&gt;0,IFERROR(IF(VLOOKUP(B40,'реестр просрочников'!B:B,1,0)&gt;0,"просрочен",),IF(TODAY()&gt;C40,"оплачен","грядет")),"")))))</f>
        <v>оплачен</v>
      </c>
    </row>
    <row r="41" spans="1:6" x14ac:dyDescent="0.25">
      <c r="A41" t="s">
        <v>260</v>
      </c>
      <c r="B41" t="s">
        <v>261</v>
      </c>
      <c r="C41" s="10">
        <v>45511</v>
      </c>
      <c r="D41">
        <v>5901.58</v>
      </c>
      <c r="E41" s="1">
        <f>IFERROR(VLOOKUP(B41,'РП (расш)'!A:G,7,0),"")</f>
        <v>23250.75</v>
      </c>
      <c r="F41" t="str">
        <f ca="1">IF(B41="","",IF(B41&gt;0,IFERROR(IF(VLOOKUP(LEFT(B41,10),[1]Лист1!$A:$A,1,0)&gt;0,"КО"),IF(E41="","погашен",IF(B41&gt;0,IFERROR(IF(VLOOKUP(B41,'реестр просрочников'!B:B,1,0)&gt;0,"просрочен",),IF(TODAY()&gt;C41,"оплачен","грядет")),"")))))</f>
        <v>оплачен</v>
      </c>
    </row>
    <row r="42" spans="1:6" x14ac:dyDescent="0.25">
      <c r="A42" t="s">
        <v>262</v>
      </c>
      <c r="B42" t="s">
        <v>263</v>
      </c>
      <c r="C42" s="10">
        <v>45512</v>
      </c>
      <c r="D42">
        <v>74580.59</v>
      </c>
      <c r="E42" s="1">
        <f>IFERROR(VLOOKUP(B42,'РП (расш)'!A:G,7,0),"")</f>
        <v>742627.39</v>
      </c>
      <c r="F42" t="str">
        <f ca="1">IF(B42="","",IF(B42&gt;0,IFERROR(IF(VLOOKUP(LEFT(B42,10),[1]Лист1!$A:$A,1,0)&gt;0,"КО"),IF(E42="","погашен",IF(B42&gt;0,IFERROR(IF(VLOOKUP(B42,'реестр просрочников'!B:B,1,0)&gt;0,"просрочен",),IF(TODAY()&gt;C42,"оплачен","грядет")),"")))))</f>
        <v>КО</v>
      </c>
    </row>
    <row r="43" spans="1:6" x14ac:dyDescent="0.25">
      <c r="A43" t="s">
        <v>264</v>
      </c>
      <c r="B43" t="s">
        <v>265</v>
      </c>
      <c r="C43" s="10">
        <v>45512</v>
      </c>
      <c r="D43">
        <v>7275.35</v>
      </c>
      <c r="E43" s="1">
        <f>IFERROR(VLOOKUP(B43,'РП (расш)'!A:G,7,0),"")</f>
        <v>118573.92</v>
      </c>
      <c r="F43" t="str">
        <f ca="1">IF(B43="","",IF(B43&gt;0,IFERROR(IF(VLOOKUP(LEFT(B43,10),[1]Лист1!$A:$A,1,0)&gt;0,"КО"),IF(E43="","погашен",IF(B43&gt;0,IFERROR(IF(VLOOKUP(B43,'реестр просрочников'!B:B,1,0)&gt;0,"просрочен",),IF(TODAY()&gt;C43,"оплачен","грядет")),"")))))</f>
        <v>КО</v>
      </c>
    </row>
    <row r="44" spans="1:6" x14ac:dyDescent="0.25">
      <c r="A44" t="s">
        <v>15</v>
      </c>
      <c r="B44" t="s">
        <v>266</v>
      </c>
      <c r="C44" s="10">
        <v>45512</v>
      </c>
      <c r="D44">
        <v>7778.33</v>
      </c>
      <c r="E44" s="1">
        <f>IFERROR(VLOOKUP(B44,'РП (расш)'!A:G,7,0),"")</f>
        <v>62615.57</v>
      </c>
      <c r="F44" t="str">
        <f ca="1">IF(B44="","",IF(B44&gt;0,IFERROR(IF(VLOOKUP(LEFT(B44,10),[1]Лист1!$A:$A,1,0)&gt;0,"КО"),IF(E44="","погашен",IF(B44&gt;0,IFERROR(IF(VLOOKUP(B44,'реестр просрочников'!B:B,1,0)&gt;0,"просрочен",),IF(TODAY()&gt;C44,"оплачен","грядет")),"")))))</f>
        <v>оплачен</v>
      </c>
    </row>
    <row r="45" spans="1:6" x14ac:dyDescent="0.25">
      <c r="A45" t="s">
        <v>267</v>
      </c>
      <c r="B45" t="s">
        <v>268</v>
      </c>
      <c r="C45" s="10">
        <v>45513</v>
      </c>
      <c r="D45">
        <v>6536.42</v>
      </c>
      <c r="E45" s="1">
        <f>IFERROR(VLOOKUP(B45,'РП (расш)'!A:G,7,0),"")</f>
        <v>25400.15</v>
      </c>
      <c r="F45" t="str">
        <f ca="1">IF(B45="","",IF(B45&gt;0,IFERROR(IF(VLOOKUP(LEFT(B45,10),[1]Лист1!$A:$A,1,0)&gt;0,"КО"),IF(E45="","погашен",IF(B45&gt;0,IFERROR(IF(VLOOKUP(B45,'реестр просрочников'!B:B,1,0)&gt;0,"просрочен",),IF(TODAY()&gt;C45,"оплачен","грядет")),"")))))</f>
        <v>оплачен</v>
      </c>
    </row>
    <row r="46" spans="1:6" x14ac:dyDescent="0.25">
      <c r="A46" t="s">
        <v>269</v>
      </c>
      <c r="B46" t="s">
        <v>270</v>
      </c>
      <c r="C46" s="10">
        <v>45513</v>
      </c>
      <c r="D46">
        <v>54732.2</v>
      </c>
      <c r="E46" s="1">
        <f>IFERROR(VLOOKUP(B46,'РП (расш)'!A:G,7,0),"")</f>
        <v>915534.29</v>
      </c>
      <c r="F46" t="str">
        <f ca="1">IF(B46="","",IF(B46&gt;0,IFERROR(IF(VLOOKUP(LEFT(B46,10),[1]Лист1!$A:$A,1,0)&gt;0,"КО"),IF(E46="","погашен",IF(B46&gt;0,IFERROR(IF(VLOOKUP(B46,'реестр просрочников'!B:B,1,0)&gt;0,"просрочен",),IF(TODAY()&gt;C46,"оплачен","грядет")),"")))))</f>
        <v>КО</v>
      </c>
    </row>
    <row r="47" spans="1:6" x14ac:dyDescent="0.25">
      <c r="A47" t="s">
        <v>140</v>
      </c>
      <c r="B47" t="s">
        <v>271</v>
      </c>
      <c r="C47" s="10">
        <v>45513</v>
      </c>
      <c r="D47">
        <v>4850.24</v>
      </c>
      <c r="E47" s="1">
        <f>IFERROR(VLOOKUP(B47,'РП (расш)'!A:G,7,0),"")</f>
        <v>58200.9</v>
      </c>
      <c r="F47" t="str">
        <f ca="1">IF(B47="","",IF(B47&gt;0,IFERROR(IF(VLOOKUP(LEFT(B47,10),[1]Лист1!$A:$A,1,0)&gt;0,"КО"),IF(E47="","погашен",IF(B47&gt;0,IFERROR(IF(VLOOKUP(B47,'реестр просрочников'!B:B,1,0)&gt;0,"просрочен",),IF(TODAY()&gt;C47,"оплачен","грядет")),"")))))</f>
        <v>оплачен</v>
      </c>
    </row>
    <row r="48" spans="1:6" x14ac:dyDescent="0.25">
      <c r="A48" t="s">
        <v>64</v>
      </c>
      <c r="B48" t="s">
        <v>272</v>
      </c>
      <c r="C48" s="10">
        <v>45513</v>
      </c>
      <c r="D48">
        <v>14550.71</v>
      </c>
      <c r="E48" s="1">
        <f>IFERROR(VLOOKUP(B48,'РП (расш)'!A:G,7,0),"")</f>
        <v>173887.4</v>
      </c>
      <c r="F48" t="str">
        <f ca="1">IF(B48="","",IF(B48&gt;0,IFERROR(IF(VLOOKUP(LEFT(B48,10),[1]Лист1!$A:$A,1,0)&gt;0,"КО"),IF(E48="","погашен",IF(B48&gt;0,IFERROR(IF(VLOOKUP(B48,'реестр просрочников'!B:B,1,0)&gt;0,"просрочен",),IF(TODAY()&gt;C48,"оплачен","грядет")),"")))))</f>
        <v>оплачен</v>
      </c>
    </row>
    <row r="49" spans="1:6" x14ac:dyDescent="0.25">
      <c r="A49" t="s">
        <v>273</v>
      </c>
      <c r="B49" t="s">
        <v>274</v>
      </c>
      <c r="C49" s="10">
        <v>45513</v>
      </c>
      <c r="D49">
        <v>23121.33</v>
      </c>
      <c r="E49" s="1">
        <f>IFERROR(VLOOKUP(B49,'РП (расш)'!A:G,7,0),"")</f>
        <v>281706.62</v>
      </c>
      <c r="F49" t="str">
        <f ca="1">IF(B49="","",IF(B49&gt;0,IFERROR(IF(VLOOKUP(LEFT(B49,10),[1]Лист1!$A:$A,1,0)&gt;0,"КО"),IF(E49="","погашен",IF(B49&gt;0,IFERROR(IF(VLOOKUP(B49,'реестр просрочников'!B:B,1,0)&gt;0,"просрочен",),IF(TODAY()&gt;C49,"оплачен","грядет")),"")))))</f>
        <v>КО</v>
      </c>
    </row>
    <row r="50" spans="1:6" x14ac:dyDescent="0.25">
      <c r="A50" t="s">
        <v>199</v>
      </c>
      <c r="B50" t="s">
        <v>275</v>
      </c>
      <c r="C50" s="10">
        <v>45513</v>
      </c>
      <c r="D50">
        <v>31755.91</v>
      </c>
      <c r="E50" s="1">
        <f>IFERROR(VLOOKUP(B50,'РП (расш)'!A:G,7,0),"")</f>
        <v>422614.63</v>
      </c>
      <c r="F50" t="str">
        <f ca="1">IF(B50="","",IF(B50&gt;0,IFERROR(IF(VLOOKUP(LEFT(B50,10),[1]Лист1!$A:$A,1,0)&gt;0,"КО"),IF(E50="","погашен",IF(B50&gt;0,IFERROR(IF(VLOOKUP(B50,'реестр просрочников'!B:B,1,0)&gt;0,"просрочен",),IF(TODAY()&gt;C50,"оплачен","грядет")),"")))))</f>
        <v>КО</v>
      </c>
    </row>
    <row r="51" spans="1:6" x14ac:dyDescent="0.25">
      <c r="A51" t="s">
        <v>15</v>
      </c>
      <c r="B51" t="s">
        <v>16</v>
      </c>
      <c r="C51" s="10">
        <v>45514</v>
      </c>
      <c r="D51">
        <v>35735.129999999997</v>
      </c>
      <c r="E51" s="1">
        <f>IFERROR(VLOOKUP(B51,'РП (расш)'!A:G,7,0),"")</f>
        <v>123462.49</v>
      </c>
      <c r="F51" t="str">
        <f ca="1">IF(B51="","",IF(B51&gt;0,IFERROR(IF(VLOOKUP(LEFT(B51,10),[1]Лист1!$A:$A,1,0)&gt;0,"КО"),IF(E51="","погашен",IF(B51&gt;0,IFERROR(IF(VLOOKUP(B51,'реестр просрочников'!B:B,1,0)&gt;0,"просрочен",),IF(TODAY()&gt;C51,"оплачен","грядет")),"")))))</f>
        <v>оплачен</v>
      </c>
    </row>
    <row r="52" spans="1:6" x14ac:dyDescent="0.25">
      <c r="A52" t="s">
        <v>17</v>
      </c>
      <c r="B52" t="s">
        <v>18</v>
      </c>
      <c r="C52" s="10">
        <v>45514</v>
      </c>
      <c r="D52">
        <v>56771.17</v>
      </c>
      <c r="E52" s="1">
        <f>IFERROR(VLOOKUP(B52,'РП (расш)'!A:G,7,0),"")</f>
        <v>237634.06</v>
      </c>
      <c r="F52" t="str">
        <f ca="1">IF(B52="","",IF(B52&gt;0,IFERROR(IF(VLOOKUP(LEFT(B52,10),[1]Лист1!$A:$A,1,0)&gt;0,"КО"),IF(E52="","погашен",IF(B52&gt;0,IFERROR(IF(VLOOKUP(B52,'реестр просрочников'!B:B,1,0)&gt;0,"просрочен",),IF(TODAY()&gt;C52,"оплачен","грядет")),"")))))</f>
        <v>просрочен</v>
      </c>
    </row>
    <row r="53" spans="1:6" x14ac:dyDescent="0.25">
      <c r="A53" t="s">
        <v>19</v>
      </c>
      <c r="B53" t="s">
        <v>20</v>
      </c>
      <c r="C53" s="10">
        <v>45514</v>
      </c>
      <c r="D53">
        <v>69757.990000000005</v>
      </c>
      <c r="E53" s="1">
        <f>IFERROR(VLOOKUP(B53,'РП (расш)'!A:G,7,0),"")</f>
        <v>290711.74</v>
      </c>
      <c r="F53" t="str">
        <f ca="1">IF(B53="","",IF(B53&gt;0,IFERROR(IF(VLOOKUP(LEFT(B53,10),[1]Лист1!$A:$A,1,0)&gt;0,"КО"),IF(E53="","погашен",IF(B53&gt;0,IFERROR(IF(VLOOKUP(B53,'реестр просрочников'!B:B,1,0)&gt;0,"просрочен",),IF(TODAY()&gt;C53,"оплачен","грядет")),"")))))</f>
        <v>просрочен</v>
      </c>
    </row>
    <row r="54" spans="1:6" x14ac:dyDescent="0.25">
      <c r="A54" t="s">
        <v>21</v>
      </c>
      <c r="B54" t="s">
        <v>22</v>
      </c>
      <c r="C54" s="10">
        <v>45514</v>
      </c>
      <c r="D54">
        <v>75532.92</v>
      </c>
      <c r="E54" s="1">
        <f>IFERROR(VLOOKUP(B54,'РП (расш)'!A:G,7,0),"")</f>
        <v>908272.7</v>
      </c>
      <c r="F54" t="str">
        <f ca="1">IF(B54="","",IF(B54&gt;0,IFERROR(IF(VLOOKUP(LEFT(B54,10),[1]Лист1!$A:$A,1,0)&gt;0,"КО"),IF(E54="","погашен",IF(B54&gt;0,IFERROR(IF(VLOOKUP(B54,'реестр просрочников'!B:B,1,0)&gt;0,"просрочен",),IF(TODAY()&gt;C54,"оплачен","грядет")),"")))))</f>
        <v>КО</v>
      </c>
    </row>
    <row r="55" spans="1:6" x14ac:dyDescent="0.25">
      <c r="A55" t="s">
        <v>23</v>
      </c>
      <c r="B55" t="s">
        <v>24</v>
      </c>
      <c r="C55" s="10">
        <v>45514</v>
      </c>
      <c r="D55">
        <v>12885.93</v>
      </c>
      <c r="E55" s="1">
        <f>IFERROR(VLOOKUP(B55,'РП (расш)'!A:G,7,0),"")</f>
        <v>33345.910000000003</v>
      </c>
      <c r="F55" t="str">
        <f ca="1">IF(B55="","",IF(B55&gt;0,IFERROR(IF(VLOOKUP(LEFT(B55,10),[1]Лист1!$A:$A,1,0)&gt;0,"КО"),IF(E55="","погашен",IF(B55&gt;0,IFERROR(IF(VLOOKUP(B55,'реестр просрочников'!B:B,1,0)&gt;0,"просрочен",),IF(TODAY()&gt;C55,"оплачен","грядет")),"")))))</f>
        <v>оплачен</v>
      </c>
    </row>
    <row r="56" spans="1:6" x14ac:dyDescent="0.25">
      <c r="A56" t="s">
        <v>25</v>
      </c>
      <c r="B56" t="s">
        <v>26</v>
      </c>
      <c r="C56" s="10">
        <v>45514</v>
      </c>
      <c r="D56">
        <v>41891.230000000003</v>
      </c>
      <c r="E56" s="1">
        <f>IFERROR(VLOOKUP(B56,'РП (расш)'!A:G,7,0),"")</f>
        <v>510538.93</v>
      </c>
      <c r="F56" t="str">
        <f ca="1">IF(B56="","",IF(B56&gt;0,IFERROR(IF(VLOOKUP(LEFT(B56,10),[1]Лист1!$A:$A,1,0)&gt;0,"КО"),IF(E56="","погашен",IF(B56&gt;0,IFERROR(IF(VLOOKUP(B56,'реестр просрочников'!B:B,1,0)&gt;0,"просрочен",),IF(TODAY()&gt;C56,"оплачен","грядет")),"")))))</f>
        <v>КО</v>
      </c>
    </row>
    <row r="57" spans="1:6" x14ac:dyDescent="0.25">
      <c r="A57" t="s">
        <v>27</v>
      </c>
      <c r="B57" t="s">
        <v>28</v>
      </c>
      <c r="C57" s="10">
        <v>45515</v>
      </c>
      <c r="D57">
        <v>11045.52</v>
      </c>
      <c r="E57" s="1">
        <f>IFERROR(VLOOKUP(B57,'РП (расш)'!A:G,7,0),"")</f>
        <v>96176.68</v>
      </c>
      <c r="F57" t="str">
        <f ca="1">IF(B57="","",IF(B57&gt;0,IFERROR(IF(VLOOKUP(LEFT(B57,10),[1]Лист1!$A:$A,1,0)&gt;0,"КО"),IF(E57="","погашен",IF(B57&gt;0,IFERROR(IF(VLOOKUP(B57,'реестр просрочников'!B:B,1,0)&gt;0,"просрочен",),IF(TODAY()&gt;C57,"оплачен","грядет")),"")))))</f>
        <v>оплачен</v>
      </c>
    </row>
    <row r="58" spans="1:6" x14ac:dyDescent="0.25">
      <c r="A58" t="s">
        <v>29</v>
      </c>
      <c r="B58" t="s">
        <v>30</v>
      </c>
      <c r="C58" s="10">
        <v>45515</v>
      </c>
      <c r="D58">
        <v>28547.77</v>
      </c>
      <c r="E58" s="1">
        <f>IFERROR(VLOOKUP(B58,'РП (расш)'!A:G,7,0),"")</f>
        <v>148642.13</v>
      </c>
      <c r="F58" t="str">
        <f ca="1">IF(B58="","",IF(B58&gt;0,IFERROR(IF(VLOOKUP(LEFT(B58,10),[1]Лист1!$A:$A,1,0)&gt;0,"КО"),IF(E58="","погашен",IF(B58&gt;0,IFERROR(IF(VLOOKUP(B58,'реестр просрочников'!B:B,1,0)&gt;0,"просрочен",),IF(TODAY()&gt;C58,"оплачен","грядет")),"")))))</f>
        <v>оплачен</v>
      </c>
    </row>
    <row r="59" spans="1:6" x14ac:dyDescent="0.25">
      <c r="A59" t="s">
        <v>31</v>
      </c>
      <c r="B59" t="s">
        <v>32</v>
      </c>
      <c r="C59" s="10">
        <v>45516</v>
      </c>
      <c r="D59">
        <v>64629.7</v>
      </c>
      <c r="E59" s="1">
        <f>IFERROR(VLOOKUP(B59,'РП (расш)'!A:G,7,0),"")</f>
        <v>208559.4</v>
      </c>
      <c r="F59" t="str">
        <f ca="1">IF(B59="","",IF(B59&gt;0,IFERROR(IF(VLOOKUP(LEFT(B59,10),[1]Лист1!$A:$A,1,0)&gt;0,"КО"),IF(E59="","погашен",IF(B59&gt;0,IFERROR(IF(VLOOKUP(B59,'реестр просрочников'!B:B,1,0)&gt;0,"просрочен",),IF(TODAY()&gt;C59,"оплачен","грядет")),"")))))</f>
        <v>оплачен</v>
      </c>
    </row>
    <row r="60" spans="1:6" x14ac:dyDescent="0.25">
      <c r="A60" t="s">
        <v>33</v>
      </c>
      <c r="B60" t="s">
        <v>34</v>
      </c>
      <c r="C60" s="10">
        <v>45516</v>
      </c>
      <c r="D60">
        <v>43698.42</v>
      </c>
      <c r="E60" s="1">
        <f>IFERROR(VLOOKUP(B60,'РП (расш)'!A:G,7,0),"")</f>
        <v>185560.12</v>
      </c>
      <c r="F60" t="str">
        <f ca="1">IF(B60="","",IF(B60&gt;0,IFERROR(IF(VLOOKUP(LEFT(B60,10),[1]Лист1!$A:$A,1,0)&gt;0,"КО"),IF(E60="","погашен",IF(B60&gt;0,IFERROR(IF(VLOOKUP(B60,'реестр просрочников'!B:B,1,0)&gt;0,"просрочен",),IF(TODAY()&gt;C60,"оплачен","грядет")),"")))))</f>
        <v>КО</v>
      </c>
    </row>
    <row r="61" spans="1:6" x14ac:dyDescent="0.25">
      <c r="A61" t="s">
        <v>35</v>
      </c>
      <c r="B61" t="s">
        <v>36</v>
      </c>
      <c r="C61" s="10">
        <v>45516</v>
      </c>
      <c r="D61">
        <v>63626.82</v>
      </c>
      <c r="E61" s="1">
        <f>IFERROR(VLOOKUP(B61,'РП (расш)'!A:G,7,0),"")</f>
        <v>576927.80000000005</v>
      </c>
      <c r="F61" t="str">
        <f ca="1">IF(B61="","",IF(B61&gt;0,IFERROR(IF(VLOOKUP(LEFT(B61,10),[1]Лист1!$A:$A,1,0)&gt;0,"КО"),IF(E61="","погашен",IF(B61&gt;0,IFERROR(IF(VLOOKUP(B61,'реестр просрочников'!B:B,1,0)&gt;0,"просрочен",),IF(TODAY()&gt;C61,"оплачен","грядет")),"")))))</f>
        <v>КО</v>
      </c>
    </row>
    <row r="62" spans="1:6" x14ac:dyDescent="0.25">
      <c r="A62" t="s">
        <v>37</v>
      </c>
      <c r="B62" t="s">
        <v>38</v>
      </c>
      <c r="C62" s="10">
        <v>45516</v>
      </c>
      <c r="D62">
        <v>26424.41</v>
      </c>
      <c r="E62" s="1">
        <f>IFERROR(VLOOKUP(B62,'РП (расш)'!A:G,7,0),"")</f>
        <v>443666.24</v>
      </c>
      <c r="F62" t="str">
        <f ca="1">IF(B62="","",IF(B62&gt;0,IFERROR(IF(VLOOKUP(LEFT(B62,10),[1]Лист1!$A:$A,1,0)&gt;0,"КО"),IF(E62="","погашен",IF(B62&gt;0,IFERROR(IF(VLOOKUP(B62,'реестр просрочников'!B:B,1,0)&gt;0,"просрочен",),IF(TODAY()&gt;C62,"оплачен","грядет")),"")))))</f>
        <v>КО</v>
      </c>
    </row>
    <row r="63" spans="1:6" x14ac:dyDescent="0.25">
      <c r="A63" t="s">
        <v>39</v>
      </c>
      <c r="B63" t="s">
        <v>40</v>
      </c>
      <c r="C63" s="10">
        <v>45516</v>
      </c>
      <c r="D63">
        <v>16595.53</v>
      </c>
      <c r="E63" s="1">
        <f>IFERROR(VLOOKUP(B63,'РП (расш)'!A:G,7,0),"")</f>
        <v>99675.16</v>
      </c>
      <c r="F63" t="str">
        <f ca="1">IF(B63="","",IF(B63&gt;0,IFERROR(IF(VLOOKUP(LEFT(B63,10),[1]Лист1!$A:$A,1,0)&gt;0,"КО"),IF(E63="","погашен",IF(B63&gt;0,IFERROR(IF(VLOOKUP(B63,'реестр просрочников'!B:B,1,0)&gt;0,"просрочен",),IF(TODAY()&gt;C63,"оплачен","грядет")),"")))))</f>
        <v>оплачен</v>
      </c>
    </row>
    <row r="64" spans="1:6" x14ac:dyDescent="0.25">
      <c r="A64" t="s">
        <v>41</v>
      </c>
      <c r="B64" t="s">
        <v>42</v>
      </c>
      <c r="C64" s="10">
        <v>45516</v>
      </c>
      <c r="D64">
        <v>69818.720000000001</v>
      </c>
      <c r="E64" s="1">
        <f>IFERROR(VLOOKUP(B64,'РП (расш)'!A:G,7,0),"")</f>
        <v>217448.65</v>
      </c>
      <c r="F64" t="str">
        <f ca="1">IF(B64="","",IF(B64&gt;0,IFERROR(IF(VLOOKUP(LEFT(B64,10),[1]Лист1!$A:$A,1,0)&gt;0,"КО"),IF(E64="","погашен",IF(B64&gt;0,IFERROR(IF(VLOOKUP(B64,'реестр просрочников'!B:B,1,0)&gt;0,"просрочен",),IF(TODAY()&gt;C64,"оплачен","грядет")),"")))))</f>
        <v>просрочен</v>
      </c>
    </row>
    <row r="65" spans="1:6" x14ac:dyDescent="0.25">
      <c r="A65" t="s">
        <v>43</v>
      </c>
      <c r="B65" t="s">
        <v>44</v>
      </c>
      <c r="C65" s="10">
        <v>45517</v>
      </c>
      <c r="D65">
        <v>7275.35</v>
      </c>
      <c r="E65" s="1">
        <f>IFERROR(VLOOKUP(B65,'РП (расш)'!A:G,7,0),"")</f>
        <v>83733.929999999993</v>
      </c>
      <c r="F65" t="str">
        <f ca="1">IF(B65="","",IF(B65&gt;0,IFERROR(IF(VLOOKUP(LEFT(B65,10),[1]Лист1!$A:$A,1,0)&gt;0,"КО"),IF(E65="","погашен",IF(B65&gt;0,IFERROR(IF(VLOOKUP(B65,'реестр просрочников'!B:B,1,0)&gt;0,"просрочен",),IF(TODAY()&gt;C65,"оплачен","грядет")),"")))))</f>
        <v>оплачен</v>
      </c>
    </row>
    <row r="66" spans="1:6" x14ac:dyDescent="0.25">
      <c r="A66" t="s">
        <v>45</v>
      </c>
      <c r="B66" t="s">
        <v>46</v>
      </c>
      <c r="C66" s="10">
        <v>45517</v>
      </c>
      <c r="D66">
        <v>43398.11</v>
      </c>
      <c r="E66" s="1">
        <f>IFERROR(VLOOKUP(B66,'РП (расш)'!A:G,7,0),"")</f>
        <v>452267.28</v>
      </c>
      <c r="F66" t="str">
        <f ca="1">IF(B66="","",IF(B66&gt;0,IFERROR(IF(VLOOKUP(LEFT(B66,10),[1]Лист1!$A:$A,1,0)&gt;0,"КО"),IF(E66="","погашен",IF(B66&gt;0,IFERROR(IF(VLOOKUP(B66,'реестр просрочников'!B:B,1,0)&gt;0,"просрочен",),IF(TODAY()&gt;C66,"оплачен","грядет")),"")))))</f>
        <v>просрочен</v>
      </c>
    </row>
    <row r="67" spans="1:6" x14ac:dyDescent="0.25">
      <c r="A67" t="s">
        <v>47</v>
      </c>
      <c r="B67" t="s">
        <v>48</v>
      </c>
      <c r="C67" s="10">
        <v>45517</v>
      </c>
      <c r="D67">
        <v>12756.77</v>
      </c>
      <c r="E67" s="1">
        <f>IFERROR(VLOOKUP(B67,'РП (расш)'!A:G,7,0),"")</f>
        <v>134877.79</v>
      </c>
      <c r="F67" t="str">
        <f ca="1">IF(B67="","",IF(B67&gt;0,IFERROR(IF(VLOOKUP(LEFT(B67,10),[1]Лист1!$A:$A,1,0)&gt;0,"КО"),IF(E67="","погашен",IF(B67&gt;0,IFERROR(IF(VLOOKUP(B67,'реестр просрочников'!B:B,1,0)&gt;0,"просрочен",),IF(TODAY()&gt;C67,"оплачен","грядет")),"")))))</f>
        <v>оплачен</v>
      </c>
    </row>
    <row r="68" spans="1:6" x14ac:dyDescent="0.25">
      <c r="A68" t="s">
        <v>50</v>
      </c>
      <c r="B68" t="s">
        <v>51</v>
      </c>
      <c r="C68" s="10">
        <v>45518</v>
      </c>
      <c r="D68">
        <v>41342.53</v>
      </c>
      <c r="E68" s="1">
        <f>IFERROR(VLOOKUP(B68,'РП (расш)'!A:G,7,0),"")</f>
        <v>540292.54</v>
      </c>
      <c r="F68" t="str">
        <f ca="1">IF(B68="","",IF(B68&gt;0,IFERROR(IF(VLOOKUP(LEFT(B68,10),[1]Лист1!$A:$A,1,0)&gt;0,"КО"),IF(E68="","погашен",IF(B68&gt;0,IFERROR(IF(VLOOKUP(B68,'реестр просрочников'!B:B,1,0)&gt;0,"просрочен",),IF(TODAY()&gt;C68,"оплачен","грядет")),"")))))</f>
        <v>КО</v>
      </c>
    </row>
    <row r="69" spans="1:6" x14ac:dyDescent="0.25">
      <c r="A69" t="s">
        <v>52</v>
      </c>
      <c r="B69" t="s">
        <v>53</v>
      </c>
      <c r="C69" s="10">
        <v>45518</v>
      </c>
      <c r="D69">
        <v>2507.8200000000002</v>
      </c>
      <c r="E69" s="1">
        <f>IFERROR(VLOOKUP(B69,'РП (расш)'!A:G,7,0),"")</f>
        <v>59055.08</v>
      </c>
      <c r="F69" t="str">
        <f ca="1">IF(B69="","",IF(B69&gt;0,IFERROR(IF(VLOOKUP(LEFT(B69,10),[1]Лист1!$A:$A,1,0)&gt;0,"КО"),IF(E69="","погашен",IF(B69&gt;0,IFERROR(IF(VLOOKUP(B69,'реестр просрочников'!B:B,1,0)&gt;0,"просрочен",),IF(TODAY()&gt;C69,"оплачен","грядет")),"")))))</f>
        <v>просрочен</v>
      </c>
    </row>
    <row r="70" spans="1:6" x14ac:dyDescent="0.25">
      <c r="A70" t="s">
        <v>54</v>
      </c>
      <c r="B70" t="s">
        <v>55</v>
      </c>
      <c r="C70" s="10">
        <v>45518</v>
      </c>
      <c r="D70">
        <v>14993.72</v>
      </c>
      <c r="E70" s="1">
        <f>IFERROR(VLOOKUP(B70,'РП (расш)'!A:G,7,0),"")</f>
        <v>14017.58</v>
      </c>
      <c r="F70" t="str">
        <f ca="1">IF(B70="","",IF(B70&gt;0,IFERROR(IF(VLOOKUP(LEFT(B70,10),[1]Лист1!$A:$A,1,0)&gt;0,"КО"),IF(E70="","погашен",IF(B70&gt;0,IFERROR(IF(VLOOKUP(B70,'реестр просрочников'!B:B,1,0)&gt;0,"просрочен",),IF(TODAY()&gt;C70,"оплачен","грядет")),"")))))</f>
        <v>оплачен</v>
      </c>
    </row>
    <row r="71" spans="1:6" x14ac:dyDescent="0.25">
      <c r="A71" t="s">
        <v>56</v>
      </c>
      <c r="B71" t="s">
        <v>57</v>
      </c>
      <c r="C71" s="10">
        <v>45518</v>
      </c>
      <c r="D71">
        <v>14533.41</v>
      </c>
      <c r="E71" s="1">
        <f>IFERROR(VLOOKUP(B71,'РП (расш)'!A:G,7,0),"")</f>
        <v>0</v>
      </c>
      <c r="F71" t="str">
        <f ca="1">IF(B71="","",IF(B71&gt;0,IFERROR(IF(VLOOKUP(LEFT(B71,10),[1]Лист1!$A:$A,1,0)&gt;0,"КО"),IF(E71="","погашен",IF(B71&gt;0,IFERROR(IF(VLOOKUP(B71,'реестр просрочников'!B:B,1,0)&gt;0,"просрочен",),IF(TODAY()&gt;C71,"оплачен","грядет")),"")))))</f>
        <v>КО</v>
      </c>
    </row>
    <row r="72" spans="1:6" x14ac:dyDescent="0.25">
      <c r="A72" t="s">
        <v>58</v>
      </c>
      <c r="B72" t="s">
        <v>59</v>
      </c>
      <c r="C72" s="10">
        <v>45518</v>
      </c>
      <c r="D72">
        <v>2647.58</v>
      </c>
      <c r="E72" s="1">
        <f>IFERROR(VLOOKUP(B72,'РП (расш)'!A:G,7,0),"")</f>
        <v>219628.41</v>
      </c>
      <c r="F72" t="str">
        <f ca="1">IF(B72="","",IF(B72&gt;0,IFERROR(IF(VLOOKUP(LEFT(B72,10),[1]Лист1!$A:$A,1,0)&gt;0,"КО"),IF(E72="","погашен",IF(B72&gt;0,IFERROR(IF(VLOOKUP(B72,'реестр просрочников'!B:B,1,0)&gt;0,"просрочен",),IF(TODAY()&gt;C72,"оплачен","грядет")),"")))))</f>
        <v>оплачен</v>
      </c>
    </row>
    <row r="73" spans="1:6" x14ac:dyDescent="0.25">
      <c r="A73" t="s">
        <v>60</v>
      </c>
      <c r="B73" t="s">
        <v>61</v>
      </c>
      <c r="C73" s="10">
        <v>45519</v>
      </c>
      <c r="D73">
        <v>7549.99</v>
      </c>
      <c r="E73" s="1">
        <f>IFERROR(VLOOKUP(B73,'РП (расш)'!A:G,7,0),"")</f>
        <v>21042.22</v>
      </c>
      <c r="F73" t="str">
        <f ca="1">IF(B73="","",IF(B73&gt;0,IFERROR(IF(VLOOKUP(LEFT(B73,10),[1]Лист1!$A:$A,1,0)&gt;0,"КО"),IF(E73="","погашен",IF(B73&gt;0,IFERROR(IF(VLOOKUP(B73,'реестр просрочников'!B:B,1,0)&gt;0,"просрочен",),IF(TODAY()&gt;C73,"оплачен","грядет")),"")))))</f>
        <v>оплачен</v>
      </c>
    </row>
    <row r="74" spans="1:6" x14ac:dyDescent="0.25">
      <c r="A74" t="s">
        <v>62</v>
      </c>
      <c r="B74" t="s">
        <v>63</v>
      </c>
      <c r="C74" s="10">
        <v>45519</v>
      </c>
      <c r="D74">
        <v>23751.89</v>
      </c>
      <c r="E74" s="1">
        <f>IFERROR(VLOOKUP(B74,'РП (расш)'!A:G,7,0),"")</f>
        <v>159779.82</v>
      </c>
      <c r="F74" t="str">
        <f ca="1">IF(B74="","",IF(B74&gt;0,IFERROR(IF(VLOOKUP(LEFT(B74,10),[1]Лист1!$A:$A,1,0)&gt;0,"КО"),IF(E74="","погашен",IF(B74&gt;0,IFERROR(IF(VLOOKUP(B74,'реестр просрочников'!B:B,1,0)&gt;0,"просрочен",),IF(TODAY()&gt;C74,"оплачен","грядет")),"")))))</f>
        <v>оплачен</v>
      </c>
    </row>
    <row r="75" spans="1:6" x14ac:dyDescent="0.25">
      <c r="A75" t="s">
        <v>64</v>
      </c>
      <c r="B75" t="s">
        <v>65</v>
      </c>
      <c r="C75" s="10">
        <v>45519</v>
      </c>
      <c r="D75">
        <v>5820.28</v>
      </c>
      <c r="E75" s="1">
        <f>IFERROR(VLOOKUP(B75,'РП (расш)'!A:G,7,0),"")</f>
        <v>72304.97</v>
      </c>
      <c r="F75" t="str">
        <f ca="1">IF(B75="","",IF(B75&gt;0,IFERROR(IF(VLOOKUP(LEFT(B75,10),[1]Лист1!$A:$A,1,0)&gt;0,"КО"),IF(E75="","погашен",IF(B75&gt;0,IFERROR(IF(VLOOKUP(B75,'реестр просрочников'!B:B,1,0)&gt;0,"просрочен",),IF(TODAY()&gt;C75,"оплачен","грядет")),"")))))</f>
        <v>оплачен</v>
      </c>
    </row>
    <row r="76" spans="1:6" x14ac:dyDescent="0.25">
      <c r="A76" t="s">
        <v>66</v>
      </c>
      <c r="B76" t="s">
        <v>67</v>
      </c>
      <c r="C76" s="10">
        <v>45519</v>
      </c>
      <c r="D76">
        <v>9647.94</v>
      </c>
      <c r="E76" s="1">
        <f>IFERROR(VLOOKUP(B76,'РП (расш)'!A:G,7,0),"")</f>
        <v>95227.56</v>
      </c>
      <c r="F76" t="str">
        <f ca="1">IF(B76="","",IF(B76&gt;0,IFERROR(IF(VLOOKUP(LEFT(B76,10),[1]Лист1!$A:$A,1,0)&gt;0,"КО"),IF(E76="","погашен",IF(B76&gt;0,IFERROR(IF(VLOOKUP(B76,'реестр просрочников'!B:B,1,0)&gt;0,"просрочен",),IF(TODAY()&gt;C76,"оплачен","грядет")),"")))))</f>
        <v>оплачен</v>
      </c>
    </row>
    <row r="77" spans="1:6" x14ac:dyDescent="0.25">
      <c r="A77" t="s">
        <v>68</v>
      </c>
      <c r="B77" t="s">
        <v>69</v>
      </c>
      <c r="C77" s="10">
        <v>45520</v>
      </c>
      <c r="D77">
        <v>17977.990000000002</v>
      </c>
      <c r="E77" s="1">
        <f>IFERROR(VLOOKUP(B77,'РП (расш)'!A:G,7,0),"")</f>
        <v>99873.69</v>
      </c>
      <c r="F77" t="str">
        <f ca="1">IF(B77="","",IF(B77&gt;0,IFERROR(IF(VLOOKUP(LEFT(B77,10),[1]Лист1!$A:$A,1,0)&gt;0,"КО"),IF(E77="","погашен",IF(B77&gt;0,IFERROR(IF(VLOOKUP(B77,'реестр просрочников'!B:B,1,0)&gt;0,"просрочен",),IF(TODAY()&gt;C77,"оплачен","грядет")),"")))))</f>
        <v>оплачен</v>
      </c>
    </row>
    <row r="78" spans="1:6" x14ac:dyDescent="0.25">
      <c r="A78" t="s">
        <v>70</v>
      </c>
      <c r="B78" t="s">
        <v>71</v>
      </c>
      <c r="C78" s="10">
        <v>45520</v>
      </c>
      <c r="D78">
        <v>23173.17</v>
      </c>
      <c r="E78" s="1">
        <f>IFERROR(VLOOKUP(B78,'РП (расш)'!A:G,7,0),"")</f>
        <v>143205.79999999999</v>
      </c>
      <c r="F78" t="str">
        <f ca="1">IF(B78="","",IF(B78&gt;0,IFERROR(IF(VLOOKUP(LEFT(B78,10),[1]Лист1!$A:$A,1,0)&gt;0,"КО"),IF(E78="","погашен",IF(B78&gt;0,IFERROR(IF(VLOOKUP(B78,'реестр просрочников'!B:B,1,0)&gt;0,"просрочен",),IF(TODAY()&gt;C78,"оплачен","грядет")),"")))))</f>
        <v>КО</v>
      </c>
    </row>
    <row r="79" spans="1:6" x14ac:dyDescent="0.25">
      <c r="A79" t="s">
        <v>72</v>
      </c>
      <c r="B79" t="s">
        <v>73</v>
      </c>
      <c r="C79" s="10">
        <v>45521</v>
      </c>
      <c r="D79">
        <v>11023.26</v>
      </c>
      <c r="E79" s="1">
        <f>IFERROR(VLOOKUP(B79,'РП (расш)'!A:G,7,0),"")</f>
        <v>176315.99</v>
      </c>
      <c r="F79" t="str">
        <f ca="1">IF(B79="","",IF(B79&gt;0,IFERROR(IF(VLOOKUP(LEFT(B79,10),[1]Лист1!$A:$A,1,0)&gt;0,"КО"),IF(E79="","погашен",IF(B79&gt;0,IFERROR(IF(VLOOKUP(B79,'реестр просрочников'!B:B,1,0)&gt;0,"просрочен",),IF(TODAY()&gt;C79,"оплачен","грядет")),"")))))</f>
        <v>КО</v>
      </c>
    </row>
    <row r="80" spans="1:6" x14ac:dyDescent="0.25">
      <c r="A80" t="s">
        <v>74</v>
      </c>
      <c r="B80" t="s">
        <v>75</v>
      </c>
      <c r="C80" s="10">
        <v>45521</v>
      </c>
      <c r="D80">
        <v>7927.33</v>
      </c>
      <c r="E80" s="1">
        <f>IFERROR(VLOOKUP(B80,'РП (расш)'!A:G,7,0),"")</f>
        <v>130577.68</v>
      </c>
      <c r="F80" t="str">
        <f ca="1">IF(B80="","",IF(B80&gt;0,IFERROR(IF(VLOOKUP(LEFT(B80,10),[1]Лист1!$A:$A,1,0)&gt;0,"КО"),IF(E80="","погашен",IF(B80&gt;0,IFERROR(IF(VLOOKUP(B80,'реестр просрочников'!B:B,1,0)&gt;0,"просрочен",),IF(TODAY()&gt;C80,"оплачен","грядет")),"")))))</f>
        <v>оплачен</v>
      </c>
    </row>
    <row r="81" spans="1:6" x14ac:dyDescent="0.25">
      <c r="A81" t="s">
        <v>76</v>
      </c>
      <c r="B81" t="s">
        <v>77</v>
      </c>
      <c r="C81" s="10">
        <v>45521</v>
      </c>
      <c r="D81">
        <v>53546.3</v>
      </c>
      <c r="E81" s="1">
        <f>IFERROR(VLOOKUP(B81,'РП (расш)'!A:G,7,0),"")</f>
        <v>666477.66</v>
      </c>
      <c r="F81" t="str">
        <f ca="1">IF(B81="","",IF(B81&gt;0,IFERROR(IF(VLOOKUP(LEFT(B81,10),[1]Лист1!$A:$A,1,0)&gt;0,"КО"),IF(E81="","погашен",IF(B81&gt;0,IFERROR(IF(VLOOKUP(B81,'реестр просрочников'!B:B,1,0)&gt;0,"просрочен",),IF(TODAY()&gt;C81,"оплачен","грядет")),"")))))</f>
        <v>просрочен</v>
      </c>
    </row>
    <row r="82" spans="1:6" x14ac:dyDescent="0.25">
      <c r="A82" t="s">
        <v>78</v>
      </c>
      <c r="B82" t="s">
        <v>79</v>
      </c>
      <c r="C82" s="10">
        <v>45521</v>
      </c>
      <c r="D82">
        <v>4850.24</v>
      </c>
      <c r="E82" s="1">
        <f>IFERROR(VLOOKUP(B82,'РП (расш)'!A:G,7,0),"")</f>
        <v>58089.47</v>
      </c>
      <c r="F82" t="str">
        <f ca="1">IF(B82="","",IF(B82&gt;0,IFERROR(IF(VLOOKUP(LEFT(B82,10),[1]Лист1!$A:$A,1,0)&gt;0,"КО"),IF(E82="","погашен",IF(B82&gt;0,IFERROR(IF(VLOOKUP(B82,'реестр просрочников'!B:B,1,0)&gt;0,"просрочен",),IF(TODAY()&gt;C82,"оплачен","грядет")),"")))))</f>
        <v>КО</v>
      </c>
    </row>
    <row r="83" spans="1:6" x14ac:dyDescent="0.25">
      <c r="A83" t="s">
        <v>80</v>
      </c>
      <c r="B83" t="s">
        <v>81</v>
      </c>
      <c r="C83" s="10">
        <v>45521</v>
      </c>
      <c r="D83">
        <v>17247.080000000002</v>
      </c>
      <c r="E83" s="1">
        <f>IFERROR(VLOOKUP(B83,'РП (расш)'!A:G,7,0),"")</f>
        <v>214781.62</v>
      </c>
      <c r="F83" t="str">
        <f ca="1">IF(B83="","",IF(B83&gt;0,IFERROR(IF(VLOOKUP(LEFT(B83,10),[1]Лист1!$A:$A,1,0)&gt;0,"КО"),IF(E83="","погашен",IF(B83&gt;0,IFERROR(IF(VLOOKUP(B83,'реестр просрочников'!B:B,1,0)&gt;0,"просрочен",),IF(TODAY()&gt;C83,"оплачен","грядет")),"")))))</f>
        <v>КО</v>
      </c>
    </row>
    <row r="84" spans="1:6" x14ac:dyDescent="0.25">
      <c r="A84" t="s">
        <v>82</v>
      </c>
      <c r="B84" t="s">
        <v>83</v>
      </c>
      <c r="C84" s="10">
        <v>45521</v>
      </c>
      <c r="D84">
        <v>9700.4699999999993</v>
      </c>
      <c r="E84" s="1">
        <f>IFERROR(VLOOKUP(B84,'РП (расш)'!A:G,7,0),"")</f>
        <v>188883.75</v>
      </c>
      <c r="F84" t="str">
        <f ca="1">IF(B84="","",IF(B84&gt;0,IFERROR(IF(VLOOKUP(LEFT(B84,10),[1]Лист1!$A:$A,1,0)&gt;0,"КО"),IF(E84="","погашен",IF(B84&gt;0,IFERROR(IF(VLOOKUP(B84,'реестр просрочников'!B:B,1,0)&gt;0,"просрочен",),IF(TODAY()&gt;C84,"оплачен","грядет")),"")))))</f>
        <v>КО</v>
      </c>
    </row>
    <row r="85" spans="1:6" x14ac:dyDescent="0.25">
      <c r="A85" t="s">
        <v>230</v>
      </c>
      <c r="B85" t="s">
        <v>231</v>
      </c>
      <c r="C85" s="10">
        <v>45521</v>
      </c>
      <c r="D85">
        <v>28367.23</v>
      </c>
      <c r="E85" s="1">
        <f>IFERROR(VLOOKUP(B85,'РП (расш)'!A:G,7,0),"")</f>
        <v>333475.18</v>
      </c>
      <c r="F85" t="str">
        <f ca="1">IF(B85="","",IF(B85&gt;0,IFERROR(IF(VLOOKUP(LEFT(B85,10),[1]Лист1!$A:$A,1,0)&gt;0,"КО"),IF(E85="","погашен",IF(B85&gt;0,IFERROR(IF(VLOOKUP(B85,'реестр просрочников'!B:B,1,0)&gt;0,"просрочен",),IF(TODAY()&gt;C85,"оплачен","грядет")),"")))))</f>
        <v>оплачен</v>
      </c>
    </row>
    <row r="86" spans="1:6" x14ac:dyDescent="0.25">
      <c r="A86" t="s">
        <v>84</v>
      </c>
      <c r="B86" t="s">
        <v>85</v>
      </c>
      <c r="C86" s="10">
        <v>45521</v>
      </c>
      <c r="D86">
        <v>6716.69</v>
      </c>
      <c r="E86" s="1">
        <f>IFERROR(VLOOKUP(B86,'РП (расш)'!A:G,7,0),"")</f>
        <v>84770.39</v>
      </c>
      <c r="F86" t="str">
        <f ca="1">IF(B86="","",IF(B86&gt;0,IFERROR(IF(VLOOKUP(LEFT(B86,10),[1]Лист1!$A:$A,1,0)&gt;0,"КО"),IF(E86="","погашен",IF(B86&gt;0,IFERROR(IF(VLOOKUP(B86,'реестр просрочников'!B:B,1,0)&gt;0,"просрочен",),IF(TODAY()&gt;C86,"оплачен","грядет")),"")))))</f>
        <v>КО</v>
      </c>
    </row>
    <row r="87" spans="1:6" x14ac:dyDescent="0.25">
      <c r="A87" t="s">
        <v>86</v>
      </c>
      <c r="B87" t="s">
        <v>87</v>
      </c>
      <c r="C87" s="10">
        <v>45522</v>
      </c>
      <c r="D87">
        <v>4196.76</v>
      </c>
      <c r="E87" s="1">
        <f>IFERROR(VLOOKUP(B87,'РП (расш)'!A:G,7,0),"")</f>
        <v>18239.96</v>
      </c>
      <c r="F87" t="str">
        <f ca="1">IF(B87="","",IF(B87&gt;0,IFERROR(IF(VLOOKUP(LEFT(B87,10),[1]Лист1!$A:$A,1,0)&gt;0,"КО"),IF(E87="","погашен",IF(B87&gt;0,IFERROR(IF(VLOOKUP(B87,'реестр просрочников'!B:B,1,0)&gt;0,"просрочен",),IF(TODAY()&gt;C87,"оплачен","грядет")),"")))))</f>
        <v>оплачен</v>
      </c>
    </row>
    <row r="88" spans="1:6" x14ac:dyDescent="0.25">
      <c r="A88" t="s">
        <v>88</v>
      </c>
      <c r="B88" t="s">
        <v>89</v>
      </c>
      <c r="C88" s="10">
        <v>45522</v>
      </c>
      <c r="D88">
        <v>8905.7800000000007</v>
      </c>
      <c r="E88" s="1">
        <f>IFERROR(VLOOKUP(B88,'РП (расш)'!A:G,7,0),"")</f>
        <v>82778.91</v>
      </c>
      <c r="F88" t="str">
        <f ca="1">IF(B88="","",IF(B88&gt;0,IFERROR(IF(VLOOKUP(LEFT(B88,10),[1]Лист1!$A:$A,1,0)&gt;0,"КО"),IF(E88="","погашен",IF(B88&gt;0,IFERROR(IF(VLOOKUP(B88,'реестр просрочников'!B:B,1,0)&gt;0,"просрочен",),IF(TODAY()&gt;C88,"оплачен","грядет")),"")))))</f>
        <v>просрочен</v>
      </c>
    </row>
    <row r="89" spans="1:6" x14ac:dyDescent="0.25">
      <c r="A89" t="s">
        <v>90</v>
      </c>
      <c r="B89" t="s">
        <v>91</v>
      </c>
      <c r="C89" s="10">
        <v>45522</v>
      </c>
      <c r="D89">
        <v>4850.24</v>
      </c>
      <c r="E89" s="1">
        <f>IFERROR(VLOOKUP(B89,'РП (расш)'!A:G,7,0),"")</f>
        <v>32183.25</v>
      </c>
      <c r="F89" t="str">
        <f ca="1">IF(B89="","",IF(B89&gt;0,IFERROR(IF(VLOOKUP(LEFT(B89,10),[1]Лист1!$A:$A,1,0)&gt;0,"КО"),IF(E89="","погашен",IF(B89&gt;0,IFERROR(IF(VLOOKUP(B89,'реестр просрочников'!B:B,1,0)&gt;0,"просрочен",),IF(TODAY()&gt;C89,"оплачен","грядет")),"")))))</f>
        <v>КО</v>
      </c>
    </row>
    <row r="90" spans="1:6" x14ac:dyDescent="0.25">
      <c r="A90" t="s">
        <v>92</v>
      </c>
      <c r="B90" t="s">
        <v>93</v>
      </c>
      <c r="C90" s="10">
        <v>45522</v>
      </c>
      <c r="D90">
        <v>6113.61</v>
      </c>
      <c r="E90" s="1">
        <f>IFERROR(VLOOKUP(B90,'РП (расш)'!A:G,7,0),"")</f>
        <v>39061.279999999999</v>
      </c>
      <c r="F90" t="str">
        <f ca="1">IF(B90="","",IF(B90&gt;0,IFERROR(IF(VLOOKUP(LEFT(B90,10),[1]Лист1!$A:$A,1,0)&gt;0,"КО"),IF(E90="","погашен",IF(B90&gt;0,IFERROR(IF(VLOOKUP(B90,'реестр просрочников'!B:B,1,0)&gt;0,"просрочен",),IF(TODAY()&gt;C90,"оплачен","грядет")),"")))))</f>
        <v>оплачен</v>
      </c>
    </row>
    <row r="91" spans="1:6" x14ac:dyDescent="0.25">
      <c r="A91" t="s">
        <v>94</v>
      </c>
      <c r="B91" t="s">
        <v>95</v>
      </c>
      <c r="C91" s="10">
        <v>45523</v>
      </c>
      <c r="D91">
        <v>5531.84</v>
      </c>
      <c r="E91" s="1">
        <f>IFERROR(VLOOKUP(B91,'РП (расш)'!A:G,7,0),"")</f>
        <v>99070.9</v>
      </c>
      <c r="F91" t="str">
        <f ca="1">IF(B91="","",IF(B91&gt;0,IFERROR(IF(VLOOKUP(LEFT(B91,10),[1]Лист1!$A:$A,1,0)&gt;0,"КО"),IF(E91="","погашен",IF(B91&gt;0,IFERROR(IF(VLOOKUP(B91,'реестр просрочников'!B:B,1,0)&gt;0,"просрочен",),IF(TODAY()&gt;C91,"оплачен","грядет")),"")))))</f>
        <v>КО</v>
      </c>
    </row>
    <row r="92" spans="1:6" x14ac:dyDescent="0.25">
      <c r="A92" t="s">
        <v>96</v>
      </c>
      <c r="B92" t="s">
        <v>97</v>
      </c>
      <c r="C92" s="10">
        <v>45523</v>
      </c>
      <c r="D92">
        <v>65364.160000000003</v>
      </c>
      <c r="E92" s="1">
        <f>IFERROR(VLOOKUP(B92,'РП (расш)'!A:G,7,0),"")</f>
        <v>1000000</v>
      </c>
      <c r="F92" t="str">
        <f ca="1">IF(B92="","",IF(B92&gt;0,IFERROR(IF(VLOOKUP(LEFT(B92,10),[1]Лист1!$A:$A,1,0)&gt;0,"КО"),IF(E92="","погашен",IF(B92&gt;0,IFERROR(IF(VLOOKUP(B92,'реестр просрочников'!B:B,1,0)&gt;0,"просрочен",),IF(TODAY()&gt;C92,"оплачен","грядет")),"")))))</f>
        <v>КО</v>
      </c>
    </row>
    <row r="93" spans="1:6" x14ac:dyDescent="0.25">
      <c r="A93" t="s">
        <v>78</v>
      </c>
      <c r="B93" t="s">
        <v>98</v>
      </c>
      <c r="C93" s="10">
        <v>45523</v>
      </c>
      <c r="D93">
        <v>6027.51</v>
      </c>
      <c r="E93" s="1">
        <f>IFERROR(VLOOKUP(B93,'РП (расш)'!A:G,7,0),"")</f>
        <v>73664.179999999993</v>
      </c>
      <c r="F93" t="str">
        <f ca="1">IF(B93="","",IF(B93&gt;0,IFERROR(IF(VLOOKUP(LEFT(B93,10),[1]Лист1!$A:$A,1,0)&gt;0,"КО"),IF(E93="","погашен",IF(B93&gt;0,IFERROR(IF(VLOOKUP(B93,'реестр просрочников'!B:B,1,0)&gt;0,"просрочен",),IF(TODAY()&gt;C93,"оплачен","грядет")),"")))))</f>
        <v>КО</v>
      </c>
    </row>
    <row r="94" spans="1:6" x14ac:dyDescent="0.25">
      <c r="A94" t="s">
        <v>99</v>
      </c>
      <c r="B94" t="s">
        <v>100</v>
      </c>
      <c r="C94" s="10">
        <v>45524</v>
      </c>
      <c r="D94">
        <v>14839.24</v>
      </c>
      <c r="E94" s="1">
        <f>IFERROR(VLOOKUP(B94,'РП (расш)'!A:G,7,0),"")</f>
        <v>26907.33</v>
      </c>
      <c r="F94" t="str">
        <f ca="1">IF(B94="","",IF(B94&gt;0,IFERROR(IF(VLOOKUP(LEFT(B94,10),[1]Лист1!$A:$A,1,0)&gt;0,"КО"),IF(E94="","погашен",IF(B94&gt;0,IFERROR(IF(VLOOKUP(B94,'реестр просрочников'!B:B,1,0)&gt;0,"просрочен",),IF(TODAY()&gt;C94,"оплачен","грядет")),"")))))</f>
        <v>просрочен</v>
      </c>
    </row>
    <row r="95" spans="1:6" x14ac:dyDescent="0.25">
      <c r="A95" t="s">
        <v>101</v>
      </c>
      <c r="B95" t="s">
        <v>102</v>
      </c>
      <c r="C95" s="10">
        <v>45524</v>
      </c>
      <c r="D95">
        <v>17908.47</v>
      </c>
      <c r="E95" s="1">
        <f>IFERROR(VLOOKUP(B95,'РП (расш)'!A:G,7,0),"")</f>
        <v>173551.16</v>
      </c>
      <c r="F95" t="str">
        <f ca="1">IF(B95="","",IF(B95&gt;0,IFERROR(IF(VLOOKUP(LEFT(B95,10),[1]Лист1!$A:$A,1,0)&gt;0,"КО"),IF(E95="","погашен",IF(B95&gt;0,IFERROR(IF(VLOOKUP(B95,'реестр просрочников'!B:B,1,0)&gt;0,"просрочен",),IF(TODAY()&gt;C95,"оплачен","грядет")),"")))))</f>
        <v>КО</v>
      </c>
    </row>
    <row r="96" spans="1:6" x14ac:dyDescent="0.25">
      <c r="A96" t="s">
        <v>104</v>
      </c>
      <c r="B96" t="s">
        <v>105</v>
      </c>
      <c r="C96" s="10">
        <v>45524</v>
      </c>
      <c r="D96">
        <v>19609.25</v>
      </c>
      <c r="E96" s="1">
        <f>IFERROR(VLOOKUP(B96,'РП (расш)'!A:G,7,0),"")</f>
        <v>265431.03000000003</v>
      </c>
      <c r="F96" t="str">
        <f ca="1">IF(B96="","",IF(B96&gt;0,IFERROR(IF(VLOOKUP(LEFT(B96,10),[1]Лист1!$A:$A,1,0)&gt;0,"КО"),IF(E96="","погашен",IF(B96&gt;0,IFERROR(IF(VLOOKUP(B96,'реестр просрочников'!B:B,1,0)&gt;0,"просрочен",),IF(TODAY()&gt;C96,"оплачен","грядет")),"")))))</f>
        <v>КО</v>
      </c>
    </row>
    <row r="97" spans="1:6" x14ac:dyDescent="0.25">
      <c r="A97" t="s">
        <v>106</v>
      </c>
      <c r="B97" t="s">
        <v>107</v>
      </c>
      <c r="C97" s="10">
        <v>45525</v>
      </c>
      <c r="D97">
        <v>2998.92</v>
      </c>
      <c r="E97" s="1">
        <f>IFERROR(VLOOKUP(B97,'РП (расш)'!A:G,7,0),"")</f>
        <v>43756.97</v>
      </c>
      <c r="F97" t="str">
        <f ca="1">IF(B97="","",IF(B97&gt;0,IFERROR(IF(VLOOKUP(LEFT(B97,10),[1]Лист1!$A:$A,1,0)&gt;0,"КО"),IF(E97="","погашен",IF(B97&gt;0,IFERROR(IF(VLOOKUP(B97,'реестр просрочников'!B:B,1,0)&gt;0,"просрочен",),IF(TODAY()&gt;C97,"оплачен","грядет")),"")))))</f>
        <v>КО</v>
      </c>
    </row>
    <row r="98" spans="1:6" x14ac:dyDescent="0.25">
      <c r="A98" t="s">
        <v>108</v>
      </c>
      <c r="B98" t="s">
        <v>109</v>
      </c>
      <c r="C98" s="10">
        <v>45525</v>
      </c>
      <c r="D98">
        <v>25085.14</v>
      </c>
      <c r="E98" s="1">
        <f>IFERROR(VLOOKUP(B98,'РП (расш)'!A:G,7,0),"")</f>
        <v>340495.15</v>
      </c>
      <c r="F98" t="str">
        <f ca="1">IF(B98="","",IF(B98&gt;0,IFERROR(IF(VLOOKUP(LEFT(B98,10),[1]Лист1!$A:$A,1,0)&gt;0,"КО"),IF(E98="","погашен",IF(B98&gt;0,IFERROR(IF(VLOOKUP(B98,'реестр просрочников'!B:B,1,0)&gt;0,"просрочен",),IF(TODAY()&gt;C98,"оплачен","грядет")),"")))))</f>
        <v>КО</v>
      </c>
    </row>
    <row r="99" spans="1:6" x14ac:dyDescent="0.25">
      <c r="A99" t="s">
        <v>110</v>
      </c>
      <c r="B99" t="s">
        <v>111</v>
      </c>
      <c r="C99" s="10">
        <v>45525</v>
      </c>
      <c r="D99">
        <v>13549.48</v>
      </c>
      <c r="E99" s="1">
        <f>IFERROR(VLOOKUP(B99,'РП (расш)'!A:G,7,0),"")</f>
        <v>129429.49</v>
      </c>
      <c r="F99" t="str">
        <f ca="1">IF(B99="","",IF(B99&gt;0,IFERROR(IF(VLOOKUP(LEFT(B99,10),[1]Лист1!$A:$A,1,0)&gt;0,"КО"),IF(E99="","погашен",IF(B99&gt;0,IFERROR(IF(VLOOKUP(B99,'реестр просрочников'!B:B,1,0)&gt;0,"просрочен",),IF(TODAY()&gt;C99,"оплачен","грядет")),"")))))</f>
        <v>КО</v>
      </c>
    </row>
    <row r="100" spans="1:6" x14ac:dyDescent="0.25">
      <c r="A100" t="s">
        <v>112</v>
      </c>
      <c r="B100" t="s">
        <v>113</v>
      </c>
      <c r="C100" s="10">
        <v>45525</v>
      </c>
      <c r="D100">
        <v>11452.74</v>
      </c>
      <c r="E100" s="1">
        <f>IFERROR(VLOOKUP(B100,'РП (расш)'!A:G,7,0),"")</f>
        <v>177462.1</v>
      </c>
      <c r="F100" t="str">
        <f ca="1">IF(B100="","",IF(B100&gt;0,IFERROR(IF(VLOOKUP(LEFT(B100,10),[1]Лист1!$A:$A,1,0)&gt;0,"КО"),IF(E100="","погашен",IF(B100&gt;0,IFERROR(IF(VLOOKUP(B100,'реестр просрочников'!B:B,1,0)&gt;0,"просрочен",),IF(TODAY()&gt;C100,"оплачен","грядет")),"")))))</f>
        <v>КО</v>
      </c>
    </row>
    <row r="101" spans="1:6" x14ac:dyDescent="0.25">
      <c r="A101" t="s">
        <v>45</v>
      </c>
      <c r="B101" t="s">
        <v>114</v>
      </c>
      <c r="C101" s="10">
        <v>45525</v>
      </c>
      <c r="D101">
        <v>8198.15</v>
      </c>
      <c r="E101" s="1">
        <f>IFERROR(VLOOKUP(B101,'РП (расш)'!A:G,7,0),"")</f>
        <v>107148.59</v>
      </c>
      <c r="F101" t="str">
        <f ca="1">IF(B101="","",IF(B101&gt;0,IFERROR(IF(VLOOKUP(LEFT(B101,10),[1]Лист1!$A:$A,1,0)&gt;0,"КО"),IF(E101="","погашен",IF(B101&gt;0,IFERROR(IF(VLOOKUP(B101,'реестр просрочников'!B:B,1,0)&gt;0,"просрочен",),IF(TODAY()&gt;C101,"оплачен","грядет")),"")))))</f>
        <v>просрочен</v>
      </c>
    </row>
    <row r="102" spans="1:6" x14ac:dyDescent="0.25">
      <c r="A102" t="s">
        <v>115</v>
      </c>
      <c r="B102" t="s">
        <v>116</v>
      </c>
      <c r="C102" s="10">
        <v>45525</v>
      </c>
      <c r="D102">
        <v>26424.38</v>
      </c>
      <c r="E102" s="1">
        <f>IFERROR(VLOOKUP(B102,'РП (расш)'!A:G,7,0),"")</f>
        <v>268522.27</v>
      </c>
      <c r="F102" t="str">
        <f ca="1">IF(B102="","",IF(B102&gt;0,IFERROR(IF(VLOOKUP(LEFT(B102,10),[1]Лист1!$A:$A,1,0)&gt;0,"КО"),IF(E102="","погашен",IF(B102&gt;0,IFERROR(IF(VLOOKUP(B102,'реестр просрочников'!B:B,1,0)&gt;0,"просрочен",),IF(TODAY()&gt;C102,"оплачен","грядет")),"")))))</f>
        <v>оплачен</v>
      </c>
    </row>
    <row r="103" spans="1:6" x14ac:dyDescent="0.25">
      <c r="A103" t="s">
        <v>117</v>
      </c>
      <c r="B103" t="s">
        <v>118</v>
      </c>
      <c r="C103" s="10">
        <v>45525</v>
      </c>
      <c r="D103">
        <v>2107.13</v>
      </c>
      <c r="E103" s="1">
        <f>IFERROR(VLOOKUP(B103,'РП (расш)'!A:G,7,0),"")</f>
        <v>11721.35</v>
      </c>
      <c r="F103" t="str">
        <f ca="1">IF(B103="","",IF(B103&gt;0,IFERROR(IF(VLOOKUP(LEFT(B103,10),[1]Лист1!$A:$A,1,0)&gt;0,"КО"),IF(E103="","погашен",IF(B103&gt;0,IFERROR(IF(VLOOKUP(B103,'реестр просрочников'!B:B,1,0)&gt;0,"просрочен",),IF(TODAY()&gt;C103,"оплачен","грядет")),"")))))</f>
        <v>оплачен</v>
      </c>
    </row>
    <row r="104" spans="1:6" x14ac:dyDescent="0.25">
      <c r="A104" t="s">
        <v>92</v>
      </c>
      <c r="B104" t="s">
        <v>119</v>
      </c>
      <c r="C104" s="10">
        <v>45525</v>
      </c>
      <c r="D104">
        <v>6536.42</v>
      </c>
      <c r="E104" s="1">
        <f>IFERROR(VLOOKUP(B104,'РП (расш)'!A:G,7,0),"")</f>
        <v>55655.54</v>
      </c>
      <c r="F104" t="str">
        <f ca="1">IF(B104="","",IF(B104&gt;0,IFERROR(IF(VLOOKUP(LEFT(B104,10),[1]Лист1!$A:$A,1,0)&gt;0,"КО"),IF(E104="","погашен",IF(B104&gt;0,IFERROR(IF(VLOOKUP(B104,'реестр просрочников'!B:B,1,0)&gt;0,"просрочен",),IF(TODAY()&gt;C104,"оплачен","грядет")),"")))))</f>
        <v>оплачен</v>
      </c>
    </row>
    <row r="105" spans="1:6" x14ac:dyDescent="0.25">
      <c r="A105" t="s">
        <v>120</v>
      </c>
      <c r="B105" t="s">
        <v>121</v>
      </c>
      <c r="C105" s="10">
        <v>45526</v>
      </c>
      <c r="D105">
        <v>26356.77</v>
      </c>
      <c r="E105" s="1">
        <f>IFERROR(VLOOKUP(B105,'РП (расш)'!A:G,7,0),"")</f>
        <v>323475.14</v>
      </c>
      <c r="F105" t="str">
        <f ca="1">IF(B105="","",IF(B105&gt;0,IFERROR(IF(VLOOKUP(LEFT(B105,10),[1]Лист1!$A:$A,1,0)&gt;0,"КО"),IF(E105="","погашен",IF(B105&gt;0,IFERROR(IF(VLOOKUP(B105,'реестр просрочников'!B:B,1,0)&gt;0,"просрочен",),IF(TODAY()&gt;C105,"оплачен","грядет")),"")))))</f>
        <v>КО</v>
      </c>
    </row>
    <row r="106" spans="1:6" x14ac:dyDescent="0.25">
      <c r="A106" t="s">
        <v>122</v>
      </c>
      <c r="B106" t="s">
        <v>123</v>
      </c>
      <c r="C106" s="10">
        <v>45526</v>
      </c>
      <c r="D106">
        <v>18082.54</v>
      </c>
      <c r="E106" s="1">
        <f>IFERROR(VLOOKUP(B106,'РП (расш)'!A:G,7,0),"")</f>
        <v>139545.75</v>
      </c>
      <c r="F106" t="str">
        <f ca="1">IF(B106="","",IF(B106&gt;0,IFERROR(IF(VLOOKUP(LEFT(B106,10),[1]Лист1!$A:$A,1,0)&gt;0,"КО"),IF(E106="","погашен",IF(B106&gt;0,IFERROR(IF(VLOOKUP(B106,'реестр просрочников'!B:B,1,0)&gt;0,"просрочен",),IF(TODAY()&gt;C106,"оплачен","грядет")),"")))))</f>
        <v>грядет</v>
      </c>
    </row>
    <row r="107" spans="1:6" x14ac:dyDescent="0.25">
      <c r="A107" t="s">
        <v>39</v>
      </c>
      <c r="B107" t="s">
        <v>124</v>
      </c>
      <c r="C107" s="10">
        <v>45526</v>
      </c>
      <c r="D107">
        <v>10646.94</v>
      </c>
      <c r="E107" s="1">
        <f>IFERROR(VLOOKUP(B107,'РП (расш)'!A:G,7,0),"")</f>
        <v>55440.43</v>
      </c>
      <c r="F107" t="str">
        <f ca="1">IF(B107="","",IF(B107&gt;0,IFERROR(IF(VLOOKUP(LEFT(B107,10),[1]Лист1!$A:$A,1,0)&gt;0,"КО"),IF(E107="","погашен",IF(B107&gt;0,IFERROR(IF(VLOOKUP(B107,'реестр просрочников'!B:B,1,0)&gt;0,"просрочен",),IF(TODAY()&gt;C107,"оплачен","грядет")),"")))))</f>
        <v>грядет</v>
      </c>
    </row>
    <row r="108" spans="1:6" x14ac:dyDescent="0.25">
      <c r="A108" t="s">
        <v>125</v>
      </c>
      <c r="B108" t="s">
        <v>126</v>
      </c>
      <c r="C108" s="10">
        <v>45527</v>
      </c>
      <c r="D108">
        <v>8730.42</v>
      </c>
      <c r="E108" s="1">
        <f>IFERROR(VLOOKUP(B108,'РП (расш)'!A:G,7,0),"")</f>
        <v>15825.13</v>
      </c>
      <c r="F108" t="str">
        <f ca="1">IF(B108="","",IF(B108&gt;0,IFERROR(IF(VLOOKUP(LEFT(B108,10),[1]Лист1!$A:$A,1,0)&gt;0,"КО"),IF(E108="","погашен",IF(B108&gt;0,IFERROR(IF(VLOOKUP(B108,'реестр просрочников'!B:B,1,0)&gt;0,"просрочен",),IF(TODAY()&gt;C108,"оплачен","грядет")),"")))))</f>
        <v>грядет</v>
      </c>
    </row>
    <row r="109" spans="1:6" x14ac:dyDescent="0.25">
      <c r="A109" t="s">
        <v>127</v>
      </c>
      <c r="B109" t="s">
        <v>128</v>
      </c>
      <c r="C109" s="10">
        <v>45527</v>
      </c>
      <c r="D109">
        <v>13779.08</v>
      </c>
      <c r="E109" s="1">
        <f>IFERROR(VLOOKUP(B109,'РП (расш)'!A:G,7,0),"")</f>
        <v>120269.47</v>
      </c>
      <c r="F109" t="str">
        <f ca="1">IF(B109="","",IF(B109&gt;0,IFERROR(IF(VLOOKUP(LEFT(B109,10),[1]Лист1!$A:$A,1,0)&gt;0,"КО"),IF(E109="","погашен",IF(B109&gt;0,IFERROR(IF(VLOOKUP(B109,'реестр просрочников'!B:B,1,0)&gt;0,"просрочен",),IF(TODAY()&gt;C109,"оплачен","грядет")),"")))))</f>
        <v>грядет</v>
      </c>
    </row>
    <row r="110" spans="1:6" x14ac:dyDescent="0.25">
      <c r="A110" t="s">
        <v>129</v>
      </c>
      <c r="B110" t="s">
        <v>130</v>
      </c>
      <c r="C110" s="10">
        <v>45527</v>
      </c>
      <c r="D110">
        <v>10476.51</v>
      </c>
      <c r="E110" s="1">
        <f>IFERROR(VLOOKUP(B110,'РП (расш)'!A:G,7,0),"")</f>
        <v>29035.27</v>
      </c>
      <c r="F110" t="str">
        <f ca="1">IF(B110="","",IF(B110&gt;0,IFERROR(IF(VLOOKUP(LEFT(B110,10),[1]Лист1!$A:$A,1,0)&gt;0,"КО"),IF(E110="","погашен",IF(B110&gt;0,IFERROR(IF(VLOOKUP(B110,'реестр просрочников'!B:B,1,0)&gt;0,"просрочен",),IF(TODAY()&gt;C110,"оплачен","грядет")),"")))))</f>
        <v>грядет</v>
      </c>
    </row>
    <row r="111" spans="1:6" x14ac:dyDescent="0.25">
      <c r="A111" t="s">
        <v>131</v>
      </c>
      <c r="B111" t="s">
        <v>132</v>
      </c>
      <c r="C111" s="10">
        <v>45527</v>
      </c>
      <c r="D111">
        <v>58264.56</v>
      </c>
      <c r="E111" s="1">
        <f>IFERROR(VLOOKUP(B111,'РП (расш)'!A:G,7,0),"")</f>
        <v>601100.55000000005</v>
      </c>
      <c r="F111" t="str">
        <f ca="1">IF(B111="","",IF(B111&gt;0,IFERROR(IF(VLOOKUP(LEFT(B111,10),[1]Лист1!$A:$A,1,0)&gt;0,"КО"),IF(E111="","погашен",IF(B111&gt;0,IFERROR(IF(VLOOKUP(B111,'реестр просрочников'!B:B,1,0)&gt;0,"просрочен",),IF(TODAY()&gt;C111,"оплачен","грядет")),"")))))</f>
        <v>просрочен</v>
      </c>
    </row>
    <row r="112" spans="1:6" x14ac:dyDescent="0.25">
      <c r="A112" t="s">
        <v>133</v>
      </c>
      <c r="B112" t="s">
        <v>134</v>
      </c>
      <c r="C112" s="10">
        <v>45527</v>
      </c>
      <c r="D112">
        <v>10692.98</v>
      </c>
      <c r="E112" s="1">
        <f>IFERROR(VLOOKUP(B112,'РП (расш)'!A:G,7,0),"")</f>
        <v>122063.51</v>
      </c>
      <c r="F112" t="str">
        <f ca="1">IF(B112="","",IF(B112&gt;0,IFERROR(IF(VLOOKUP(LEFT(B112,10),[1]Лист1!$A:$A,1,0)&gt;0,"КО"),IF(E112="","погашен",IF(B112&gt;0,IFERROR(IF(VLOOKUP(B112,'реестр просрочников'!B:B,1,0)&gt;0,"просрочен",),IF(TODAY()&gt;C112,"оплачен","грядет")),"")))))</f>
        <v>КО</v>
      </c>
    </row>
    <row r="113" spans="1:6" x14ac:dyDescent="0.25">
      <c r="A113" t="s">
        <v>135</v>
      </c>
      <c r="B113" t="s">
        <v>136</v>
      </c>
      <c r="C113" s="10">
        <v>45527</v>
      </c>
      <c r="D113">
        <v>33191.06</v>
      </c>
      <c r="E113" s="1">
        <f>IFERROR(VLOOKUP(B113,'РП (расш)'!A:G,7,0),"")</f>
        <v>221265.99</v>
      </c>
      <c r="F113" t="str">
        <f ca="1">IF(B113="","",IF(B113&gt;0,IFERROR(IF(VLOOKUP(LEFT(B113,10),[1]Лист1!$A:$A,1,0)&gt;0,"КО"),IF(E113="","погашен",IF(B113&gt;0,IFERROR(IF(VLOOKUP(B113,'реестр просрочников'!B:B,1,0)&gt;0,"просрочен",),IF(TODAY()&gt;C113,"оплачен","грядет")),"")))))</f>
        <v>грядет</v>
      </c>
    </row>
    <row r="114" spans="1:6" x14ac:dyDescent="0.25">
      <c r="A114" t="s">
        <v>84</v>
      </c>
      <c r="B114" t="s">
        <v>137</v>
      </c>
      <c r="C114" s="10">
        <v>45527</v>
      </c>
      <c r="D114">
        <v>6388.31</v>
      </c>
      <c r="E114" s="1">
        <f>IFERROR(VLOOKUP(B114,'РП (расш)'!A:G,7,0),"")</f>
        <v>85616.51</v>
      </c>
      <c r="F114" t="str">
        <f ca="1">IF(B114="","",IF(B114&gt;0,IFERROR(IF(VLOOKUP(LEFT(B114,10),[1]Лист1!$A:$A,1,0)&gt;0,"КО"),IF(E114="","погашен",IF(B114&gt;0,IFERROR(IF(VLOOKUP(B114,'реестр просрочников'!B:B,1,0)&gt;0,"просрочен",),IF(TODAY()&gt;C114,"оплачен","грядет")),"")))))</f>
        <v>КО</v>
      </c>
    </row>
    <row r="115" spans="1:6" x14ac:dyDescent="0.25">
      <c r="A115" t="s">
        <v>138</v>
      </c>
      <c r="B115" t="s">
        <v>139</v>
      </c>
      <c r="C115" s="10">
        <v>45528</v>
      </c>
      <c r="D115">
        <v>29779.27</v>
      </c>
      <c r="E115" s="1">
        <f>IFERROR(VLOOKUP(B115,'РП (расш)'!A:G,7,0),"")</f>
        <v>125623.63</v>
      </c>
      <c r="F115" t="str">
        <f ca="1">IF(B115="","",IF(B115&gt;0,IFERROR(IF(VLOOKUP(LEFT(B115,10),[1]Лист1!$A:$A,1,0)&gt;0,"КО"),IF(E115="","погашен",IF(B115&gt;0,IFERROR(IF(VLOOKUP(B115,'реестр просрочников'!B:B,1,0)&gt;0,"просрочен",),IF(TODAY()&gt;C115,"оплачен","грядет")),"")))))</f>
        <v>грядет</v>
      </c>
    </row>
    <row r="116" spans="1:6" x14ac:dyDescent="0.25">
      <c r="A116" t="s">
        <v>140</v>
      </c>
      <c r="B116" t="s">
        <v>141</v>
      </c>
      <c r="C116" s="10">
        <v>45528</v>
      </c>
      <c r="D116">
        <v>13212.19</v>
      </c>
      <c r="E116" s="1">
        <f>IFERROR(VLOOKUP(B116,'РП (расш)'!A:G,7,0),"")</f>
        <v>127275.55</v>
      </c>
      <c r="F116" t="str">
        <f ca="1">IF(B116="","",IF(B116&gt;0,IFERROR(IF(VLOOKUP(LEFT(B116,10),[1]Лист1!$A:$A,1,0)&gt;0,"КО"),IF(E116="","погашен",IF(B116&gt;0,IFERROR(IF(VLOOKUP(B116,'реестр просрочников'!B:B,1,0)&gt;0,"просрочен",),IF(TODAY()&gt;C116,"оплачен","грядет")),"")))))</f>
        <v>грядет</v>
      </c>
    </row>
    <row r="117" spans="1:6" x14ac:dyDescent="0.25">
      <c r="A117" t="s">
        <v>142</v>
      </c>
      <c r="B117" t="s">
        <v>143</v>
      </c>
      <c r="C117" s="10">
        <v>45528</v>
      </c>
      <c r="D117">
        <v>29736.99</v>
      </c>
      <c r="E117" s="1">
        <f>IFERROR(VLOOKUP(B117,'РП (расш)'!A:G,7,0),"")</f>
        <v>575064.78</v>
      </c>
      <c r="F117" t="str">
        <f ca="1">IF(B117="","",IF(B117&gt;0,IFERROR(IF(VLOOKUP(LEFT(B117,10),[1]Лист1!$A:$A,1,0)&gt;0,"КО"),IF(E117="","погашен",IF(B117&gt;0,IFERROR(IF(VLOOKUP(B117,'реестр просрочников'!B:B,1,0)&gt;0,"просрочен",),IF(TODAY()&gt;C117,"оплачен","грядет")),"")))))</f>
        <v>КО</v>
      </c>
    </row>
    <row r="118" spans="1:6" x14ac:dyDescent="0.25">
      <c r="A118" t="s">
        <v>144</v>
      </c>
      <c r="B118" t="s">
        <v>145</v>
      </c>
      <c r="C118" s="10">
        <v>45528</v>
      </c>
      <c r="D118">
        <v>14846.75</v>
      </c>
      <c r="E118" s="1">
        <f>IFERROR(VLOOKUP(B118,'РП (расш)'!A:G,7,0),"")</f>
        <v>140141.63</v>
      </c>
      <c r="F118" t="str">
        <f ca="1">IF(B118="","",IF(B118&gt;0,IFERROR(IF(VLOOKUP(LEFT(B118,10),[1]Лист1!$A:$A,1,0)&gt;0,"КО"),IF(E118="","погашен",IF(B118&gt;0,IFERROR(IF(VLOOKUP(B118,'реестр просрочников'!B:B,1,0)&gt;0,"просрочен",),IF(TODAY()&gt;C118,"оплачен","грядет")),"")))))</f>
        <v>грядет</v>
      </c>
    </row>
    <row r="119" spans="1:6" x14ac:dyDescent="0.25">
      <c r="A119" t="s">
        <v>148</v>
      </c>
      <c r="B119" t="s">
        <v>149</v>
      </c>
      <c r="C119" s="10">
        <v>45528</v>
      </c>
      <c r="D119">
        <v>49561.65</v>
      </c>
      <c r="E119" s="1">
        <f>IFERROR(VLOOKUP(B119,'РП (расш)'!A:G,7,0),"")</f>
        <v>966941.07</v>
      </c>
      <c r="F119" t="str">
        <f ca="1">IF(B119="","",IF(B119&gt;0,IFERROR(IF(VLOOKUP(LEFT(B119,10),[1]Лист1!$A:$A,1,0)&gt;0,"КО"),IF(E119="","погашен",IF(B119&gt;0,IFERROR(IF(VLOOKUP(B119,'реестр просрочников'!B:B,1,0)&gt;0,"просрочен",),IF(TODAY()&gt;C119,"оплачен","грядет")),"")))))</f>
        <v>КО</v>
      </c>
    </row>
    <row r="120" spans="1:6" x14ac:dyDescent="0.25">
      <c r="A120" t="s">
        <v>150</v>
      </c>
      <c r="B120" t="s">
        <v>151</v>
      </c>
      <c r="C120" s="10">
        <v>45528</v>
      </c>
      <c r="D120">
        <v>9225.35</v>
      </c>
      <c r="E120" s="1">
        <f>IFERROR(VLOOKUP(B120,'РП (расш)'!A:G,7,0),"")</f>
        <v>110795.66</v>
      </c>
      <c r="F120" t="str">
        <f ca="1">IF(B120="","",IF(B120&gt;0,IFERROR(IF(VLOOKUP(LEFT(B120,10),[1]Лист1!$A:$A,1,0)&gt;0,"КО"),IF(E120="","погашен",IF(B120&gt;0,IFERROR(IF(VLOOKUP(B120,'реестр просрочников'!B:B,1,0)&gt;0,"просрочен",),IF(TODAY()&gt;C120,"оплачен","грядет")),"")))))</f>
        <v>просрочен</v>
      </c>
    </row>
    <row r="121" spans="1:6" x14ac:dyDescent="0.25">
      <c r="A121" t="s">
        <v>92</v>
      </c>
      <c r="B121" t="s">
        <v>152</v>
      </c>
      <c r="C121" s="10">
        <v>45528</v>
      </c>
      <c r="D121">
        <v>6536.42</v>
      </c>
      <c r="E121" s="1">
        <f>IFERROR(VLOOKUP(B121,'РП (расш)'!A:G,7,0),"")</f>
        <v>45004.15</v>
      </c>
      <c r="F121" t="str">
        <f ca="1">IF(B121="","",IF(B121&gt;0,IFERROR(IF(VLOOKUP(LEFT(B121,10),[1]Лист1!$A:$A,1,0)&gt;0,"КО"),IF(E121="","погашен",IF(B121&gt;0,IFERROR(IF(VLOOKUP(B121,'реестр просрочников'!B:B,1,0)&gt;0,"просрочен",),IF(TODAY()&gt;C121,"оплачен","грядет")),"")))))</f>
        <v>грядет</v>
      </c>
    </row>
    <row r="122" spans="1:6" x14ac:dyDescent="0.25">
      <c r="A122" t="s">
        <v>153</v>
      </c>
      <c r="B122" t="s">
        <v>154</v>
      </c>
      <c r="C122" s="10">
        <v>45529</v>
      </c>
      <c r="D122">
        <v>6584.59</v>
      </c>
      <c r="E122" s="1">
        <f>IFERROR(VLOOKUP(B122,'РП (расш)'!A:G,7,0),"")</f>
        <v>74879.649999999994</v>
      </c>
      <c r="F122" t="str">
        <f ca="1">IF(B122="","",IF(B122&gt;0,IFERROR(IF(VLOOKUP(LEFT(B122,10),[1]Лист1!$A:$A,1,0)&gt;0,"КО"),IF(E122="","погашен",IF(B122&gt;0,IFERROR(IF(VLOOKUP(B122,'реестр просрочников'!B:B,1,0)&gt;0,"просрочен",),IF(TODAY()&gt;C122,"оплачен","грядет")),"")))))</f>
        <v>грядет</v>
      </c>
    </row>
    <row r="123" spans="1:6" x14ac:dyDescent="0.25">
      <c r="A123" t="s">
        <v>35</v>
      </c>
      <c r="B123" t="s">
        <v>155</v>
      </c>
      <c r="C123" s="10">
        <v>45529</v>
      </c>
      <c r="D123">
        <v>5531.84</v>
      </c>
      <c r="E123" s="1">
        <f>IFERROR(VLOOKUP(B123,'РП (расш)'!A:G,7,0),"")</f>
        <v>55078.39</v>
      </c>
      <c r="F123" t="str">
        <f ca="1">IF(B123="","",IF(B123&gt;0,IFERROR(IF(VLOOKUP(LEFT(B123,10),[1]Лист1!$A:$A,1,0)&gt;0,"КО"),IF(E123="","погашен",IF(B123&gt;0,IFERROR(IF(VLOOKUP(B123,'реестр просрочников'!B:B,1,0)&gt;0,"просрочен",),IF(TODAY()&gt;C123,"оплачен","грядет")),"")))))</f>
        <v>КО</v>
      </c>
    </row>
    <row r="124" spans="1:6" x14ac:dyDescent="0.25">
      <c r="A124" t="s">
        <v>64</v>
      </c>
      <c r="B124" t="s">
        <v>156</v>
      </c>
      <c r="C124" s="10">
        <v>45529</v>
      </c>
      <c r="D124">
        <v>8245.4</v>
      </c>
      <c r="E124" s="1">
        <f>IFERROR(VLOOKUP(B124,'РП (расш)'!A:G,7,0),"")</f>
        <v>105779.58</v>
      </c>
      <c r="F124" t="str">
        <f ca="1">IF(B124="","",IF(B124&gt;0,IFERROR(IF(VLOOKUP(LEFT(B124,10),[1]Лист1!$A:$A,1,0)&gt;0,"КО"),IF(E124="","погашен",IF(B124&gt;0,IFERROR(IF(VLOOKUP(B124,'реестр просрочников'!B:B,1,0)&gt;0,"просрочен",),IF(TODAY()&gt;C124,"оплачен","грядет")),"")))))</f>
        <v>грядет</v>
      </c>
    </row>
    <row r="125" spans="1:6" x14ac:dyDescent="0.25">
      <c r="A125" t="s">
        <v>157</v>
      </c>
      <c r="B125" t="s">
        <v>158</v>
      </c>
      <c r="C125" s="10">
        <v>45529</v>
      </c>
      <c r="D125">
        <v>27558.16</v>
      </c>
      <c r="E125" s="1">
        <f>IFERROR(VLOOKUP(B125,'РП (расш)'!A:G,7,0),"")</f>
        <v>240539.77</v>
      </c>
      <c r="F125" t="str">
        <f ca="1">IF(B125="","",IF(B125&gt;0,IFERROR(IF(VLOOKUP(LEFT(B125,10),[1]Лист1!$A:$A,1,0)&gt;0,"КО"),IF(E125="","погашен",IF(B125&gt;0,IFERROR(IF(VLOOKUP(B125,'реестр просрочников'!B:B,1,0)&gt;0,"просрочен",),IF(TODAY()&gt;C125,"оплачен","грядет")),"")))))</f>
        <v>грядет</v>
      </c>
    </row>
    <row r="126" spans="1:6" x14ac:dyDescent="0.25">
      <c r="A126" t="s">
        <v>159</v>
      </c>
      <c r="B126" t="s">
        <v>160</v>
      </c>
      <c r="C126" s="10">
        <v>45529</v>
      </c>
      <c r="D126">
        <v>13790.66</v>
      </c>
      <c r="E126" s="1">
        <f>IFERROR(VLOOKUP(B126,'РП (расш)'!A:G,7,0),"")</f>
        <v>163124.54999999999</v>
      </c>
      <c r="F126" t="str">
        <f ca="1">IF(B126="","",IF(B126&gt;0,IFERROR(IF(VLOOKUP(LEFT(B126,10),[1]Лист1!$A:$A,1,0)&gt;0,"КО"),IF(E126="","погашен",IF(B126&gt;0,IFERROR(IF(VLOOKUP(B126,'реестр просрочников'!B:B,1,0)&gt;0,"просрочен",),IF(TODAY()&gt;C126,"оплачен","грядет")),"")))))</f>
        <v>грядет</v>
      </c>
    </row>
    <row r="127" spans="1:6" x14ac:dyDescent="0.25">
      <c r="A127" t="s">
        <v>161</v>
      </c>
      <c r="B127" t="s">
        <v>162</v>
      </c>
      <c r="C127" s="10">
        <v>45529</v>
      </c>
      <c r="D127">
        <v>20560.46</v>
      </c>
      <c r="E127" s="1">
        <f>IFERROR(VLOOKUP(B127,'РП (расш)'!A:G,7,0),"")</f>
        <v>198995.88</v>
      </c>
      <c r="F127" t="str">
        <f ca="1">IF(B127="","",IF(B127&gt;0,IFERROR(IF(VLOOKUP(LEFT(B127,10),[1]Лист1!$A:$A,1,0)&gt;0,"КО"),IF(E127="","погашен",IF(B127&gt;0,IFERROR(IF(VLOOKUP(B127,'реестр просрочников'!B:B,1,0)&gt;0,"просрочен",),IF(TODAY()&gt;C127,"оплачен","грядет")),"")))))</f>
        <v>грядет</v>
      </c>
    </row>
    <row r="128" spans="1:6" x14ac:dyDescent="0.25">
      <c r="A128" t="s">
        <v>163</v>
      </c>
      <c r="B128" t="s">
        <v>164</v>
      </c>
      <c r="C128" s="10">
        <v>45530</v>
      </c>
      <c r="D128">
        <v>16149.73</v>
      </c>
      <c r="E128" s="1">
        <f>IFERROR(VLOOKUP(B128,'РП (расш)'!A:G,7,0),"")</f>
        <v>68106.83</v>
      </c>
      <c r="F128" t="str">
        <f ca="1">IF(B128="","",IF(B128&gt;0,IFERROR(IF(VLOOKUP(LEFT(B128,10),[1]Лист1!$A:$A,1,0)&gt;0,"КО"),IF(E128="","погашен",IF(B128&gt;0,IFERROR(IF(VLOOKUP(B128,'реестр просрочников'!B:B,1,0)&gt;0,"просрочен",),IF(TODAY()&gt;C128,"оплачен","грядет")),"")))))</f>
        <v>грядет</v>
      </c>
    </row>
    <row r="129" spans="1:6" x14ac:dyDescent="0.25">
      <c r="A129" t="s">
        <v>165</v>
      </c>
      <c r="B129" t="s">
        <v>166</v>
      </c>
      <c r="C129" s="10">
        <v>45530</v>
      </c>
      <c r="D129">
        <v>9688.5499999999993</v>
      </c>
      <c r="E129" s="1">
        <f>IFERROR(VLOOKUP(B129,'РП (расш)'!A:G,7,0),"")</f>
        <v>9293.8799999999992</v>
      </c>
      <c r="F129" t="str">
        <f ca="1">IF(B129="","",IF(B129&gt;0,IFERROR(IF(VLOOKUP(LEFT(B129,10),[1]Лист1!$A:$A,1,0)&gt;0,"КО"),IF(E129="","погашен",IF(B129&gt;0,IFERROR(IF(VLOOKUP(B129,'реестр просрочников'!B:B,1,0)&gt;0,"просрочен",),IF(TODAY()&gt;C129,"оплачен","грядет")),"")))))</f>
        <v>грядет</v>
      </c>
    </row>
    <row r="130" spans="1:6" x14ac:dyDescent="0.25">
      <c r="A130" t="s">
        <v>78</v>
      </c>
      <c r="B130" t="s">
        <v>167</v>
      </c>
      <c r="C130" s="10">
        <v>45530</v>
      </c>
      <c r="D130">
        <v>6027.51</v>
      </c>
      <c r="E130" s="1">
        <f>IFERROR(VLOOKUP(B130,'РП (расш)'!A:G,7,0),"")</f>
        <v>68136.69</v>
      </c>
      <c r="F130" t="str">
        <f ca="1">IF(B130="","",IF(B130&gt;0,IFERROR(IF(VLOOKUP(LEFT(B130,10),[1]Лист1!$A:$A,1,0)&gt;0,"КО"),IF(E130="","погашен",IF(B130&gt;0,IFERROR(IF(VLOOKUP(B130,'реестр просрочников'!B:B,1,0)&gt;0,"просрочен",),IF(TODAY()&gt;C130,"оплачен","грядет")),"")))))</f>
        <v>КО</v>
      </c>
    </row>
    <row r="131" spans="1:6" x14ac:dyDescent="0.25">
      <c r="A131" t="s">
        <v>168</v>
      </c>
      <c r="B131" t="s">
        <v>169</v>
      </c>
      <c r="C131" s="10">
        <v>45530</v>
      </c>
      <c r="D131">
        <v>2425.17</v>
      </c>
      <c r="E131" s="1">
        <f>IFERROR(VLOOKUP(B131,'РП (расш)'!A:G,7,0),"")</f>
        <v>10746.06</v>
      </c>
      <c r="F131" t="str">
        <f ca="1">IF(B131="","",IF(B131&gt;0,IFERROR(IF(VLOOKUP(LEFT(B131,10),[1]Лист1!$A:$A,1,0)&gt;0,"КО"),IF(E131="","погашен",IF(B131&gt;0,IFERROR(IF(VLOOKUP(B131,'реестр просрочников'!B:B,1,0)&gt;0,"просрочен",),IF(TODAY()&gt;C131,"оплачен","грядет")),"")))))</f>
        <v>грядет</v>
      </c>
    </row>
    <row r="132" spans="1:6" x14ac:dyDescent="0.25">
      <c r="A132" t="s">
        <v>170</v>
      </c>
      <c r="B132" t="s">
        <v>171</v>
      </c>
      <c r="C132" s="10">
        <v>45531</v>
      </c>
      <c r="D132">
        <v>25986.97</v>
      </c>
      <c r="E132" s="1">
        <f>IFERROR(VLOOKUP(B132,'РП (расш)'!A:G,7,0),"")</f>
        <v>286313.77</v>
      </c>
      <c r="F132" t="str">
        <f ca="1">IF(B132="","",IF(B132&gt;0,IFERROR(IF(VLOOKUP(LEFT(B132,10),[1]Лист1!$A:$A,1,0)&gt;0,"КО"),IF(E132="","погашен",IF(B132&gt;0,IFERROR(IF(VLOOKUP(B132,'реестр просрочников'!B:B,1,0)&gt;0,"просрочен",),IF(TODAY()&gt;C132,"оплачен","грядет")),"")))))</f>
        <v>грядет</v>
      </c>
    </row>
    <row r="133" spans="1:6" x14ac:dyDescent="0.25">
      <c r="A133" t="s">
        <v>172</v>
      </c>
      <c r="B133" t="s">
        <v>173</v>
      </c>
      <c r="C133" s="10">
        <v>45531</v>
      </c>
      <c r="D133">
        <v>10140.92</v>
      </c>
      <c r="E133" s="1">
        <f>IFERROR(VLOOKUP(B133,'РП (расш)'!A:G,7,0),"")</f>
        <v>81610.64</v>
      </c>
      <c r="F133" t="str">
        <f ca="1">IF(B133="","",IF(B133&gt;0,IFERROR(IF(VLOOKUP(LEFT(B133,10),[1]Лист1!$A:$A,1,0)&gt;0,"КО"),IF(E133="","погашен",IF(B133&gt;0,IFERROR(IF(VLOOKUP(B133,'реестр просрочников'!B:B,1,0)&gt;0,"просрочен",),IF(TODAY()&gt;C133,"оплачен","грядет")),"")))))</f>
        <v>грядет</v>
      </c>
    </row>
    <row r="134" spans="1:6" x14ac:dyDescent="0.25">
      <c r="A134" t="s">
        <v>174</v>
      </c>
      <c r="B134" t="s">
        <v>175</v>
      </c>
      <c r="C134" s="10">
        <v>45531</v>
      </c>
      <c r="D134">
        <v>30003.07</v>
      </c>
      <c r="E134" s="1">
        <f>IFERROR(VLOOKUP(B134,'РП (расш)'!A:G,7,0),"")</f>
        <v>296620.77</v>
      </c>
      <c r="F134" t="str">
        <f ca="1">IF(B134="","",IF(B134&gt;0,IFERROR(IF(VLOOKUP(LEFT(B134,10),[1]Лист1!$A:$A,1,0)&gt;0,"КО"),IF(E134="","погашен",IF(B134&gt;0,IFERROR(IF(VLOOKUP(B134,'реестр просрочников'!B:B,1,0)&gt;0,"просрочен",),IF(TODAY()&gt;C134,"оплачен","грядет")),"")))))</f>
        <v>грядет</v>
      </c>
    </row>
    <row r="135" spans="1:6" x14ac:dyDescent="0.25">
      <c r="A135" t="s">
        <v>176</v>
      </c>
      <c r="B135" t="s">
        <v>177</v>
      </c>
      <c r="C135" s="10">
        <v>45531</v>
      </c>
      <c r="D135">
        <v>26455.83</v>
      </c>
      <c r="E135" s="1">
        <f>IFERROR(VLOOKUP(B135,'РП (расш)'!A:G,7,0),"")</f>
        <v>215994.99</v>
      </c>
      <c r="F135" t="str">
        <f ca="1">IF(B135="","",IF(B135&gt;0,IFERROR(IF(VLOOKUP(LEFT(B135,10),[1]Лист1!$A:$A,1,0)&gt;0,"КО"),IF(E135="","погашен",IF(B135&gt;0,IFERROR(IF(VLOOKUP(B135,'реестр просрочников'!B:B,1,0)&gt;0,"просрочен",),IF(TODAY()&gt;C135,"оплачен","грядет")),"")))))</f>
        <v>грядет</v>
      </c>
    </row>
    <row r="136" spans="1:6" x14ac:dyDescent="0.25">
      <c r="A136" t="s">
        <v>178</v>
      </c>
      <c r="B136" t="s">
        <v>179</v>
      </c>
      <c r="C136" s="10">
        <v>45532</v>
      </c>
      <c r="D136">
        <v>13078.35</v>
      </c>
      <c r="E136" s="1">
        <f>IFERROR(VLOOKUP(B136,'РП (расш)'!A:G,7,0),"")</f>
        <v>137796.93</v>
      </c>
      <c r="F136" t="str">
        <f ca="1">IF(B136="","",IF(B136&gt;0,IFERROR(IF(VLOOKUP(LEFT(B136,10),[1]Лист1!$A:$A,1,0)&gt;0,"КО"),IF(E136="","погашен",IF(B136&gt;0,IFERROR(IF(VLOOKUP(B136,'реестр просрочников'!B:B,1,0)&gt;0,"просрочен",),IF(TODAY()&gt;C136,"оплачен","грядет")),"")))))</f>
        <v>КО</v>
      </c>
    </row>
    <row r="137" spans="1:6" x14ac:dyDescent="0.25">
      <c r="A137" t="s">
        <v>49</v>
      </c>
      <c r="B137" t="s">
        <v>180</v>
      </c>
      <c r="C137" s="10">
        <v>45532</v>
      </c>
      <c r="D137">
        <v>19592.36</v>
      </c>
      <c r="E137" s="1">
        <f>IFERROR(VLOOKUP(B137,'РП (расш)'!A:G,7,0),"")</f>
        <v>35983.56</v>
      </c>
      <c r="F137" t="str">
        <f ca="1">IF(B137="","",IF(B137&gt;0,IFERROR(IF(VLOOKUP(LEFT(B137,10),[1]Лист1!$A:$A,1,0)&gt;0,"КО"),IF(E137="","погашен",IF(B137&gt;0,IFERROR(IF(VLOOKUP(B137,'реестр просрочников'!B:B,1,0)&gt;0,"просрочен",),IF(TODAY()&gt;C137,"оплачен","грядет")),"")))))</f>
        <v>грядет</v>
      </c>
    </row>
    <row r="138" spans="1:6" x14ac:dyDescent="0.25">
      <c r="A138" t="s">
        <v>181</v>
      </c>
      <c r="B138" t="s">
        <v>182</v>
      </c>
      <c r="C138" s="10">
        <v>45532</v>
      </c>
      <c r="D138">
        <v>12125.59</v>
      </c>
      <c r="E138" s="1">
        <f>IFERROR(VLOOKUP(B138,'РП (расш)'!A:G,7,0),"")</f>
        <v>98997.759999999995</v>
      </c>
      <c r="F138" t="str">
        <f ca="1">IF(B138="","",IF(B138&gt;0,IFERROR(IF(VLOOKUP(LEFT(B138,10),[1]Лист1!$A:$A,1,0)&gt;0,"КО"),IF(E138="","погашен",IF(B138&gt;0,IFERROR(IF(VLOOKUP(B138,'реестр просрочников'!B:B,1,0)&gt;0,"просрочен",),IF(TODAY()&gt;C138,"оплачен","грядет")),"")))))</f>
        <v>грядет</v>
      </c>
    </row>
    <row r="139" spans="1:6" x14ac:dyDescent="0.25">
      <c r="A139" t="s">
        <v>183</v>
      </c>
      <c r="B139" t="s">
        <v>184</v>
      </c>
      <c r="C139" s="10">
        <v>45532</v>
      </c>
      <c r="D139">
        <v>6462.97</v>
      </c>
      <c r="E139" s="1">
        <f>IFERROR(VLOOKUP(B139,'РП (расш)'!A:G,7,0),"")</f>
        <v>20855.88</v>
      </c>
      <c r="F139" t="str">
        <f ca="1">IF(B139="","",IF(B139&gt;0,IFERROR(IF(VLOOKUP(LEFT(B139,10),[1]Лист1!$A:$A,1,0)&gt;0,"КО"),IF(E139="","погашен",IF(B139&gt;0,IFERROR(IF(VLOOKUP(B139,'реестр просрочников'!B:B,1,0)&gt;0,"просрочен",),IF(TODAY()&gt;C139,"оплачен","грядет")),"")))))</f>
        <v>грядет</v>
      </c>
    </row>
    <row r="140" spans="1:6" x14ac:dyDescent="0.25">
      <c r="A140" t="s">
        <v>185</v>
      </c>
      <c r="B140" t="s">
        <v>186</v>
      </c>
      <c r="C140" s="10">
        <v>45532</v>
      </c>
      <c r="D140">
        <v>71605.53</v>
      </c>
      <c r="E140" s="1">
        <f>IFERROR(VLOOKUP(B140,'РП (расш)'!A:G,7,0),"")</f>
        <v>937688.28</v>
      </c>
      <c r="F140" t="str">
        <f ca="1">IF(B140="","",IF(B140&gt;0,IFERROR(IF(VLOOKUP(LEFT(B140,10),[1]Лист1!$A:$A,1,0)&gt;0,"КО"),IF(E140="","погашен",IF(B140&gt;0,IFERROR(IF(VLOOKUP(B140,'реестр просрочников'!B:B,1,0)&gt;0,"просрочен",),IF(TODAY()&gt;C140,"оплачен","грядет")),"")))))</f>
        <v>КО</v>
      </c>
    </row>
    <row r="141" spans="1:6" x14ac:dyDescent="0.25">
      <c r="A141" t="s">
        <v>187</v>
      </c>
      <c r="B141" t="s">
        <v>188</v>
      </c>
      <c r="C141" s="10">
        <v>45532</v>
      </c>
      <c r="D141">
        <v>57284.42</v>
      </c>
      <c r="E141" s="1">
        <f>IFERROR(VLOOKUP(B141,'РП (расш)'!A:G,7,0),"")</f>
        <v>746957.49</v>
      </c>
      <c r="F141" t="str">
        <f ca="1">IF(B141="","",IF(B141&gt;0,IFERROR(IF(VLOOKUP(LEFT(B141,10),[1]Лист1!$A:$A,1,0)&gt;0,"КО"),IF(E141="","погашен",IF(B141&gt;0,IFERROR(IF(VLOOKUP(B141,'реестр просрочников'!B:B,1,0)&gt;0,"просрочен",),IF(TODAY()&gt;C141,"оплачен","грядет")),"")))))</f>
        <v>КО</v>
      </c>
    </row>
    <row r="142" spans="1:6" x14ac:dyDescent="0.25">
      <c r="A142" t="s">
        <v>189</v>
      </c>
      <c r="B142" t="s">
        <v>190</v>
      </c>
      <c r="C142" s="10">
        <v>45532</v>
      </c>
      <c r="D142">
        <v>13212.2</v>
      </c>
      <c r="E142" s="1">
        <f>IFERROR(VLOOKUP(B142,'РП (расш)'!A:G,7,0),"")</f>
        <v>207666.7</v>
      </c>
      <c r="F142" t="str">
        <f ca="1">IF(B142="","",IF(B142&gt;0,IFERROR(IF(VLOOKUP(LEFT(B142,10),[1]Лист1!$A:$A,1,0)&gt;0,"КО"),IF(E142="","погашен",IF(B142&gt;0,IFERROR(IF(VLOOKUP(B142,'реестр просрочников'!B:B,1,0)&gt;0,"просрочен",),IF(TODAY()&gt;C142,"оплачен","грядет")),"")))))</f>
        <v>КО</v>
      </c>
    </row>
    <row r="143" spans="1:6" x14ac:dyDescent="0.25">
      <c r="A143" t="s">
        <v>191</v>
      </c>
      <c r="B143" t="s">
        <v>192</v>
      </c>
      <c r="C143" s="10">
        <v>45532</v>
      </c>
      <c r="D143">
        <v>6043.76</v>
      </c>
      <c r="E143" s="1">
        <f>IFERROR(VLOOKUP(B143,'РП (расш)'!A:G,7,0),"")</f>
        <v>65898.179999999993</v>
      </c>
      <c r="F143" t="str">
        <f ca="1">IF(B143="","",IF(B143&gt;0,IFERROR(IF(VLOOKUP(LEFT(B143,10),[1]Лист1!$A:$A,1,0)&gt;0,"КО"),IF(E143="","погашен",IF(B143&gt;0,IFERROR(IF(VLOOKUP(B143,'реестр просрочников'!B:B,1,0)&gt;0,"просрочен",),IF(TODAY()&gt;C143,"оплачен","грядет")),"")))))</f>
        <v>КО</v>
      </c>
    </row>
    <row r="144" spans="1:6" x14ac:dyDescent="0.25">
      <c r="A144" t="s">
        <v>193</v>
      </c>
      <c r="B144" t="s">
        <v>194</v>
      </c>
      <c r="C144" s="10">
        <v>45532</v>
      </c>
      <c r="D144">
        <v>3154.31</v>
      </c>
      <c r="E144" s="1">
        <f>IFERROR(VLOOKUP(B144,'РП (расш)'!A:G,7,0),"")</f>
        <v>2986.88</v>
      </c>
      <c r="F144" t="str">
        <f ca="1">IF(B144="","",IF(B144&gt;0,IFERROR(IF(VLOOKUP(LEFT(B144,10),[1]Лист1!$A:$A,1,0)&gt;0,"КО"),IF(E144="","погашен",IF(B144&gt;0,IFERROR(IF(VLOOKUP(B144,'реестр просрочников'!B:B,1,0)&gt;0,"просрочен",),IF(TODAY()&gt;C144,"оплачен","грядет")),"")))))</f>
        <v>грядет</v>
      </c>
    </row>
    <row r="145" spans="1:6" x14ac:dyDescent="0.25">
      <c r="A145" t="s">
        <v>195</v>
      </c>
      <c r="B145" t="s">
        <v>196</v>
      </c>
      <c r="C145" s="10">
        <v>45533</v>
      </c>
      <c r="D145">
        <v>14550.71</v>
      </c>
      <c r="E145" s="1">
        <f>IFERROR(VLOOKUP(B145,'РП (расш)'!A:G,7,0),"")</f>
        <v>174507.73</v>
      </c>
      <c r="F145" t="str">
        <f ca="1">IF(B145="","",IF(B145&gt;0,IFERROR(IF(VLOOKUP(LEFT(B145,10),[1]Лист1!$A:$A,1,0)&gt;0,"КО"),IF(E145="","погашен",IF(B145&gt;0,IFERROR(IF(VLOOKUP(B145,'реестр просрочников'!B:B,1,0)&gt;0,"просрочен",),IF(TODAY()&gt;C145,"оплачен","грядет")),"")))))</f>
        <v>грядет</v>
      </c>
    </row>
    <row r="146" spans="1:6" x14ac:dyDescent="0.25">
      <c r="A146" t="s">
        <v>197</v>
      </c>
      <c r="B146" t="s">
        <v>198</v>
      </c>
      <c r="C146" s="10">
        <v>45533</v>
      </c>
      <c r="D146">
        <v>6760.02</v>
      </c>
      <c r="E146" s="1">
        <f>IFERROR(VLOOKUP(B146,'РП (расш)'!A:G,7,0),"")</f>
        <v>27912.83</v>
      </c>
      <c r="F146" t="str">
        <f ca="1">IF(B146="","",IF(B146&gt;0,IFERROR(IF(VLOOKUP(LEFT(B146,10),[1]Лист1!$A:$A,1,0)&gt;0,"КО"),IF(E146="","погашен",IF(B146&gt;0,IFERROR(IF(VLOOKUP(B146,'реестр просрочников'!B:B,1,0)&gt;0,"просрочен",),IF(TODAY()&gt;C146,"оплачен","грядет")),"")))))</f>
        <v>грядет</v>
      </c>
    </row>
    <row r="147" spans="1:6" x14ac:dyDescent="0.25">
      <c r="A147" t="s">
        <v>199</v>
      </c>
      <c r="B147" t="s">
        <v>200</v>
      </c>
      <c r="C147" s="10">
        <v>45533</v>
      </c>
      <c r="D147">
        <v>27558.15</v>
      </c>
      <c r="E147" s="1">
        <f>IFERROR(VLOOKUP(B147,'РП (расш)'!A:G,7,0),"")</f>
        <v>494147.5</v>
      </c>
      <c r="F147" t="str">
        <f ca="1">IF(B147="","",IF(B147&gt;0,IFERROR(IF(VLOOKUP(LEFT(B147,10),[1]Лист1!$A:$A,1,0)&gt;0,"КО"),IF(E147="","погашен",IF(B147&gt;0,IFERROR(IF(VLOOKUP(B147,'реестр просрочников'!B:B,1,0)&gt;0,"просрочен",),IF(TODAY()&gt;C147,"оплачен","грядет")),"")))))</f>
        <v>КО</v>
      </c>
    </row>
    <row r="148" spans="1:6" x14ac:dyDescent="0.25">
      <c r="A148" t="s">
        <v>203</v>
      </c>
      <c r="B148" t="s">
        <v>204</v>
      </c>
      <c r="C148" s="10">
        <v>45534</v>
      </c>
      <c r="D148">
        <v>27745.61</v>
      </c>
      <c r="E148" s="1">
        <f>IFERROR(VLOOKUP(B148,'РП (расш)'!A:G,7,0),"")</f>
        <v>161018.21</v>
      </c>
      <c r="F148" t="str">
        <f ca="1">IF(B148="","",IF(B148&gt;0,IFERROR(IF(VLOOKUP(LEFT(B148,10),[1]Лист1!$A:$A,1,0)&gt;0,"КО"),IF(E148="","погашен",IF(B148&gt;0,IFERROR(IF(VLOOKUP(B148,'реестр просрочников'!B:B,1,0)&gt;0,"просрочен",),IF(TODAY()&gt;C148,"оплачен","грядет")),"")))))</f>
        <v>КО</v>
      </c>
    </row>
    <row r="149" spans="1:6" x14ac:dyDescent="0.25">
      <c r="A149" t="s">
        <v>201</v>
      </c>
      <c r="B149" t="s">
        <v>202</v>
      </c>
      <c r="C149" s="10">
        <v>45535</v>
      </c>
      <c r="D149">
        <v>25203.85</v>
      </c>
      <c r="E149" s="1">
        <f>IFERROR(VLOOKUP(B149,'РП (расш)'!A:G,7,0),"")</f>
        <v>302836.65000000002</v>
      </c>
      <c r="F149" t="str">
        <f ca="1">IF(B149="","",IF(B149&gt;0,IFERROR(IF(VLOOKUP(LEFT(B149,10),[1]Лист1!$A:$A,1,0)&gt;0,"КО"),IF(E149="","погашен",IF(B149&gt;0,IFERROR(IF(VLOOKUP(B149,'реестр просрочников'!B:B,1,0)&gt;0,"просрочен",),IF(TODAY()&gt;C149,"оплачен","грядет")),"")))))</f>
        <v>КО</v>
      </c>
    </row>
    <row r="150" spans="1:6" x14ac:dyDescent="0.25">
      <c r="A150" t="s">
        <v>84</v>
      </c>
      <c r="B150" t="s">
        <v>205</v>
      </c>
      <c r="C150" s="10">
        <v>45535</v>
      </c>
      <c r="D150">
        <v>6536.42</v>
      </c>
      <c r="E150" s="1">
        <f>IFERROR(VLOOKUP(B150,'РП (расш)'!A:G,7,0),"")</f>
        <v>85748.58</v>
      </c>
      <c r="F150" t="str">
        <f ca="1">IF(B150="","",IF(B150&gt;0,IFERROR(IF(VLOOKUP(LEFT(B150,10),[1]Лист1!$A:$A,1,0)&gt;0,"КО"),IF(E150="","погашен",IF(B150&gt;0,IFERROR(IF(VLOOKUP(B150,'реестр просрочников'!B:B,1,0)&gt;0,"просрочен",),IF(TODAY()&gt;C150,"оплачен","грядет")),"")))))</f>
        <v>КО</v>
      </c>
    </row>
    <row r="151" spans="1:6" x14ac:dyDescent="0.25">
      <c r="A151" t="s">
        <v>11</v>
      </c>
      <c r="D151">
        <v>2864741.74</v>
      </c>
      <c r="E151" s="1" t="str">
        <f>IFERROR(VLOOKUP(B151,'РП (расш)'!A:G,7,0),"")</f>
        <v/>
      </c>
      <c r="F151" t="str">
        <f ca="1">IF(B151="","",IF(B151&gt;0,IFERROR(IF(VLOOKUP(LEFT(B151,10),[1]Лист1!$A:$A,1,0)&gt;0,"КО"),IF(E151="","погашен",IF(B151&gt;0,IFERROR(IF(VLOOKUP(B151,'реестр просрочников'!B:B,1,0)&gt;0,"просрочен",),IF(TODAY()&gt;C151,"оплачен","грядет")),"")))))</f>
        <v/>
      </c>
    </row>
    <row r="152" spans="1:6" x14ac:dyDescent="0.25">
      <c r="D152"/>
      <c r="E152" s="1" t="str">
        <f>IFERROR(VLOOKUP(B152,'РП (расш)'!A:G,7,0),"")</f>
        <v/>
      </c>
      <c r="F152" t="str">
        <f ca="1">IF(B152="","",IF(B152&gt;0,IFERROR(IF(VLOOKUP(LEFT(B152,10),[1]Лист1!$A:$A,1,0)&gt;0,"КО"),IF(E152="","погашен",IF(B152&gt;0,IFERROR(IF(VLOOKUP(B152,'реестр просрочников'!B:B,1,0)&gt;0,"просрочен",),IF(TODAY()&gt;C152,"оплачен","грядет")),"")))))</f>
        <v/>
      </c>
    </row>
    <row r="153" spans="1:6" x14ac:dyDescent="0.25">
      <c r="D153"/>
      <c r="E153" s="1" t="str">
        <f>IFERROR(VLOOKUP(B153,'РП (расш)'!A:G,7,0),"")</f>
        <v/>
      </c>
      <c r="F153" t="str">
        <f ca="1">IF(B153="","",IF(B153&gt;0,IFERROR(IF(VLOOKUP(LEFT(B153,10),[1]Лист1!$A:$A,1,0)&gt;0,"КО"),IF(E153="","погашен",IF(B153&gt;0,IFERROR(IF(VLOOKUP(B153,'реестр просрочников'!B:B,1,0)&gt;0,"просрочен",),IF(TODAY()&gt;C153,"оплачен","грядет")),"")))))</f>
        <v/>
      </c>
    </row>
    <row r="154" spans="1:6" x14ac:dyDescent="0.25">
      <c r="D154"/>
      <c r="E154" s="1" t="str">
        <f>IFERROR(VLOOKUP(B154,'РП (расш)'!A:G,7,0),"")</f>
        <v/>
      </c>
      <c r="F154" t="str">
        <f ca="1">IF(B154="","",IF(B154&gt;0,IFERROR(IF(VLOOKUP(LEFT(B154,10),[1]Лист1!$A:$A,1,0)&gt;0,"КО"),IF(E154="","погашен",IF(B154&gt;0,IFERROR(IF(VLOOKUP(B154,'реестр просрочников'!B:B,1,0)&gt;0,"просрочен",),IF(TODAY()&gt;C154,"оплачен","грядет")),"")))))</f>
        <v/>
      </c>
    </row>
    <row r="155" spans="1:6" x14ac:dyDescent="0.25">
      <c r="D155"/>
      <c r="E155" s="1" t="str">
        <f>IFERROR(VLOOKUP(B155,'РП (расш)'!A:G,7,0),"")</f>
        <v/>
      </c>
      <c r="F155" t="str">
        <f ca="1">IF(B155="","",IF(B155&gt;0,IFERROR(IF(VLOOKUP(LEFT(B155,10),[1]Лист1!$A:$A,1,0)&gt;0,"КО"),IF(E155="","погашен",IF(B155&gt;0,IFERROR(IF(VLOOKUP(B155,'реестр просрочников'!B:B,1,0)&gt;0,"просрочен",),IF(TODAY()&gt;C155,"оплачен","грядет")),"")))))</f>
        <v/>
      </c>
    </row>
    <row r="156" spans="1:6" x14ac:dyDescent="0.25">
      <c r="D156"/>
      <c r="E156" s="1" t="str">
        <f>IFERROR(VLOOKUP(B156,'РП (расш)'!A:G,7,0),"")</f>
        <v/>
      </c>
      <c r="F156" t="str">
        <f ca="1">IF(B156="","",IF(B156&gt;0,IFERROR(IF(VLOOKUP(LEFT(B156,10),[1]Лист1!$A:$A,1,0)&gt;0,"КО"),IF(E156="","погашен",IF(B156&gt;0,IFERROR(IF(VLOOKUP(B156,'реестр просрочников'!B:B,1,0)&gt;0,"просрочен",),IF(TODAY()&gt;C156,"оплачен","грядет")),"")))))</f>
        <v/>
      </c>
    </row>
    <row r="157" spans="1:6" x14ac:dyDescent="0.25">
      <c r="D157"/>
      <c r="E157" s="1" t="str">
        <f>IFERROR(VLOOKUP(B157,'РП (расш)'!A:G,7,0),"")</f>
        <v/>
      </c>
      <c r="F157" t="str">
        <f ca="1">IF(B157="","",IF(B157&gt;0,IFERROR(IF(VLOOKUP(LEFT(B157,10),[1]Лист1!$A:$A,1,0)&gt;0,"КО"),IF(E157="","погашен",IF(B157&gt;0,IFERROR(IF(VLOOKUP(B157,'реестр просрочников'!B:B,1,0)&gt;0,"просрочен",),IF(TODAY()&gt;C157,"оплачен","грядет")),"")))))</f>
        <v/>
      </c>
    </row>
    <row r="158" spans="1:6" x14ac:dyDescent="0.25">
      <c r="D158"/>
      <c r="E158" s="1" t="str">
        <f>IFERROR(VLOOKUP(B158,'РП (расш)'!A:G,7,0),"")</f>
        <v/>
      </c>
      <c r="F158" t="str">
        <f ca="1">IF(B158="","",IF(B158&gt;0,IFERROR(IF(VLOOKUP(LEFT(B158,10),[1]Лист1!$A:$A,1,0)&gt;0,"КО"),IF(E158="","погашен",IF(B158&gt;0,IFERROR(IF(VLOOKUP(B158,'реестр просрочников'!B:B,1,0)&gt;0,"просрочен",),IF(TODAY()&gt;C158,"оплачен","грядет")),"")))))</f>
        <v/>
      </c>
    </row>
    <row r="159" spans="1:6" x14ac:dyDescent="0.25">
      <c r="D159"/>
      <c r="E159" s="1" t="str">
        <f>IFERROR(VLOOKUP(B159,'РП (расш)'!A:G,7,0),"")</f>
        <v/>
      </c>
      <c r="F159" t="str">
        <f ca="1">IF(B159="","",IF(B159&gt;0,IFERROR(IF(VLOOKUP(LEFT(B159,10),[1]Лист1!$A:$A,1,0)&gt;0,"КО"),IF(E159="","погашен",IF(B159&gt;0,IFERROR(IF(VLOOKUP(B159,'реестр просрочников'!B:B,1,0)&gt;0,"просрочен",),IF(TODAY()&gt;C159,"оплачен","грядет")),"")))))</f>
        <v/>
      </c>
    </row>
    <row r="160" spans="1:6" x14ac:dyDescent="0.25">
      <c r="D160"/>
      <c r="E160" s="1" t="str">
        <f>IFERROR(VLOOKUP(B160,'РП (расш)'!A:G,7,0),"")</f>
        <v/>
      </c>
      <c r="F160" t="str">
        <f ca="1">IF(B160="","",IF(B160&gt;0,IFERROR(IF(VLOOKUP(LEFT(B160,10),[1]Лист1!$A:$A,1,0)&gt;0,"КО"),IF(E160="","погашен",IF(B160&gt;0,IFERROR(IF(VLOOKUP(B160,'реестр просрочников'!B:B,1,0)&gt;0,"просрочен",),IF(TODAY()&gt;C160,"оплачен","грядет")),"")))))</f>
        <v/>
      </c>
    </row>
    <row r="161" spans="4:6" x14ac:dyDescent="0.25">
      <c r="D161"/>
      <c r="E161" s="1" t="str">
        <f>IFERROR(VLOOKUP(B161,'РП (расш)'!A:G,7,0),"")</f>
        <v/>
      </c>
      <c r="F161" t="str">
        <f ca="1">IF(B161="","",IF(B161&gt;0,IFERROR(IF(VLOOKUP(LEFT(B161,10),[1]Лист1!$A:$A,1,0)&gt;0,"КО"),IF(E161="","погашен",IF(B161&gt;0,IFERROR(IF(VLOOKUP(B161,'реестр просрочников'!B:B,1,0)&gt;0,"просрочен",),IF(TODAY()&gt;C161,"оплачен","грядет")),"")))))</f>
        <v/>
      </c>
    </row>
    <row r="162" spans="4:6" x14ac:dyDescent="0.25">
      <c r="D162"/>
      <c r="E162" s="1" t="str">
        <f>IFERROR(VLOOKUP(B162,'РП (расш)'!A:G,7,0),"")</f>
        <v/>
      </c>
      <c r="F162" t="str">
        <f ca="1">IF(B162="","",IF(B162&gt;0,IFERROR(IF(VLOOKUP(LEFT(B162,10),[1]Лист1!$A:$A,1,0)&gt;0,"КО"),IF(E162="","погашен",IF(B162&gt;0,IFERROR(IF(VLOOKUP(B162,'реестр просрочников'!B:B,1,0)&gt;0,"просрочен",),IF(TODAY()&gt;C162,"оплачен","грядет")),"")))))</f>
        <v/>
      </c>
    </row>
    <row r="163" spans="4:6" x14ac:dyDescent="0.25">
      <c r="D163"/>
      <c r="E163" s="1" t="str">
        <f>IFERROR(VLOOKUP(B163,'РП (расш)'!A:G,7,0),"")</f>
        <v/>
      </c>
      <c r="F163" t="str">
        <f ca="1">IF(B163="","",IF(B163&gt;0,IFERROR(IF(VLOOKUP(LEFT(B163,10),[1]Лист1!$A:$A,1,0)&gt;0,"КО"),IF(E163="","погашен",IF(B163&gt;0,IFERROR(IF(VLOOKUP(B163,'реестр просрочников'!B:B,1,0)&gt;0,"просрочен",),IF(TODAY()&gt;C163,"оплачен","грядет")),"")))))</f>
        <v/>
      </c>
    </row>
    <row r="164" spans="4:6" x14ac:dyDescent="0.25">
      <c r="D164"/>
      <c r="E164" s="1" t="str">
        <f>IFERROR(VLOOKUP(B164,'РП (расш)'!A:G,7,0),"")</f>
        <v/>
      </c>
      <c r="F164" t="str">
        <f ca="1">IF(B164="","",IF(B164&gt;0,IFERROR(IF(VLOOKUP(LEFT(B164,10),[1]Лист1!$A:$A,1,0)&gt;0,"КО"),IF(E164="","погашен",IF(B164&gt;0,IFERROR(IF(VLOOKUP(B164,'реестр просрочников'!B:B,1,0)&gt;0,"просрочен",),IF(TODAY()&gt;C164,"оплачен","грядет")),"")))))</f>
        <v/>
      </c>
    </row>
    <row r="165" spans="4:6" x14ac:dyDescent="0.25">
      <c r="D165"/>
      <c r="E165" s="1" t="str">
        <f>IFERROR(VLOOKUP(B165,'РП (расш)'!A:G,7,0),"")</f>
        <v/>
      </c>
      <c r="F165" t="str">
        <f ca="1">IF(B165="","",IF(B165&gt;0,IFERROR(IF(VLOOKUP(LEFT(B165,10),[1]Лист1!$A:$A,1,0)&gt;0,"КО"),IF(E165="","погашен",IF(B165&gt;0,IFERROR(IF(VLOOKUP(B165,'реестр просрочников'!B:B,1,0)&gt;0,"просрочен",),IF(TODAY()&gt;C165,"оплачен","грядет")),"")))))</f>
        <v/>
      </c>
    </row>
    <row r="166" spans="4:6" x14ac:dyDescent="0.25">
      <c r="D166"/>
      <c r="E166" s="1" t="str">
        <f>IFERROR(VLOOKUP(B166,'РП (расш)'!A:G,7,0),"")</f>
        <v/>
      </c>
      <c r="F166" t="str">
        <f ca="1">IF(B166="","",IF(B166&gt;0,IFERROR(IF(VLOOKUP(LEFT(B166,10),[1]Лист1!$A:$A,1,0)&gt;0,"КО"),IF(E166="","погашен",IF(B166&gt;0,IFERROR(IF(VLOOKUP(B166,'реестр просрочников'!B:B,1,0)&gt;0,"просрочен",),IF(TODAY()&gt;C166,"оплачен","грядет")),"")))))</f>
        <v/>
      </c>
    </row>
    <row r="167" spans="4:6" x14ac:dyDescent="0.25">
      <c r="D167"/>
      <c r="E167" s="1" t="str">
        <f>IFERROR(VLOOKUP(B167,'РП (расш)'!A:G,7,0),"")</f>
        <v/>
      </c>
      <c r="F167" t="str">
        <f ca="1">IF(B167="","",IF(B167&gt;0,IFERROR(IF(VLOOKUP(LEFT(B167,10),[1]Лист1!$A:$A,1,0)&gt;0,"КО"),IF(E167="","погашен",IF(B167&gt;0,IFERROR(IF(VLOOKUP(B167,'реестр просрочников'!B:B,1,0)&gt;0,"просрочен",),IF(TODAY()&gt;C167,"оплачен","грядет")),"")))))</f>
        <v/>
      </c>
    </row>
    <row r="168" spans="4:6" x14ac:dyDescent="0.25">
      <c r="D168"/>
      <c r="E168" s="1" t="str">
        <f>IFERROR(VLOOKUP(B168,'РП (расш)'!A:G,7,0),"")</f>
        <v/>
      </c>
      <c r="F168" t="str">
        <f ca="1">IF(B168="","",IF(B168&gt;0,IFERROR(IF(VLOOKUP(LEFT(B168,10),[1]Лист1!$A:$A,1,0)&gt;0,"КО"),IF(E168="","погашен",IF(B168&gt;0,IFERROR(IF(VLOOKUP(B168,'реестр просрочников'!B:B,1,0)&gt;0,"просрочен",),IF(TODAY()&gt;C168,"оплачен","грядет")),"")))))</f>
        <v/>
      </c>
    </row>
    <row r="169" spans="4:6" x14ac:dyDescent="0.25">
      <c r="D169"/>
      <c r="E169" s="1" t="str">
        <f>IFERROR(VLOOKUP(B169,'РП (расш)'!A:G,7,0),"")</f>
        <v/>
      </c>
      <c r="F169" t="str">
        <f ca="1">IF(B169="","",IF(B169&gt;0,IFERROR(IF(VLOOKUP(LEFT(B169,10),[1]Лист1!$A:$A,1,0)&gt;0,"КО"),IF(E169="","погашен",IF(B169&gt;0,IFERROR(IF(VLOOKUP(B169,'реестр просрочников'!B:B,1,0)&gt;0,"просрочен",),IF(TODAY()&gt;C169,"оплачен","грядет")),"")))))</f>
        <v/>
      </c>
    </row>
    <row r="170" spans="4:6" x14ac:dyDescent="0.25">
      <c r="D170"/>
      <c r="E170" s="1" t="str">
        <f>IFERROR(VLOOKUP(B170,'РП (расш)'!A:G,7,0),"")</f>
        <v/>
      </c>
      <c r="F170" t="str">
        <f ca="1">IF(B170="","",IF(B170&gt;0,IFERROR(IF(VLOOKUP(LEFT(B170,10),[1]Лист1!$A:$A,1,0)&gt;0,"КО"),IF(E170="","погашен",IF(B170&gt;0,IFERROR(IF(VLOOKUP(B170,'реестр просрочников'!B:B,1,0)&gt;0,"просрочен",),IF(TODAY()&gt;C170,"оплачен","грядет")),"")))))</f>
        <v/>
      </c>
    </row>
    <row r="171" spans="4:6" x14ac:dyDescent="0.25">
      <c r="D171"/>
      <c r="E171" s="1" t="str">
        <f>IFERROR(VLOOKUP(B171,'РП (расш)'!A:G,7,0),"")</f>
        <v/>
      </c>
      <c r="F171" t="str">
        <f ca="1">IF(B171="","",IF(B171&gt;0,IFERROR(IF(VLOOKUP(LEFT(B171,10),[1]Лист1!$A:$A,1,0)&gt;0,"КО"),IF(E171="","погашен",IF(B171&gt;0,IFERROR(IF(VLOOKUP(B171,'реестр просрочников'!B:B,1,0)&gt;0,"просрочен",),IF(TODAY()&gt;C171,"оплачен","грядет")),"")))))</f>
        <v/>
      </c>
    </row>
    <row r="172" spans="4:6" x14ac:dyDescent="0.25">
      <c r="D172"/>
      <c r="E172" s="1" t="str">
        <f>IFERROR(VLOOKUP(B172,'РП (расш)'!A:G,7,0),"")</f>
        <v/>
      </c>
      <c r="F172" t="str">
        <f ca="1">IF(B172="","",IF(B172&gt;0,IFERROR(IF(VLOOKUP(LEFT(B172,10),[1]Лист1!$A:$A,1,0)&gt;0,"КО"),IF(E172="","погашен",IF(B172&gt;0,IFERROR(IF(VLOOKUP(B172,'реестр просрочников'!B:B,1,0)&gt;0,"просрочен",),IF(TODAY()&gt;C172,"оплачен","грядет")),"")))))</f>
        <v/>
      </c>
    </row>
    <row r="173" spans="4:6" x14ac:dyDescent="0.25">
      <c r="D173"/>
      <c r="E173" s="1" t="str">
        <f>IFERROR(VLOOKUP(B173,'РП (расш)'!A:G,7,0),"")</f>
        <v/>
      </c>
      <c r="F173" t="str">
        <f ca="1">IF(B173="","",IF(B173&gt;0,IFERROR(IF(VLOOKUP(LEFT(B173,10),[1]Лист1!$A:$A,1,0)&gt;0,"КО"),IF(E173="","погашен",IF(B173&gt;0,IFERROR(IF(VLOOKUP(B173,'реестр просрочников'!B:B,1,0)&gt;0,"просрочен",),IF(TODAY()&gt;C173,"оплачен","грядет")),"")))))</f>
        <v/>
      </c>
    </row>
    <row r="174" spans="4:6" x14ac:dyDescent="0.25">
      <c r="D174"/>
      <c r="E174" s="1" t="str">
        <f>IFERROR(VLOOKUP(B174,'РП (расш)'!A:G,7,0),"")</f>
        <v/>
      </c>
      <c r="F174" t="str">
        <f ca="1">IF(B174="","",IF(B174&gt;0,IFERROR(IF(VLOOKUP(LEFT(B174,10),[1]Лист1!$A:$A,1,0)&gt;0,"КО"),IF(E174="","погашен",IF(B174&gt;0,IFERROR(IF(VLOOKUP(B174,'реестр просрочников'!B:B,1,0)&gt;0,"просрочен",),IF(TODAY()&gt;C174,"оплачен","грядет")),"")))))</f>
        <v/>
      </c>
    </row>
    <row r="175" spans="4:6" x14ac:dyDescent="0.25">
      <c r="D175"/>
      <c r="E175" s="1" t="str">
        <f>IFERROR(VLOOKUP(B175,'РП (расш)'!A:G,7,0),"")</f>
        <v/>
      </c>
      <c r="F175" t="str">
        <f ca="1">IF(B175="","",IF(B175&gt;0,IFERROR(IF(VLOOKUP(LEFT(B175,10),[1]Лист1!$A:$A,1,0)&gt;0,"КО"),IF(E175="","погашен",IF(B175&gt;0,IFERROR(IF(VLOOKUP(B175,'реестр просрочников'!B:B,1,0)&gt;0,"просрочен",),IF(TODAY()&gt;C175,"оплачен","грядет")),"")))))</f>
        <v/>
      </c>
    </row>
    <row r="176" spans="4:6" x14ac:dyDescent="0.25">
      <c r="D176"/>
      <c r="E176" s="1" t="str">
        <f>IFERROR(VLOOKUP(B176,'РП (расш)'!A:G,7,0),"")</f>
        <v/>
      </c>
      <c r="F176" t="str">
        <f ca="1">IF(B176="","",IF(B176&gt;0,IFERROR(IF(VLOOKUP(LEFT(B176,10),[1]Лист1!$A:$A,1,0)&gt;0,"КО"),IF(E176="","погашен",IF(B176&gt;0,IFERROR(IF(VLOOKUP(B176,'реестр просрочников'!B:B,1,0)&gt;0,"просрочен",),IF(TODAY()&gt;C176,"оплачен","грядет")),"")))))</f>
        <v/>
      </c>
    </row>
    <row r="177" spans="4:6" x14ac:dyDescent="0.25">
      <c r="D177"/>
      <c r="E177" s="1" t="str">
        <f>IFERROR(VLOOKUP(B177,'РП (расш)'!A:G,7,0),"")</f>
        <v/>
      </c>
      <c r="F177" t="str">
        <f ca="1">IF(B177="","",IF(B177&gt;0,IFERROR(IF(VLOOKUP(LEFT(B177,10),[1]Лист1!$A:$A,1,0)&gt;0,"КО"),IF(E177="","погашен",IF(B177&gt;0,IFERROR(IF(VLOOKUP(B177,'реестр просрочников'!B:B,1,0)&gt;0,"просрочен",),IF(TODAY()&gt;C177,"оплачен","грядет")),"")))))</f>
        <v/>
      </c>
    </row>
    <row r="178" spans="4:6" x14ac:dyDescent="0.25">
      <c r="D178"/>
      <c r="E178" s="1" t="str">
        <f>IFERROR(VLOOKUP(B178,'РП (расш)'!A:G,7,0),"")</f>
        <v/>
      </c>
      <c r="F178" t="str">
        <f ca="1">IF(B178="","",IF(B178&gt;0,IFERROR(IF(VLOOKUP(LEFT(B178,10),[1]Лист1!$A:$A,1,0)&gt;0,"КО"),IF(E178="","погашен",IF(B178&gt;0,IFERROR(IF(VLOOKUP(B178,'реестр просрочников'!B:B,1,0)&gt;0,"просрочен",),IF(TODAY()&gt;C178,"оплачен","грядет")),"")))))</f>
        <v/>
      </c>
    </row>
    <row r="179" spans="4:6" x14ac:dyDescent="0.25">
      <c r="D179"/>
      <c r="E179" s="1" t="str">
        <f>IFERROR(VLOOKUP(B179,'РП (расш)'!A:G,7,0),"")</f>
        <v/>
      </c>
      <c r="F179" t="str">
        <f ca="1">IF(B179="","",IF(B179&gt;0,IFERROR(IF(VLOOKUP(LEFT(B179,10),[1]Лист1!$A:$A,1,0)&gt;0,"КО"),IF(E179="","погашен",IF(B179&gt;0,IFERROR(IF(VLOOKUP(B179,'реестр просрочников'!B:B,1,0)&gt;0,"просрочен",),IF(TODAY()&gt;C179,"оплачен","грядет")),"")))))</f>
        <v/>
      </c>
    </row>
    <row r="180" spans="4:6" x14ac:dyDescent="0.25">
      <c r="D180"/>
      <c r="E180" s="1" t="str">
        <f>IFERROR(VLOOKUP(B180,'РП (расш)'!A:G,7,0),"")</f>
        <v/>
      </c>
      <c r="F180" t="str">
        <f ca="1">IF(B180="","",IF(B180&gt;0,IFERROR(IF(VLOOKUP(LEFT(B180,10),[1]Лист1!$A:$A,1,0)&gt;0,"КО"),IF(E180="","погашен",IF(B180&gt;0,IFERROR(IF(VLOOKUP(B180,'реестр просрочников'!B:B,1,0)&gt;0,"просрочен",),IF(TODAY()&gt;C180,"оплачен","грядет")),"")))))</f>
        <v/>
      </c>
    </row>
    <row r="181" spans="4:6" x14ac:dyDescent="0.25">
      <c r="D181"/>
      <c r="E181" s="1" t="str">
        <f>IFERROR(VLOOKUP(B181,'РП (расш)'!A:G,7,0),"")</f>
        <v/>
      </c>
      <c r="F181" t="str">
        <f ca="1">IF(B181="","",IF(B181&gt;0,IFERROR(IF(VLOOKUP(LEFT(B181,10),[1]Лист1!$A:$A,1,0)&gt;0,"КО"),IF(E181="","погашен",IF(B181&gt;0,IFERROR(IF(VLOOKUP(B181,'реестр просрочников'!B:B,1,0)&gt;0,"просрочен",),IF(TODAY()&gt;C181,"оплачен","грядет")),"")))))</f>
        <v/>
      </c>
    </row>
    <row r="182" spans="4:6" x14ac:dyDescent="0.25">
      <c r="D182"/>
      <c r="E182" s="1" t="str">
        <f>IFERROR(VLOOKUP(B182,'РП (расш)'!A:G,7,0),"")</f>
        <v/>
      </c>
      <c r="F182" t="str">
        <f ca="1">IF(B182="","",IF(B182&gt;0,IFERROR(IF(VLOOKUP(LEFT(B182,10),[1]Лист1!$A:$A,1,0)&gt;0,"КО"),IF(E182="","погашен",IF(B182&gt;0,IFERROR(IF(VLOOKUP(B182,'реестр просрочников'!B:B,1,0)&gt;0,"просрочен",),IF(TODAY()&gt;C182,"оплачен","грядет")),"")))))</f>
        <v/>
      </c>
    </row>
    <row r="183" spans="4:6" x14ac:dyDescent="0.25">
      <c r="D183"/>
      <c r="E183" s="1" t="str">
        <f>IFERROR(VLOOKUP(B183,'РП (расш)'!A:G,7,0),"")</f>
        <v/>
      </c>
      <c r="F183" t="str">
        <f ca="1">IF(B183="","",IF(B183&gt;0,IFERROR(IF(VLOOKUP(LEFT(B183,10),[1]Лист1!$A:$A,1,0)&gt;0,"КО"),IF(E183="","погашен",IF(B183&gt;0,IFERROR(IF(VLOOKUP(B183,'реестр просрочников'!B:B,1,0)&gt;0,"просрочен",),IF(TODAY()&gt;C183,"оплачен","грядет")),"")))))</f>
        <v/>
      </c>
    </row>
    <row r="184" spans="4:6" x14ac:dyDescent="0.25">
      <c r="D184"/>
      <c r="E184" s="1" t="str">
        <f>IFERROR(VLOOKUP(B184,'РП (расш)'!A:G,7,0),"")</f>
        <v/>
      </c>
      <c r="F184" t="str">
        <f ca="1">IF(B184="","",IF(B184&gt;0,IFERROR(IF(VLOOKUP(LEFT(B184,10),[1]Лист1!$A:$A,1,0)&gt;0,"КО"),IF(E184="","погашен",IF(B184&gt;0,IFERROR(IF(VLOOKUP(B184,'реестр просрочников'!B:B,1,0)&gt;0,"просрочен",),IF(TODAY()&gt;C184,"оплачен","грядет")),"")))))</f>
        <v/>
      </c>
    </row>
    <row r="185" spans="4:6" x14ac:dyDescent="0.25">
      <c r="D185"/>
      <c r="E185" s="1" t="str">
        <f>IFERROR(VLOOKUP(B185,'РП (расш)'!A:G,7,0),"")</f>
        <v/>
      </c>
      <c r="F185" t="str">
        <f ca="1">IF(B185="","",IF(B185&gt;0,IFERROR(IF(VLOOKUP(LEFT(B185,10),[1]Лист1!$A:$A,1,0)&gt;0,"КО"),IF(E185="","погашен",IF(B185&gt;0,IFERROR(IF(VLOOKUP(B185,'реестр просрочников'!B:B,1,0)&gt;0,"просрочен",),IF(TODAY()&gt;C185,"оплачен","грядет")),"")))))</f>
        <v/>
      </c>
    </row>
    <row r="186" spans="4:6" x14ac:dyDescent="0.25">
      <c r="D186"/>
      <c r="E186" s="1" t="str">
        <f>IFERROR(VLOOKUP(B186,'РП (расш)'!A:G,7,0),"")</f>
        <v/>
      </c>
      <c r="F186" t="str">
        <f ca="1">IF(B186="","",IF(B186&gt;0,IFERROR(IF(VLOOKUP(LEFT(B186,10),[1]Лист1!$A:$A,1,0)&gt;0,"КО"),IF(E186="","погашен",IF(B186&gt;0,IFERROR(IF(VLOOKUP(B186,'реестр просрочников'!B:B,1,0)&gt;0,"просрочен",),IF(TODAY()&gt;C186,"оплачен","грядет")),"")))))</f>
        <v/>
      </c>
    </row>
    <row r="187" spans="4:6" x14ac:dyDescent="0.25">
      <c r="D187"/>
      <c r="E187" s="1" t="str">
        <f>IFERROR(VLOOKUP(B187,'РП (расш)'!A:G,7,0),"")</f>
        <v/>
      </c>
      <c r="F187" t="str">
        <f ca="1">IF(B187="","",IF(B187&gt;0,IFERROR(IF(VLOOKUP(LEFT(B187,10),[1]Лист1!$A:$A,1,0)&gt;0,"КО"),IF(E187="","погашен",IF(B187&gt;0,IFERROR(IF(VLOOKUP(B187,'реестр просрочников'!B:B,1,0)&gt;0,"просрочен",),IF(TODAY()&gt;C187,"оплачен","грядет")),"")))))</f>
        <v/>
      </c>
    </row>
    <row r="188" spans="4:6" x14ac:dyDescent="0.25">
      <c r="D188"/>
      <c r="E188" s="1" t="str">
        <f>IFERROR(VLOOKUP(B188,'РП (расш)'!A:G,7,0),"")</f>
        <v/>
      </c>
      <c r="F188" t="str">
        <f ca="1">IF(B188="","",IF(B188&gt;0,IFERROR(IF(VLOOKUP(LEFT(B188,10),[1]Лист1!$A:$A,1,0)&gt;0,"КО"),IF(E188="","погашен",IF(B188&gt;0,IFERROR(IF(VLOOKUP(B188,'реестр просрочников'!B:B,1,0)&gt;0,"просрочен",),IF(TODAY()&gt;C188,"оплачен","грядет")),"")))))</f>
        <v/>
      </c>
    </row>
    <row r="189" spans="4:6" x14ac:dyDescent="0.25">
      <c r="D189"/>
      <c r="E189" s="1" t="str">
        <f>IFERROR(VLOOKUP(B189,'РП (расш)'!A:G,7,0),"")</f>
        <v/>
      </c>
      <c r="F189" t="str">
        <f ca="1">IF(B189="","",IF(B189&gt;0,IFERROR(IF(VLOOKUP(LEFT(B189,10),[1]Лист1!$A:$A,1,0)&gt;0,"КО"),IF(E189="","погашен",IF(B189&gt;0,IFERROR(IF(VLOOKUP(B189,'реестр просрочников'!B:B,1,0)&gt;0,"просрочен",),IF(TODAY()&gt;C189,"оплачен","грядет")),"")))))</f>
        <v/>
      </c>
    </row>
    <row r="190" spans="4:6" x14ac:dyDescent="0.25">
      <c r="D190"/>
      <c r="E190" s="1" t="str">
        <f>IFERROR(VLOOKUP(B190,'РП (расш)'!A:G,7,0),"")</f>
        <v/>
      </c>
      <c r="F190" t="str">
        <f ca="1">IF(B190="","",IF(B190&gt;0,IFERROR(IF(VLOOKUP(LEFT(B190,10),[1]Лист1!$A:$A,1,0)&gt;0,"КО"),IF(E190="","погашен",IF(B190&gt;0,IFERROR(IF(VLOOKUP(B190,'реестр просрочников'!B:B,1,0)&gt;0,"просрочен",),IF(TODAY()&gt;C190,"оплачен","грядет")),"")))))</f>
        <v/>
      </c>
    </row>
    <row r="191" spans="4:6" x14ac:dyDescent="0.25">
      <c r="D191"/>
      <c r="E191" s="1" t="str">
        <f>IFERROR(VLOOKUP(B191,'РП (расш)'!A:G,7,0),"")</f>
        <v/>
      </c>
      <c r="F191" t="str">
        <f ca="1">IF(B191="","",IF(B191&gt;0,IFERROR(IF(VLOOKUP(LEFT(B191,10),[1]Лист1!$A:$A,1,0)&gt;0,"КО"),IF(E191="","погашен",IF(B191&gt;0,IFERROR(IF(VLOOKUP(B191,'реестр просрочников'!B:B,1,0)&gt;0,"просрочен",),IF(TODAY()&gt;C191,"оплачен","грядет")),"")))))</f>
        <v/>
      </c>
    </row>
    <row r="192" spans="4:6" x14ac:dyDescent="0.25">
      <c r="D192"/>
      <c r="E192" s="1" t="str">
        <f>IFERROR(VLOOKUP(B192,'РП (расш)'!A:G,7,0),"")</f>
        <v/>
      </c>
      <c r="F192" t="str">
        <f ca="1">IF(B192="","",IF(B192&gt;0,IFERROR(IF(VLOOKUP(LEFT(B192,10),[1]Лист1!$A:$A,1,0)&gt;0,"КО"),IF(E192="","погашен",IF(B192&gt;0,IFERROR(IF(VLOOKUP(B192,'реестр просрочников'!B:B,1,0)&gt;0,"просрочен",),IF(TODAY()&gt;C192,"оплачен","грядет")),"")))))</f>
        <v/>
      </c>
    </row>
    <row r="193" spans="4:6" x14ac:dyDescent="0.25">
      <c r="D193"/>
      <c r="E193" s="1" t="str">
        <f>IFERROR(VLOOKUP(B193,'РП (расш)'!A:G,7,0),"")</f>
        <v/>
      </c>
      <c r="F193" t="str">
        <f ca="1">IF(B193="","",IF(B193&gt;0,IFERROR(IF(VLOOKUP(LEFT(B193,10),[1]Лист1!$A:$A,1,0)&gt;0,"КО"),IF(E193="","погашен",IF(B193&gt;0,IFERROR(IF(VLOOKUP(B193,'реестр просрочников'!B:B,1,0)&gt;0,"просрочен",),IF(TODAY()&gt;C193,"оплачен","грядет")),"")))))</f>
        <v/>
      </c>
    </row>
    <row r="194" spans="4:6" x14ac:dyDescent="0.25">
      <c r="D194"/>
      <c r="E194" s="1" t="str">
        <f>IFERROR(VLOOKUP(B194,'РП (расш)'!A:G,7,0),"")</f>
        <v/>
      </c>
      <c r="F194" t="str">
        <f ca="1">IF(B194="","",IF(B194&gt;0,IFERROR(IF(VLOOKUP(LEFT(B194,10),[1]Лист1!$A:$A,1,0)&gt;0,"КО"),IF(E194="","погашен",IF(B194&gt;0,IFERROR(IF(VLOOKUP(B194,'реестр просрочников'!B:B,1,0)&gt;0,"просрочен",),IF(TODAY()&gt;C194,"оплачен","грядет")),"")))))</f>
        <v/>
      </c>
    </row>
    <row r="195" spans="4:6" x14ac:dyDescent="0.25">
      <c r="D195"/>
      <c r="E195" s="1" t="str">
        <f>IFERROR(VLOOKUP(B195,'РП (расш)'!A:G,7,0),"")</f>
        <v/>
      </c>
      <c r="F195" t="str">
        <f ca="1">IF(B195="","",IF(B195&gt;0,IFERROR(IF(VLOOKUP(LEFT(B195,10),[1]Лист1!$A:$A,1,0)&gt;0,"КО"),IF(E195="","погашен",IF(B195&gt;0,IFERROR(IF(VLOOKUP(B195,'реестр просрочников'!B:B,1,0)&gt;0,"просрочен",),IF(TODAY()&gt;C195,"оплачен","грядет")),"")))))</f>
        <v/>
      </c>
    </row>
    <row r="196" spans="4:6" x14ac:dyDescent="0.25">
      <c r="D196"/>
      <c r="E196" s="1" t="str">
        <f>IFERROR(VLOOKUP(B196,'РП (расш)'!A:G,7,0),"")</f>
        <v/>
      </c>
      <c r="F196" t="str">
        <f ca="1">IF(B196="","",IF(B196&gt;0,IFERROR(IF(VLOOKUP(LEFT(B196,10),[1]Лист1!$A:$A,1,0)&gt;0,"КО"),IF(E196="","погашен",IF(B196&gt;0,IFERROR(IF(VLOOKUP(B196,'реестр просрочников'!B:B,1,0)&gt;0,"просрочен",),IF(TODAY()&gt;C196,"оплачен","грядет")),"")))))</f>
        <v/>
      </c>
    </row>
    <row r="197" spans="4:6" x14ac:dyDescent="0.25">
      <c r="D197"/>
      <c r="E197" s="1" t="str">
        <f>IFERROR(VLOOKUP(B197,'РП (расш)'!A:G,7,0),"")</f>
        <v/>
      </c>
      <c r="F197" t="str">
        <f ca="1">IF(B197="","",IF(B197&gt;0,IFERROR(IF(VLOOKUP(LEFT(B197,10),[1]Лист1!$A:$A,1,0)&gt;0,"КО"),IF(E197="","погашен",IF(B197&gt;0,IFERROR(IF(VLOOKUP(B197,'реестр просрочников'!B:B,1,0)&gt;0,"просрочен",),IF(TODAY()&gt;C197,"оплачен","грядет")),"")))))</f>
        <v/>
      </c>
    </row>
    <row r="198" spans="4:6" x14ac:dyDescent="0.25">
      <c r="D198"/>
      <c r="E198" s="1" t="str">
        <f>IFERROR(VLOOKUP(B198,'РП (расш)'!A:G,7,0),"")</f>
        <v/>
      </c>
      <c r="F198" t="str">
        <f ca="1">IF(B198="","",IF(B198&gt;0,IFERROR(IF(VLOOKUP(LEFT(B198,10),[1]Лист1!$A:$A,1,0)&gt;0,"КО"),IF(E198="","погашен",IF(B198&gt;0,IFERROR(IF(VLOOKUP(B198,'реестр просрочников'!B:B,1,0)&gt;0,"просрочен",),IF(TODAY()&gt;C198,"оплачен","грядет")),"")))))</f>
        <v/>
      </c>
    </row>
    <row r="199" spans="4:6" x14ac:dyDescent="0.25">
      <c r="D199"/>
      <c r="E199" s="1" t="str">
        <f>IFERROR(VLOOKUP(B199,'РП (расш)'!A:G,7,0),"")</f>
        <v/>
      </c>
      <c r="F199" t="str">
        <f ca="1">IF(B199="","",IF(B199&gt;0,IFERROR(IF(VLOOKUP(LEFT(B199,10),[1]Лист1!$A:$A,1,0)&gt;0,"КО"),IF(E199="","погашен",IF(B199&gt;0,IFERROR(IF(VLOOKUP(B199,'реестр просрочников'!B:B,1,0)&gt;0,"просрочен",),IF(TODAY()&gt;C199,"оплачен","грядет")),"")))))</f>
        <v/>
      </c>
    </row>
    <row r="200" spans="4:6" x14ac:dyDescent="0.25">
      <c r="D200"/>
      <c r="E200" s="1" t="str">
        <f>IFERROR(VLOOKUP(B200,'РП (расш)'!A:G,7,0),"")</f>
        <v/>
      </c>
      <c r="F200" t="str">
        <f ca="1">IF(B200="","",IF(B200&gt;0,IFERROR(IF(VLOOKUP(LEFT(B200,10),[1]Лист1!$A:$A,1,0)&gt;0,"КО"),IF(E200="","погашен",IF(B200&gt;0,IFERROR(IF(VLOOKUP(B200,'реестр просрочников'!B:B,1,0)&gt;0,"просрочен",),IF(TODAY()&gt;C200,"оплачен","грядет")),"")))))</f>
        <v/>
      </c>
    </row>
    <row r="201" spans="4:6" x14ac:dyDescent="0.25">
      <c r="D201"/>
      <c r="E201" s="1" t="str">
        <f>IFERROR(VLOOKUP(B201,'РП (расш)'!A:G,7,0),"")</f>
        <v/>
      </c>
      <c r="F201" t="str">
        <f ca="1">IF(B201="","",IF(B201&gt;0,IFERROR(IF(VLOOKUP(LEFT(B201,10),[1]Лист1!$A:$A,1,0)&gt;0,"КО"),IF(E201="","погашен",IF(B201&gt;0,IFERROR(IF(VLOOKUP(B201,'реестр просрочников'!B:B,1,0)&gt;0,"просрочен",),IF(TODAY()&gt;C201,"оплачен","грядет")),"")))))</f>
        <v/>
      </c>
    </row>
    <row r="202" spans="4:6" x14ac:dyDescent="0.25">
      <c r="D202"/>
      <c r="E202" s="1" t="str">
        <f>IFERROR(VLOOKUP(B202,'РП (расш)'!A:G,7,0),"")</f>
        <v/>
      </c>
      <c r="F202" t="str">
        <f ca="1">IF(B202="","",IF(B202&gt;0,IFERROR(IF(VLOOKUP(LEFT(B202,10),[1]Лист1!$A:$A,1,0)&gt;0,"КО"),IF(E202="","погашен",IF(B202&gt;0,IFERROR(IF(VLOOKUP(B202,'реестр просрочников'!B:B,1,0)&gt;0,"просрочен",),IF(TODAY()&gt;C202,"оплачен","грядет")),"")))))</f>
        <v/>
      </c>
    </row>
    <row r="203" spans="4:6" x14ac:dyDescent="0.25">
      <c r="D203"/>
      <c r="E203" s="1" t="str">
        <f>IFERROR(VLOOKUP(B203,'РП (расш)'!A:G,7,0),"")</f>
        <v/>
      </c>
      <c r="F203" t="str">
        <f ca="1">IF(B203="","",IF(B203&gt;0,IFERROR(IF(VLOOKUP(LEFT(B203,10),[1]Лист1!$A:$A,1,0)&gt;0,"КО"),IF(E203="","погашен",IF(B203&gt;0,IFERROR(IF(VLOOKUP(B203,'реестр просрочников'!B:B,1,0)&gt;0,"просрочен",),IF(TODAY()&gt;C203,"оплачен","грядет")),"")))))</f>
        <v/>
      </c>
    </row>
    <row r="204" spans="4:6" x14ac:dyDescent="0.25">
      <c r="D204"/>
      <c r="E204" s="1" t="str">
        <f>IFERROR(VLOOKUP(B204,'РП (расш)'!A:G,7,0),"")</f>
        <v/>
      </c>
      <c r="F204" t="str">
        <f ca="1">IF(B204="","",IF(B204&gt;0,IFERROR(IF(VLOOKUP(LEFT(B204,10),[1]Лист1!$A:$A,1,0)&gt;0,"КО"),IF(E204="","погашен",IF(B204&gt;0,IFERROR(IF(VLOOKUP(B204,'реестр просрочников'!B:B,1,0)&gt;0,"просрочен",),IF(TODAY()&gt;C204,"оплачен","грядет")),"")))))</f>
        <v/>
      </c>
    </row>
    <row r="205" spans="4:6" x14ac:dyDescent="0.25">
      <c r="D205"/>
      <c r="E205" s="1" t="str">
        <f>IFERROR(VLOOKUP(B205,'РП (расш)'!A:G,7,0),"")</f>
        <v/>
      </c>
      <c r="F205" t="str">
        <f ca="1">IF(B205="","",IF(B205&gt;0,IFERROR(IF(VLOOKUP(LEFT(B205,10),[1]Лист1!$A:$A,1,0)&gt;0,"КО"),IF(E205="","погашен",IF(B205&gt;0,IFERROR(IF(VLOOKUP(B205,'реестр просрочников'!B:B,1,0)&gt;0,"просрочен",),IF(TODAY()&gt;C205,"оплачен","грядет")),"")))))</f>
        <v/>
      </c>
    </row>
    <row r="206" spans="4:6" x14ac:dyDescent="0.25">
      <c r="D206"/>
      <c r="E206" s="1" t="str">
        <f>IFERROR(VLOOKUP(B206,'РП (расш)'!A:G,7,0),"")</f>
        <v/>
      </c>
      <c r="F206" t="str">
        <f ca="1">IF(B206="","",IF(B206&gt;0,IFERROR(IF(VLOOKUP(LEFT(B206,10),[1]Лист1!$A:$A,1,0)&gt;0,"КО"),IF(E206="","погашен",IF(B206&gt;0,IFERROR(IF(VLOOKUP(B206,'реестр просрочников'!B:B,1,0)&gt;0,"просрочен",),IF(TODAY()&gt;C206,"оплачен","грядет")),"")))))</f>
        <v/>
      </c>
    </row>
    <row r="207" spans="4:6" x14ac:dyDescent="0.25">
      <c r="D207"/>
      <c r="E207" s="1" t="str">
        <f>IFERROR(VLOOKUP(B207,'РП (расш)'!A:G,7,0),"")</f>
        <v/>
      </c>
      <c r="F207" t="str">
        <f ca="1">IF(B207="","",IF(B207&gt;0,IFERROR(IF(VLOOKUP(LEFT(B207,10),[1]Лист1!$A:$A,1,0)&gt;0,"КО"),IF(E207="","погашен",IF(B207&gt;0,IFERROR(IF(VLOOKUP(B207,'реестр просрочников'!B:B,1,0)&gt;0,"просрочен",),IF(TODAY()&gt;C207,"оплачен","грядет")),"")))))</f>
        <v/>
      </c>
    </row>
    <row r="208" spans="4:6" x14ac:dyDescent="0.25">
      <c r="D208"/>
      <c r="E208" s="1" t="str">
        <f>IFERROR(VLOOKUP(B208,'РП (расш)'!A:G,7,0),"")</f>
        <v/>
      </c>
      <c r="F208" t="str">
        <f ca="1">IF(B208="","",IF(B208&gt;0,IFERROR(IF(VLOOKUP(LEFT(B208,10),[1]Лист1!$A:$A,1,0)&gt;0,"КО"),IF(E208="","погашен",IF(B208&gt;0,IFERROR(IF(VLOOKUP(B208,'реестр просрочников'!B:B,1,0)&gt;0,"просрочен",),IF(TODAY()&gt;C208,"оплачен","грядет")),"")))))</f>
        <v/>
      </c>
    </row>
    <row r="209" spans="4:6" x14ac:dyDescent="0.25">
      <c r="D209"/>
      <c r="E209" s="1" t="str">
        <f>IFERROR(VLOOKUP(B209,'РП (расш)'!A:G,7,0),"")</f>
        <v/>
      </c>
      <c r="F209" t="str">
        <f ca="1">IF(B209="","",IF(B209&gt;0,IFERROR(IF(VLOOKUP(LEFT(B209,10),[1]Лист1!$A:$A,1,0)&gt;0,"КО"),IF(E209="","погашен",IF(B209&gt;0,IFERROR(IF(VLOOKUP(B209,'реестр просрочников'!B:B,1,0)&gt;0,"просрочен",),IF(TODAY()&gt;C209,"оплачен","грядет")),"")))))</f>
        <v/>
      </c>
    </row>
    <row r="210" spans="4:6" x14ac:dyDescent="0.25">
      <c r="D210"/>
      <c r="E210" s="1" t="str">
        <f>IFERROR(VLOOKUP(B210,'РП (расш)'!A:G,7,0),"")</f>
        <v/>
      </c>
      <c r="F210" t="str">
        <f ca="1">IF(B210="","",IF(B210&gt;0,IFERROR(IF(VLOOKUP(LEFT(B210,10),[1]Лист1!$A:$A,1,0)&gt;0,"КО"),IF(E210="","погашен",IF(B210&gt;0,IFERROR(IF(VLOOKUP(B210,'реестр просрочников'!B:B,1,0)&gt;0,"просрочен",),IF(TODAY()&gt;C210,"оплачен","грядет")),"")))))</f>
        <v/>
      </c>
    </row>
    <row r="211" spans="4:6" x14ac:dyDescent="0.25">
      <c r="D211"/>
      <c r="E211" s="1" t="str">
        <f>IFERROR(VLOOKUP(B211,'РП (расш)'!A:G,7,0),"")</f>
        <v/>
      </c>
      <c r="F211" t="str">
        <f ca="1">IF(B211="","",IF(B211&gt;0,IFERROR(IF(VLOOKUP(LEFT(B211,10),[1]Лист1!$A:$A,1,0)&gt;0,"КО"),IF(E211="","погашен",IF(B211&gt;0,IFERROR(IF(VLOOKUP(B211,'реестр просрочников'!B:B,1,0)&gt;0,"просрочен",),IF(TODAY()&gt;C211,"оплачен","грядет")),"")))))</f>
        <v/>
      </c>
    </row>
    <row r="212" spans="4:6" x14ac:dyDescent="0.25">
      <c r="D212"/>
      <c r="E212" s="1" t="str">
        <f>IFERROR(VLOOKUP(B212,'РП (расш)'!A:G,7,0),"")</f>
        <v/>
      </c>
      <c r="F212" t="str">
        <f ca="1">IF(B212="","",IF(B212&gt;0,IFERROR(IF(VLOOKUP(LEFT(B212,10),[1]Лист1!$A:$A,1,0)&gt;0,"КО"),IF(E212="","погашен",IF(B212&gt;0,IFERROR(IF(VLOOKUP(B212,'реестр просрочников'!B:B,1,0)&gt;0,"просрочен",),IF(TODAY()&gt;C212,"оплачен","грядет")),"")))))</f>
        <v/>
      </c>
    </row>
    <row r="213" spans="4:6" x14ac:dyDescent="0.25">
      <c r="D213"/>
      <c r="E213" s="1" t="str">
        <f>IFERROR(VLOOKUP(B213,'РП (расш)'!A:G,7,0),"")</f>
        <v/>
      </c>
      <c r="F213" t="str">
        <f ca="1">IF(B213="","",IF(B213&gt;0,IFERROR(IF(VLOOKUP(LEFT(B213,10),[1]Лист1!$A:$A,1,0)&gt;0,"КО"),IF(E213="","погашен",IF(B213&gt;0,IFERROR(IF(VLOOKUP(B213,'реестр просрочников'!B:B,1,0)&gt;0,"просрочен",),IF(TODAY()&gt;C213,"оплачен","грядет")),"")))))</f>
        <v/>
      </c>
    </row>
    <row r="214" spans="4:6" x14ac:dyDescent="0.25">
      <c r="D214"/>
      <c r="E214" s="1" t="str">
        <f>IFERROR(VLOOKUP(B214,'РП (расш)'!A:G,7,0),"")</f>
        <v/>
      </c>
      <c r="F214" t="str">
        <f ca="1">IF(B214="","",IF(B214&gt;0,IFERROR(IF(VLOOKUP(LEFT(B214,10),[1]Лист1!$A:$A,1,0)&gt;0,"КО"),IF(E214="","погашен",IF(B214&gt;0,IFERROR(IF(VLOOKUP(B214,'реестр просрочников'!B:B,1,0)&gt;0,"просрочен",),IF(TODAY()&gt;C214,"оплачен","грядет")),"")))))</f>
        <v/>
      </c>
    </row>
    <row r="215" spans="4:6" x14ac:dyDescent="0.25">
      <c r="D215"/>
      <c r="E215" s="1" t="str">
        <f>IFERROR(VLOOKUP(B215,'РП (расш)'!A:G,7,0),"")</f>
        <v/>
      </c>
      <c r="F215" t="str">
        <f ca="1">IF(B215="","",IF(B215&gt;0,IFERROR(IF(VLOOKUP(LEFT(B215,10),[1]Лист1!$A:$A,1,0)&gt;0,"КО"),IF(E215="","погашен",IF(B215&gt;0,IFERROR(IF(VLOOKUP(B215,'реестр просрочников'!B:B,1,0)&gt;0,"просрочен",),IF(TODAY()&gt;C215,"оплачен","грядет")),"")))))</f>
        <v/>
      </c>
    </row>
    <row r="216" spans="4:6" x14ac:dyDescent="0.25">
      <c r="D216"/>
      <c r="E216" s="1" t="str">
        <f>IFERROR(VLOOKUP(B216,'РП (расш)'!A:G,7,0),"")</f>
        <v/>
      </c>
      <c r="F216" t="str">
        <f ca="1">IF(B216="","",IF(B216&gt;0,IFERROR(IF(VLOOKUP(LEFT(B216,10),[1]Лист1!$A:$A,1,0)&gt;0,"КО"),IF(E216="","погашен",IF(B216&gt;0,IFERROR(IF(VLOOKUP(B216,'реестр просрочников'!B:B,1,0)&gt;0,"просрочен",),IF(TODAY()&gt;C216,"оплачен","грядет")),"")))))</f>
        <v/>
      </c>
    </row>
    <row r="217" spans="4:6" x14ac:dyDescent="0.25">
      <c r="D217"/>
      <c r="E217" s="1" t="str">
        <f>IFERROR(VLOOKUP(B217,'РП (расш)'!A:G,7,0),"")</f>
        <v/>
      </c>
      <c r="F217" t="str">
        <f ca="1">IF(B217="","",IF(B217&gt;0,IFERROR(IF(VLOOKUP(LEFT(B217,10),[1]Лист1!$A:$A,1,0)&gt;0,"КО"),IF(E217="","погашен",IF(B217&gt;0,IFERROR(IF(VLOOKUP(B217,'реестр просрочников'!B:B,1,0)&gt;0,"просрочен",),IF(TODAY()&gt;C217,"оплачен","грядет")),"")))))</f>
        <v/>
      </c>
    </row>
    <row r="218" spans="4:6" x14ac:dyDescent="0.25">
      <c r="D218"/>
      <c r="E218" s="1" t="str">
        <f>IFERROR(VLOOKUP(B218,'РП (расш)'!A:G,7,0),"")</f>
        <v/>
      </c>
      <c r="F218" t="str">
        <f ca="1">IF(B218="","",IF(B218&gt;0,IFERROR(IF(VLOOKUP(LEFT(B218,10),[1]Лист1!$A:$A,1,0)&gt;0,"КО"),IF(E218="","погашен",IF(B218&gt;0,IFERROR(IF(VLOOKUP(B218,'реестр просрочников'!B:B,1,0)&gt;0,"просрочен",),IF(TODAY()&gt;C218,"оплачен","грядет")),"")))))</f>
        <v/>
      </c>
    </row>
    <row r="219" spans="4:6" x14ac:dyDescent="0.25">
      <c r="D219"/>
      <c r="E219" s="1" t="str">
        <f>IFERROR(VLOOKUP(B219,'РП (расш)'!A:G,7,0),"")</f>
        <v/>
      </c>
      <c r="F219" t="str">
        <f ca="1">IF(B219="","",IF(B219&gt;0,IFERROR(IF(VLOOKUP(LEFT(B219,10),[1]Лист1!$A:$A,1,0)&gt;0,"КО"),IF(E219="","погашен",IF(B219&gt;0,IFERROR(IF(VLOOKUP(B219,'реестр просрочников'!B:B,1,0)&gt;0,"просрочен",),IF(TODAY()&gt;C219,"оплачен","грядет")),"")))))</f>
        <v/>
      </c>
    </row>
    <row r="220" spans="4:6" x14ac:dyDescent="0.25">
      <c r="D220"/>
      <c r="E220" s="1" t="str">
        <f>IFERROR(VLOOKUP(B220,'РП (расш)'!A:G,7,0),"")</f>
        <v/>
      </c>
      <c r="F220" t="str">
        <f ca="1">IF(B220="","",IF(B220&gt;0,IFERROR(IF(VLOOKUP(LEFT(B220,10),[1]Лист1!$A:$A,1,0)&gt;0,"КО"),IF(E220="","погашен",IF(B220&gt;0,IFERROR(IF(VLOOKUP(B220,'реестр просрочников'!B:B,1,0)&gt;0,"просрочен",),IF(TODAY()&gt;C220,"оплачен","грядет")),"")))))</f>
        <v/>
      </c>
    </row>
    <row r="221" spans="4:6" x14ac:dyDescent="0.25">
      <c r="D221"/>
      <c r="E221" s="1" t="str">
        <f>IFERROR(VLOOKUP(B221,'РП (расш)'!A:G,7,0),"")</f>
        <v/>
      </c>
      <c r="F221" t="str">
        <f ca="1">IF(B221="","",IF(B221&gt;0,IFERROR(IF(VLOOKUP(LEFT(B221,10),[1]Лист1!$A:$A,1,0)&gt;0,"КО"),IF(E221="","погашен",IF(B221&gt;0,IFERROR(IF(VLOOKUP(B221,'реестр просрочников'!B:B,1,0)&gt;0,"просрочен",),IF(TODAY()&gt;C221,"оплачен","грядет")),"")))))</f>
        <v/>
      </c>
    </row>
    <row r="222" spans="4:6" x14ac:dyDescent="0.25">
      <c r="D222"/>
      <c r="E222" s="1" t="str">
        <f>IFERROR(VLOOKUP(B222,'РП (расш)'!A:G,7,0),"")</f>
        <v/>
      </c>
      <c r="F222" t="str">
        <f ca="1">IF(B222="","",IF(B222&gt;0,IFERROR(IF(VLOOKUP(LEFT(B222,10),[1]Лист1!$A:$A,1,0)&gt;0,"КО"),IF(E222="","погашен",IF(B222&gt;0,IFERROR(IF(VLOOKUP(B222,'реестр просрочников'!B:B,1,0)&gt;0,"просрочен",),IF(TODAY()&gt;C222,"оплачен","грядет")),"")))))</f>
        <v/>
      </c>
    </row>
    <row r="223" spans="4:6" x14ac:dyDescent="0.25">
      <c r="D223"/>
      <c r="E223" s="1" t="str">
        <f>IFERROR(VLOOKUP(B223,'РП (расш)'!A:G,7,0),"")</f>
        <v/>
      </c>
      <c r="F223" t="str">
        <f ca="1">IF(B223="","",IF(B223&gt;0,IFERROR(IF(VLOOKUP(LEFT(B223,10),[1]Лист1!$A:$A,1,0)&gt;0,"КО"),IF(E223="","погашен",IF(B223&gt;0,IFERROR(IF(VLOOKUP(B223,'реестр просрочников'!B:B,1,0)&gt;0,"просрочен",),IF(TODAY()&gt;C223,"оплачен","грядет")),"")))))</f>
        <v/>
      </c>
    </row>
    <row r="224" spans="4:6" x14ac:dyDescent="0.25">
      <c r="D224"/>
      <c r="E224" s="1" t="str">
        <f>IFERROR(VLOOKUP(B224,'РП (расш)'!A:G,7,0),"")</f>
        <v/>
      </c>
      <c r="F224" t="str">
        <f ca="1">IF(B224="","",IF(B224&gt;0,IFERROR(IF(VLOOKUP(LEFT(B224,10),[1]Лист1!$A:$A,1,0)&gt;0,"КО"),IF(E224="","погашен",IF(B224&gt;0,IFERROR(IF(VLOOKUP(B224,'реестр просрочников'!B:B,1,0)&gt;0,"просрочен",),IF(TODAY()&gt;C224,"оплачен","грядет")),"")))))</f>
        <v/>
      </c>
    </row>
    <row r="225" spans="4:6" x14ac:dyDescent="0.25">
      <c r="D225"/>
      <c r="E225" s="1" t="str">
        <f>IFERROR(VLOOKUP(B225,'РП (расш)'!A:G,7,0),"")</f>
        <v/>
      </c>
      <c r="F225" t="str">
        <f ca="1">IF(B225="","",IF(B225&gt;0,IFERROR(IF(VLOOKUP(LEFT(B225,10),[1]Лист1!$A:$A,1,0)&gt;0,"КО"),IF(E225="","погашен",IF(B225&gt;0,IFERROR(IF(VLOOKUP(B225,'реестр просрочников'!B:B,1,0)&gt;0,"просрочен",),IF(TODAY()&gt;C225,"оплачен","грядет")),"")))))</f>
        <v/>
      </c>
    </row>
    <row r="226" spans="4:6" x14ac:dyDescent="0.25">
      <c r="D226"/>
      <c r="E226" s="1" t="str">
        <f>IFERROR(VLOOKUP(B226,'РП (расш)'!A:G,7,0),"")</f>
        <v/>
      </c>
      <c r="F226" t="str">
        <f ca="1">IF(B226="","",IF(B226&gt;0,IFERROR(IF(VLOOKUP(LEFT(B226,10),[1]Лист1!$A:$A,1,0)&gt;0,"КО"),IF(E226="","погашен",IF(B226&gt;0,IFERROR(IF(VLOOKUP(B226,'реестр просрочников'!B:B,1,0)&gt;0,"просрочен",),IF(TODAY()&gt;C226,"оплачен","грядет")),"")))))</f>
        <v/>
      </c>
    </row>
    <row r="227" spans="4:6" x14ac:dyDescent="0.25">
      <c r="D227"/>
      <c r="E227" s="1" t="str">
        <f>IFERROR(VLOOKUP(B227,'РП (расш)'!A:G,7,0),"")</f>
        <v/>
      </c>
      <c r="F227" t="str">
        <f ca="1">IF(B227="","",IF(B227&gt;0,IFERROR(IF(VLOOKUP(LEFT(B227,10),[1]Лист1!$A:$A,1,0)&gt;0,"КО"),IF(E227="","погашен",IF(B227&gt;0,IFERROR(IF(VLOOKUP(B227,'реестр просрочников'!B:B,1,0)&gt;0,"просрочен",),IF(TODAY()&gt;C227,"оплачен","грядет")),"")))))</f>
        <v/>
      </c>
    </row>
    <row r="228" spans="4:6" x14ac:dyDescent="0.25">
      <c r="D228"/>
      <c r="E228" s="1" t="str">
        <f>IFERROR(VLOOKUP(B228,'РП (расш)'!A:G,7,0),"")</f>
        <v/>
      </c>
      <c r="F228" t="str">
        <f ca="1">IF(B228="","",IF(B228&gt;0,IFERROR(IF(VLOOKUP(LEFT(B228,10),[1]Лист1!$A:$A,1,0)&gt;0,"КО"),IF(E228="","погашен",IF(B228&gt;0,IFERROR(IF(VLOOKUP(B228,'реестр просрочников'!B:B,1,0)&gt;0,"просрочен",),IF(TODAY()&gt;C228,"оплачен","грядет")),"")))))</f>
        <v/>
      </c>
    </row>
    <row r="229" spans="4:6" x14ac:dyDescent="0.25">
      <c r="D229"/>
      <c r="E229" s="1" t="str">
        <f>IFERROR(VLOOKUP(B229,'РП (расш)'!A:G,7,0),"")</f>
        <v/>
      </c>
      <c r="F229" t="str">
        <f ca="1">IF(B229="","",IF(B229&gt;0,IFERROR(IF(VLOOKUP(LEFT(B229,10),[1]Лист1!$A:$A,1,0)&gt;0,"КО"),IF(E229="","погашен",IF(B229&gt;0,IFERROR(IF(VLOOKUP(B229,'реестр просрочников'!B:B,1,0)&gt;0,"просрочен",),IF(TODAY()&gt;C229,"оплачен","грядет")),"")))))</f>
        <v/>
      </c>
    </row>
    <row r="230" spans="4:6" x14ac:dyDescent="0.25">
      <c r="D230"/>
      <c r="E230" s="1" t="str">
        <f>IFERROR(VLOOKUP(B230,'РП (расш)'!A:G,7,0),"")</f>
        <v/>
      </c>
      <c r="F230" t="str">
        <f ca="1">IF(B230="","",IF(B230&gt;0,IFERROR(IF(VLOOKUP(LEFT(B230,10),[1]Лист1!$A:$A,1,0)&gt;0,"КО"),IF(E230="","погашен",IF(B230&gt;0,IFERROR(IF(VLOOKUP(B230,'реестр просрочников'!B:B,1,0)&gt;0,"просрочен",),IF(TODAY()&gt;C230,"оплачен","грядет")),"")))))</f>
        <v/>
      </c>
    </row>
    <row r="231" spans="4:6" x14ac:dyDescent="0.25">
      <c r="D231"/>
      <c r="E231" s="1" t="str">
        <f>IFERROR(VLOOKUP(B231,'РП (расш)'!A:G,7,0),"")</f>
        <v/>
      </c>
      <c r="F231" t="str">
        <f ca="1">IF(B231="","",IF(B231&gt;0,IFERROR(IF(VLOOKUP(LEFT(B231,10),[1]Лист1!$A:$A,1,0)&gt;0,"КО"),IF(E231="","погашен",IF(B231&gt;0,IFERROR(IF(VLOOKUP(B231,'реестр просрочников'!B:B,1,0)&gt;0,"просрочен",),IF(TODAY()&gt;C231,"оплачен","грядет")),"")))))</f>
        <v/>
      </c>
    </row>
    <row r="232" spans="4:6" x14ac:dyDescent="0.25">
      <c r="D232"/>
      <c r="E232" s="1" t="str">
        <f>IFERROR(VLOOKUP(B232,'РП (расш)'!A:G,7,0),"")</f>
        <v/>
      </c>
      <c r="F232" t="str">
        <f ca="1">IF(B232="","",IF(B232&gt;0,IFERROR(IF(VLOOKUP(LEFT(B232,10),[1]Лист1!$A:$A,1,0)&gt;0,"КО"),IF(E232="","погашен",IF(B232&gt;0,IFERROR(IF(VLOOKUP(B232,'реестр просрочников'!B:B,1,0)&gt;0,"просрочен",),IF(TODAY()&gt;C232,"оплачен","грядет")),"")))))</f>
        <v/>
      </c>
    </row>
    <row r="233" spans="4:6" x14ac:dyDescent="0.25">
      <c r="D233"/>
      <c r="E233" s="1" t="str">
        <f>IFERROR(VLOOKUP(B233,'РП (расш)'!A:G,7,0),"")</f>
        <v/>
      </c>
      <c r="F233" t="str">
        <f ca="1">IF(B233="","",IF(B233&gt;0,IFERROR(IF(VLOOKUP(LEFT(B233,10),[1]Лист1!$A:$A,1,0)&gt;0,"КО"),IF(E233="","погашен",IF(B233&gt;0,IFERROR(IF(VLOOKUP(B233,'реестр просрочников'!B:B,1,0)&gt;0,"просрочен",),IF(TODAY()&gt;C233,"оплачен","грядет")),"")))))</f>
        <v/>
      </c>
    </row>
    <row r="234" spans="4:6" x14ac:dyDescent="0.25">
      <c r="D234"/>
      <c r="E234" s="1" t="str">
        <f>IFERROR(VLOOKUP(B234,'РП (расш)'!A:G,7,0),"")</f>
        <v/>
      </c>
      <c r="F234" t="str">
        <f ca="1">IF(B234="","",IF(B234&gt;0,IFERROR(IF(VLOOKUP(LEFT(B234,10),[1]Лист1!$A:$A,1,0)&gt;0,"КО"),IF(E234="","погашен",IF(B234&gt;0,IFERROR(IF(VLOOKUP(B234,'реестр просрочников'!B:B,1,0)&gt;0,"просрочен",),IF(TODAY()&gt;C234,"оплачен","грядет")),"")))))</f>
        <v/>
      </c>
    </row>
    <row r="235" spans="4:6" x14ac:dyDescent="0.25">
      <c r="D235"/>
      <c r="E235" s="1" t="str">
        <f>IFERROR(VLOOKUP(B235,'РП (расш)'!A:G,7,0),"")</f>
        <v/>
      </c>
      <c r="F235" t="str">
        <f ca="1">IF(B235="","",IF(B235&gt;0,IFERROR(IF(VLOOKUP(LEFT(B235,10),[1]Лист1!$A:$A,1,0)&gt;0,"КО"),IF(E235="","погашен",IF(B235&gt;0,IFERROR(IF(VLOOKUP(B235,'реестр просрочников'!B:B,1,0)&gt;0,"просрочен",),IF(TODAY()&gt;C235,"оплачен","грядет")),"")))))</f>
        <v/>
      </c>
    </row>
    <row r="236" spans="4:6" x14ac:dyDescent="0.25">
      <c r="D236"/>
      <c r="E236" s="1" t="str">
        <f>IFERROR(VLOOKUP(B236,'РП (расш)'!A:G,7,0),"")</f>
        <v/>
      </c>
      <c r="F236" t="str">
        <f ca="1">IF(B236="","",IF(B236&gt;0,IFERROR(IF(VLOOKUP(LEFT(B236,10),[1]Лист1!$A:$A,1,0)&gt;0,"КО"),IF(E236="","погашен",IF(B236&gt;0,IFERROR(IF(VLOOKUP(B236,'реестр просрочников'!B:B,1,0)&gt;0,"просрочен",),IF(TODAY()&gt;C236,"оплачен","грядет")),"")))))</f>
        <v/>
      </c>
    </row>
    <row r="237" spans="4:6" x14ac:dyDescent="0.25">
      <c r="D237"/>
      <c r="E237" s="1" t="str">
        <f>IFERROR(VLOOKUP(B237,'РП (расш)'!A:G,7,0),"")</f>
        <v/>
      </c>
      <c r="F237" t="str">
        <f ca="1">IF(B237="","",IF(B237&gt;0,IFERROR(IF(VLOOKUP(LEFT(B237,10),[1]Лист1!$A:$A,1,0)&gt;0,"КО"),IF(E237="","погашен",IF(B237&gt;0,IFERROR(IF(VLOOKUP(B237,'реестр просрочников'!B:B,1,0)&gt;0,"просрочен",),IF(TODAY()&gt;C237,"оплачен","грядет")),"")))))</f>
        <v/>
      </c>
    </row>
    <row r="238" spans="4:6" x14ac:dyDescent="0.25">
      <c r="D238"/>
      <c r="E238" s="1" t="str">
        <f>IFERROR(VLOOKUP(B238,'РП (расш)'!A:G,7,0),"")</f>
        <v/>
      </c>
      <c r="F238" t="str">
        <f ca="1">IF(B238="","",IF(B238&gt;0,IFERROR(IF(VLOOKUP(LEFT(B238,10),[1]Лист1!$A:$A,1,0)&gt;0,"КО"),IF(E238="","погашен",IF(B238&gt;0,IFERROR(IF(VLOOKUP(B238,'реестр просрочников'!B:B,1,0)&gt;0,"просрочен",),IF(TODAY()&gt;C238,"оплачен","грядет")),"")))))</f>
        <v/>
      </c>
    </row>
    <row r="239" spans="4:6" x14ac:dyDescent="0.25">
      <c r="D239"/>
      <c r="E239" s="1" t="str">
        <f>IFERROR(VLOOKUP(B239,'РП (расш)'!A:G,7,0),"")</f>
        <v/>
      </c>
      <c r="F239" t="str">
        <f ca="1">IF(B239="","",IF(B239&gt;0,IFERROR(IF(VLOOKUP(LEFT(B239,10),[1]Лист1!$A:$A,1,0)&gt;0,"КО"),IF(E239="","погашен",IF(B239&gt;0,IFERROR(IF(VLOOKUP(B239,'реестр просрочников'!B:B,1,0)&gt;0,"просрочен",),IF(TODAY()&gt;C239,"оплачен","грядет")),"")))))</f>
        <v/>
      </c>
    </row>
    <row r="240" spans="4:6" x14ac:dyDescent="0.25">
      <c r="D240"/>
      <c r="E240" s="1" t="str">
        <f>IFERROR(VLOOKUP(B240,'РП (расш)'!A:G,7,0),"")</f>
        <v/>
      </c>
      <c r="F240" t="str">
        <f ca="1">IF(B240="","",IF(B240&gt;0,IFERROR(IF(VLOOKUP(LEFT(B240,10),[1]Лист1!$A:$A,1,0)&gt;0,"КО"),IF(E240="","погашен",IF(B240&gt;0,IFERROR(IF(VLOOKUP(B240,'реестр просрочников'!B:B,1,0)&gt;0,"просрочен",),IF(TODAY()&gt;C240,"оплачен","грядет")),"")))))</f>
        <v/>
      </c>
    </row>
    <row r="241" spans="4:6" x14ac:dyDescent="0.25">
      <c r="D241"/>
      <c r="E241" s="1" t="str">
        <f>IFERROR(VLOOKUP(B241,'РП (расш)'!A:G,7,0),"")</f>
        <v/>
      </c>
      <c r="F241" t="str">
        <f ca="1">IF(B241="","",IF(B241&gt;0,IFERROR(IF(VLOOKUP(LEFT(B241,10),[1]Лист1!$A:$A,1,0)&gt;0,"КО"),IF(E241="","погашен",IF(B241&gt;0,IFERROR(IF(VLOOKUP(B241,'реестр просрочников'!B:B,1,0)&gt;0,"просрочен",),IF(TODAY()&gt;C241,"оплачен","грядет")),"")))))</f>
        <v/>
      </c>
    </row>
    <row r="242" spans="4:6" x14ac:dyDescent="0.25">
      <c r="D242"/>
      <c r="E242" s="1" t="str">
        <f>IFERROR(VLOOKUP(B242,'РП (расш)'!A:G,7,0),"")</f>
        <v/>
      </c>
      <c r="F242" t="str">
        <f ca="1">IF(B242="","",IF(B242&gt;0,IFERROR(IF(VLOOKUP(LEFT(B242,10),[1]Лист1!$A:$A,1,0)&gt;0,"КО"),IF(E242="","погашен",IF(B242&gt;0,IFERROR(IF(VLOOKUP(B242,'реестр просрочников'!B:B,1,0)&gt;0,"просрочен",),IF(TODAY()&gt;C242,"оплачен","грядет")),"")))))</f>
        <v/>
      </c>
    </row>
    <row r="243" spans="4:6" x14ac:dyDescent="0.25">
      <c r="D243"/>
      <c r="E243" s="1" t="str">
        <f>IFERROR(VLOOKUP(B243,'РП (расш)'!A:G,7,0),"")</f>
        <v/>
      </c>
      <c r="F243" t="str">
        <f ca="1">IF(B243="","",IF(B243&gt;0,IFERROR(IF(VLOOKUP(LEFT(B243,10),[1]Лист1!$A:$A,1,0)&gt;0,"КО"),IF(E243="","погашен",IF(B243&gt;0,IFERROR(IF(VLOOKUP(B243,'реестр просрочников'!B:B,1,0)&gt;0,"просрочен",),IF(TODAY()&gt;C243,"оплачен","грядет")),"")))))</f>
        <v/>
      </c>
    </row>
    <row r="244" spans="4:6" x14ac:dyDescent="0.25">
      <c r="D244"/>
      <c r="E244" s="1" t="str">
        <f>IFERROR(VLOOKUP(B244,'РП (расш)'!A:G,7,0),"")</f>
        <v/>
      </c>
      <c r="F244" t="str">
        <f ca="1">IF(B244="","",IF(B244&gt;0,IFERROR(IF(VLOOKUP(LEFT(B244,10),[1]Лист1!$A:$A,1,0)&gt;0,"КО"),IF(E244="","погашен",IF(B244&gt;0,IFERROR(IF(VLOOKUP(B244,'реестр просрочников'!B:B,1,0)&gt;0,"просрочен",),IF(TODAY()&gt;C244,"оплачен","грядет")),"")))))</f>
        <v/>
      </c>
    </row>
    <row r="245" spans="4:6" x14ac:dyDescent="0.25">
      <c r="D245"/>
      <c r="E245" s="1" t="str">
        <f>IFERROR(VLOOKUP(B245,'РП (расш)'!A:G,7,0),"")</f>
        <v/>
      </c>
      <c r="F245" t="str">
        <f ca="1">IF(B245="","",IF(B245&gt;0,IFERROR(IF(VLOOKUP(LEFT(B245,10),[1]Лист1!$A:$A,1,0)&gt;0,"КО"),IF(E245="","погашен",IF(B245&gt;0,IFERROR(IF(VLOOKUP(B245,'реестр просрочников'!B:B,1,0)&gt;0,"просрочен",),IF(TODAY()&gt;C245,"оплачен","грядет")),"")))))</f>
        <v/>
      </c>
    </row>
    <row r="246" spans="4:6" x14ac:dyDescent="0.25">
      <c r="D246"/>
      <c r="E246" s="1" t="str">
        <f>IFERROR(VLOOKUP(B246,'РП (расш)'!A:G,7,0),"")</f>
        <v/>
      </c>
      <c r="F246" t="str">
        <f ca="1">IF(B246="","",IF(B246&gt;0,IFERROR(IF(VLOOKUP(LEFT(B246,10),[1]Лист1!$A:$A,1,0)&gt;0,"КО"),IF(E246="","погашен",IF(B246&gt;0,IFERROR(IF(VLOOKUP(B246,'реестр просрочников'!B:B,1,0)&gt;0,"просрочен",),IF(TODAY()&gt;C246,"оплачен","грядет")),"")))))</f>
        <v/>
      </c>
    </row>
    <row r="247" spans="4:6" x14ac:dyDescent="0.25">
      <c r="D247"/>
      <c r="E247" s="1" t="str">
        <f>IFERROR(VLOOKUP(B247,'РП (расш)'!A:G,7,0),"")</f>
        <v/>
      </c>
      <c r="F247" t="str">
        <f ca="1">IF(B247="","",IF(B247&gt;0,IFERROR(IF(VLOOKUP(LEFT(B247,10),[1]Лист1!$A:$A,1,0)&gt;0,"КО"),IF(E247="","погашен",IF(B247&gt;0,IFERROR(IF(VLOOKUP(B247,'реестр просрочников'!B:B,1,0)&gt;0,"просрочен",),IF(TODAY()&gt;C247,"оплачен","грядет")),"")))))</f>
        <v/>
      </c>
    </row>
    <row r="248" spans="4:6" x14ac:dyDescent="0.25">
      <c r="D248"/>
      <c r="E248" s="1" t="str">
        <f>IFERROR(VLOOKUP(B248,'РП (расш)'!A:G,7,0),"")</f>
        <v/>
      </c>
      <c r="F248" t="str">
        <f ca="1">IF(B248="","",IF(B248&gt;0,IFERROR(IF(VLOOKUP(LEFT(B248,10),[1]Лист1!$A:$A,1,0)&gt;0,"КО"),IF(E248="","погашен",IF(B248&gt;0,IFERROR(IF(VLOOKUP(B248,'реестр просрочников'!B:B,1,0)&gt;0,"просрочен",),IF(TODAY()&gt;C248,"оплачен","грядет")),"")))))</f>
        <v/>
      </c>
    </row>
    <row r="249" spans="4:6" x14ac:dyDescent="0.25">
      <c r="D249"/>
      <c r="E249" s="1" t="str">
        <f>IFERROR(VLOOKUP(B249,'РП (расш)'!A:G,7,0),"")</f>
        <v/>
      </c>
      <c r="F249" t="str">
        <f ca="1">IF(B249="","",IF(B249&gt;0,IFERROR(IF(VLOOKUP(LEFT(B249,10),[1]Лист1!$A:$A,1,0)&gt;0,"КО"),IF(E249="","погашен",IF(B249&gt;0,IFERROR(IF(VLOOKUP(B249,'реестр просрочников'!B:B,1,0)&gt;0,"просрочен",),IF(TODAY()&gt;C249,"оплачен","грядет")),"")))))</f>
        <v/>
      </c>
    </row>
    <row r="250" spans="4:6" x14ac:dyDescent="0.25">
      <c r="D250"/>
      <c r="E250" s="1" t="str">
        <f>IFERROR(VLOOKUP(B250,'РП (расш)'!A:G,7,0),"")</f>
        <v/>
      </c>
      <c r="F250" t="str">
        <f ca="1">IF(B250="","",IF(B250&gt;0,IFERROR(IF(VLOOKUP(LEFT(B250,10),[1]Лист1!$A:$A,1,0)&gt;0,"КО"),IF(E250="","погашен",IF(B250&gt;0,IFERROR(IF(VLOOKUP(B250,'реестр просрочников'!B:B,1,0)&gt;0,"просрочен",),IF(TODAY()&gt;C250,"оплачен","грядет")),"")))))</f>
        <v/>
      </c>
    </row>
    <row r="251" spans="4:6" x14ac:dyDescent="0.25">
      <c r="D251"/>
      <c r="E251" s="1" t="str">
        <f>IFERROR(VLOOKUP(B251,'РП (расш)'!A:G,7,0),"")</f>
        <v/>
      </c>
      <c r="F251" t="str">
        <f ca="1">IF(B251="","",IF(B251&gt;0,IFERROR(IF(VLOOKUP(LEFT(B251,10),[1]Лист1!$A:$A,1,0)&gt;0,"КО"),IF(E251="","погашен",IF(B251&gt;0,IFERROR(IF(VLOOKUP(B251,'реестр просрочников'!B:B,1,0)&gt;0,"просрочен",),IF(TODAY()&gt;C251,"оплачен","грядет")),"")))))</f>
        <v/>
      </c>
    </row>
    <row r="252" spans="4:6" x14ac:dyDescent="0.25">
      <c r="D252"/>
      <c r="E252" s="1" t="str">
        <f>IFERROR(VLOOKUP(B252,'РП (расш)'!A:G,7,0),"")</f>
        <v/>
      </c>
      <c r="F252" t="str">
        <f ca="1">IF(B252="","",IF(B252&gt;0,IFERROR(IF(VLOOKUP(LEFT(B252,10),[1]Лист1!$A:$A,1,0)&gt;0,"КО"),IF(E252="","погашен",IF(B252&gt;0,IFERROR(IF(VLOOKUP(B252,'реестр просрочников'!B:B,1,0)&gt;0,"просрочен",),IF(TODAY()&gt;C252,"оплачен","грядет")),"")))))</f>
        <v/>
      </c>
    </row>
    <row r="253" spans="4:6" x14ac:dyDescent="0.25">
      <c r="D253"/>
      <c r="E253" s="1" t="str">
        <f>IFERROR(VLOOKUP(B253,'РП (расш)'!A:G,7,0),"")</f>
        <v/>
      </c>
      <c r="F253" t="str">
        <f ca="1">IF(B253="","",IF(B253&gt;0,IFERROR(IF(VLOOKUP(LEFT(B253,10),[1]Лист1!$A:$A,1,0)&gt;0,"КО"),IF(E253="","погашен",IF(B253&gt;0,IFERROR(IF(VLOOKUP(B253,'реестр просрочников'!B:B,1,0)&gt;0,"просрочен",),IF(TODAY()&gt;C253,"оплачен","грядет")),"")))))</f>
        <v/>
      </c>
    </row>
    <row r="254" spans="4:6" x14ac:dyDescent="0.25">
      <c r="D254"/>
      <c r="E254" s="1" t="str">
        <f>IFERROR(VLOOKUP(B254,'РП (расш)'!A:G,7,0),"")</f>
        <v/>
      </c>
      <c r="F254" t="str">
        <f ca="1">IF(B254="","",IF(B254&gt;0,IFERROR(IF(VLOOKUP(LEFT(B254,10),[1]Лист1!$A:$A,1,0)&gt;0,"КО"),IF(E254="","погашен",IF(B254&gt;0,IFERROR(IF(VLOOKUP(B254,'реестр просрочников'!B:B,1,0)&gt;0,"просрочен",),IF(TODAY()&gt;C254,"оплачен","грядет")),"")))))</f>
        <v/>
      </c>
    </row>
    <row r="255" spans="4:6" x14ac:dyDescent="0.25">
      <c r="D255"/>
      <c r="E255" s="1" t="str">
        <f>IFERROR(VLOOKUP(B255,'РП (расш)'!A:G,7,0),"")</f>
        <v/>
      </c>
      <c r="F255" t="str">
        <f ca="1">IF(B255="","",IF(B255&gt;0,IFERROR(IF(VLOOKUP(LEFT(B255,10),[1]Лист1!$A:$A,1,0)&gt;0,"КО"),IF(E255="","погашен",IF(B255&gt;0,IFERROR(IF(VLOOKUP(B255,'реестр просрочников'!B:B,1,0)&gt;0,"просрочен",),IF(TODAY()&gt;C255,"оплачен","грядет")),"")))))</f>
        <v/>
      </c>
    </row>
    <row r="256" spans="4:6" x14ac:dyDescent="0.25">
      <c r="D256"/>
      <c r="E256" s="1" t="str">
        <f>IFERROR(VLOOKUP(B256,'РП (расш)'!A:G,7,0),"")</f>
        <v/>
      </c>
      <c r="F256" t="str">
        <f ca="1">IF(B256="","",IF(B256&gt;0,IFERROR(IF(VLOOKUP(LEFT(B256,10),[1]Лист1!$A:$A,1,0)&gt;0,"КО"),IF(E256="","погашен",IF(B256&gt;0,IFERROR(IF(VLOOKUP(B256,'реестр просрочников'!B:B,1,0)&gt;0,"просрочен",),IF(TODAY()&gt;C256,"оплачен","грядет")),"")))))</f>
        <v/>
      </c>
    </row>
    <row r="257" spans="4:6" x14ac:dyDescent="0.25">
      <c r="D257"/>
      <c r="E257" s="1" t="str">
        <f>IFERROR(VLOOKUP(B257,'РП (расш)'!A:G,7,0),"")</f>
        <v/>
      </c>
      <c r="F257" t="str">
        <f ca="1">IF(B257="","",IF(B257&gt;0,IFERROR(IF(VLOOKUP(LEFT(B257,10),[1]Лист1!$A:$A,1,0)&gt;0,"КО"),IF(E257="","погашен",IF(B257&gt;0,IFERROR(IF(VLOOKUP(B257,'реестр просрочников'!B:B,1,0)&gt;0,"просрочен",),IF(TODAY()&gt;C257,"оплачен","грядет")),"")))))</f>
        <v/>
      </c>
    </row>
    <row r="258" spans="4:6" x14ac:dyDescent="0.25">
      <c r="D258"/>
      <c r="E258" s="1" t="str">
        <f>IFERROR(VLOOKUP(B258,'РП (расш)'!A:G,7,0),"")</f>
        <v/>
      </c>
      <c r="F258" t="str">
        <f ca="1">IF(B258="","",IF(B258&gt;0,IFERROR(IF(VLOOKUP(LEFT(B258,10),[1]Лист1!$A:$A,1,0)&gt;0,"КО"),IF(E258="","погашен",IF(B258&gt;0,IFERROR(IF(VLOOKUP(B258,'реестр просрочников'!B:B,1,0)&gt;0,"просрочен",),IF(TODAY()&gt;C258,"оплачен","грядет")),"")))))</f>
        <v/>
      </c>
    </row>
    <row r="259" spans="4:6" x14ac:dyDescent="0.25">
      <c r="D259"/>
      <c r="E259" s="1" t="str">
        <f>IFERROR(VLOOKUP(B259,'РП (расш)'!A:G,7,0),"")</f>
        <v/>
      </c>
      <c r="F259" t="str">
        <f ca="1">IF(B259="","",IF(B259&gt;0,IFERROR(IF(VLOOKUP(LEFT(B259,10),[1]Лист1!$A:$A,1,0)&gt;0,"КО"),IF(E259="","погашен",IF(B259&gt;0,IFERROR(IF(VLOOKUP(B259,'реестр просрочников'!B:B,1,0)&gt;0,"просрочен",),IF(TODAY()&gt;C259,"оплачен","грядет")),"")))))</f>
        <v/>
      </c>
    </row>
    <row r="260" spans="4:6" x14ac:dyDescent="0.25">
      <c r="D260"/>
      <c r="E260" s="1" t="str">
        <f>IFERROR(VLOOKUP(B260,'РП (расш)'!A:G,7,0),"")</f>
        <v/>
      </c>
      <c r="F260" t="str">
        <f ca="1">IF(B260="","",IF(B260&gt;0,IFERROR(IF(VLOOKUP(LEFT(B260,10),[1]Лист1!$A:$A,1,0)&gt;0,"КО"),IF(E260="","погашен",IF(B260&gt;0,IFERROR(IF(VLOOKUP(B260,'реестр просрочников'!B:B,1,0)&gt;0,"просрочен",),IF(TODAY()&gt;C260,"оплачен","грядет")),"")))))</f>
        <v/>
      </c>
    </row>
    <row r="261" spans="4:6" x14ac:dyDescent="0.25">
      <c r="D261"/>
      <c r="E261" s="1" t="str">
        <f>IFERROR(VLOOKUP(B261,'РП (расш)'!A:G,7,0),"")</f>
        <v/>
      </c>
      <c r="F261" t="str">
        <f ca="1">IF(B261="","",IF(B261&gt;0,IFERROR(IF(VLOOKUP(LEFT(B261,10),[1]Лист1!$A:$A,1,0)&gt;0,"КО"),IF(E261="","погашен",IF(B261&gt;0,IFERROR(IF(VLOOKUP(B261,'реестр просрочников'!B:B,1,0)&gt;0,"просрочен",),IF(TODAY()&gt;C261,"оплачен","грядет")),"")))))</f>
        <v/>
      </c>
    </row>
    <row r="262" spans="4:6" x14ac:dyDescent="0.25">
      <c r="D262"/>
      <c r="E262" s="1" t="str">
        <f>IFERROR(VLOOKUP(B262,'РП (расш)'!A:G,7,0),"")</f>
        <v/>
      </c>
      <c r="F262" t="str">
        <f ca="1">IF(B262="","",IF(B262&gt;0,IFERROR(IF(VLOOKUP(LEFT(B262,10),[1]Лист1!$A:$A,1,0)&gt;0,"КО"),IF(E262="","погашен",IF(B262&gt;0,IFERROR(IF(VLOOKUP(B262,'реестр просрочников'!B:B,1,0)&gt;0,"просрочен",),IF(TODAY()&gt;C262,"оплачен","грядет")),"")))))</f>
        <v/>
      </c>
    </row>
    <row r="263" spans="4:6" x14ac:dyDescent="0.25">
      <c r="D263"/>
      <c r="E263" s="1" t="str">
        <f>IFERROR(VLOOKUP(B263,'РП (расш)'!A:G,7,0),"")</f>
        <v/>
      </c>
      <c r="F263" t="str">
        <f ca="1">IF(B263="","",IF(B263&gt;0,IFERROR(IF(VLOOKUP(LEFT(B263,10),[1]Лист1!$A:$A,1,0)&gt;0,"КО"),IF(E263="","погашен",IF(B263&gt;0,IFERROR(IF(VLOOKUP(B263,'реестр просрочников'!B:B,1,0)&gt;0,"просрочен",),IF(TODAY()&gt;C263,"оплачен","грядет")),"")))))</f>
        <v/>
      </c>
    </row>
    <row r="264" spans="4:6" x14ac:dyDescent="0.25">
      <c r="D264"/>
      <c r="E264" s="1" t="str">
        <f>IFERROR(VLOOKUP(B264,'РП (расш)'!A:G,7,0),"")</f>
        <v/>
      </c>
      <c r="F264" t="str">
        <f ca="1">IF(B264="","",IF(B264&gt;0,IFERROR(IF(VLOOKUP(LEFT(B264,10),[1]Лист1!$A:$A,1,0)&gt;0,"КО"),IF(E264="","погашен",IF(B264&gt;0,IFERROR(IF(VLOOKUP(B264,'реестр просрочников'!B:B,1,0)&gt;0,"просрочен",),IF(TODAY()&gt;C264,"оплачен","грядет")),"")))))</f>
        <v/>
      </c>
    </row>
    <row r="265" spans="4:6" x14ac:dyDescent="0.25">
      <c r="D265"/>
      <c r="E265" s="1" t="str">
        <f>IFERROR(VLOOKUP(B265,'РП (расш)'!A:G,7,0),"")</f>
        <v/>
      </c>
      <c r="F265" t="str">
        <f ca="1">IF(B265="","",IF(B265&gt;0,IFERROR(IF(VLOOKUP(LEFT(B265,10),[1]Лист1!$A:$A,1,0)&gt;0,"КО"),IF(E265="","погашен",IF(B265&gt;0,IFERROR(IF(VLOOKUP(B265,'реестр просрочников'!B:B,1,0)&gt;0,"просрочен",),IF(TODAY()&gt;C265,"оплачен","грядет")),"")))))</f>
        <v/>
      </c>
    </row>
    <row r="266" spans="4:6" x14ac:dyDescent="0.25">
      <c r="D266"/>
      <c r="E266" s="1" t="str">
        <f>IFERROR(VLOOKUP(B266,'РП (расш)'!A:G,7,0),"")</f>
        <v/>
      </c>
      <c r="F266" t="str">
        <f ca="1">IF(B266="","",IF(B266&gt;0,IFERROR(IF(VLOOKUP(LEFT(B266,10),[1]Лист1!$A:$A,1,0)&gt;0,"КО"),IF(E266="","погашен",IF(B266&gt;0,IFERROR(IF(VLOOKUP(B266,'реестр просрочников'!B:B,1,0)&gt;0,"просрочен",),IF(TODAY()&gt;C266,"оплачен","грядет")),"")))))</f>
        <v/>
      </c>
    </row>
    <row r="267" spans="4:6" x14ac:dyDescent="0.25">
      <c r="D267"/>
      <c r="E267" s="1" t="str">
        <f>IFERROR(VLOOKUP(B267,'РП (расш)'!A:G,7,0),"")</f>
        <v/>
      </c>
      <c r="F267" t="str">
        <f ca="1">IF(B267="","",IF(B267&gt;0,IFERROR(IF(VLOOKUP(LEFT(B267,10),[1]Лист1!$A:$A,1,0)&gt;0,"КО"),IF(E267="","погашен",IF(B267&gt;0,IFERROR(IF(VLOOKUP(B267,'реестр просрочников'!B:B,1,0)&gt;0,"просрочен",),IF(TODAY()&gt;C267,"оплачен","грядет")),"")))))</f>
        <v/>
      </c>
    </row>
    <row r="268" spans="4:6" x14ac:dyDescent="0.25">
      <c r="D268"/>
      <c r="E268" s="1" t="str">
        <f>IFERROR(VLOOKUP(B268,'РП (расш)'!A:G,7,0),"")</f>
        <v/>
      </c>
      <c r="F268" t="str">
        <f ca="1">IF(B268="","",IF(B268&gt;0,IFERROR(IF(VLOOKUP(LEFT(B268,10),[1]Лист1!$A:$A,1,0)&gt;0,"КО"),IF(E268="","погашен",IF(B268&gt;0,IFERROR(IF(VLOOKUP(B268,'реестр просрочников'!B:B,1,0)&gt;0,"просрочен",),IF(TODAY()&gt;C268,"оплачен","грядет")),"")))))</f>
        <v/>
      </c>
    </row>
    <row r="269" spans="4:6" x14ac:dyDescent="0.25">
      <c r="D269"/>
      <c r="E269" s="1" t="str">
        <f>IFERROR(VLOOKUP(B269,'РП (расш)'!A:G,7,0),"")</f>
        <v/>
      </c>
      <c r="F269" t="str">
        <f ca="1">IF(B269="","",IF(B269&gt;0,IFERROR(IF(VLOOKUP(LEFT(B269,10),[1]Лист1!$A:$A,1,0)&gt;0,"КО"),IF(E269="","погашен",IF(B269&gt;0,IFERROR(IF(VLOOKUP(B269,'реестр просрочников'!B:B,1,0)&gt;0,"просрочен",),IF(TODAY()&gt;C269,"оплачен","грядет")),"")))))</f>
        <v/>
      </c>
    </row>
    <row r="270" spans="4:6" x14ac:dyDescent="0.25">
      <c r="D270"/>
      <c r="E270" s="1" t="str">
        <f>IFERROR(VLOOKUP(B270,'РП (расш)'!A:G,7,0),"")</f>
        <v/>
      </c>
      <c r="F270" t="str">
        <f ca="1">IF(B270="","",IF(B270&gt;0,IFERROR(IF(VLOOKUP(LEFT(B270,10),[1]Лист1!$A:$A,1,0)&gt;0,"КО"),IF(E270="","погашен",IF(B270&gt;0,IFERROR(IF(VLOOKUP(B270,'реестр просрочников'!B:B,1,0)&gt;0,"просрочен",),IF(TODAY()&gt;C270,"оплачен","грядет")),"")))))</f>
        <v/>
      </c>
    </row>
    <row r="271" spans="4:6" x14ac:dyDescent="0.25">
      <c r="D271"/>
      <c r="E271" s="1" t="str">
        <f>IFERROR(VLOOKUP(B271,'РП (расш)'!A:G,7,0),"")</f>
        <v/>
      </c>
      <c r="F271" t="str">
        <f ca="1">IF(B271="","",IF(B271&gt;0,IFERROR(IF(VLOOKUP(LEFT(B271,10),[1]Лист1!$A:$A,1,0)&gt;0,"КО"),IF(E271="","погашен",IF(B271&gt;0,IFERROR(IF(VLOOKUP(B271,'реестр просрочников'!B:B,1,0)&gt;0,"просрочен",),IF(TODAY()&gt;C271,"оплачен","грядет")),"")))))</f>
        <v/>
      </c>
    </row>
    <row r="272" spans="4:6" x14ac:dyDescent="0.25">
      <c r="D272"/>
      <c r="E272" s="1" t="str">
        <f>IFERROR(VLOOKUP(B272,'РП (расш)'!A:G,7,0),"")</f>
        <v/>
      </c>
      <c r="F272" t="str">
        <f ca="1">IF(B272="","",IF(B272&gt;0,IFERROR(IF(VLOOKUP(LEFT(B272,10),[1]Лист1!$A:$A,1,0)&gt;0,"КО"),IF(E272="","погашен",IF(B272&gt;0,IFERROR(IF(VLOOKUP(B272,'реестр просрочников'!B:B,1,0)&gt;0,"просрочен",),IF(TODAY()&gt;C272,"оплачен","грядет")),"")))))</f>
        <v/>
      </c>
    </row>
    <row r="273" spans="4:6" x14ac:dyDescent="0.25">
      <c r="D273"/>
      <c r="E273" s="1" t="str">
        <f>IFERROR(VLOOKUP(B273,'РП (расш)'!A:G,7,0),"")</f>
        <v/>
      </c>
      <c r="F273" t="str">
        <f ca="1">IF(B273="","",IF(B273&gt;0,IFERROR(IF(VLOOKUP(LEFT(B273,10),[1]Лист1!$A:$A,1,0)&gt;0,"КО"),IF(E273="","погашен",IF(B273&gt;0,IFERROR(IF(VLOOKUP(B273,'реестр просрочников'!B:B,1,0)&gt;0,"просрочен",),IF(TODAY()&gt;C273,"оплачен","грядет")),"")))))</f>
        <v/>
      </c>
    </row>
    <row r="274" spans="4:6" x14ac:dyDescent="0.25">
      <c r="D274"/>
      <c r="E274" s="1" t="str">
        <f>IFERROR(VLOOKUP(B274,'РП (расш)'!A:G,7,0),"")</f>
        <v/>
      </c>
      <c r="F274" t="str">
        <f ca="1">IF(B274="","",IF(B274&gt;0,IFERROR(IF(VLOOKUP(LEFT(B274,10),[1]Лист1!$A:$A,1,0)&gt;0,"КО"),IF(E274="","погашен",IF(B274&gt;0,IFERROR(IF(VLOOKUP(B274,'реестр просрочников'!B:B,1,0)&gt;0,"просрочен",),IF(TODAY()&gt;C274,"оплачен","грядет")),"")))))</f>
        <v/>
      </c>
    </row>
    <row r="275" spans="4:6" x14ac:dyDescent="0.25">
      <c r="D275"/>
      <c r="E275" s="1" t="str">
        <f>IFERROR(VLOOKUP(B275,'РП (расш)'!A:G,7,0),"")</f>
        <v/>
      </c>
      <c r="F275" t="str">
        <f ca="1">IF(B275="","",IF(B275&gt;0,IFERROR(IF(VLOOKUP(LEFT(B275,10),[1]Лист1!$A:$A,1,0)&gt;0,"КО"),IF(E275="","погашен",IF(B275&gt;0,IFERROR(IF(VLOOKUP(B275,'реестр просрочников'!B:B,1,0)&gt;0,"просрочен",),IF(TODAY()&gt;C275,"оплачен","грядет")),"")))))</f>
        <v/>
      </c>
    </row>
    <row r="276" spans="4:6" x14ac:dyDescent="0.25">
      <c r="D276"/>
      <c r="E276" s="1" t="str">
        <f>IFERROR(VLOOKUP(B276,'РП (расш)'!A:G,7,0),"")</f>
        <v/>
      </c>
      <c r="F276" t="str">
        <f ca="1">IF(B276="","",IF(B276&gt;0,IFERROR(IF(VLOOKUP(LEFT(B276,10),[1]Лист1!$A:$A,1,0)&gt;0,"КО"),IF(E276="","погашен",IF(B276&gt;0,IFERROR(IF(VLOOKUP(B276,'реестр просрочников'!B:B,1,0)&gt;0,"просрочен",),IF(TODAY()&gt;C276,"оплачен","грядет")),"")))))</f>
        <v/>
      </c>
    </row>
    <row r="277" spans="4:6" x14ac:dyDescent="0.25">
      <c r="D277"/>
      <c r="E277" s="1" t="str">
        <f>IFERROR(VLOOKUP(B277,'РП (расш)'!A:G,7,0),"")</f>
        <v/>
      </c>
      <c r="F277" t="str">
        <f ca="1">IF(B277="","",IF(B277&gt;0,IFERROR(IF(VLOOKUP(LEFT(B277,10),[1]Лист1!$A:$A,1,0)&gt;0,"КО"),IF(E277="","погашен",IF(B277&gt;0,IFERROR(IF(VLOOKUP(B277,'реестр просрочников'!B:B,1,0)&gt;0,"просрочен",),IF(TODAY()&gt;C277,"оплачен","грядет")),"")))))</f>
        <v/>
      </c>
    </row>
    <row r="278" spans="4:6" x14ac:dyDescent="0.25">
      <c r="D278"/>
      <c r="E278" s="1" t="str">
        <f>IFERROR(VLOOKUP(B278,'РП (расш)'!A:G,7,0),"")</f>
        <v/>
      </c>
      <c r="F278" t="str">
        <f ca="1">IF(B278="","",IF(B278&gt;0,IFERROR(IF(VLOOKUP(LEFT(B278,10),[1]Лист1!$A:$A,1,0)&gt;0,"КО"),IF(E278="","погашен",IF(B278&gt;0,IFERROR(IF(VLOOKUP(B278,'реестр просрочников'!B:B,1,0)&gt;0,"просрочен",),IF(TODAY()&gt;C278,"оплачен","грядет")),"")))))</f>
        <v/>
      </c>
    </row>
    <row r="279" spans="4:6" x14ac:dyDescent="0.25">
      <c r="D279"/>
      <c r="E279" s="1" t="str">
        <f>IFERROR(VLOOKUP(B279,'РП (расш)'!A:G,7,0),"")</f>
        <v/>
      </c>
      <c r="F279" t="str">
        <f ca="1">IF(B279="","",IF(B279&gt;0,IFERROR(IF(VLOOKUP(LEFT(B279,10),[1]Лист1!$A:$A,1,0)&gt;0,"КО"),IF(E279="","погашен",IF(B279&gt;0,IFERROR(IF(VLOOKUP(B279,'реестр просрочников'!B:B,1,0)&gt;0,"просрочен",),IF(TODAY()&gt;C279,"оплачен","грядет")),"")))))</f>
        <v/>
      </c>
    </row>
    <row r="280" spans="4:6" x14ac:dyDescent="0.25">
      <c r="D280"/>
      <c r="E280" s="1" t="str">
        <f>IFERROR(VLOOKUP(B280,'РП (расш)'!A:G,7,0),"")</f>
        <v/>
      </c>
      <c r="F280" t="str">
        <f ca="1">IF(B280="","",IF(B280&gt;0,IFERROR(IF(VLOOKUP(LEFT(B280,10),[1]Лист1!$A:$A,1,0)&gt;0,"КО"),IF(E280="","погашен",IF(B280&gt;0,IFERROR(IF(VLOOKUP(B280,'реестр просрочников'!B:B,1,0)&gt;0,"просрочен",),IF(TODAY()&gt;C280,"оплачен","грядет")),"")))))</f>
        <v/>
      </c>
    </row>
    <row r="281" spans="4:6" x14ac:dyDescent="0.25">
      <c r="D281"/>
      <c r="E281" s="1" t="str">
        <f>IFERROR(VLOOKUP(B281,'РП (расш)'!A:G,7,0),"")</f>
        <v/>
      </c>
      <c r="F281" t="str">
        <f ca="1">IF(B281="","",IF(B281&gt;0,IFERROR(IF(VLOOKUP(LEFT(B281,10),[1]Лист1!$A:$A,1,0)&gt;0,"КО"),IF(E281="","погашен",IF(B281&gt;0,IFERROR(IF(VLOOKUP(B281,'реестр просрочников'!B:B,1,0)&gt;0,"просрочен",),IF(TODAY()&gt;C281,"оплачен","грядет")),"")))))</f>
        <v/>
      </c>
    </row>
    <row r="282" spans="4:6" x14ac:dyDescent="0.25">
      <c r="D282"/>
      <c r="E282" s="1" t="str">
        <f>IFERROR(VLOOKUP(B282,'РП (расш)'!A:G,7,0),"")</f>
        <v/>
      </c>
      <c r="F282" t="str">
        <f ca="1">IF(B282="","",IF(B282&gt;0,IFERROR(IF(VLOOKUP(LEFT(B282,10),[1]Лист1!$A:$A,1,0)&gt;0,"КО"),IF(E282="","погашен",IF(B282&gt;0,IFERROR(IF(VLOOKUP(B282,'реестр просрочников'!B:B,1,0)&gt;0,"просрочен",),IF(TODAY()&gt;C282,"оплачен","грядет")),"")))))</f>
        <v/>
      </c>
    </row>
    <row r="283" spans="4:6" x14ac:dyDescent="0.25">
      <c r="D283"/>
      <c r="E283" s="1" t="str">
        <f>IFERROR(VLOOKUP(B283,'РП (расш)'!A:G,7,0),"")</f>
        <v/>
      </c>
      <c r="F283" t="str">
        <f ca="1">IF(B283="","",IF(B283&gt;0,IFERROR(IF(VLOOKUP(LEFT(B283,10),[1]Лист1!$A:$A,1,0)&gt;0,"КО"),IF(E283="","погашен",IF(B283&gt;0,IFERROR(IF(VLOOKUP(B283,'реестр просрочников'!B:B,1,0)&gt;0,"просрочен",),IF(TODAY()&gt;C283,"оплачен","грядет")),"")))))</f>
        <v/>
      </c>
    </row>
    <row r="284" spans="4:6" x14ac:dyDescent="0.25">
      <c r="D284"/>
      <c r="E284" s="1" t="str">
        <f>IFERROR(VLOOKUP(B284,'РП (расш)'!A:G,7,0),"")</f>
        <v/>
      </c>
      <c r="F284" t="str">
        <f ca="1">IF(B284="","",IF(B284&gt;0,IFERROR(IF(VLOOKUP(LEFT(B284,10),[1]Лист1!$A:$A,1,0)&gt;0,"КО"),IF(E284="","погашен",IF(B284&gt;0,IFERROR(IF(VLOOKUP(B284,'реестр просрочников'!B:B,1,0)&gt;0,"просрочен",),IF(TODAY()&gt;C284,"оплачен","грядет")),"")))))</f>
        <v/>
      </c>
    </row>
    <row r="285" spans="4:6" x14ac:dyDescent="0.25">
      <c r="D285"/>
      <c r="E285" s="1" t="str">
        <f>IFERROR(VLOOKUP(B285,'РП (расш)'!A:G,7,0),"")</f>
        <v/>
      </c>
      <c r="F285" t="str">
        <f ca="1">IF(B285="","",IF(B285&gt;0,IFERROR(IF(VLOOKUP(LEFT(B285,10),[1]Лист1!$A:$A,1,0)&gt;0,"КО"),IF(E285="","погашен",IF(B285&gt;0,IFERROR(IF(VLOOKUP(B285,'реестр просрочников'!B:B,1,0)&gt;0,"просрочен",),IF(TODAY()&gt;C285,"оплачен","грядет")),"")))))</f>
        <v/>
      </c>
    </row>
    <row r="286" spans="4:6" x14ac:dyDescent="0.25">
      <c r="D286"/>
      <c r="E286" s="1" t="str">
        <f>IFERROR(VLOOKUP(B286,'РП (расш)'!A:G,7,0),"")</f>
        <v/>
      </c>
      <c r="F286" t="str">
        <f ca="1">IF(B286="","",IF(B286&gt;0,IFERROR(IF(VLOOKUP(LEFT(B286,10),[1]Лист1!$A:$A,1,0)&gt;0,"КО"),IF(E286="","погашен",IF(B286&gt;0,IFERROR(IF(VLOOKUP(B286,'реестр просрочников'!B:B,1,0)&gt;0,"просрочен",),IF(TODAY()&gt;C286,"оплачен","грядет")),"")))))</f>
        <v/>
      </c>
    </row>
    <row r="287" spans="4:6" x14ac:dyDescent="0.25">
      <c r="D287"/>
      <c r="E287" s="1" t="str">
        <f>IFERROR(VLOOKUP(B287,'РП (расш)'!A:G,7,0),"")</f>
        <v/>
      </c>
      <c r="F287" t="str">
        <f ca="1">IF(B287="","",IF(B287&gt;0,IFERROR(IF(VLOOKUP(LEFT(B287,10),[1]Лист1!$A:$A,1,0)&gt;0,"КО"),IF(E287="","погашен",IF(B287&gt;0,IFERROR(IF(VLOOKUP(B287,'реестр просрочников'!B:B,1,0)&gt;0,"просрочен",),IF(TODAY()&gt;C287,"оплачен","грядет")),"")))))</f>
        <v/>
      </c>
    </row>
    <row r="288" spans="4:6" x14ac:dyDescent="0.25">
      <c r="D288"/>
      <c r="E288" s="1" t="str">
        <f>IFERROR(VLOOKUP(B288,'РП (расш)'!A:G,7,0),"")</f>
        <v/>
      </c>
      <c r="F288" t="str">
        <f ca="1">IF(B288="","",IF(B288&gt;0,IFERROR(IF(VLOOKUP(LEFT(B288,10),[1]Лист1!$A:$A,1,0)&gt;0,"КО"),IF(E288="","погашен",IF(B288&gt;0,IFERROR(IF(VLOOKUP(B288,'реестр просрочников'!B:B,1,0)&gt;0,"просрочен",),IF(TODAY()&gt;C288,"оплачен","грядет")),"")))))</f>
        <v/>
      </c>
    </row>
    <row r="289" spans="4:6" x14ac:dyDescent="0.25">
      <c r="D289"/>
      <c r="E289" s="1" t="str">
        <f>IFERROR(VLOOKUP(B289,'РП (расш)'!A:G,7,0),"")</f>
        <v/>
      </c>
      <c r="F289" t="str">
        <f ca="1">IF(B289="","",IF(B289&gt;0,IFERROR(IF(VLOOKUP(LEFT(B289,10),[1]Лист1!$A:$A,1,0)&gt;0,"КО"),IF(E289="","погашен",IF(B289&gt;0,IFERROR(IF(VLOOKUP(B289,'реестр просрочников'!B:B,1,0)&gt;0,"просрочен",),IF(TODAY()&gt;C289,"оплачен","грядет")),"")))))</f>
        <v/>
      </c>
    </row>
    <row r="290" spans="4:6" x14ac:dyDescent="0.25">
      <c r="D290"/>
      <c r="E290" s="1" t="str">
        <f>IFERROR(VLOOKUP(B290,'РП (расш)'!A:G,7,0),"")</f>
        <v/>
      </c>
      <c r="F290" t="str">
        <f ca="1">IF(B290="","",IF(B290&gt;0,IFERROR(IF(VLOOKUP(LEFT(B290,10),[1]Лист1!$A:$A,1,0)&gt;0,"КО"),IF(E290="","погашен",IF(B290&gt;0,IFERROR(IF(VLOOKUP(B290,'реестр просрочников'!B:B,1,0)&gt;0,"просрочен",),IF(TODAY()&gt;C290,"оплачен","грядет")),"")))))</f>
        <v/>
      </c>
    </row>
    <row r="291" spans="4:6" x14ac:dyDescent="0.25">
      <c r="D291"/>
      <c r="E291" s="1" t="str">
        <f>IFERROR(VLOOKUP(B291,'РП (расш)'!A:G,7,0),"")</f>
        <v/>
      </c>
      <c r="F291" t="str">
        <f ca="1">IF(B291="","",IF(B291&gt;0,IFERROR(IF(VLOOKUP(LEFT(B291,10),[1]Лист1!$A:$A,1,0)&gt;0,"КО"),IF(E291="","погашен",IF(B291&gt;0,IFERROR(IF(VLOOKUP(B291,'реестр просрочников'!B:B,1,0)&gt;0,"просрочен",),IF(TODAY()&gt;C291,"оплачен","грядет")),"")))))</f>
        <v/>
      </c>
    </row>
    <row r="292" spans="4:6" x14ac:dyDescent="0.25">
      <c r="D292"/>
      <c r="E292" s="1" t="str">
        <f>IFERROR(VLOOKUP(B292,'РП (расш)'!A:G,7,0),"")</f>
        <v/>
      </c>
      <c r="F292" t="str">
        <f ca="1">IF(B292="","",IF(B292&gt;0,IFERROR(IF(VLOOKUP(LEFT(B292,10),[1]Лист1!$A:$A,1,0)&gt;0,"КО"),IF(E292="","погашен",IF(B292&gt;0,IFERROR(IF(VLOOKUP(B292,'реестр просрочников'!B:B,1,0)&gt;0,"просрочен",),IF(TODAY()&gt;C292,"оплачен","грядет")),"")))))</f>
        <v/>
      </c>
    </row>
    <row r="293" spans="4:6" x14ac:dyDescent="0.25">
      <c r="D293"/>
      <c r="E293" s="1" t="str">
        <f>IFERROR(VLOOKUP(B293,'РП (расш)'!A:G,7,0),"")</f>
        <v/>
      </c>
      <c r="F293" t="str">
        <f ca="1">IF(B293="","",IF(B293&gt;0,IFERROR(IF(VLOOKUP(LEFT(B293,10),[1]Лист1!$A:$A,1,0)&gt;0,"КО"),IF(E293="","погашен",IF(B293&gt;0,IFERROR(IF(VLOOKUP(B293,'реестр просрочников'!B:B,1,0)&gt;0,"просрочен",),IF(TODAY()&gt;C293,"оплачен","грядет")),"")))))</f>
        <v/>
      </c>
    </row>
    <row r="294" spans="4:6" x14ac:dyDescent="0.25">
      <c r="D294"/>
      <c r="E294" s="1" t="str">
        <f>IFERROR(VLOOKUP(B294,'РП (расш)'!A:G,7,0),"")</f>
        <v/>
      </c>
      <c r="F294" t="str">
        <f ca="1">IF(B294="","",IF(B294&gt;0,IFERROR(IF(VLOOKUP(LEFT(B294,10),[1]Лист1!$A:$A,1,0)&gt;0,"КО"),IF(E294="","погашен",IF(B294&gt;0,IFERROR(IF(VLOOKUP(B294,'реестр просрочников'!B:B,1,0)&gt;0,"просрочен",),IF(TODAY()&gt;C294,"оплачен","грядет")),"")))))</f>
        <v/>
      </c>
    </row>
    <row r="295" spans="4:6" x14ac:dyDescent="0.25">
      <c r="D295"/>
      <c r="E295" s="1" t="str">
        <f>IFERROR(VLOOKUP(B295,'РП (расш)'!A:G,7,0),"")</f>
        <v/>
      </c>
      <c r="F295" t="str">
        <f ca="1">IF(B295="","",IF(B295&gt;0,IFERROR(IF(VLOOKUP(LEFT(B295,10),[1]Лист1!$A:$A,1,0)&gt;0,"КО"),IF(E295="","погашен",IF(B295&gt;0,IFERROR(IF(VLOOKUP(B295,'реестр просрочников'!B:B,1,0)&gt;0,"просрочен",),IF(TODAY()&gt;C295,"оплачен","грядет")),"")))))</f>
        <v/>
      </c>
    </row>
    <row r="296" spans="4:6" x14ac:dyDescent="0.25">
      <c r="D296"/>
      <c r="E296" s="1" t="str">
        <f>IFERROR(VLOOKUP(B296,'РП (расш)'!A:G,7,0),"")</f>
        <v/>
      </c>
      <c r="F296" t="str">
        <f ca="1">IF(B296="","",IF(B296&gt;0,IFERROR(IF(VLOOKUP(LEFT(B296,10),[1]Лист1!$A:$A,1,0)&gt;0,"КО"),IF(E296="","погашен",IF(B296&gt;0,IFERROR(IF(VLOOKUP(B296,'реестр просрочников'!B:B,1,0)&gt;0,"просрочен",),IF(TODAY()&gt;C296,"оплачен","грядет")),"")))))</f>
        <v/>
      </c>
    </row>
    <row r="297" spans="4:6" x14ac:dyDescent="0.25">
      <c r="D297"/>
      <c r="E297" s="1" t="str">
        <f>IFERROR(VLOOKUP(B297,'РП (расш)'!A:G,7,0),"")</f>
        <v/>
      </c>
      <c r="F297" t="str">
        <f ca="1">IF(B297="","",IF(B297&gt;0,IFERROR(IF(VLOOKUP(LEFT(B297,10),[1]Лист1!$A:$A,1,0)&gt;0,"КО"),IF(E297="","погашен",IF(B297&gt;0,IFERROR(IF(VLOOKUP(B297,'реестр просрочников'!B:B,1,0)&gt;0,"просрочен",),IF(TODAY()&gt;C297,"оплачен","грядет")),"")))))</f>
        <v/>
      </c>
    </row>
    <row r="298" spans="4:6" x14ac:dyDescent="0.25">
      <c r="D298"/>
      <c r="E298" s="1" t="str">
        <f>IFERROR(VLOOKUP(B298,'РП (расш)'!A:G,7,0),"")</f>
        <v/>
      </c>
      <c r="F298" t="str">
        <f ca="1">IF(B298="","",IF(B298&gt;0,IFERROR(IF(VLOOKUP(LEFT(B298,10),[1]Лист1!$A:$A,1,0)&gt;0,"КО"),IF(E298="","погашен",IF(B298&gt;0,IFERROR(IF(VLOOKUP(B298,'реестр просрочников'!B:B,1,0)&gt;0,"просрочен",),IF(TODAY()&gt;C298,"оплачен","грядет")),"")))))</f>
        <v/>
      </c>
    </row>
    <row r="299" spans="4:6" x14ac:dyDescent="0.25">
      <c r="D299"/>
      <c r="E299" s="1" t="str">
        <f>IFERROR(VLOOKUP(B299,'РП (расш)'!A:G,7,0),"")</f>
        <v/>
      </c>
      <c r="F299" t="str">
        <f ca="1">IF(B299="","",IF(B299&gt;0,IFERROR(IF(VLOOKUP(LEFT(B299,10),[1]Лист1!$A:$A,1,0)&gt;0,"КО"),IF(E299="","погашен",IF(B299&gt;0,IFERROR(IF(VLOOKUP(B299,'реестр просрочников'!B:B,1,0)&gt;0,"просрочен",),IF(TODAY()&gt;C299,"оплачен","грядет")),"")))))</f>
        <v/>
      </c>
    </row>
    <row r="300" spans="4:6" x14ac:dyDescent="0.25">
      <c r="D300"/>
      <c r="E300" s="1" t="str">
        <f>IFERROR(VLOOKUP(B300,'РП (расш)'!A:G,7,0),"")</f>
        <v/>
      </c>
      <c r="F300" t="str">
        <f ca="1">IF(B300="","",IF(B300&gt;0,IFERROR(IF(VLOOKUP(LEFT(B300,10),[1]Лист1!$A:$A,1,0)&gt;0,"КО"),IF(E300="","погашен",IF(B300&gt;0,IFERROR(IF(VLOOKUP(B300,'реестр просрочников'!B:B,1,0)&gt;0,"просрочен",),IF(TODAY()&gt;C300,"оплачен","грядет")),"")))))</f>
        <v/>
      </c>
    </row>
    <row r="301" spans="4:6" x14ac:dyDescent="0.25">
      <c r="D301"/>
      <c r="E301" s="1" t="str">
        <f>IFERROR(VLOOKUP(B301,'РП (расш)'!A:G,7,0),"")</f>
        <v/>
      </c>
      <c r="F301" t="str">
        <f ca="1">IF(B301="","",IF(B301&gt;0,IFERROR(IF(VLOOKUP(LEFT(B301,10),[1]Лист1!$A:$A,1,0)&gt;0,"КО"),IF(E301="","погашен",IF(B301&gt;0,IFERROR(IF(VLOOKUP(B301,'реестр просрочников'!B:B,1,0)&gt;0,"просрочен",),IF(TODAY()&gt;C301,"оплачен","грядет")),"")))))</f>
        <v/>
      </c>
    </row>
    <row r="302" spans="4:6" x14ac:dyDescent="0.25">
      <c r="D302"/>
      <c r="E302" s="1" t="str">
        <f>IFERROR(VLOOKUP(B302,'РП (расш)'!A:G,7,0),"")</f>
        <v/>
      </c>
      <c r="F302" t="str">
        <f ca="1">IF(B302="","",IF(B302&gt;0,IFERROR(IF(VLOOKUP(LEFT(B302,10),[1]Лист1!$A:$A,1,0)&gt;0,"КО"),IF(E302="","погашен",IF(B302&gt;0,IFERROR(IF(VLOOKUP(B302,'реестр просрочников'!B:B,1,0)&gt;0,"просрочен",),IF(TODAY()&gt;C302,"оплачен","грядет")),"")))))</f>
        <v/>
      </c>
    </row>
    <row r="303" spans="4:6" x14ac:dyDescent="0.25">
      <c r="D303"/>
      <c r="E303" s="1" t="str">
        <f>IFERROR(VLOOKUP(B303,'РП (расш)'!A:G,7,0),"")</f>
        <v/>
      </c>
      <c r="F303" t="str">
        <f ca="1">IF(B303="","",IF(B303&gt;0,IFERROR(IF(VLOOKUP(LEFT(B303,10),[1]Лист1!$A:$A,1,0)&gt;0,"КО"),IF(E303="","погашен",IF(B303&gt;0,IFERROR(IF(VLOOKUP(B303,'реестр просрочников'!B:B,1,0)&gt;0,"просрочен",),IF(TODAY()&gt;C303,"оплачен","грядет")),"")))))</f>
        <v/>
      </c>
    </row>
    <row r="304" spans="4:6" x14ac:dyDescent="0.25">
      <c r="D304"/>
      <c r="E304" s="1" t="str">
        <f>IFERROR(VLOOKUP(B304,'РП (расш)'!A:G,7,0),"")</f>
        <v/>
      </c>
      <c r="F304" t="str">
        <f ca="1">IF(B304="","",IF(B304&gt;0,IFERROR(IF(VLOOKUP(LEFT(B304,10),[1]Лист1!$A:$A,1,0)&gt;0,"КО"),IF(E304="","погашен",IF(B304&gt;0,IFERROR(IF(VLOOKUP(B304,'реестр просрочников'!B:B,1,0)&gt;0,"просрочен",),IF(TODAY()&gt;C304,"оплачен","грядет")),"")))))</f>
        <v/>
      </c>
    </row>
    <row r="305" spans="4:6" x14ac:dyDescent="0.25">
      <c r="D305"/>
      <c r="E305" s="1" t="str">
        <f>IFERROR(VLOOKUP(B305,'РП (расш)'!A:G,7,0),"")</f>
        <v/>
      </c>
      <c r="F305" t="str">
        <f ca="1">IF(B305="","",IF(B305&gt;0,IFERROR(IF(VLOOKUP(LEFT(B305,10),[1]Лист1!$A:$A,1,0)&gt;0,"КО"),IF(E305="","погашен",IF(B305&gt;0,IFERROR(IF(VLOOKUP(B305,'реестр просрочников'!B:B,1,0)&gt;0,"просрочен",),IF(TODAY()&gt;C305,"оплачен","грядет")),"")))))</f>
        <v/>
      </c>
    </row>
    <row r="306" spans="4:6" x14ac:dyDescent="0.25">
      <c r="D306"/>
    </row>
    <row r="307" spans="4:6" x14ac:dyDescent="0.25">
      <c r="D307"/>
    </row>
    <row r="308" spans="4:6" x14ac:dyDescent="0.25">
      <c r="D308"/>
    </row>
    <row r="309" spans="4:6" x14ac:dyDescent="0.25">
      <c r="D309"/>
    </row>
    <row r="310" spans="4:6" x14ac:dyDescent="0.25">
      <c r="D310"/>
    </row>
    <row r="311" spans="4:6" x14ac:dyDescent="0.25">
      <c r="D311"/>
    </row>
    <row r="312" spans="4:6" x14ac:dyDescent="0.25">
      <c r="D312"/>
    </row>
    <row r="313" spans="4:6" x14ac:dyDescent="0.25">
      <c r="D313"/>
    </row>
    <row r="314" spans="4:6" x14ac:dyDescent="0.25">
      <c r="D314"/>
    </row>
    <row r="315" spans="4:6" x14ac:dyDescent="0.25">
      <c r="D315"/>
    </row>
    <row r="316" spans="4:6" x14ac:dyDescent="0.25">
      <c r="D316"/>
    </row>
    <row r="317" spans="4:6" x14ac:dyDescent="0.25">
      <c r="D317"/>
    </row>
    <row r="318" spans="4:6" x14ac:dyDescent="0.25">
      <c r="D318"/>
    </row>
    <row r="319" spans="4:6" x14ac:dyDescent="0.25">
      <c r="D319"/>
    </row>
    <row r="320" spans="4:6" x14ac:dyDescent="0.25">
      <c r="D320"/>
    </row>
    <row r="321" spans="4:4" x14ac:dyDescent="0.25">
      <c r="D321"/>
    </row>
    <row r="322" spans="4:4" x14ac:dyDescent="0.25">
      <c r="D322"/>
    </row>
    <row r="323" spans="4:4" x14ac:dyDescent="0.25">
      <c r="D323"/>
    </row>
    <row r="324" spans="4:4" x14ac:dyDescent="0.25">
      <c r="D324"/>
    </row>
    <row r="325" spans="4:4" x14ac:dyDescent="0.25">
      <c r="D325"/>
    </row>
    <row r="326" spans="4:4" x14ac:dyDescent="0.25">
      <c r="D326"/>
    </row>
    <row r="327" spans="4:4" x14ac:dyDescent="0.25">
      <c r="D327"/>
    </row>
    <row r="328" spans="4:4" x14ac:dyDescent="0.25">
      <c r="D328"/>
    </row>
    <row r="329" spans="4:4" x14ac:dyDescent="0.25">
      <c r="D329"/>
    </row>
    <row r="330" spans="4:4" x14ac:dyDescent="0.25">
      <c r="D330"/>
    </row>
    <row r="331" spans="4:4" x14ac:dyDescent="0.25">
      <c r="D331"/>
    </row>
    <row r="332" spans="4:4" x14ac:dyDescent="0.25">
      <c r="D332"/>
    </row>
    <row r="333" spans="4:4" x14ac:dyDescent="0.25">
      <c r="D333"/>
    </row>
    <row r="334" spans="4:4" x14ac:dyDescent="0.25">
      <c r="D334"/>
    </row>
    <row r="335" spans="4:4" x14ac:dyDescent="0.25">
      <c r="D335"/>
    </row>
    <row r="336" spans="4:4" x14ac:dyDescent="0.25">
      <c r="D336"/>
    </row>
    <row r="337" spans="4:4" x14ac:dyDescent="0.25">
      <c r="D337"/>
    </row>
    <row r="338" spans="4:4" x14ac:dyDescent="0.25">
      <c r="D338"/>
    </row>
    <row r="339" spans="4:4" x14ac:dyDescent="0.25">
      <c r="D339"/>
    </row>
    <row r="340" spans="4:4" x14ac:dyDescent="0.25">
      <c r="D340"/>
    </row>
    <row r="341" spans="4:4" x14ac:dyDescent="0.25">
      <c r="D341"/>
    </row>
    <row r="342" spans="4:4" x14ac:dyDescent="0.25">
      <c r="D342"/>
    </row>
    <row r="343" spans="4:4" x14ac:dyDescent="0.25">
      <c r="D343"/>
    </row>
    <row r="344" spans="4:4" x14ac:dyDescent="0.25">
      <c r="D344"/>
    </row>
    <row r="345" spans="4:4" x14ac:dyDescent="0.25">
      <c r="D345"/>
    </row>
    <row r="346" spans="4:4" x14ac:dyDescent="0.25">
      <c r="D346"/>
    </row>
    <row r="347" spans="4:4" x14ac:dyDescent="0.25">
      <c r="D347"/>
    </row>
    <row r="348" spans="4:4" x14ac:dyDescent="0.25">
      <c r="D348"/>
    </row>
    <row r="349" spans="4:4" x14ac:dyDescent="0.25">
      <c r="D349"/>
    </row>
    <row r="350" spans="4:4" x14ac:dyDescent="0.25">
      <c r="D350"/>
    </row>
    <row r="351" spans="4:4" x14ac:dyDescent="0.25">
      <c r="D351"/>
    </row>
    <row r="352" spans="4:4" x14ac:dyDescent="0.25">
      <c r="D352"/>
    </row>
    <row r="353" spans="4:4" x14ac:dyDescent="0.25">
      <c r="D353"/>
    </row>
    <row r="354" spans="4:4" x14ac:dyDescent="0.25">
      <c r="D354"/>
    </row>
    <row r="355" spans="4:4" x14ac:dyDescent="0.25">
      <c r="D355"/>
    </row>
    <row r="356" spans="4:4" x14ac:dyDescent="0.25">
      <c r="D356"/>
    </row>
    <row r="357" spans="4:4" x14ac:dyDescent="0.25">
      <c r="D357"/>
    </row>
    <row r="358" spans="4:4" x14ac:dyDescent="0.25">
      <c r="D358"/>
    </row>
    <row r="359" spans="4:4" x14ac:dyDescent="0.25">
      <c r="D359"/>
    </row>
    <row r="360" spans="4:4" x14ac:dyDescent="0.25">
      <c r="D360"/>
    </row>
    <row r="361" spans="4:4" x14ac:dyDescent="0.25">
      <c r="D361"/>
    </row>
    <row r="362" spans="4:4" x14ac:dyDescent="0.25">
      <c r="D362"/>
    </row>
    <row r="363" spans="4:4" x14ac:dyDescent="0.25">
      <c r="D363"/>
    </row>
    <row r="364" spans="4:4" x14ac:dyDescent="0.25">
      <c r="D364"/>
    </row>
    <row r="365" spans="4:4" x14ac:dyDescent="0.25">
      <c r="D365"/>
    </row>
    <row r="366" spans="4:4" x14ac:dyDescent="0.25">
      <c r="D366"/>
    </row>
    <row r="367" spans="4:4" x14ac:dyDescent="0.25">
      <c r="D367"/>
    </row>
    <row r="368" spans="4:4" x14ac:dyDescent="0.25">
      <c r="D368"/>
    </row>
    <row r="369" spans="4:4" x14ac:dyDescent="0.25">
      <c r="D369"/>
    </row>
    <row r="370" spans="4:4" x14ac:dyDescent="0.25">
      <c r="D370"/>
    </row>
    <row r="371" spans="4:4" x14ac:dyDescent="0.25">
      <c r="D371"/>
    </row>
    <row r="372" spans="4:4" x14ac:dyDescent="0.25">
      <c r="D372"/>
    </row>
    <row r="373" spans="4:4" x14ac:dyDescent="0.25">
      <c r="D373"/>
    </row>
    <row r="374" spans="4:4" x14ac:dyDescent="0.25">
      <c r="D374"/>
    </row>
    <row r="375" spans="4:4" x14ac:dyDescent="0.25">
      <c r="D375"/>
    </row>
    <row r="376" spans="4:4" x14ac:dyDescent="0.25">
      <c r="D376"/>
    </row>
    <row r="377" spans="4:4" x14ac:dyDescent="0.25">
      <c r="D377"/>
    </row>
    <row r="378" spans="4:4" x14ac:dyDescent="0.25">
      <c r="D378"/>
    </row>
    <row r="379" spans="4:4" x14ac:dyDescent="0.25">
      <c r="D379"/>
    </row>
    <row r="380" spans="4:4" x14ac:dyDescent="0.25">
      <c r="D380"/>
    </row>
    <row r="381" spans="4:4" x14ac:dyDescent="0.25">
      <c r="D381"/>
    </row>
    <row r="382" spans="4:4" x14ac:dyDescent="0.25">
      <c r="D382"/>
    </row>
    <row r="383" spans="4:4" x14ac:dyDescent="0.25">
      <c r="D383"/>
    </row>
    <row r="384" spans="4:4" x14ac:dyDescent="0.25">
      <c r="D384"/>
    </row>
    <row r="385" spans="4:4" x14ac:dyDescent="0.25">
      <c r="D385"/>
    </row>
    <row r="386" spans="4:4" x14ac:dyDescent="0.25">
      <c r="D386"/>
    </row>
    <row r="387" spans="4:4" x14ac:dyDescent="0.25">
      <c r="D387"/>
    </row>
    <row r="388" spans="4:4" x14ac:dyDescent="0.25">
      <c r="D388"/>
    </row>
    <row r="389" spans="4:4" x14ac:dyDescent="0.25">
      <c r="D389"/>
    </row>
    <row r="390" spans="4:4" x14ac:dyDescent="0.25">
      <c r="D390"/>
    </row>
    <row r="391" spans="4:4" x14ac:dyDescent="0.25">
      <c r="D391"/>
    </row>
    <row r="392" spans="4:4" x14ac:dyDescent="0.25">
      <c r="D392"/>
    </row>
    <row r="393" spans="4:4" x14ac:dyDescent="0.25">
      <c r="D393"/>
    </row>
    <row r="394" spans="4:4" x14ac:dyDescent="0.25">
      <c r="D394"/>
    </row>
    <row r="395" spans="4:4" x14ac:dyDescent="0.25">
      <c r="D395"/>
    </row>
    <row r="396" spans="4:4" x14ac:dyDescent="0.25">
      <c r="D396"/>
    </row>
    <row r="397" spans="4:4" x14ac:dyDescent="0.25">
      <c r="D397"/>
    </row>
    <row r="398" spans="4:4" x14ac:dyDescent="0.25">
      <c r="D398"/>
    </row>
    <row r="399" spans="4:4" x14ac:dyDescent="0.25">
      <c r="D399"/>
    </row>
    <row r="400" spans="4:4" x14ac:dyDescent="0.25">
      <c r="D400"/>
    </row>
    <row r="401" spans="4:4" x14ac:dyDescent="0.25">
      <c r="D401"/>
    </row>
    <row r="402" spans="4:4" x14ac:dyDescent="0.25">
      <c r="D402"/>
    </row>
    <row r="403" spans="4:4" x14ac:dyDescent="0.25">
      <c r="D403"/>
    </row>
    <row r="404" spans="4:4" x14ac:dyDescent="0.25">
      <c r="D404"/>
    </row>
    <row r="405" spans="4:4" x14ac:dyDescent="0.25">
      <c r="D405"/>
    </row>
    <row r="406" spans="4:4" x14ac:dyDescent="0.25">
      <c r="D406"/>
    </row>
    <row r="407" spans="4:4" x14ac:dyDescent="0.25">
      <c r="D407"/>
    </row>
    <row r="408" spans="4:4" x14ac:dyDescent="0.25">
      <c r="D408"/>
    </row>
    <row r="409" spans="4:4" x14ac:dyDescent="0.25">
      <c r="D409"/>
    </row>
    <row r="410" spans="4:4" x14ac:dyDescent="0.25">
      <c r="D410"/>
    </row>
    <row r="411" spans="4:4" x14ac:dyDescent="0.25">
      <c r="D411"/>
    </row>
    <row r="412" spans="4:4" x14ac:dyDescent="0.25">
      <c r="D412"/>
    </row>
    <row r="413" spans="4:4" x14ac:dyDescent="0.25">
      <c r="D413"/>
    </row>
    <row r="414" spans="4:4" x14ac:dyDescent="0.25">
      <c r="D414"/>
    </row>
    <row r="415" spans="4:4" x14ac:dyDescent="0.25">
      <c r="D415"/>
    </row>
    <row r="416" spans="4:4" x14ac:dyDescent="0.25">
      <c r="D416"/>
    </row>
    <row r="417" spans="4:4" x14ac:dyDescent="0.25">
      <c r="D417"/>
    </row>
    <row r="418" spans="4:4" x14ac:dyDescent="0.25">
      <c r="D418"/>
    </row>
    <row r="419" spans="4:4" x14ac:dyDescent="0.25">
      <c r="D419"/>
    </row>
    <row r="420" spans="4:4" x14ac:dyDescent="0.25">
      <c r="D420"/>
    </row>
    <row r="421" spans="4:4" x14ac:dyDescent="0.25">
      <c r="D421"/>
    </row>
    <row r="422" spans="4:4" x14ac:dyDescent="0.25">
      <c r="D422"/>
    </row>
    <row r="423" spans="4:4" x14ac:dyDescent="0.25">
      <c r="D423"/>
    </row>
    <row r="424" spans="4:4" x14ac:dyDescent="0.25">
      <c r="D424"/>
    </row>
    <row r="425" spans="4:4" x14ac:dyDescent="0.25">
      <c r="D425"/>
    </row>
    <row r="426" spans="4:4" x14ac:dyDescent="0.25">
      <c r="D426"/>
    </row>
    <row r="427" spans="4:4" x14ac:dyDescent="0.25">
      <c r="D427"/>
    </row>
    <row r="428" spans="4:4" x14ac:dyDescent="0.25">
      <c r="D428"/>
    </row>
    <row r="429" spans="4:4" x14ac:dyDescent="0.25">
      <c r="D429"/>
    </row>
    <row r="430" spans="4:4" x14ac:dyDescent="0.25">
      <c r="D430"/>
    </row>
    <row r="431" spans="4:4" x14ac:dyDescent="0.25">
      <c r="D431"/>
    </row>
    <row r="432" spans="4:4" x14ac:dyDescent="0.25">
      <c r="D432"/>
    </row>
    <row r="433" spans="4:4" x14ac:dyDescent="0.25">
      <c r="D433"/>
    </row>
    <row r="434" spans="4:4" x14ac:dyDescent="0.25">
      <c r="D434"/>
    </row>
    <row r="435" spans="4:4" x14ac:dyDescent="0.25">
      <c r="D435"/>
    </row>
    <row r="436" spans="4:4" x14ac:dyDescent="0.25">
      <c r="D436"/>
    </row>
    <row r="437" spans="4:4" x14ac:dyDescent="0.25">
      <c r="D437"/>
    </row>
    <row r="438" spans="4:4" x14ac:dyDescent="0.25">
      <c r="D438"/>
    </row>
    <row r="439" spans="4:4" x14ac:dyDescent="0.25">
      <c r="D439"/>
    </row>
    <row r="440" spans="4:4" x14ac:dyDescent="0.25">
      <c r="D440"/>
    </row>
    <row r="441" spans="4:4" x14ac:dyDescent="0.25">
      <c r="D441"/>
    </row>
    <row r="442" spans="4:4" x14ac:dyDescent="0.25">
      <c r="D442"/>
    </row>
    <row r="443" spans="4:4" x14ac:dyDescent="0.25">
      <c r="D443"/>
    </row>
    <row r="444" spans="4:4" x14ac:dyDescent="0.25">
      <c r="D444"/>
    </row>
    <row r="445" spans="4:4" x14ac:dyDescent="0.25">
      <c r="D445"/>
    </row>
    <row r="446" spans="4:4" x14ac:dyDescent="0.25">
      <c r="D446"/>
    </row>
    <row r="447" spans="4:4" x14ac:dyDescent="0.25">
      <c r="D447"/>
    </row>
    <row r="448" spans="4:4" x14ac:dyDescent="0.25">
      <c r="D448"/>
    </row>
    <row r="449" spans="4:4" x14ac:dyDescent="0.25">
      <c r="D449"/>
    </row>
    <row r="450" spans="4:4" x14ac:dyDescent="0.25">
      <c r="D450"/>
    </row>
    <row r="451" spans="4:4" x14ac:dyDescent="0.25">
      <c r="D451"/>
    </row>
    <row r="452" spans="4:4" x14ac:dyDescent="0.25">
      <c r="D452"/>
    </row>
    <row r="453" spans="4:4" x14ac:dyDescent="0.25">
      <c r="D453"/>
    </row>
    <row r="454" spans="4:4" x14ac:dyDescent="0.25">
      <c r="D454"/>
    </row>
    <row r="455" spans="4:4" x14ac:dyDescent="0.25">
      <c r="D455"/>
    </row>
    <row r="456" spans="4:4" x14ac:dyDescent="0.25">
      <c r="D456"/>
    </row>
    <row r="457" spans="4:4" x14ac:dyDescent="0.25">
      <c r="D457"/>
    </row>
    <row r="458" spans="4:4" x14ac:dyDescent="0.25">
      <c r="D458"/>
    </row>
    <row r="459" spans="4:4" x14ac:dyDescent="0.25">
      <c r="D459"/>
    </row>
    <row r="460" spans="4:4" x14ac:dyDescent="0.25">
      <c r="D460"/>
    </row>
    <row r="461" spans="4:4" x14ac:dyDescent="0.25">
      <c r="D461"/>
    </row>
    <row r="462" spans="4:4" x14ac:dyDescent="0.25">
      <c r="D462"/>
    </row>
    <row r="463" spans="4:4" x14ac:dyDescent="0.25">
      <c r="D463"/>
    </row>
    <row r="464" spans="4:4" x14ac:dyDescent="0.25">
      <c r="D464"/>
    </row>
    <row r="465" spans="4:4" x14ac:dyDescent="0.25">
      <c r="D465"/>
    </row>
    <row r="466" spans="4:4" x14ac:dyDescent="0.25">
      <c r="D466"/>
    </row>
    <row r="467" spans="4:4" x14ac:dyDescent="0.25">
      <c r="D467"/>
    </row>
    <row r="468" spans="4:4" x14ac:dyDescent="0.25">
      <c r="D468"/>
    </row>
    <row r="469" spans="4:4" x14ac:dyDescent="0.25">
      <c r="D469"/>
    </row>
    <row r="470" spans="4:4" x14ac:dyDescent="0.25">
      <c r="D470"/>
    </row>
    <row r="471" spans="4:4" x14ac:dyDescent="0.25">
      <c r="D471"/>
    </row>
    <row r="472" spans="4:4" x14ac:dyDescent="0.25">
      <c r="D472"/>
    </row>
    <row r="473" spans="4:4" x14ac:dyDescent="0.25">
      <c r="D473"/>
    </row>
    <row r="474" spans="4:4" x14ac:dyDescent="0.25">
      <c r="D474"/>
    </row>
    <row r="475" spans="4:4" x14ac:dyDescent="0.25">
      <c r="D475"/>
    </row>
    <row r="476" spans="4:4" x14ac:dyDescent="0.25">
      <c r="D476"/>
    </row>
    <row r="477" spans="4:4" x14ac:dyDescent="0.25">
      <c r="D477"/>
    </row>
    <row r="478" spans="4:4" x14ac:dyDescent="0.25">
      <c r="D478"/>
    </row>
    <row r="479" spans="4:4" x14ac:dyDescent="0.25">
      <c r="D479"/>
    </row>
    <row r="480" spans="4:4" x14ac:dyDescent="0.25">
      <c r="D480"/>
    </row>
    <row r="481" spans="4:4" x14ac:dyDescent="0.25">
      <c r="D481"/>
    </row>
    <row r="482" spans="4:4" x14ac:dyDescent="0.25">
      <c r="D482"/>
    </row>
    <row r="483" spans="4:4" x14ac:dyDescent="0.25">
      <c r="D483"/>
    </row>
    <row r="484" spans="4:4" x14ac:dyDescent="0.25">
      <c r="D484"/>
    </row>
    <row r="485" spans="4:4" x14ac:dyDescent="0.25">
      <c r="D485"/>
    </row>
    <row r="486" spans="4:4" x14ac:dyDescent="0.25">
      <c r="D486"/>
    </row>
    <row r="487" spans="4:4" x14ac:dyDescent="0.25">
      <c r="D487"/>
    </row>
    <row r="488" spans="4:4" x14ac:dyDescent="0.25">
      <c r="D488"/>
    </row>
    <row r="489" spans="4:4" x14ac:dyDescent="0.25">
      <c r="D489"/>
    </row>
    <row r="490" spans="4:4" x14ac:dyDescent="0.25">
      <c r="D490"/>
    </row>
    <row r="491" spans="4:4" x14ac:dyDescent="0.25">
      <c r="D491"/>
    </row>
    <row r="492" spans="4:4" x14ac:dyDescent="0.25">
      <c r="D492"/>
    </row>
    <row r="493" spans="4:4" x14ac:dyDescent="0.25">
      <c r="D493"/>
    </row>
    <row r="494" spans="4:4" x14ac:dyDescent="0.25">
      <c r="D494"/>
    </row>
    <row r="495" spans="4:4" x14ac:dyDescent="0.25">
      <c r="D495"/>
    </row>
    <row r="496" spans="4:4" x14ac:dyDescent="0.25">
      <c r="D496"/>
    </row>
    <row r="497" spans="4:4" x14ac:dyDescent="0.25">
      <c r="D497"/>
    </row>
    <row r="498" spans="4:4" x14ac:dyDescent="0.25">
      <c r="D498"/>
    </row>
    <row r="499" spans="4:4" x14ac:dyDescent="0.25">
      <c r="D499"/>
    </row>
    <row r="500" spans="4:4" x14ac:dyDescent="0.25">
      <c r="D500"/>
    </row>
    <row r="501" spans="4:4" x14ac:dyDescent="0.25">
      <c r="D501"/>
    </row>
    <row r="502" spans="4:4" x14ac:dyDescent="0.25">
      <c r="D502"/>
    </row>
    <row r="503" spans="4:4" x14ac:dyDescent="0.25">
      <c r="D503"/>
    </row>
    <row r="504" spans="4:4" x14ac:dyDescent="0.25">
      <c r="D504"/>
    </row>
    <row r="505" spans="4:4" x14ac:dyDescent="0.25">
      <c r="D505"/>
    </row>
    <row r="506" spans="4:4" x14ac:dyDescent="0.25">
      <c r="D506"/>
    </row>
    <row r="507" spans="4:4" x14ac:dyDescent="0.25">
      <c r="D507"/>
    </row>
    <row r="508" spans="4:4" x14ac:dyDescent="0.25">
      <c r="D508"/>
    </row>
    <row r="509" spans="4:4" x14ac:dyDescent="0.25">
      <c r="D509"/>
    </row>
    <row r="510" spans="4:4" x14ac:dyDescent="0.25">
      <c r="D510"/>
    </row>
    <row r="511" spans="4:4" x14ac:dyDescent="0.25">
      <c r="D511"/>
    </row>
    <row r="512" spans="4:4" x14ac:dyDescent="0.25">
      <c r="D512"/>
    </row>
    <row r="513" spans="4:4" x14ac:dyDescent="0.25">
      <c r="D513"/>
    </row>
    <row r="514" spans="4:4" x14ac:dyDescent="0.25">
      <c r="D514"/>
    </row>
    <row r="515" spans="4:4" x14ac:dyDescent="0.25">
      <c r="D515"/>
    </row>
    <row r="516" spans="4:4" x14ac:dyDescent="0.25">
      <c r="D516"/>
    </row>
    <row r="517" spans="4:4" x14ac:dyDescent="0.25">
      <c r="D517"/>
    </row>
    <row r="518" spans="4:4" x14ac:dyDescent="0.25">
      <c r="D518"/>
    </row>
    <row r="519" spans="4:4" x14ac:dyDescent="0.25">
      <c r="D519"/>
    </row>
    <row r="520" spans="4:4" x14ac:dyDescent="0.25">
      <c r="D520"/>
    </row>
    <row r="521" spans="4:4" x14ac:dyDescent="0.25">
      <c r="D521"/>
    </row>
    <row r="522" spans="4:4" x14ac:dyDescent="0.25">
      <c r="D522"/>
    </row>
    <row r="523" spans="4:4" x14ac:dyDescent="0.25">
      <c r="D523"/>
    </row>
    <row r="524" spans="4:4" x14ac:dyDescent="0.25">
      <c r="D524"/>
    </row>
    <row r="525" spans="4:4" x14ac:dyDescent="0.25">
      <c r="D525"/>
    </row>
    <row r="526" spans="4:4" x14ac:dyDescent="0.25">
      <c r="D526"/>
    </row>
    <row r="527" spans="4:4" x14ac:dyDescent="0.25">
      <c r="D527"/>
    </row>
    <row r="528" spans="4:4" x14ac:dyDescent="0.25">
      <c r="D528"/>
    </row>
    <row r="529" spans="4:4" x14ac:dyDescent="0.25">
      <c r="D529"/>
    </row>
    <row r="530" spans="4:4" x14ac:dyDescent="0.25">
      <c r="D530"/>
    </row>
    <row r="531" spans="4:4" x14ac:dyDescent="0.25">
      <c r="D531"/>
    </row>
    <row r="532" spans="4:4" x14ac:dyDescent="0.25">
      <c r="D532"/>
    </row>
    <row r="533" spans="4:4" x14ac:dyDescent="0.25">
      <c r="D533"/>
    </row>
    <row r="534" spans="4:4" x14ac:dyDescent="0.25">
      <c r="D534"/>
    </row>
    <row r="535" spans="4:4" x14ac:dyDescent="0.25">
      <c r="D535"/>
    </row>
    <row r="536" spans="4:4" x14ac:dyDescent="0.25">
      <c r="D536"/>
    </row>
    <row r="537" spans="4:4" x14ac:dyDescent="0.25">
      <c r="D537"/>
    </row>
    <row r="538" spans="4:4" x14ac:dyDescent="0.25">
      <c r="D538"/>
    </row>
    <row r="539" spans="4:4" x14ac:dyDescent="0.25">
      <c r="D539"/>
    </row>
    <row r="540" spans="4:4" x14ac:dyDescent="0.25">
      <c r="D540"/>
    </row>
    <row r="541" spans="4:4" x14ac:dyDescent="0.25">
      <c r="D541"/>
    </row>
    <row r="542" spans="4:4" x14ac:dyDescent="0.25">
      <c r="D542"/>
    </row>
    <row r="543" spans="4:4" x14ac:dyDescent="0.25">
      <c r="D543"/>
    </row>
    <row r="544" spans="4:4" x14ac:dyDescent="0.25">
      <c r="D544"/>
    </row>
    <row r="545" spans="4:4" x14ac:dyDescent="0.25">
      <c r="D545"/>
    </row>
    <row r="546" spans="4:4" x14ac:dyDescent="0.25">
      <c r="D546"/>
    </row>
    <row r="547" spans="4:4" x14ac:dyDescent="0.25">
      <c r="D547"/>
    </row>
    <row r="548" spans="4:4" x14ac:dyDescent="0.25">
      <c r="D548"/>
    </row>
    <row r="549" spans="4:4" x14ac:dyDescent="0.25">
      <c r="D549"/>
    </row>
    <row r="550" spans="4:4" x14ac:dyDescent="0.25">
      <c r="D550"/>
    </row>
    <row r="551" spans="4:4" x14ac:dyDescent="0.25">
      <c r="D551"/>
    </row>
    <row r="552" spans="4:4" x14ac:dyDescent="0.25">
      <c r="D552"/>
    </row>
    <row r="553" spans="4:4" x14ac:dyDescent="0.25">
      <c r="D553"/>
    </row>
    <row r="554" spans="4:4" x14ac:dyDescent="0.25">
      <c r="D554"/>
    </row>
    <row r="555" spans="4:4" x14ac:dyDescent="0.25">
      <c r="D555"/>
    </row>
    <row r="556" spans="4:4" x14ac:dyDescent="0.25">
      <c r="D556"/>
    </row>
    <row r="557" spans="4:4" x14ac:dyDescent="0.25">
      <c r="D557"/>
    </row>
    <row r="558" spans="4:4" x14ac:dyDescent="0.25">
      <c r="D558"/>
    </row>
    <row r="559" spans="4:4" x14ac:dyDescent="0.25">
      <c r="D559"/>
    </row>
    <row r="560" spans="4:4" x14ac:dyDescent="0.25">
      <c r="D560"/>
    </row>
    <row r="561" spans="4:4" x14ac:dyDescent="0.25">
      <c r="D561"/>
    </row>
    <row r="562" spans="4:4" x14ac:dyDescent="0.25">
      <c r="D562"/>
    </row>
    <row r="563" spans="4:4" x14ac:dyDescent="0.25">
      <c r="D563"/>
    </row>
    <row r="564" spans="4:4" x14ac:dyDescent="0.25">
      <c r="D564"/>
    </row>
    <row r="565" spans="4:4" x14ac:dyDescent="0.25">
      <c r="D565"/>
    </row>
    <row r="566" spans="4:4" x14ac:dyDescent="0.25">
      <c r="D566"/>
    </row>
    <row r="567" spans="4:4" x14ac:dyDescent="0.25">
      <c r="D567"/>
    </row>
    <row r="568" spans="4:4" x14ac:dyDescent="0.25">
      <c r="D568"/>
    </row>
    <row r="569" spans="4:4" x14ac:dyDescent="0.25">
      <c r="D569"/>
    </row>
    <row r="570" spans="4:4" x14ac:dyDescent="0.25">
      <c r="D570"/>
    </row>
    <row r="571" spans="4:4" x14ac:dyDescent="0.25">
      <c r="D571"/>
    </row>
    <row r="572" spans="4:4" x14ac:dyDescent="0.25">
      <c r="D572"/>
    </row>
    <row r="573" spans="4:4" x14ac:dyDescent="0.25">
      <c r="D573"/>
    </row>
    <row r="574" spans="4:4" x14ac:dyDescent="0.25">
      <c r="D574"/>
    </row>
    <row r="575" spans="4:4" x14ac:dyDescent="0.25">
      <c r="D575"/>
    </row>
    <row r="576" spans="4:4" x14ac:dyDescent="0.25">
      <c r="D576"/>
    </row>
    <row r="577" spans="4:4" x14ac:dyDescent="0.25">
      <c r="D577"/>
    </row>
    <row r="578" spans="4:4" x14ac:dyDescent="0.25">
      <c r="D578"/>
    </row>
    <row r="579" spans="4:4" x14ac:dyDescent="0.25">
      <c r="D579"/>
    </row>
    <row r="580" spans="4:4" x14ac:dyDescent="0.25">
      <c r="D580"/>
    </row>
    <row r="581" spans="4:4" x14ac:dyDescent="0.25">
      <c r="D581"/>
    </row>
    <row r="582" spans="4:4" x14ac:dyDescent="0.25">
      <c r="D582"/>
    </row>
    <row r="583" spans="4:4" x14ac:dyDescent="0.25">
      <c r="D583"/>
    </row>
    <row r="584" spans="4:4" x14ac:dyDescent="0.25">
      <c r="D584"/>
    </row>
    <row r="585" spans="4:4" x14ac:dyDescent="0.25">
      <c r="D585"/>
    </row>
    <row r="586" spans="4:4" x14ac:dyDescent="0.25">
      <c r="D586"/>
    </row>
    <row r="587" spans="4:4" x14ac:dyDescent="0.25">
      <c r="D587"/>
    </row>
    <row r="588" spans="4:4" x14ac:dyDescent="0.25">
      <c r="D588"/>
    </row>
    <row r="589" spans="4:4" x14ac:dyDescent="0.25">
      <c r="D589"/>
    </row>
    <row r="590" spans="4:4" x14ac:dyDescent="0.25">
      <c r="D590"/>
    </row>
    <row r="591" spans="4:4" x14ac:dyDescent="0.25">
      <c r="D591"/>
    </row>
    <row r="592" spans="4:4" x14ac:dyDescent="0.25">
      <c r="D592"/>
    </row>
    <row r="593" spans="4:4" x14ac:dyDescent="0.25">
      <c r="D593"/>
    </row>
    <row r="594" spans="4:4" x14ac:dyDescent="0.25">
      <c r="D594"/>
    </row>
    <row r="595" spans="4:4" x14ac:dyDescent="0.25">
      <c r="D595"/>
    </row>
    <row r="596" spans="4:4" x14ac:dyDescent="0.25">
      <c r="D596"/>
    </row>
    <row r="597" spans="4:4" x14ac:dyDescent="0.25">
      <c r="D597"/>
    </row>
    <row r="598" spans="4:4" x14ac:dyDescent="0.25">
      <c r="D598"/>
    </row>
    <row r="599" spans="4:4" x14ac:dyDescent="0.25">
      <c r="D599"/>
    </row>
    <row r="600" spans="4:4" x14ac:dyDescent="0.25">
      <c r="D600"/>
    </row>
    <row r="601" spans="4:4" x14ac:dyDescent="0.25">
      <c r="D601"/>
    </row>
    <row r="602" spans="4:4" x14ac:dyDescent="0.25">
      <c r="D602"/>
    </row>
    <row r="603" spans="4:4" x14ac:dyDescent="0.25">
      <c r="D603"/>
    </row>
    <row r="604" spans="4:4" x14ac:dyDescent="0.25">
      <c r="D604"/>
    </row>
    <row r="605" spans="4:4" x14ac:dyDescent="0.25">
      <c r="D605"/>
    </row>
    <row r="606" spans="4:4" x14ac:dyDescent="0.25">
      <c r="D606"/>
    </row>
    <row r="607" spans="4:4" x14ac:dyDescent="0.25">
      <c r="D607"/>
    </row>
    <row r="608" spans="4:4" x14ac:dyDescent="0.25">
      <c r="D608"/>
    </row>
    <row r="609" spans="4:4" x14ac:dyDescent="0.25">
      <c r="D609"/>
    </row>
    <row r="610" spans="4:4" x14ac:dyDescent="0.25">
      <c r="D610"/>
    </row>
    <row r="611" spans="4:4" x14ac:dyDescent="0.25">
      <c r="D611"/>
    </row>
    <row r="612" spans="4:4" x14ac:dyDescent="0.25">
      <c r="D612"/>
    </row>
    <row r="613" spans="4:4" x14ac:dyDescent="0.25">
      <c r="D613"/>
    </row>
    <row r="614" spans="4:4" x14ac:dyDescent="0.25">
      <c r="D614"/>
    </row>
    <row r="615" spans="4:4" x14ac:dyDescent="0.25">
      <c r="D615"/>
    </row>
    <row r="616" spans="4:4" x14ac:dyDescent="0.25">
      <c r="D616"/>
    </row>
    <row r="617" spans="4:4" x14ac:dyDescent="0.25">
      <c r="D617"/>
    </row>
    <row r="618" spans="4:4" x14ac:dyDescent="0.25">
      <c r="D618"/>
    </row>
    <row r="619" spans="4:4" x14ac:dyDescent="0.25">
      <c r="D619"/>
    </row>
    <row r="620" spans="4:4" x14ac:dyDescent="0.25">
      <c r="D620"/>
    </row>
    <row r="621" spans="4:4" x14ac:dyDescent="0.25">
      <c r="D621"/>
    </row>
    <row r="622" spans="4:4" x14ac:dyDescent="0.25">
      <c r="D622"/>
    </row>
    <row r="623" spans="4:4" x14ac:dyDescent="0.25">
      <c r="D623"/>
    </row>
    <row r="624" spans="4:4" x14ac:dyDescent="0.25">
      <c r="D624"/>
    </row>
    <row r="625" spans="4:4" x14ac:dyDescent="0.25">
      <c r="D625"/>
    </row>
    <row r="626" spans="4:4" x14ac:dyDescent="0.25">
      <c r="D626"/>
    </row>
    <row r="627" spans="4:4" x14ac:dyDescent="0.25">
      <c r="D627"/>
    </row>
    <row r="628" spans="4:4" x14ac:dyDescent="0.25">
      <c r="D628"/>
    </row>
    <row r="629" spans="4:4" x14ac:dyDescent="0.25">
      <c r="D629"/>
    </row>
    <row r="630" spans="4:4" x14ac:dyDescent="0.25">
      <c r="D630"/>
    </row>
    <row r="631" spans="4:4" x14ac:dyDescent="0.25">
      <c r="D631"/>
    </row>
    <row r="632" spans="4:4" x14ac:dyDescent="0.25">
      <c r="D632"/>
    </row>
    <row r="633" spans="4:4" x14ac:dyDescent="0.25">
      <c r="D633"/>
    </row>
    <row r="634" spans="4:4" x14ac:dyDescent="0.25">
      <c r="D634"/>
    </row>
    <row r="635" spans="4:4" x14ac:dyDescent="0.25">
      <c r="D635"/>
    </row>
    <row r="636" spans="4:4" x14ac:dyDescent="0.25">
      <c r="D636"/>
    </row>
    <row r="637" spans="4:4" x14ac:dyDescent="0.25">
      <c r="D637"/>
    </row>
    <row r="638" spans="4:4" x14ac:dyDescent="0.25">
      <c r="D638"/>
    </row>
    <row r="639" spans="4:4" x14ac:dyDescent="0.25">
      <c r="D639"/>
    </row>
    <row r="640" spans="4:4" x14ac:dyDescent="0.25">
      <c r="D640"/>
    </row>
    <row r="641" spans="4:4" x14ac:dyDescent="0.25">
      <c r="D641"/>
    </row>
    <row r="642" spans="4:4" x14ac:dyDescent="0.25">
      <c r="D642"/>
    </row>
    <row r="643" spans="4:4" x14ac:dyDescent="0.25">
      <c r="D643"/>
    </row>
    <row r="644" spans="4:4" x14ac:dyDescent="0.25">
      <c r="D644"/>
    </row>
    <row r="645" spans="4:4" x14ac:dyDescent="0.25">
      <c r="D645"/>
    </row>
    <row r="646" spans="4:4" x14ac:dyDescent="0.25">
      <c r="D646"/>
    </row>
    <row r="647" spans="4:4" x14ac:dyDescent="0.25">
      <c r="D647"/>
    </row>
    <row r="648" spans="4:4" x14ac:dyDescent="0.25">
      <c r="D648"/>
    </row>
    <row r="649" spans="4:4" x14ac:dyDescent="0.25">
      <c r="D649"/>
    </row>
    <row r="650" spans="4:4" x14ac:dyDescent="0.25">
      <c r="D650"/>
    </row>
    <row r="651" spans="4:4" x14ac:dyDescent="0.25">
      <c r="D651"/>
    </row>
    <row r="652" spans="4:4" x14ac:dyDescent="0.25">
      <c r="D652"/>
    </row>
    <row r="653" spans="4:4" x14ac:dyDescent="0.25">
      <c r="D653"/>
    </row>
    <row r="654" spans="4:4" x14ac:dyDescent="0.25">
      <c r="D654"/>
    </row>
    <row r="655" spans="4:4" x14ac:dyDescent="0.25">
      <c r="D655"/>
    </row>
    <row r="656" spans="4:4" x14ac:dyDescent="0.25">
      <c r="D656"/>
    </row>
    <row r="657" spans="4:4" x14ac:dyDescent="0.25">
      <c r="D657"/>
    </row>
    <row r="658" spans="4:4" x14ac:dyDescent="0.25">
      <c r="D658"/>
    </row>
    <row r="659" spans="4:4" x14ac:dyDescent="0.25">
      <c r="D659"/>
    </row>
    <row r="660" spans="4:4" x14ac:dyDescent="0.25">
      <c r="D660"/>
    </row>
    <row r="661" spans="4:4" x14ac:dyDescent="0.25">
      <c r="D661"/>
    </row>
    <row r="662" spans="4:4" x14ac:dyDescent="0.25">
      <c r="D662"/>
    </row>
    <row r="663" spans="4:4" x14ac:dyDescent="0.25">
      <c r="D663"/>
    </row>
    <row r="664" spans="4:4" x14ac:dyDescent="0.25">
      <c r="D664"/>
    </row>
    <row r="665" spans="4:4" x14ac:dyDescent="0.25">
      <c r="D665"/>
    </row>
    <row r="666" spans="4:4" x14ac:dyDescent="0.25">
      <c r="D666"/>
    </row>
    <row r="667" spans="4:4" x14ac:dyDescent="0.25">
      <c r="D667"/>
    </row>
    <row r="668" spans="4:4" x14ac:dyDescent="0.25">
      <c r="D668"/>
    </row>
    <row r="669" spans="4:4" x14ac:dyDescent="0.25">
      <c r="D669"/>
    </row>
    <row r="670" spans="4:4" x14ac:dyDescent="0.25">
      <c r="D670"/>
    </row>
    <row r="671" spans="4:4" x14ac:dyDescent="0.25">
      <c r="D671"/>
    </row>
    <row r="672" spans="4:4" x14ac:dyDescent="0.25">
      <c r="D672"/>
    </row>
    <row r="673" spans="4:4" x14ac:dyDescent="0.25">
      <c r="D673"/>
    </row>
    <row r="674" spans="4:4" x14ac:dyDescent="0.25">
      <c r="D674"/>
    </row>
    <row r="675" spans="4:4" x14ac:dyDescent="0.25">
      <c r="D675"/>
    </row>
    <row r="676" spans="4:4" x14ac:dyDescent="0.25">
      <c r="D676"/>
    </row>
    <row r="677" spans="4:4" x14ac:dyDescent="0.25">
      <c r="D677"/>
    </row>
    <row r="678" spans="4:4" x14ac:dyDescent="0.25">
      <c r="D678"/>
    </row>
    <row r="679" spans="4:4" x14ac:dyDescent="0.25">
      <c r="D679"/>
    </row>
    <row r="680" spans="4:4" x14ac:dyDescent="0.25">
      <c r="D680"/>
    </row>
    <row r="681" spans="4:4" x14ac:dyDescent="0.25">
      <c r="D681"/>
    </row>
    <row r="682" spans="4:4" x14ac:dyDescent="0.25">
      <c r="D682"/>
    </row>
    <row r="683" spans="4:4" x14ac:dyDescent="0.25">
      <c r="D683"/>
    </row>
    <row r="684" spans="4:4" x14ac:dyDescent="0.25">
      <c r="D684"/>
    </row>
    <row r="685" spans="4:4" x14ac:dyDescent="0.25">
      <c r="D685"/>
    </row>
    <row r="686" spans="4:4" x14ac:dyDescent="0.25">
      <c r="D686"/>
    </row>
    <row r="687" spans="4:4" x14ac:dyDescent="0.25">
      <c r="D687"/>
    </row>
    <row r="688" spans="4:4" x14ac:dyDescent="0.25">
      <c r="D688"/>
    </row>
    <row r="689" spans="4:4" x14ac:dyDescent="0.25">
      <c r="D689"/>
    </row>
    <row r="690" spans="4:4" x14ac:dyDescent="0.25">
      <c r="D690"/>
    </row>
    <row r="691" spans="4:4" x14ac:dyDescent="0.25">
      <c r="D691"/>
    </row>
    <row r="692" spans="4:4" x14ac:dyDescent="0.25">
      <c r="D692"/>
    </row>
    <row r="693" spans="4:4" x14ac:dyDescent="0.25">
      <c r="D693"/>
    </row>
    <row r="694" spans="4:4" x14ac:dyDescent="0.25">
      <c r="D694"/>
    </row>
    <row r="695" spans="4:4" x14ac:dyDescent="0.25">
      <c r="D695"/>
    </row>
    <row r="696" spans="4:4" x14ac:dyDescent="0.25">
      <c r="D696"/>
    </row>
    <row r="697" spans="4:4" x14ac:dyDescent="0.25">
      <c r="D697"/>
    </row>
    <row r="698" spans="4:4" x14ac:dyDescent="0.25">
      <c r="D698"/>
    </row>
    <row r="699" spans="4:4" x14ac:dyDescent="0.25">
      <c r="D699"/>
    </row>
    <row r="700" spans="4:4" x14ac:dyDescent="0.25">
      <c r="D700"/>
    </row>
    <row r="701" spans="4:4" x14ac:dyDescent="0.25">
      <c r="D701"/>
    </row>
    <row r="702" spans="4:4" x14ac:dyDescent="0.25">
      <c r="D702"/>
    </row>
    <row r="703" spans="4:4" x14ac:dyDescent="0.25">
      <c r="D703"/>
    </row>
    <row r="704" spans="4:4" x14ac:dyDescent="0.25">
      <c r="D704"/>
    </row>
    <row r="705" spans="4:4" x14ac:dyDescent="0.25">
      <c r="D705"/>
    </row>
    <row r="706" spans="4:4" x14ac:dyDescent="0.25">
      <c r="D706"/>
    </row>
    <row r="707" spans="4:4" x14ac:dyDescent="0.25">
      <c r="D707"/>
    </row>
    <row r="708" spans="4:4" x14ac:dyDescent="0.25">
      <c r="D708"/>
    </row>
    <row r="709" spans="4:4" x14ac:dyDescent="0.25">
      <c r="D709"/>
    </row>
    <row r="710" spans="4:4" x14ac:dyDescent="0.25">
      <c r="D710"/>
    </row>
    <row r="711" spans="4:4" x14ac:dyDescent="0.25">
      <c r="D711"/>
    </row>
    <row r="712" spans="4:4" x14ac:dyDescent="0.25">
      <c r="D712"/>
    </row>
    <row r="713" spans="4:4" x14ac:dyDescent="0.25">
      <c r="D713"/>
    </row>
    <row r="714" spans="4:4" x14ac:dyDescent="0.25">
      <c r="D714"/>
    </row>
    <row r="715" spans="4:4" x14ac:dyDescent="0.25">
      <c r="D715"/>
    </row>
    <row r="716" spans="4:4" x14ac:dyDescent="0.25">
      <c r="D716"/>
    </row>
    <row r="717" spans="4:4" x14ac:dyDescent="0.25">
      <c r="D717"/>
    </row>
    <row r="718" spans="4:4" x14ac:dyDescent="0.25">
      <c r="D718"/>
    </row>
    <row r="719" spans="4:4" x14ac:dyDescent="0.25">
      <c r="D719"/>
    </row>
    <row r="720" spans="4:4" x14ac:dyDescent="0.25">
      <c r="D720"/>
    </row>
    <row r="721" spans="4:4" x14ac:dyDescent="0.25">
      <c r="D721"/>
    </row>
    <row r="722" spans="4:4" x14ac:dyDescent="0.25">
      <c r="D722"/>
    </row>
    <row r="723" spans="4:4" x14ac:dyDescent="0.25">
      <c r="D723"/>
    </row>
    <row r="724" spans="4:4" x14ac:dyDescent="0.25">
      <c r="D724"/>
    </row>
    <row r="725" spans="4:4" x14ac:dyDescent="0.25">
      <c r="D725"/>
    </row>
    <row r="726" spans="4:4" x14ac:dyDescent="0.25">
      <c r="D726"/>
    </row>
    <row r="727" spans="4:4" x14ac:dyDescent="0.25">
      <c r="D727"/>
    </row>
    <row r="728" spans="4:4" x14ac:dyDescent="0.25">
      <c r="D728"/>
    </row>
    <row r="729" spans="4:4" x14ac:dyDescent="0.25">
      <c r="D729"/>
    </row>
    <row r="730" spans="4:4" x14ac:dyDescent="0.25">
      <c r="D730"/>
    </row>
    <row r="731" spans="4:4" x14ac:dyDescent="0.25">
      <c r="D731"/>
    </row>
    <row r="732" spans="4:4" x14ac:dyDescent="0.25">
      <c r="D732"/>
    </row>
    <row r="733" spans="4:4" x14ac:dyDescent="0.25">
      <c r="D733"/>
    </row>
    <row r="734" spans="4:4" x14ac:dyDescent="0.25">
      <c r="D734"/>
    </row>
    <row r="735" spans="4:4" x14ac:dyDescent="0.25">
      <c r="D735"/>
    </row>
    <row r="736" spans="4:4" x14ac:dyDescent="0.25">
      <c r="D736"/>
    </row>
    <row r="737" spans="4:4" x14ac:dyDescent="0.25">
      <c r="D737"/>
    </row>
    <row r="738" spans="4:4" x14ac:dyDescent="0.25">
      <c r="D738"/>
    </row>
    <row r="739" spans="4:4" x14ac:dyDescent="0.25">
      <c r="D739"/>
    </row>
    <row r="740" spans="4:4" x14ac:dyDescent="0.25">
      <c r="D740"/>
    </row>
    <row r="741" spans="4:4" x14ac:dyDescent="0.25">
      <c r="D741"/>
    </row>
    <row r="742" spans="4:4" x14ac:dyDescent="0.25">
      <c r="D742"/>
    </row>
    <row r="743" spans="4:4" x14ac:dyDescent="0.25">
      <c r="D743"/>
    </row>
    <row r="744" spans="4:4" x14ac:dyDescent="0.25">
      <c r="D744"/>
    </row>
    <row r="745" spans="4:4" x14ac:dyDescent="0.25">
      <c r="D745"/>
    </row>
    <row r="746" spans="4:4" x14ac:dyDescent="0.25">
      <c r="D746"/>
    </row>
    <row r="747" spans="4:4" x14ac:dyDescent="0.25">
      <c r="D747"/>
    </row>
    <row r="748" spans="4:4" x14ac:dyDescent="0.25">
      <c r="D748"/>
    </row>
    <row r="749" spans="4:4" x14ac:dyDescent="0.25">
      <c r="D749"/>
    </row>
    <row r="750" spans="4:4" x14ac:dyDescent="0.25">
      <c r="D750"/>
    </row>
    <row r="751" spans="4:4" x14ac:dyDescent="0.25">
      <c r="D751"/>
    </row>
    <row r="752" spans="4:4" x14ac:dyDescent="0.25">
      <c r="D752"/>
    </row>
    <row r="753" spans="4:4" x14ac:dyDescent="0.25">
      <c r="D753"/>
    </row>
    <row r="754" spans="4:4" x14ac:dyDescent="0.25">
      <c r="D754"/>
    </row>
    <row r="755" spans="4:4" x14ac:dyDescent="0.25">
      <c r="D755"/>
    </row>
    <row r="756" spans="4:4" x14ac:dyDescent="0.25">
      <c r="D756"/>
    </row>
    <row r="757" spans="4:4" x14ac:dyDescent="0.25">
      <c r="D757"/>
    </row>
    <row r="758" spans="4:4" x14ac:dyDescent="0.25">
      <c r="D758"/>
    </row>
    <row r="759" spans="4:4" x14ac:dyDescent="0.25">
      <c r="D759"/>
    </row>
    <row r="760" spans="4:4" x14ac:dyDescent="0.25">
      <c r="D760"/>
    </row>
    <row r="761" spans="4:4" x14ac:dyDescent="0.25">
      <c r="D761"/>
    </row>
    <row r="762" spans="4:4" x14ac:dyDescent="0.25">
      <c r="D762"/>
    </row>
    <row r="763" spans="4:4" x14ac:dyDescent="0.25">
      <c r="D763"/>
    </row>
    <row r="764" spans="4:4" x14ac:dyDescent="0.25">
      <c r="D764"/>
    </row>
    <row r="765" spans="4:4" x14ac:dyDescent="0.25">
      <c r="D765"/>
    </row>
    <row r="766" spans="4:4" x14ac:dyDescent="0.25">
      <c r="D766"/>
    </row>
    <row r="767" spans="4:4" x14ac:dyDescent="0.25">
      <c r="D767"/>
    </row>
    <row r="768" spans="4:4" x14ac:dyDescent="0.25">
      <c r="D768"/>
    </row>
    <row r="769" spans="4:4" x14ac:dyDescent="0.25">
      <c r="D769"/>
    </row>
    <row r="770" spans="4:4" x14ac:dyDescent="0.25">
      <c r="D770"/>
    </row>
    <row r="771" spans="4:4" x14ac:dyDescent="0.25">
      <c r="D771"/>
    </row>
    <row r="772" spans="4:4" x14ac:dyDescent="0.25">
      <c r="D772"/>
    </row>
    <row r="773" spans="4:4" x14ac:dyDescent="0.25">
      <c r="D773"/>
    </row>
    <row r="774" spans="4:4" x14ac:dyDescent="0.25">
      <c r="D774"/>
    </row>
    <row r="775" spans="4:4" x14ac:dyDescent="0.25">
      <c r="D775"/>
    </row>
    <row r="776" spans="4:4" x14ac:dyDescent="0.25">
      <c r="D776"/>
    </row>
    <row r="777" spans="4:4" x14ac:dyDescent="0.25">
      <c r="D777"/>
    </row>
    <row r="778" spans="4:4" x14ac:dyDescent="0.25">
      <c r="D778"/>
    </row>
    <row r="779" spans="4:4" x14ac:dyDescent="0.25">
      <c r="D779"/>
    </row>
    <row r="780" spans="4:4" x14ac:dyDescent="0.25">
      <c r="D780"/>
    </row>
    <row r="781" spans="4:4" x14ac:dyDescent="0.25">
      <c r="D781"/>
    </row>
    <row r="782" spans="4:4" x14ac:dyDescent="0.25">
      <c r="D782"/>
    </row>
    <row r="783" spans="4:4" x14ac:dyDescent="0.25">
      <c r="D783"/>
    </row>
    <row r="784" spans="4:4" x14ac:dyDescent="0.25">
      <c r="D784"/>
    </row>
    <row r="785" spans="4:4" x14ac:dyDescent="0.25">
      <c r="D785"/>
    </row>
    <row r="786" spans="4:4" x14ac:dyDescent="0.25">
      <c r="D786"/>
    </row>
    <row r="787" spans="4:4" x14ac:dyDescent="0.25">
      <c r="D787"/>
    </row>
    <row r="788" spans="4:4" x14ac:dyDescent="0.25">
      <c r="D788"/>
    </row>
    <row r="789" spans="4:4" x14ac:dyDescent="0.25">
      <c r="D789"/>
    </row>
    <row r="790" spans="4:4" x14ac:dyDescent="0.25">
      <c r="D790"/>
    </row>
    <row r="791" spans="4:4" x14ac:dyDescent="0.25">
      <c r="D791"/>
    </row>
    <row r="792" spans="4:4" x14ac:dyDescent="0.25">
      <c r="D792"/>
    </row>
    <row r="793" spans="4:4" x14ac:dyDescent="0.25">
      <c r="D793"/>
    </row>
    <row r="794" spans="4:4" x14ac:dyDescent="0.25">
      <c r="D794"/>
    </row>
    <row r="795" spans="4:4" x14ac:dyDescent="0.25">
      <c r="D795"/>
    </row>
    <row r="796" spans="4:4" x14ac:dyDescent="0.25">
      <c r="D796"/>
    </row>
    <row r="797" spans="4:4" x14ac:dyDescent="0.25">
      <c r="D797"/>
    </row>
    <row r="798" spans="4:4" x14ac:dyDescent="0.25">
      <c r="D798"/>
    </row>
    <row r="799" spans="4:4" x14ac:dyDescent="0.25">
      <c r="D799"/>
    </row>
    <row r="800" spans="4:4" x14ac:dyDescent="0.25">
      <c r="D800"/>
    </row>
    <row r="801" spans="4:4" x14ac:dyDescent="0.25">
      <c r="D801"/>
    </row>
    <row r="802" spans="4:4" x14ac:dyDescent="0.25">
      <c r="D802"/>
    </row>
    <row r="803" spans="4:4" x14ac:dyDescent="0.25">
      <c r="D803"/>
    </row>
    <row r="804" spans="4:4" x14ac:dyDescent="0.25">
      <c r="D804"/>
    </row>
    <row r="805" spans="4:4" x14ac:dyDescent="0.25">
      <c r="D805"/>
    </row>
    <row r="806" spans="4:4" x14ac:dyDescent="0.25">
      <c r="D806"/>
    </row>
    <row r="807" spans="4:4" x14ac:dyDescent="0.25">
      <c r="D807"/>
    </row>
    <row r="808" spans="4:4" x14ac:dyDescent="0.25">
      <c r="D808"/>
    </row>
    <row r="809" spans="4:4" x14ac:dyDescent="0.25">
      <c r="D809"/>
    </row>
    <row r="810" spans="4:4" x14ac:dyDescent="0.25">
      <c r="D810"/>
    </row>
    <row r="811" spans="4:4" x14ac:dyDescent="0.25">
      <c r="D811"/>
    </row>
    <row r="812" spans="4:4" x14ac:dyDescent="0.25">
      <c r="D812"/>
    </row>
    <row r="813" spans="4:4" x14ac:dyDescent="0.25">
      <c r="D813"/>
    </row>
    <row r="814" spans="4:4" x14ac:dyDescent="0.25">
      <c r="D814"/>
    </row>
    <row r="815" spans="4:4" x14ac:dyDescent="0.25">
      <c r="D815"/>
    </row>
    <row r="816" spans="4:4" x14ac:dyDescent="0.25">
      <c r="D816"/>
    </row>
    <row r="817" spans="4:4" x14ac:dyDescent="0.25">
      <c r="D817"/>
    </row>
    <row r="818" spans="4:4" x14ac:dyDescent="0.25">
      <c r="D818"/>
    </row>
    <row r="819" spans="4:4" x14ac:dyDescent="0.25">
      <c r="D819"/>
    </row>
    <row r="820" spans="4:4" x14ac:dyDescent="0.25">
      <c r="D820"/>
    </row>
    <row r="821" spans="4:4" x14ac:dyDescent="0.25">
      <c r="D821"/>
    </row>
    <row r="822" spans="4:4" x14ac:dyDescent="0.25">
      <c r="D822"/>
    </row>
    <row r="823" spans="4:4" x14ac:dyDescent="0.25">
      <c r="D823"/>
    </row>
    <row r="824" spans="4:4" x14ac:dyDescent="0.25">
      <c r="D824"/>
    </row>
    <row r="825" spans="4:4" x14ac:dyDescent="0.25">
      <c r="D825"/>
    </row>
    <row r="826" spans="4:4" x14ac:dyDescent="0.25">
      <c r="D826"/>
    </row>
    <row r="827" spans="4:4" x14ac:dyDescent="0.25">
      <c r="D827"/>
    </row>
    <row r="828" spans="4:4" x14ac:dyDescent="0.25">
      <c r="D828"/>
    </row>
    <row r="829" spans="4:4" x14ac:dyDescent="0.25">
      <c r="D829"/>
    </row>
    <row r="830" spans="4:4" x14ac:dyDescent="0.25">
      <c r="D830"/>
    </row>
    <row r="831" spans="4:4" x14ac:dyDescent="0.25">
      <c r="D831"/>
    </row>
    <row r="832" spans="4:4" x14ac:dyDescent="0.25">
      <c r="D832"/>
    </row>
    <row r="833" spans="4:4" x14ac:dyDescent="0.25">
      <c r="D833"/>
    </row>
    <row r="834" spans="4:4" x14ac:dyDescent="0.25">
      <c r="D834"/>
    </row>
    <row r="835" spans="4:4" x14ac:dyDescent="0.25">
      <c r="D835"/>
    </row>
    <row r="836" spans="4:4" x14ac:dyDescent="0.25">
      <c r="D836"/>
    </row>
    <row r="837" spans="4:4" x14ac:dyDescent="0.25">
      <c r="D837"/>
    </row>
    <row r="838" spans="4:4" x14ac:dyDescent="0.25">
      <c r="D838"/>
    </row>
    <row r="839" spans="4:4" x14ac:dyDescent="0.25">
      <c r="D839"/>
    </row>
    <row r="840" spans="4:4" x14ac:dyDescent="0.25">
      <c r="D840"/>
    </row>
    <row r="841" spans="4:4" x14ac:dyDescent="0.25">
      <c r="D841"/>
    </row>
    <row r="842" spans="4:4" x14ac:dyDescent="0.25">
      <c r="D842"/>
    </row>
    <row r="843" spans="4:4" x14ac:dyDescent="0.25">
      <c r="D843"/>
    </row>
    <row r="844" spans="4:4" x14ac:dyDescent="0.25">
      <c r="D844"/>
    </row>
    <row r="845" spans="4:4" x14ac:dyDescent="0.25">
      <c r="D845"/>
    </row>
    <row r="846" spans="4:4" x14ac:dyDescent="0.25">
      <c r="D846"/>
    </row>
    <row r="847" spans="4:4" x14ac:dyDescent="0.25">
      <c r="D847"/>
    </row>
    <row r="848" spans="4:4" x14ac:dyDescent="0.25">
      <c r="D848"/>
    </row>
    <row r="849" spans="4:4" x14ac:dyDescent="0.25">
      <c r="D849"/>
    </row>
    <row r="850" spans="4:4" x14ac:dyDescent="0.25">
      <c r="D850"/>
    </row>
    <row r="851" spans="4:4" x14ac:dyDescent="0.25">
      <c r="D851"/>
    </row>
    <row r="852" spans="4:4" x14ac:dyDescent="0.25">
      <c r="D852"/>
    </row>
    <row r="853" spans="4:4" x14ac:dyDescent="0.25">
      <c r="D853"/>
    </row>
    <row r="854" spans="4:4" x14ac:dyDescent="0.25">
      <c r="D854"/>
    </row>
    <row r="855" spans="4:4" x14ac:dyDescent="0.25">
      <c r="D855"/>
    </row>
    <row r="856" spans="4:4" x14ac:dyDescent="0.25">
      <c r="D856"/>
    </row>
    <row r="857" spans="4:4" x14ac:dyDescent="0.25">
      <c r="D857"/>
    </row>
    <row r="858" spans="4:4" x14ac:dyDescent="0.25">
      <c r="D858"/>
    </row>
    <row r="859" spans="4:4" x14ac:dyDescent="0.25">
      <c r="D859"/>
    </row>
    <row r="860" spans="4:4" x14ac:dyDescent="0.25">
      <c r="D860"/>
    </row>
    <row r="861" spans="4:4" x14ac:dyDescent="0.25">
      <c r="D861"/>
    </row>
    <row r="862" spans="4:4" x14ac:dyDescent="0.25">
      <c r="D862"/>
    </row>
    <row r="863" spans="4:4" x14ac:dyDescent="0.25">
      <c r="D863"/>
    </row>
    <row r="864" spans="4:4" x14ac:dyDescent="0.25">
      <c r="D864"/>
    </row>
    <row r="865" spans="4:4" x14ac:dyDescent="0.25">
      <c r="D865"/>
    </row>
    <row r="866" spans="4:4" x14ac:dyDescent="0.25">
      <c r="D866"/>
    </row>
    <row r="867" spans="4:4" x14ac:dyDescent="0.25">
      <c r="D867"/>
    </row>
    <row r="868" spans="4:4" x14ac:dyDescent="0.25">
      <c r="D868"/>
    </row>
    <row r="869" spans="4:4" x14ac:dyDescent="0.25">
      <c r="D869"/>
    </row>
    <row r="870" spans="4:4" x14ac:dyDescent="0.25">
      <c r="D870"/>
    </row>
    <row r="871" spans="4:4" x14ac:dyDescent="0.25">
      <c r="D871"/>
    </row>
    <row r="872" spans="4:4" x14ac:dyDescent="0.25">
      <c r="D872"/>
    </row>
    <row r="873" spans="4:4" x14ac:dyDescent="0.25">
      <c r="D873"/>
    </row>
    <row r="874" spans="4:4" x14ac:dyDescent="0.25">
      <c r="D874"/>
    </row>
    <row r="875" spans="4:4" x14ac:dyDescent="0.25">
      <c r="D875"/>
    </row>
    <row r="876" spans="4:4" x14ac:dyDescent="0.25">
      <c r="D876"/>
    </row>
    <row r="877" spans="4:4" x14ac:dyDescent="0.25">
      <c r="D877"/>
    </row>
    <row r="878" spans="4:4" x14ac:dyDescent="0.25">
      <c r="D878"/>
    </row>
    <row r="879" spans="4:4" x14ac:dyDescent="0.25">
      <c r="D879"/>
    </row>
    <row r="880" spans="4:4" x14ac:dyDescent="0.25">
      <c r="D880"/>
    </row>
    <row r="881" spans="4:4" x14ac:dyDescent="0.25">
      <c r="D881"/>
    </row>
    <row r="882" spans="4:4" x14ac:dyDescent="0.25">
      <c r="D882"/>
    </row>
    <row r="883" spans="4:4" x14ac:dyDescent="0.25">
      <c r="D883"/>
    </row>
    <row r="884" spans="4:4" x14ac:dyDescent="0.25">
      <c r="D884"/>
    </row>
    <row r="885" spans="4:4" x14ac:dyDescent="0.25">
      <c r="D885"/>
    </row>
    <row r="886" spans="4:4" x14ac:dyDescent="0.25">
      <c r="D886"/>
    </row>
    <row r="887" spans="4:4" x14ac:dyDescent="0.25">
      <c r="D887"/>
    </row>
    <row r="888" spans="4:4" x14ac:dyDescent="0.25">
      <c r="D888"/>
    </row>
    <row r="889" spans="4:4" x14ac:dyDescent="0.25">
      <c r="D889"/>
    </row>
    <row r="890" spans="4:4" x14ac:dyDescent="0.25">
      <c r="D890"/>
    </row>
    <row r="891" spans="4:4" x14ac:dyDescent="0.25">
      <c r="D891"/>
    </row>
    <row r="892" spans="4:4" x14ac:dyDescent="0.25">
      <c r="D892"/>
    </row>
    <row r="893" spans="4:4" x14ac:dyDescent="0.25">
      <c r="D893"/>
    </row>
    <row r="894" spans="4:4" x14ac:dyDescent="0.25">
      <c r="D894"/>
    </row>
    <row r="895" spans="4:4" x14ac:dyDescent="0.25">
      <c r="D895"/>
    </row>
    <row r="896" spans="4:4" x14ac:dyDescent="0.25">
      <c r="D896"/>
    </row>
    <row r="897" spans="4:4" x14ac:dyDescent="0.25">
      <c r="D897"/>
    </row>
    <row r="898" spans="4:4" x14ac:dyDescent="0.25">
      <c r="D898"/>
    </row>
    <row r="899" spans="4:4" x14ac:dyDescent="0.25">
      <c r="D899"/>
    </row>
    <row r="900" spans="4:4" x14ac:dyDescent="0.25">
      <c r="D900"/>
    </row>
    <row r="901" spans="4:4" x14ac:dyDescent="0.25">
      <c r="D901"/>
    </row>
    <row r="902" spans="4:4" x14ac:dyDescent="0.25">
      <c r="D902"/>
    </row>
    <row r="903" spans="4:4" x14ac:dyDescent="0.25">
      <c r="D903"/>
    </row>
    <row r="904" spans="4:4" x14ac:dyDescent="0.25">
      <c r="D904"/>
    </row>
    <row r="905" spans="4:4" x14ac:dyDescent="0.25">
      <c r="D905"/>
    </row>
    <row r="906" spans="4:4" x14ac:dyDescent="0.25">
      <c r="D906"/>
    </row>
    <row r="907" spans="4:4" x14ac:dyDescent="0.25">
      <c r="D907"/>
    </row>
    <row r="908" spans="4:4" x14ac:dyDescent="0.25">
      <c r="D908"/>
    </row>
    <row r="909" spans="4:4" x14ac:dyDescent="0.25">
      <c r="D909"/>
    </row>
    <row r="910" spans="4:4" x14ac:dyDescent="0.25">
      <c r="D910"/>
    </row>
    <row r="911" spans="4:4" x14ac:dyDescent="0.25">
      <c r="D911"/>
    </row>
    <row r="912" spans="4:4" x14ac:dyDescent="0.25">
      <c r="D912"/>
    </row>
    <row r="913" spans="4:4" x14ac:dyDescent="0.25">
      <c r="D913"/>
    </row>
    <row r="914" spans="4:4" x14ac:dyDescent="0.25">
      <c r="D914"/>
    </row>
    <row r="915" spans="4:4" x14ac:dyDescent="0.25">
      <c r="D915"/>
    </row>
    <row r="916" spans="4:4" x14ac:dyDescent="0.25">
      <c r="D916"/>
    </row>
    <row r="917" spans="4:4" x14ac:dyDescent="0.25">
      <c r="D917"/>
    </row>
    <row r="918" spans="4:4" x14ac:dyDescent="0.25">
      <c r="D918"/>
    </row>
    <row r="919" spans="4:4" x14ac:dyDescent="0.25">
      <c r="D919"/>
    </row>
    <row r="920" spans="4:4" x14ac:dyDescent="0.25">
      <c r="D920"/>
    </row>
    <row r="921" spans="4:4" x14ac:dyDescent="0.25">
      <c r="D921"/>
    </row>
    <row r="922" spans="4:4" x14ac:dyDescent="0.25">
      <c r="D922"/>
    </row>
    <row r="923" spans="4:4" x14ac:dyDescent="0.25">
      <c r="D923"/>
    </row>
    <row r="924" spans="4:4" x14ac:dyDescent="0.25">
      <c r="D924"/>
    </row>
    <row r="925" spans="4:4" x14ac:dyDescent="0.25">
      <c r="D925"/>
    </row>
    <row r="926" spans="4:4" x14ac:dyDescent="0.25">
      <c r="D926"/>
    </row>
    <row r="927" spans="4:4" x14ac:dyDescent="0.25">
      <c r="D927"/>
    </row>
    <row r="928" spans="4:4" x14ac:dyDescent="0.25">
      <c r="D928"/>
    </row>
    <row r="929" spans="4:4" x14ac:dyDescent="0.25">
      <c r="D929"/>
    </row>
    <row r="930" spans="4:4" x14ac:dyDescent="0.25">
      <c r="D930"/>
    </row>
    <row r="931" spans="4:4" x14ac:dyDescent="0.25">
      <c r="D931"/>
    </row>
    <row r="932" spans="4:4" x14ac:dyDescent="0.25">
      <c r="D932"/>
    </row>
    <row r="933" spans="4:4" x14ac:dyDescent="0.25">
      <c r="D933"/>
    </row>
    <row r="934" spans="4:4" x14ac:dyDescent="0.25">
      <c r="D934"/>
    </row>
    <row r="935" spans="4:4" x14ac:dyDescent="0.25">
      <c r="D935"/>
    </row>
    <row r="936" spans="4:4" x14ac:dyDescent="0.25">
      <c r="D936"/>
    </row>
    <row r="937" spans="4:4" x14ac:dyDescent="0.25">
      <c r="D937"/>
    </row>
    <row r="938" spans="4:4" x14ac:dyDescent="0.25">
      <c r="D938"/>
    </row>
    <row r="939" spans="4:4" x14ac:dyDescent="0.25">
      <c r="D939"/>
    </row>
    <row r="940" spans="4:4" x14ac:dyDescent="0.25">
      <c r="D940"/>
    </row>
    <row r="941" spans="4:4" x14ac:dyDescent="0.25">
      <c r="D941"/>
    </row>
    <row r="942" spans="4:4" x14ac:dyDescent="0.25">
      <c r="D942"/>
    </row>
    <row r="943" spans="4:4" x14ac:dyDescent="0.25">
      <c r="D943"/>
    </row>
    <row r="944" spans="4:4" x14ac:dyDescent="0.25">
      <c r="D944"/>
    </row>
    <row r="945" spans="4:4" x14ac:dyDescent="0.25">
      <c r="D945"/>
    </row>
    <row r="946" spans="4:4" x14ac:dyDescent="0.25">
      <c r="D946"/>
    </row>
    <row r="947" spans="4:4" x14ac:dyDescent="0.25">
      <c r="D947"/>
    </row>
    <row r="948" spans="4:4" x14ac:dyDescent="0.25">
      <c r="D948"/>
    </row>
    <row r="949" spans="4:4" x14ac:dyDescent="0.25">
      <c r="D949"/>
    </row>
    <row r="950" spans="4:4" x14ac:dyDescent="0.25">
      <c r="D950"/>
    </row>
    <row r="951" spans="4:4" x14ac:dyDescent="0.25">
      <c r="D951"/>
    </row>
    <row r="952" spans="4:4" x14ac:dyDescent="0.25">
      <c r="D952"/>
    </row>
    <row r="953" spans="4:4" x14ac:dyDescent="0.25">
      <c r="D953"/>
    </row>
    <row r="954" spans="4:4" x14ac:dyDescent="0.25">
      <c r="D954"/>
    </row>
    <row r="955" spans="4:4" x14ac:dyDescent="0.25">
      <c r="D955"/>
    </row>
    <row r="956" spans="4:4" x14ac:dyDescent="0.25">
      <c r="D956"/>
    </row>
    <row r="957" spans="4:4" x14ac:dyDescent="0.25">
      <c r="D957"/>
    </row>
    <row r="958" spans="4:4" x14ac:dyDescent="0.25">
      <c r="D958"/>
    </row>
    <row r="959" spans="4:4" x14ac:dyDescent="0.25">
      <c r="D959"/>
    </row>
    <row r="960" spans="4:4" x14ac:dyDescent="0.25">
      <c r="D960"/>
    </row>
    <row r="961" spans="4:4" x14ac:dyDescent="0.25">
      <c r="D961"/>
    </row>
    <row r="962" spans="4:4" x14ac:dyDescent="0.25">
      <c r="D962"/>
    </row>
    <row r="963" spans="4:4" x14ac:dyDescent="0.25">
      <c r="D963"/>
    </row>
    <row r="964" spans="4:4" x14ac:dyDescent="0.25">
      <c r="D964"/>
    </row>
    <row r="965" spans="4:4" x14ac:dyDescent="0.25">
      <c r="D965"/>
    </row>
    <row r="966" spans="4:4" x14ac:dyDescent="0.25">
      <c r="D966"/>
    </row>
    <row r="967" spans="4:4" x14ac:dyDescent="0.25">
      <c r="D967"/>
    </row>
    <row r="968" spans="4:4" x14ac:dyDescent="0.25">
      <c r="D968"/>
    </row>
    <row r="969" spans="4:4" x14ac:dyDescent="0.25">
      <c r="D969"/>
    </row>
    <row r="970" spans="4:4" x14ac:dyDescent="0.25">
      <c r="D970"/>
    </row>
    <row r="971" spans="4:4" x14ac:dyDescent="0.25">
      <c r="D971"/>
    </row>
    <row r="972" spans="4:4" x14ac:dyDescent="0.25">
      <c r="D972"/>
    </row>
    <row r="973" spans="4:4" x14ac:dyDescent="0.25">
      <c r="D973"/>
    </row>
    <row r="974" spans="4:4" x14ac:dyDescent="0.25">
      <c r="D974"/>
    </row>
    <row r="975" spans="4:4" x14ac:dyDescent="0.25">
      <c r="D975"/>
    </row>
    <row r="976" spans="4:4" x14ac:dyDescent="0.25">
      <c r="D976"/>
    </row>
    <row r="977" spans="4:4" x14ac:dyDescent="0.25">
      <c r="D977"/>
    </row>
    <row r="978" spans="4:4" x14ac:dyDescent="0.25">
      <c r="D978"/>
    </row>
    <row r="979" spans="4:4" x14ac:dyDescent="0.25">
      <c r="D979"/>
    </row>
    <row r="980" spans="4:4" x14ac:dyDescent="0.25">
      <c r="D980"/>
    </row>
    <row r="981" spans="4:4" x14ac:dyDescent="0.25">
      <c r="D981"/>
    </row>
    <row r="982" spans="4:4" x14ac:dyDescent="0.25">
      <c r="D982"/>
    </row>
    <row r="983" spans="4:4" x14ac:dyDescent="0.25">
      <c r="D983"/>
    </row>
    <row r="984" spans="4:4" x14ac:dyDescent="0.25">
      <c r="D984"/>
    </row>
    <row r="985" spans="4:4" x14ac:dyDescent="0.25">
      <c r="D985"/>
    </row>
    <row r="986" spans="4:4" x14ac:dyDescent="0.25">
      <c r="D986"/>
    </row>
    <row r="987" spans="4:4" x14ac:dyDescent="0.25">
      <c r="D987"/>
    </row>
    <row r="988" spans="4:4" x14ac:dyDescent="0.25">
      <c r="D988"/>
    </row>
    <row r="989" spans="4:4" x14ac:dyDescent="0.25">
      <c r="D989"/>
    </row>
    <row r="990" spans="4:4" x14ac:dyDescent="0.25">
      <c r="D990"/>
    </row>
    <row r="991" spans="4:4" x14ac:dyDescent="0.25">
      <c r="D991"/>
    </row>
    <row r="992" spans="4:4" x14ac:dyDescent="0.25">
      <c r="D992"/>
    </row>
    <row r="993" spans="4:4" x14ac:dyDescent="0.25">
      <c r="D993"/>
    </row>
    <row r="994" spans="4:4" x14ac:dyDescent="0.25">
      <c r="D994"/>
    </row>
    <row r="995" spans="4:4" x14ac:dyDescent="0.25">
      <c r="D995"/>
    </row>
    <row r="996" spans="4:4" x14ac:dyDescent="0.25">
      <c r="D996"/>
    </row>
    <row r="997" spans="4:4" x14ac:dyDescent="0.25">
      <c r="D997"/>
    </row>
    <row r="998" spans="4:4" x14ac:dyDescent="0.25">
      <c r="D998"/>
    </row>
    <row r="999" spans="4:4" x14ac:dyDescent="0.25">
      <c r="D999"/>
    </row>
    <row r="1000" spans="4:4" x14ac:dyDescent="0.25">
      <c r="D1000"/>
    </row>
  </sheetData>
  <mergeCells count="1">
    <mergeCell ref="J1:J2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6C8FB-8D15-4C41-BF22-8A9FA64A9AF1}">
  <sheetPr codeName="Sheet5"/>
  <dimension ref="A1"/>
  <sheetViews>
    <sheetView workbookViewId="0">
      <selection activeCell="C1" sqref="C1"/>
    </sheetView>
  </sheetViews>
  <sheetFormatPr defaultRowHeight="15" x14ac:dyDescent="0.25"/>
  <sheetData>
    <row r="1" spans="1:1" ht="25.5" customHeight="1" x14ac:dyDescent="0.25">
      <c r="A1" t="s">
        <v>1781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726A3-F379-48CC-AC49-4EAB4DC3753B}">
  <sheetPr codeName="Sheet6"/>
  <dimension ref="A1:B25"/>
  <sheetViews>
    <sheetView workbookViewId="0">
      <selection activeCell="A2" sqref="A2"/>
    </sheetView>
  </sheetViews>
  <sheetFormatPr defaultRowHeight="15" x14ac:dyDescent="0.25"/>
  <cols>
    <col min="1" max="1" width="9.140625" style="26"/>
  </cols>
  <sheetData>
    <row r="1" spans="1:2" x14ac:dyDescent="0.25">
      <c r="A1" s="26">
        <v>902</v>
      </c>
    </row>
    <row r="2" spans="1:2" x14ac:dyDescent="0.25">
      <c r="A2" s="26">
        <v>904</v>
      </c>
      <c r="B2" s="27"/>
    </row>
    <row r="3" spans="1:2" x14ac:dyDescent="0.25">
      <c r="A3" s="26">
        <v>908</v>
      </c>
      <c r="B3" s="27"/>
    </row>
    <row r="4" spans="1:2" x14ac:dyDescent="0.25">
      <c r="A4" s="26">
        <v>920</v>
      </c>
      <c r="B4" s="27"/>
    </row>
    <row r="5" spans="1:2" x14ac:dyDescent="0.25">
      <c r="A5" s="26">
        <v>921</v>
      </c>
      <c r="B5" s="27"/>
    </row>
    <row r="6" spans="1:2" x14ac:dyDescent="0.25">
      <c r="A6" s="26">
        <v>922</v>
      </c>
      <c r="B6" s="27"/>
    </row>
    <row r="7" spans="1:2" x14ac:dyDescent="0.25">
      <c r="A7" s="26">
        <v>923</v>
      </c>
      <c r="B7" s="27"/>
    </row>
    <row r="8" spans="1:2" x14ac:dyDescent="0.25">
      <c r="A8" s="26">
        <v>924</v>
      </c>
      <c r="B8" s="27"/>
    </row>
    <row r="9" spans="1:2" x14ac:dyDescent="0.25">
      <c r="A9" s="26">
        <v>925</v>
      </c>
      <c r="B9" s="27"/>
    </row>
    <row r="10" spans="1:2" x14ac:dyDescent="0.25">
      <c r="A10" s="26">
        <v>926</v>
      </c>
      <c r="B10" s="27"/>
    </row>
    <row r="11" spans="1:2" x14ac:dyDescent="0.25">
      <c r="A11" s="26">
        <v>927</v>
      </c>
      <c r="B11" s="27"/>
    </row>
    <row r="12" spans="1:2" x14ac:dyDescent="0.25">
      <c r="A12" s="26">
        <v>928</v>
      </c>
      <c r="B12" s="27"/>
    </row>
    <row r="13" spans="1:2" x14ac:dyDescent="0.25">
      <c r="A13" s="26">
        <v>929</v>
      </c>
      <c r="B13" s="27"/>
    </row>
    <row r="14" spans="1:2" x14ac:dyDescent="0.25">
      <c r="A14" s="26">
        <v>930</v>
      </c>
      <c r="B14" s="27"/>
    </row>
    <row r="15" spans="1:2" x14ac:dyDescent="0.25">
      <c r="A15" s="26">
        <v>931</v>
      </c>
      <c r="B15" s="27"/>
    </row>
    <row r="16" spans="1:2" x14ac:dyDescent="0.25">
      <c r="A16" s="26">
        <v>932</v>
      </c>
      <c r="B16" s="27"/>
    </row>
    <row r="17" spans="1:2" x14ac:dyDescent="0.25">
      <c r="A17" s="26">
        <v>933</v>
      </c>
      <c r="B17" s="27"/>
    </row>
    <row r="18" spans="1:2" x14ac:dyDescent="0.25">
      <c r="A18" s="26">
        <v>934</v>
      </c>
      <c r="B18" s="27"/>
    </row>
    <row r="19" spans="1:2" x14ac:dyDescent="0.25">
      <c r="A19" s="26">
        <v>936</v>
      </c>
      <c r="B19" s="27"/>
    </row>
    <row r="20" spans="1:2" x14ac:dyDescent="0.25">
      <c r="A20" s="26">
        <v>937</v>
      </c>
      <c r="B20" s="27"/>
    </row>
    <row r="21" spans="1:2" x14ac:dyDescent="0.25">
      <c r="A21" s="26">
        <v>938</v>
      </c>
      <c r="B21" s="27"/>
    </row>
    <row r="22" spans="1:2" x14ac:dyDescent="0.25">
      <c r="A22" s="26">
        <v>939</v>
      </c>
      <c r="B22" s="27"/>
    </row>
    <row r="23" spans="1:2" x14ac:dyDescent="0.25">
      <c r="A23" s="26">
        <v>950</v>
      </c>
      <c r="B23" s="27"/>
    </row>
    <row r="24" spans="1:2" x14ac:dyDescent="0.25">
      <c r="A24" s="26">
        <v>951</v>
      </c>
      <c r="B24" s="27"/>
    </row>
    <row r="25" spans="1:2" x14ac:dyDescent="0.25">
      <c r="A25" s="26">
        <v>999</v>
      </c>
      <c r="B25" s="2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реестр просрочников</vt:lpstr>
      <vt:lpstr>РП (расш)</vt:lpstr>
      <vt:lpstr>сверка</vt:lpstr>
      <vt:lpstr>Платежный календарь</vt:lpstr>
      <vt:lpstr>xforms</vt:lpstr>
      <vt:lpstr>мегафон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s.kvasko</dc:creator>
  <cp:lastModifiedBy>s.kvasko</cp:lastModifiedBy>
  <dcterms:created xsi:type="dcterms:W3CDTF">2015-06-05T18:17:20Z</dcterms:created>
  <dcterms:modified xsi:type="dcterms:W3CDTF">2024-08-22T12:53:23Z</dcterms:modified>
</cp:coreProperties>
</file>
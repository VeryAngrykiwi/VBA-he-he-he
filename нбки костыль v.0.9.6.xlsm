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726" codeName="{1BF75E64-36B4-4512-B9E4-3ED0869CA821}"/>
  <workbookPr codeName="ЭтаКнига" defaultThemeVersion="166925"/>
  <mc:AlternateContent xmlns:mc="http://schemas.openxmlformats.org/markup-compatibility/2006">
    <mc:Choice Requires="x15">
      <x15ac:absPath xmlns:x15ac="http://schemas.microsoft.com/office/spreadsheetml/2010/11/ac" url="\\data\share\Отдел сопровождения кредитования\Работа с просрочкой\КСМ\"/>
    </mc:Choice>
  </mc:AlternateContent>
  <xr:revisionPtr revIDLastSave="0" documentId="13_ncr:1_{49CD27AD-9B31-4529-87D7-5C576DB90023}" xr6:coauthVersionLast="47" xr6:coauthVersionMax="47" xr10:uidLastSave="{00000000-0000-0000-0000-000000000000}"/>
  <bookViews>
    <workbookView xWindow="-120" yWindow="-120" windowWidth="29040" windowHeight="15840" xr2:uid="{278279F7-F34F-4412-93F7-5224B4B3C661}"/>
  </bookViews>
  <sheets>
    <sheet name="вставка" sheetId="5" r:id="rId1"/>
    <sheet name="добавлятор" sheetId="6" r:id="rId2"/>
    <sheet name="компилятор" sheetId="8" r:id="rId3"/>
    <sheet name="что получилось" sheetId="10" r:id="rId4"/>
  </sheets>
  <definedNames>
    <definedName name="_ftn1" localSheetId="1">добавлятор!$A$717</definedName>
    <definedName name="_ftn2" localSheetId="1">добавлятор!$A$719</definedName>
    <definedName name="_ftn3" localSheetId="1">добавлятор!$A$720</definedName>
    <definedName name="_ftn4" localSheetId="1">добавлятор!$A$723</definedName>
    <definedName name="_ftn5" localSheetId="1">добавлятор!$A$724</definedName>
    <definedName name="_ftn6" localSheetId="1">добавлятор!$A$725</definedName>
    <definedName name="_ftn7" localSheetId="1">добавлятор!$A$729</definedName>
    <definedName name="_ftn8" localSheetId="1">добавлятор!$A$730</definedName>
    <definedName name="_ftnref1" localSheetId="1">добавлятор!$D$2</definedName>
    <definedName name="_ftnref2" localSheetId="1">добавлятор!$A$88</definedName>
    <definedName name="_ftnref3" localSheetId="1">добавлятор!$C$116</definedName>
    <definedName name="_ftnref4" localSheetId="1">добавлятор!$B$142</definedName>
    <definedName name="_ftnref5" localSheetId="1">добавлятор!$B$152</definedName>
    <definedName name="_ftnref6" localSheetId="1">добавлятор!$C$283</definedName>
    <definedName name="_ftnref7" localSheetId="1">добавлятор!$B$306</definedName>
    <definedName name="_ftnref8" localSheetId="1">добавлятор!$C$539</definedName>
    <definedName name="_Ref141966839" localSheetId="1">добавлятор!$B$142</definedName>
    <definedName name="_Ref141966882" localSheetId="1">добавлятор!$B$152</definedName>
    <definedName name="_Ref151894629" localSheetId="1">добавлятор!$A$88</definedName>
    <definedName name="_Toc153537865" localSheetId="1">добавлятор!$A$4</definedName>
    <definedName name="_Toc153537871" localSheetId="1">добавлятор!$A$61</definedName>
    <definedName name="_Toc153537882" localSheetId="1">добавлятор!$A$194</definedName>
    <definedName name="_Toc153537890" localSheetId="1">добавлятор!$A$322</definedName>
    <definedName name="_Toc153537897" localSheetId="1">добавлятор!$A$407</definedName>
    <definedName name="_Toc153537900" localSheetId="1">добавлятор!$A$425</definedName>
    <definedName name="_Toc153537904" localSheetId="1">добавлятор!$A$475</definedName>
    <definedName name="_Toc153537907" localSheetId="1">добавлятор!$A$490</definedName>
    <definedName name="_Toc153537911" localSheetId="1">добавлятор!$A$548</definedName>
    <definedName name="_Toc153537914" localSheetId="1">добавлятор!$A$604</definedName>
    <definedName name="_Toc153537918" localSheetId="1">добавлятор!$A$660</definedName>
    <definedName name="_Toc153537920" localSheetId="1">добавлятор!$A$672</definedName>
    <definedName name="_xlnm._FilterDatabase" localSheetId="0" hidden="1">вставка!$A$1:$A$573</definedName>
    <definedName name="_xlnm._FilterDatabase" localSheetId="1" hidden="1">добавлятор!$J$1:$J$714</definedName>
    <definedName name="_xlnm._FilterDatabase" localSheetId="2" hidden="1">компилятор!$F$1:$F$48</definedName>
    <definedName name="B1_NAME" localSheetId="1">добавлятор!$A$6</definedName>
    <definedName name="B10_UID" localSheetId="1">добавлятор!$A$100</definedName>
    <definedName name="B11_TRADE" localSheetId="1">добавлятор!$A$108</definedName>
    <definedName name="B12_ACCOUNTAMT" localSheetId="1">добавлятор!$A$140</definedName>
    <definedName name="B13_COBORROWER" localSheetId="1">добавлятор!$A$156</definedName>
    <definedName name="B14_PAYMTCONDITION" localSheetId="1">добавлятор!$A$162</definedName>
    <definedName name="B15_AMENDMENT" localSheetId="1">добавлятор!$A$177</definedName>
    <definedName name="B16_FUNDDATE" localSheetId="1">добавлятор!$A$195</definedName>
    <definedName name="B17_ARREAR" localSheetId="1">добавлятор!$A$199</definedName>
    <definedName name="B18_DUEARREAR" localSheetId="1">добавлятор!$A$228</definedName>
    <definedName name="B19_PASTDUEARREAR" localSheetId="1">добавлятор!$A$252</definedName>
    <definedName name="B2_ADDR" localSheetId="1">добавлятор!$A$18</definedName>
    <definedName name="B20_PAYMT" localSheetId="1">добавлятор!$A$277</definedName>
    <definedName name="B21_SOURCENONMONETOBLIG" localSheetId="1">добавлятор!$A$298</definedName>
    <definedName name="B22_SUBJECTNONMONETOBLIG" localSheetId="1">добавлятор!$A$313</definedName>
    <definedName name="B23_COLLATERAL" localSheetId="1">добавлятор!$A$323</definedName>
    <definedName name="B24_GUARANTOR" localSheetId="1">добавлятор!$A$347</definedName>
    <definedName name="B25_INDEPGUARANTOR" localSheetId="1">добавлятор!$A$361</definedName>
    <definedName name="B26_COLLATINSURED" localSheetId="1">добавлятор!$A$374</definedName>
    <definedName name="B27_COLLATREPAY" localSheetId="1">добавлятор!$A$387</definedName>
    <definedName name="B28_GUARANTEEREPAY" localSheetId="1">добавлятор!$A$396</definedName>
    <definedName name="B29_OBLIGTERMINATION" localSheetId="1">добавлятор!$A$408</definedName>
    <definedName name="B3_REGNUM" localSheetId="1">добавлятор!$A$40</definedName>
    <definedName name="B30_LEGALRECORD" localSheetId="1">добавлятор!$A$412</definedName>
    <definedName name="B31_OBLIGSRCBANKRUPT" localSheetId="1">добавлятор!$A$426</definedName>
    <definedName name="B32_OBLIGSRCLIQUID" localSheetId="1">добавлятор!$A$441</definedName>
    <definedName name="B33_OTHERLEGAL" localSheetId="1">добавлятор!$A$456</definedName>
    <definedName name="B34_INQUIRY" localSheetId="1">добавлятор!$A$476</definedName>
    <definedName name="B35_SUBMITHOLD" localSheetId="1">добавлятор!$A$485</definedName>
    <definedName name="B36_SOURCELEGAL" localSheetId="1">добавлятор!$A$491</definedName>
    <definedName name="B37_SOURCEINDIVID" localSheetId="1">добавлятор!$A$512</definedName>
    <definedName name="B38_SOURCEBCOMM" localSheetId="1">добавлятор!$A$529</definedName>
    <definedName name="B39_USERLEGAL" localSheetId="1">добавлятор!$A$549</definedName>
    <definedName name="B4_TAXPAYERID" localSheetId="1">добавлятор!$A$45</definedName>
    <definedName name="B40_USERENTREP" localSheetId="1">добавлятор!$A$573</definedName>
    <definedName name="B41_ACQUIRERLEGAL" localSheetId="1">добавлятор!$A$605</definedName>
    <definedName name="B42_ACQUIRERINDIVID" localSheetId="1">добавлятор!$A$620</definedName>
    <definedName name="B43_SERVICECO" localSheetId="1">добавлятор!$A$641</definedName>
    <definedName name="B44_OBLIGACCOUNT" localSheetId="1">добавлятор!$A$661</definedName>
    <definedName name="B45_APPLICATION" localSheetId="1">добавлятор!$A$673</definedName>
    <definedName name="B46_OBLIGPARTTAKE" localSheetId="1">добавлятор!$A$696</definedName>
    <definedName name="B47_APPLREJECT" localSheetId="1">добавлятор!$A$711</definedName>
    <definedName name="B5_REORG" localSheetId="1">добавлятор!$A$50</definedName>
    <definedName name="B6_BANKRUPTCY" localSheetId="1">добавлятор!$A$62</definedName>
    <definedName name="B7_SETTLED" localSheetId="1">добавлятор!$A$81</definedName>
    <definedName name="B8_PREVCRED" localSheetId="1">добавлятор!$A$87</definedName>
    <definedName name="B9_SCORE" localSheetId="1">добавлятор!$A$94</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A2" i="5" l="1"/>
  <c r="AA3" i="5"/>
  <c r="AA4" i="5"/>
  <c r="AA5" i="5"/>
  <c r="AA6" i="5"/>
  <c r="AA7" i="5"/>
  <c r="AA8" i="5"/>
  <c r="AA9" i="5"/>
  <c r="AA10" i="5"/>
  <c r="AA11" i="5"/>
  <c r="AA12" i="5"/>
  <c r="AA13" i="5"/>
  <c r="AA14" i="5"/>
  <c r="AA15" i="5"/>
  <c r="AA16" i="5"/>
  <c r="AA17" i="5"/>
  <c r="AA18" i="5"/>
  <c r="AA19" i="5"/>
  <c r="AA20" i="5"/>
  <c r="AA21" i="5"/>
  <c r="AA22" i="5"/>
  <c r="AA23" i="5"/>
  <c r="AA24" i="5"/>
  <c r="AA25" i="5"/>
  <c r="AA26" i="5"/>
  <c r="AA27" i="5"/>
  <c r="AA28" i="5"/>
  <c r="AA29" i="5"/>
  <c r="AA30" i="5"/>
  <c r="AA31" i="5"/>
  <c r="AA32" i="5"/>
  <c r="AA33" i="5"/>
  <c r="AA34" i="5"/>
  <c r="AA35" i="5"/>
  <c r="AA36" i="5"/>
  <c r="AA37" i="5"/>
  <c r="AA38" i="5"/>
  <c r="AA39" i="5"/>
  <c r="AA40" i="5"/>
  <c r="AA41" i="5"/>
  <c r="AA42" i="5"/>
  <c r="AA43" i="5"/>
  <c r="AA44" i="5"/>
  <c r="AA45" i="5"/>
  <c r="AA46" i="5"/>
  <c r="AA47" i="5"/>
  <c r="AA48" i="5"/>
  <c r="AA49" i="5"/>
  <c r="AA50" i="5"/>
  <c r="AA51" i="5"/>
  <c r="AA52" i="5"/>
  <c r="AA53" i="5"/>
  <c r="AA54" i="5"/>
  <c r="AA55" i="5"/>
  <c r="AA56" i="5"/>
  <c r="AA57" i="5"/>
  <c r="AA58" i="5"/>
  <c r="AA59" i="5"/>
  <c r="AA60" i="5"/>
  <c r="AA61" i="5"/>
  <c r="AA62" i="5"/>
  <c r="AA63" i="5"/>
  <c r="AA64" i="5"/>
  <c r="AA65" i="5"/>
  <c r="AA66" i="5"/>
  <c r="AA67" i="5"/>
  <c r="AA68" i="5"/>
  <c r="AA69" i="5"/>
  <c r="AA70" i="5"/>
  <c r="AA71" i="5"/>
  <c r="AA72" i="5"/>
  <c r="AA73" i="5"/>
  <c r="AA74" i="5"/>
  <c r="AA75" i="5"/>
  <c r="AA76" i="5"/>
  <c r="AA77" i="5"/>
  <c r="AA78" i="5"/>
  <c r="AA79" i="5"/>
  <c r="AA80" i="5"/>
  <c r="AA81" i="5"/>
  <c r="AA82" i="5"/>
  <c r="AA83" i="5"/>
  <c r="AA84" i="5"/>
  <c r="AA85" i="5"/>
  <c r="AA86" i="5"/>
  <c r="AA87" i="5"/>
  <c r="AA88" i="5"/>
  <c r="AA89" i="5"/>
  <c r="AA90" i="5"/>
  <c r="AA91" i="5"/>
  <c r="AA92" i="5"/>
  <c r="AA93" i="5"/>
  <c r="AA94" i="5"/>
  <c r="AA95" i="5"/>
  <c r="AA96" i="5"/>
  <c r="AA97" i="5"/>
  <c r="AA98" i="5"/>
  <c r="AA99" i="5"/>
  <c r="AA100" i="5"/>
  <c r="AA101" i="5"/>
  <c r="AA102" i="5"/>
  <c r="AA103" i="5"/>
  <c r="AA104" i="5"/>
  <c r="AA105" i="5"/>
  <c r="AA106" i="5"/>
  <c r="AA107" i="5"/>
  <c r="AA108" i="5"/>
  <c r="AA109" i="5"/>
  <c r="AA110" i="5"/>
  <c r="AA111" i="5"/>
  <c r="AA112" i="5"/>
  <c r="AA113" i="5"/>
  <c r="AA114" i="5"/>
  <c r="AA115" i="5"/>
  <c r="AA116" i="5"/>
  <c r="AA117" i="5"/>
  <c r="AA118" i="5"/>
  <c r="AA119" i="5"/>
  <c r="AA120" i="5"/>
  <c r="AA121" i="5"/>
  <c r="AA122" i="5"/>
  <c r="AA123" i="5"/>
  <c r="AA124" i="5"/>
  <c r="AA125" i="5"/>
  <c r="AA126" i="5"/>
  <c r="AA127" i="5"/>
  <c r="AA128" i="5"/>
  <c r="AA129" i="5"/>
  <c r="AA130" i="5"/>
  <c r="AA131" i="5"/>
  <c r="AA132" i="5"/>
  <c r="AA133" i="5"/>
  <c r="AA134" i="5"/>
  <c r="AA135" i="5"/>
  <c r="AA136" i="5"/>
  <c r="AA137" i="5"/>
  <c r="AA138" i="5"/>
  <c r="AA139" i="5"/>
  <c r="AA140" i="5"/>
  <c r="AA141" i="5"/>
  <c r="AA142" i="5"/>
  <c r="AA143" i="5"/>
  <c r="AA144" i="5"/>
  <c r="AA145" i="5"/>
  <c r="AA146" i="5"/>
  <c r="AA147" i="5"/>
  <c r="AA148" i="5"/>
  <c r="AA149" i="5"/>
  <c r="AA150" i="5"/>
  <c r="AA151" i="5"/>
  <c r="AA152" i="5"/>
  <c r="AA153" i="5"/>
  <c r="AA154" i="5"/>
  <c r="AA155" i="5"/>
  <c r="AA156" i="5"/>
  <c r="AA157" i="5"/>
  <c r="AA158" i="5"/>
  <c r="AA159" i="5"/>
  <c r="AA160" i="5"/>
  <c r="AA161" i="5"/>
  <c r="AA162" i="5"/>
  <c r="AA163" i="5"/>
  <c r="AA164" i="5"/>
  <c r="AA165" i="5"/>
  <c r="AA166" i="5"/>
  <c r="AA167" i="5"/>
  <c r="AA168" i="5"/>
  <c r="AA169" i="5"/>
  <c r="AA170" i="5"/>
  <c r="AA1" i="5"/>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2" i="8"/>
  <c r="L3" i="6"/>
  <c r="L4" i="6"/>
  <c r="L5" i="6"/>
  <c r="L6" i="6"/>
  <c r="L7" i="6"/>
  <c r="L8" i="6"/>
  <c r="L9" i="6"/>
  <c r="L10" i="6"/>
  <c r="L11" i="6"/>
  <c r="L12" i="6"/>
  <c r="L13" i="6"/>
  <c r="L14" i="6"/>
  <c r="L15" i="6"/>
  <c r="L16" i="6"/>
  <c r="L17" i="6"/>
  <c r="L18" i="6"/>
  <c r="L19" i="6"/>
  <c r="L20" i="6"/>
  <c r="L21" i="6"/>
  <c r="L22" i="6"/>
  <c r="L23" i="6"/>
  <c r="L24" i="6"/>
  <c r="L25" i="6"/>
  <c r="L26" i="6"/>
  <c r="L27" i="6"/>
  <c r="L28" i="6"/>
  <c r="L29" i="6"/>
  <c r="L30" i="6"/>
  <c r="L31" i="6"/>
  <c r="L32" i="6"/>
  <c r="L33" i="6"/>
  <c r="L34" i="6"/>
  <c r="L35" i="6"/>
  <c r="L36" i="6"/>
  <c r="L37" i="6"/>
  <c r="L38" i="6"/>
  <c r="L39" i="6"/>
  <c r="L40" i="6"/>
  <c r="L41" i="6"/>
  <c r="L42" i="6"/>
  <c r="L43" i="6"/>
  <c r="L44" i="6"/>
  <c r="L45" i="6"/>
  <c r="L46" i="6"/>
  <c r="L47" i="6"/>
  <c r="L48" i="6"/>
  <c r="L49" i="6"/>
  <c r="L50" i="6"/>
  <c r="L51" i="6"/>
  <c r="L52" i="6"/>
  <c r="L53" i="6"/>
  <c r="L54" i="6"/>
  <c r="L55" i="6"/>
  <c r="L56" i="6"/>
  <c r="L57" i="6"/>
  <c r="L58" i="6"/>
  <c r="L59" i="6"/>
  <c r="L60" i="6"/>
  <c r="L61" i="6"/>
  <c r="L62" i="6"/>
  <c r="L63" i="6"/>
  <c r="L64" i="6"/>
  <c r="L65" i="6"/>
  <c r="L66" i="6"/>
  <c r="L67" i="6"/>
  <c r="L68" i="6"/>
  <c r="L69" i="6"/>
  <c r="L70" i="6"/>
  <c r="L71" i="6"/>
  <c r="L72" i="6"/>
  <c r="L73" i="6"/>
  <c r="L74" i="6"/>
  <c r="L75" i="6"/>
  <c r="L76" i="6"/>
  <c r="L77" i="6"/>
  <c r="L78" i="6"/>
  <c r="L79" i="6"/>
  <c r="L80" i="6"/>
  <c r="L81" i="6"/>
  <c r="L82" i="6"/>
  <c r="L83" i="6"/>
  <c r="L84" i="6"/>
  <c r="L85" i="6"/>
  <c r="L86" i="6"/>
  <c r="L87" i="6"/>
  <c r="L88" i="6"/>
  <c r="L89" i="6"/>
  <c r="L90" i="6"/>
  <c r="L91" i="6"/>
  <c r="L92" i="6"/>
  <c r="L93" i="6"/>
  <c r="L94" i="6"/>
  <c r="L95" i="6"/>
  <c r="L96" i="6"/>
  <c r="L97" i="6"/>
  <c r="L98" i="6"/>
  <c r="L99" i="6"/>
  <c r="L100" i="6"/>
  <c r="L101" i="6"/>
  <c r="L102" i="6"/>
  <c r="L103" i="6"/>
  <c r="L104" i="6"/>
  <c r="L105" i="6"/>
  <c r="L106" i="6"/>
  <c r="L107" i="6"/>
  <c r="L108" i="6"/>
  <c r="L109" i="6"/>
  <c r="L110" i="6"/>
  <c r="L111" i="6"/>
  <c r="L112" i="6"/>
  <c r="L113" i="6"/>
  <c r="L114" i="6"/>
  <c r="L115" i="6"/>
  <c r="L116" i="6"/>
  <c r="L117" i="6"/>
  <c r="L118" i="6"/>
  <c r="L119" i="6"/>
  <c r="L120" i="6"/>
  <c r="L121" i="6"/>
  <c r="L122" i="6"/>
  <c r="L123" i="6"/>
  <c r="L124" i="6"/>
  <c r="L125" i="6"/>
  <c r="L126" i="6"/>
  <c r="L127" i="6"/>
  <c r="L128" i="6"/>
  <c r="L129" i="6"/>
  <c r="L130" i="6"/>
  <c r="L131" i="6"/>
  <c r="L132" i="6"/>
  <c r="L133" i="6"/>
  <c r="L134" i="6"/>
  <c r="L135" i="6"/>
  <c r="L136" i="6"/>
  <c r="L137" i="6"/>
  <c r="L138" i="6"/>
  <c r="L139" i="6"/>
  <c r="L140" i="6"/>
  <c r="L141" i="6"/>
  <c r="L142" i="6"/>
  <c r="L143" i="6"/>
  <c r="L144" i="6"/>
  <c r="L145" i="6"/>
  <c r="L146" i="6"/>
  <c r="L147" i="6"/>
  <c r="L148" i="6"/>
  <c r="L149" i="6"/>
  <c r="L150" i="6"/>
  <c r="L151" i="6"/>
  <c r="L152" i="6"/>
  <c r="L153" i="6"/>
  <c r="L154" i="6"/>
  <c r="L155" i="6"/>
  <c r="L156" i="6"/>
  <c r="L157" i="6"/>
  <c r="L158" i="6"/>
  <c r="L159" i="6"/>
  <c r="L160" i="6"/>
  <c r="L161" i="6"/>
  <c r="L162" i="6"/>
  <c r="L163" i="6"/>
  <c r="L164" i="6"/>
  <c r="L165" i="6"/>
  <c r="L166" i="6"/>
  <c r="L167" i="6"/>
  <c r="L168" i="6"/>
  <c r="L169" i="6"/>
  <c r="L170" i="6"/>
  <c r="L171" i="6"/>
  <c r="L172" i="6"/>
  <c r="L173" i="6"/>
  <c r="L174" i="6"/>
  <c r="L175" i="6"/>
  <c r="L176" i="6"/>
  <c r="L177" i="6"/>
  <c r="L178" i="6"/>
  <c r="L179" i="6"/>
  <c r="L180" i="6"/>
  <c r="L181" i="6"/>
  <c r="L182" i="6"/>
  <c r="L183" i="6"/>
  <c r="L184" i="6"/>
  <c r="L185" i="6"/>
  <c r="L186" i="6"/>
  <c r="L187" i="6"/>
  <c r="L188" i="6"/>
  <c r="L189" i="6"/>
  <c r="L190" i="6"/>
  <c r="L191" i="6"/>
  <c r="L192" i="6"/>
  <c r="L193" i="6"/>
  <c r="L194" i="6"/>
  <c r="L195" i="6"/>
  <c r="L196" i="6"/>
  <c r="L197" i="6"/>
  <c r="L198" i="6"/>
  <c r="L199" i="6"/>
  <c r="L200" i="6"/>
  <c r="L201" i="6"/>
  <c r="L202" i="6"/>
  <c r="L203" i="6"/>
  <c r="L204" i="6"/>
  <c r="L205" i="6"/>
  <c r="L206" i="6"/>
  <c r="L207" i="6"/>
  <c r="L208" i="6"/>
  <c r="L209" i="6"/>
  <c r="L210" i="6"/>
  <c r="L211" i="6"/>
  <c r="L212" i="6"/>
  <c r="L213" i="6"/>
  <c r="L214" i="6"/>
  <c r="L215" i="6"/>
  <c r="L216" i="6"/>
  <c r="L217" i="6"/>
  <c r="L218" i="6"/>
  <c r="L219" i="6"/>
  <c r="L220" i="6"/>
  <c r="L221" i="6"/>
  <c r="L222" i="6"/>
  <c r="L223" i="6"/>
  <c r="L224" i="6"/>
  <c r="L225" i="6"/>
  <c r="L226" i="6"/>
  <c r="L227" i="6"/>
  <c r="L228" i="6"/>
  <c r="L229" i="6"/>
  <c r="L230" i="6"/>
  <c r="L231" i="6"/>
  <c r="L232" i="6"/>
  <c r="L233" i="6"/>
  <c r="L234" i="6"/>
  <c r="L235" i="6"/>
  <c r="L236" i="6"/>
  <c r="L237" i="6"/>
  <c r="L238" i="6"/>
  <c r="L239" i="6"/>
  <c r="L240" i="6"/>
  <c r="L241" i="6"/>
  <c r="L242" i="6"/>
  <c r="L243" i="6"/>
  <c r="L244" i="6"/>
  <c r="L245" i="6"/>
  <c r="L246" i="6"/>
  <c r="L247" i="6"/>
  <c r="L248" i="6"/>
  <c r="L249" i="6"/>
  <c r="L250" i="6"/>
  <c r="L251" i="6"/>
  <c r="L252" i="6"/>
  <c r="L253" i="6"/>
  <c r="L254" i="6"/>
  <c r="L255" i="6"/>
  <c r="L256" i="6"/>
  <c r="L257" i="6"/>
  <c r="L258" i="6"/>
  <c r="L259" i="6"/>
  <c r="L260" i="6"/>
  <c r="L261" i="6"/>
  <c r="L262" i="6"/>
  <c r="L263" i="6"/>
  <c r="L264" i="6"/>
  <c r="L265" i="6"/>
  <c r="L266" i="6"/>
  <c r="L267" i="6"/>
  <c r="L268" i="6"/>
  <c r="L269" i="6"/>
  <c r="L270" i="6"/>
  <c r="L271" i="6"/>
  <c r="L272" i="6"/>
  <c r="L273" i="6"/>
  <c r="L274" i="6"/>
  <c r="L275" i="6"/>
  <c r="L276" i="6"/>
  <c r="L277" i="6"/>
  <c r="L278" i="6"/>
  <c r="L279" i="6"/>
  <c r="L280" i="6"/>
  <c r="L281" i="6"/>
  <c r="L282" i="6"/>
  <c r="L283" i="6"/>
  <c r="L284" i="6"/>
  <c r="L285" i="6"/>
  <c r="L286" i="6"/>
  <c r="L287" i="6"/>
  <c r="L288" i="6"/>
  <c r="L289" i="6"/>
  <c r="L290" i="6"/>
  <c r="L291" i="6"/>
  <c r="L292" i="6"/>
  <c r="L293" i="6"/>
  <c r="L294" i="6"/>
  <c r="L295" i="6"/>
  <c r="L296" i="6"/>
  <c r="L297" i="6"/>
  <c r="L298" i="6"/>
  <c r="L299" i="6"/>
  <c r="L300" i="6"/>
  <c r="L301" i="6"/>
  <c r="L302" i="6"/>
  <c r="L303" i="6"/>
  <c r="L304" i="6"/>
  <c r="L305" i="6"/>
  <c r="L306" i="6"/>
  <c r="L307" i="6"/>
  <c r="L308" i="6"/>
  <c r="L309" i="6"/>
  <c r="L310" i="6"/>
  <c r="L311" i="6"/>
  <c r="L312" i="6"/>
  <c r="L313" i="6"/>
  <c r="L314" i="6"/>
  <c r="L315" i="6"/>
  <c r="L316" i="6"/>
  <c r="L317" i="6"/>
  <c r="L318" i="6"/>
  <c r="L319" i="6"/>
  <c r="L320" i="6"/>
  <c r="L321" i="6"/>
  <c r="L322" i="6"/>
  <c r="L323" i="6"/>
  <c r="L324" i="6"/>
  <c r="L325" i="6"/>
  <c r="L326" i="6"/>
  <c r="L327" i="6"/>
  <c r="L328" i="6"/>
  <c r="L329" i="6"/>
  <c r="L330" i="6"/>
  <c r="L331" i="6"/>
  <c r="L332" i="6"/>
  <c r="L333" i="6"/>
  <c r="L334" i="6"/>
  <c r="L335" i="6"/>
  <c r="L336" i="6"/>
  <c r="L337" i="6"/>
  <c r="L338" i="6"/>
  <c r="L339" i="6"/>
  <c r="L340" i="6"/>
  <c r="L341" i="6"/>
  <c r="L342" i="6"/>
  <c r="L343" i="6"/>
  <c r="L344" i="6"/>
  <c r="L345" i="6"/>
  <c r="L346" i="6"/>
  <c r="L347" i="6"/>
  <c r="L348" i="6"/>
  <c r="L349" i="6"/>
  <c r="L350" i="6"/>
  <c r="L351" i="6"/>
  <c r="L352" i="6"/>
  <c r="L353" i="6"/>
  <c r="L354" i="6"/>
  <c r="L355" i="6"/>
  <c r="L356" i="6"/>
  <c r="L357" i="6"/>
  <c r="L358" i="6"/>
  <c r="L359" i="6"/>
  <c r="L360" i="6"/>
  <c r="L361" i="6"/>
  <c r="L362" i="6"/>
  <c r="L363" i="6"/>
  <c r="L364" i="6"/>
  <c r="L365" i="6"/>
  <c r="L366" i="6"/>
  <c r="L367" i="6"/>
  <c r="L368" i="6"/>
  <c r="L369" i="6"/>
  <c r="L370" i="6"/>
  <c r="L371" i="6"/>
  <c r="L372" i="6"/>
  <c r="L373" i="6"/>
  <c r="L374" i="6"/>
  <c r="L375" i="6"/>
  <c r="L376" i="6"/>
  <c r="L377" i="6"/>
  <c r="L378" i="6"/>
  <c r="L379" i="6"/>
  <c r="L380" i="6"/>
  <c r="L381" i="6"/>
  <c r="L382" i="6"/>
  <c r="L383" i="6"/>
  <c r="L384" i="6"/>
  <c r="L385" i="6"/>
  <c r="L386" i="6"/>
  <c r="L387" i="6"/>
  <c r="L388" i="6"/>
  <c r="L389" i="6"/>
  <c r="L390" i="6"/>
  <c r="L391" i="6"/>
  <c r="L392" i="6"/>
  <c r="L393" i="6"/>
  <c r="L394" i="6"/>
  <c r="L395" i="6"/>
  <c r="L396" i="6"/>
  <c r="L397" i="6"/>
  <c r="L398" i="6"/>
  <c r="L399" i="6"/>
  <c r="L400" i="6"/>
  <c r="L401" i="6"/>
  <c r="L402" i="6"/>
  <c r="L403" i="6"/>
  <c r="L404" i="6"/>
  <c r="L405" i="6"/>
  <c r="L406" i="6"/>
  <c r="L407" i="6"/>
  <c r="L408" i="6"/>
  <c r="L409" i="6"/>
  <c r="L410" i="6"/>
  <c r="L411" i="6"/>
  <c r="L412" i="6"/>
  <c r="L413" i="6"/>
  <c r="L414" i="6"/>
  <c r="L415" i="6"/>
  <c r="L416" i="6"/>
  <c r="L417" i="6"/>
  <c r="L418" i="6"/>
  <c r="L419" i="6"/>
  <c r="L420" i="6"/>
  <c r="L421" i="6"/>
  <c r="L422" i="6"/>
  <c r="L423" i="6"/>
  <c r="L424" i="6"/>
  <c r="L425" i="6"/>
  <c r="L426" i="6"/>
  <c r="L427" i="6"/>
  <c r="L428" i="6"/>
  <c r="L429" i="6"/>
  <c r="L430" i="6"/>
  <c r="L431" i="6"/>
  <c r="L432" i="6"/>
  <c r="L433" i="6"/>
  <c r="L434" i="6"/>
  <c r="L435" i="6"/>
  <c r="L436" i="6"/>
  <c r="L437" i="6"/>
  <c r="L438" i="6"/>
  <c r="L439" i="6"/>
  <c r="L440" i="6"/>
  <c r="L441" i="6"/>
  <c r="L442" i="6"/>
  <c r="L443" i="6"/>
  <c r="L444" i="6"/>
  <c r="L445" i="6"/>
  <c r="L446" i="6"/>
  <c r="L447" i="6"/>
  <c r="L448" i="6"/>
  <c r="L449" i="6"/>
  <c r="L450" i="6"/>
  <c r="L451" i="6"/>
  <c r="L452" i="6"/>
  <c r="L453" i="6"/>
  <c r="L454" i="6"/>
  <c r="L455" i="6"/>
  <c r="L456" i="6"/>
  <c r="L457" i="6"/>
  <c r="L458" i="6"/>
  <c r="L459" i="6"/>
  <c r="L460" i="6"/>
  <c r="L461" i="6"/>
  <c r="L462" i="6"/>
  <c r="L463" i="6"/>
  <c r="L464" i="6"/>
  <c r="L465" i="6"/>
  <c r="L466" i="6"/>
  <c r="L467" i="6"/>
  <c r="L468" i="6"/>
  <c r="L469" i="6"/>
  <c r="L470" i="6"/>
  <c r="L471" i="6"/>
  <c r="L472" i="6"/>
  <c r="L473" i="6"/>
  <c r="L474" i="6"/>
  <c r="L475" i="6"/>
  <c r="L476" i="6"/>
  <c r="L477" i="6"/>
  <c r="L478" i="6"/>
  <c r="L479" i="6"/>
  <c r="L480" i="6"/>
  <c r="L481" i="6"/>
  <c r="L482" i="6"/>
  <c r="L483" i="6"/>
  <c r="L484" i="6"/>
  <c r="L485" i="6"/>
  <c r="L486" i="6"/>
  <c r="L487" i="6"/>
  <c r="L488" i="6"/>
  <c r="L489" i="6"/>
  <c r="L490" i="6"/>
  <c r="L491" i="6"/>
  <c r="L492" i="6"/>
  <c r="L493" i="6"/>
  <c r="L494" i="6"/>
  <c r="L495" i="6"/>
  <c r="L496" i="6"/>
  <c r="L497" i="6"/>
  <c r="L498" i="6"/>
  <c r="L499" i="6"/>
  <c r="L500" i="6"/>
  <c r="L501" i="6"/>
  <c r="L502" i="6"/>
  <c r="L503" i="6"/>
  <c r="L504" i="6"/>
  <c r="L505" i="6"/>
  <c r="L506" i="6"/>
  <c r="L507" i="6"/>
  <c r="L508" i="6"/>
  <c r="L509" i="6"/>
  <c r="L510" i="6"/>
  <c r="L511" i="6"/>
  <c r="L512" i="6"/>
  <c r="L513" i="6"/>
  <c r="L514" i="6"/>
  <c r="L515" i="6"/>
  <c r="L516" i="6"/>
  <c r="L517" i="6"/>
  <c r="L518" i="6"/>
  <c r="L519" i="6"/>
  <c r="L520" i="6"/>
  <c r="L521" i="6"/>
  <c r="L522" i="6"/>
  <c r="L523" i="6"/>
  <c r="L524" i="6"/>
  <c r="L525" i="6"/>
  <c r="L526" i="6"/>
  <c r="L527" i="6"/>
  <c r="L528" i="6"/>
  <c r="L529" i="6"/>
  <c r="L530" i="6"/>
  <c r="L531" i="6"/>
  <c r="L532" i="6"/>
  <c r="L533" i="6"/>
  <c r="L534" i="6"/>
  <c r="L535" i="6"/>
  <c r="L536" i="6"/>
  <c r="L537" i="6"/>
  <c r="L538" i="6"/>
  <c r="L539" i="6"/>
  <c r="L540" i="6"/>
  <c r="L541" i="6"/>
  <c r="L542" i="6"/>
  <c r="L543" i="6"/>
  <c r="L544" i="6"/>
  <c r="L545" i="6"/>
  <c r="L546" i="6"/>
  <c r="L547" i="6"/>
  <c r="L548" i="6"/>
  <c r="L549" i="6"/>
  <c r="L550" i="6"/>
  <c r="L551" i="6"/>
  <c r="L552" i="6"/>
  <c r="L553" i="6"/>
  <c r="L554" i="6"/>
  <c r="L555" i="6"/>
  <c r="L556" i="6"/>
  <c r="L557" i="6"/>
  <c r="L558" i="6"/>
  <c r="L559" i="6"/>
  <c r="L560" i="6"/>
  <c r="L561" i="6"/>
  <c r="L562" i="6"/>
  <c r="L563" i="6"/>
  <c r="L564" i="6"/>
  <c r="L565" i="6"/>
  <c r="L566" i="6"/>
  <c r="L567" i="6"/>
  <c r="L568" i="6"/>
  <c r="L569" i="6"/>
  <c r="L570" i="6"/>
  <c r="L571" i="6"/>
  <c r="L572" i="6"/>
  <c r="L573" i="6"/>
  <c r="L574" i="6"/>
  <c r="L575" i="6"/>
  <c r="L576" i="6"/>
  <c r="L577" i="6"/>
  <c r="L578" i="6"/>
  <c r="L579" i="6"/>
  <c r="L580" i="6"/>
  <c r="L581" i="6"/>
  <c r="L582" i="6"/>
  <c r="L583" i="6"/>
  <c r="L584" i="6"/>
  <c r="L585" i="6"/>
  <c r="L586" i="6"/>
  <c r="L587" i="6"/>
  <c r="L588" i="6"/>
  <c r="L589" i="6"/>
  <c r="L590" i="6"/>
  <c r="L591" i="6"/>
  <c r="L592" i="6"/>
  <c r="L593" i="6"/>
  <c r="L594" i="6"/>
  <c r="L595" i="6"/>
  <c r="L596" i="6"/>
  <c r="L597" i="6"/>
  <c r="L598" i="6"/>
  <c r="L599" i="6"/>
  <c r="L600" i="6"/>
  <c r="L601" i="6"/>
  <c r="L602" i="6"/>
  <c r="L603" i="6"/>
  <c r="L604" i="6"/>
  <c r="L605" i="6"/>
  <c r="L606" i="6"/>
  <c r="L607" i="6"/>
  <c r="L608" i="6"/>
  <c r="L609" i="6"/>
  <c r="L610" i="6"/>
  <c r="L611" i="6"/>
  <c r="L612" i="6"/>
  <c r="L613" i="6"/>
  <c r="L614" i="6"/>
  <c r="L615" i="6"/>
  <c r="L616" i="6"/>
  <c r="L617" i="6"/>
  <c r="L618" i="6"/>
  <c r="L619" i="6"/>
  <c r="L620" i="6"/>
  <c r="L621" i="6"/>
  <c r="L622" i="6"/>
  <c r="L623" i="6"/>
  <c r="L624" i="6"/>
  <c r="L625" i="6"/>
  <c r="L626" i="6"/>
  <c r="L627" i="6"/>
  <c r="L628" i="6"/>
  <c r="L629" i="6"/>
  <c r="L630" i="6"/>
  <c r="L631" i="6"/>
  <c r="L632" i="6"/>
  <c r="L633" i="6"/>
  <c r="L634" i="6"/>
  <c r="L635" i="6"/>
  <c r="L636" i="6"/>
  <c r="L637" i="6"/>
  <c r="L638" i="6"/>
  <c r="L639" i="6"/>
  <c r="L640" i="6"/>
  <c r="L641" i="6"/>
  <c r="L642" i="6"/>
  <c r="L643" i="6"/>
  <c r="L644" i="6"/>
  <c r="L645" i="6"/>
  <c r="L646" i="6"/>
  <c r="L647" i="6"/>
  <c r="L648" i="6"/>
  <c r="L649" i="6"/>
  <c r="L650" i="6"/>
  <c r="L651" i="6"/>
  <c r="L652" i="6"/>
  <c r="L653" i="6"/>
  <c r="L654" i="6"/>
  <c r="L655" i="6"/>
  <c r="L656" i="6"/>
  <c r="L657" i="6"/>
  <c r="L658" i="6"/>
  <c r="L659" i="6"/>
  <c r="L660" i="6"/>
  <c r="L661" i="6"/>
  <c r="L662" i="6"/>
  <c r="L663" i="6"/>
  <c r="L664" i="6"/>
  <c r="L665" i="6"/>
  <c r="L666" i="6"/>
  <c r="L667" i="6"/>
  <c r="L668" i="6"/>
  <c r="L669" i="6"/>
  <c r="L670" i="6"/>
  <c r="L671" i="6"/>
  <c r="L672" i="6"/>
  <c r="L673" i="6"/>
  <c r="L674" i="6"/>
  <c r="L675" i="6"/>
  <c r="L676" i="6"/>
  <c r="L677" i="6"/>
  <c r="L678" i="6"/>
  <c r="L679" i="6"/>
  <c r="L680" i="6"/>
  <c r="L681" i="6"/>
  <c r="L682" i="6"/>
  <c r="L683" i="6"/>
  <c r="L684" i="6"/>
  <c r="L685" i="6"/>
  <c r="L686" i="6"/>
  <c r="L687" i="6"/>
  <c r="L688" i="6"/>
  <c r="L689" i="6"/>
  <c r="L690" i="6"/>
  <c r="L691" i="6"/>
  <c r="L692" i="6"/>
  <c r="L693" i="6"/>
  <c r="L694" i="6"/>
  <c r="L695" i="6"/>
  <c r="L696" i="6"/>
  <c r="L697" i="6"/>
  <c r="L698" i="6"/>
  <c r="L699" i="6"/>
  <c r="L700" i="6"/>
  <c r="L701" i="6"/>
  <c r="L702" i="6"/>
  <c r="L703" i="6"/>
  <c r="L704" i="6"/>
  <c r="L705" i="6"/>
  <c r="L706" i="6"/>
  <c r="L707" i="6"/>
  <c r="L708" i="6"/>
  <c r="L709" i="6"/>
  <c r="L710" i="6"/>
  <c r="L711" i="6"/>
  <c r="L712" i="6"/>
  <c r="L713" i="6"/>
  <c r="L714" i="6"/>
  <c r="L2" i="6"/>
  <c r="N124" i="6"/>
  <c r="O124" i="6" s="1"/>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2" i="8"/>
  <c r="B2" i="8"/>
  <c r="B3" i="8" s="1"/>
  <c r="B4" i="8" s="1"/>
  <c r="B5" i="8" s="1"/>
  <c r="B6" i="8" s="1"/>
  <c r="B7" i="8" s="1"/>
  <c r="B8" i="8" s="1"/>
  <c r="B9" i="8" s="1"/>
  <c r="B10" i="8" s="1"/>
  <c r="B11" i="8" s="1"/>
  <c r="B12" i="8" s="1"/>
  <c r="B13" i="8" s="1"/>
  <c r="B14" i="8" s="1"/>
  <c r="B15" i="8" s="1"/>
  <c r="B16" i="8" s="1"/>
  <c r="B17" i="8" s="1"/>
  <c r="B18" i="8" s="1"/>
  <c r="B19" i="8" s="1"/>
  <c r="B20" i="8" s="1"/>
  <c r="B21" i="8" s="1"/>
  <c r="B22" i="8" s="1"/>
  <c r="B23" i="8" s="1"/>
  <c r="B24" i="8" s="1"/>
  <c r="B25" i="8" s="1"/>
  <c r="B26" i="8" s="1"/>
  <c r="B27" i="8" s="1"/>
  <c r="B28" i="8" s="1"/>
  <c r="B29" i="8" s="1"/>
  <c r="B30" i="8" s="1"/>
  <c r="B31" i="8" s="1"/>
  <c r="B32" i="8" s="1"/>
  <c r="B33" i="8" s="1"/>
  <c r="B34" i="8" s="1"/>
  <c r="B35" i="8" s="1"/>
  <c r="B36" i="8" s="1"/>
  <c r="B37" i="8" s="1"/>
  <c r="B38" i="8" s="1"/>
  <c r="B39" i="8" s="1"/>
  <c r="B40" i="8" s="1"/>
  <c r="B41" i="8" s="1"/>
  <c r="B42" i="8" s="1"/>
  <c r="B43" i="8" s="1"/>
  <c r="B44" i="8" s="1"/>
  <c r="B45" i="8" s="1"/>
  <c r="B46" i="8" s="1"/>
  <c r="B47" i="8" s="1"/>
  <c r="B48" i="8" s="1"/>
  <c r="J85" i="6"/>
  <c r="J585" i="6"/>
  <c r="J623" i="6"/>
  <c r="M6" i="6"/>
  <c r="H6" i="6"/>
  <c r="H7" i="6"/>
  <c r="I7" i="6" s="1"/>
  <c r="H8" i="6"/>
  <c r="H9" i="6"/>
  <c r="H10" i="6"/>
  <c r="H11" i="6"/>
  <c r="H12" i="6"/>
  <c r="H13" i="6"/>
  <c r="I13" i="6" s="1"/>
  <c r="H14" i="6"/>
  <c r="H15" i="6"/>
  <c r="H16" i="6"/>
  <c r="H17" i="6"/>
  <c r="H18" i="6"/>
  <c r="H19" i="6"/>
  <c r="H20" i="6"/>
  <c r="I20" i="6" s="1"/>
  <c r="H21" i="6"/>
  <c r="H22" i="6"/>
  <c r="H23" i="6"/>
  <c r="H24" i="6"/>
  <c r="H25" i="6"/>
  <c r="H26" i="6"/>
  <c r="I26" i="6" s="1"/>
  <c r="H27" i="6"/>
  <c r="H28" i="6"/>
  <c r="H29" i="6"/>
  <c r="H30" i="6"/>
  <c r="H31" i="6"/>
  <c r="H32" i="6"/>
  <c r="I32" i="6" s="1"/>
  <c r="H33" i="6"/>
  <c r="H34" i="6"/>
  <c r="H35" i="6"/>
  <c r="H36" i="6"/>
  <c r="H37" i="6"/>
  <c r="H38" i="6"/>
  <c r="I38" i="6" s="1"/>
  <c r="H39" i="6"/>
  <c r="H40" i="6"/>
  <c r="H41" i="6"/>
  <c r="H42" i="6"/>
  <c r="H43" i="6"/>
  <c r="H44" i="6"/>
  <c r="H45" i="6"/>
  <c r="H46" i="6"/>
  <c r="I46" i="6" s="1"/>
  <c r="H47" i="6"/>
  <c r="H48" i="6"/>
  <c r="H49" i="6"/>
  <c r="H50" i="6"/>
  <c r="H51" i="6"/>
  <c r="H52" i="6"/>
  <c r="H53" i="6"/>
  <c r="I53" i="6" s="1"/>
  <c r="H54" i="6"/>
  <c r="H55" i="6"/>
  <c r="H56" i="6"/>
  <c r="H57" i="6"/>
  <c r="H58" i="6"/>
  <c r="H59" i="6"/>
  <c r="I59" i="6" s="1"/>
  <c r="H60" i="6"/>
  <c r="H61" i="6"/>
  <c r="H62" i="6"/>
  <c r="H63" i="6"/>
  <c r="H64" i="6"/>
  <c r="H65" i="6"/>
  <c r="H66" i="6"/>
  <c r="I66" i="6" s="1"/>
  <c r="H67" i="6"/>
  <c r="H68" i="6"/>
  <c r="H69" i="6"/>
  <c r="H70" i="6"/>
  <c r="H71" i="6"/>
  <c r="H72" i="6"/>
  <c r="I72" i="6" s="1"/>
  <c r="H73" i="6"/>
  <c r="H74" i="6"/>
  <c r="H75" i="6"/>
  <c r="H76" i="6"/>
  <c r="H77" i="6"/>
  <c r="H78" i="6"/>
  <c r="I78" i="6" s="1"/>
  <c r="H79" i="6"/>
  <c r="H80" i="6"/>
  <c r="H81" i="6"/>
  <c r="H82" i="6"/>
  <c r="H83" i="6"/>
  <c r="H84" i="6"/>
  <c r="H85" i="6"/>
  <c r="I85" i="6" s="1"/>
  <c r="H86" i="6"/>
  <c r="H87" i="6"/>
  <c r="H88" i="6"/>
  <c r="H89" i="6"/>
  <c r="H90" i="6"/>
  <c r="H91" i="6"/>
  <c r="H92" i="6"/>
  <c r="I92" i="6" s="1"/>
  <c r="H93" i="6"/>
  <c r="H94" i="6"/>
  <c r="H95" i="6"/>
  <c r="H96" i="6"/>
  <c r="H97" i="6"/>
  <c r="H98" i="6"/>
  <c r="H99" i="6"/>
  <c r="I99" i="6" s="1"/>
  <c r="H100" i="6"/>
  <c r="H101" i="6"/>
  <c r="H102" i="6"/>
  <c r="H103" i="6"/>
  <c r="H104" i="6"/>
  <c r="H105" i="6"/>
  <c r="H106" i="6"/>
  <c r="I106" i="6" s="1"/>
  <c r="H107" i="6"/>
  <c r="H108" i="6"/>
  <c r="H109" i="6"/>
  <c r="H110" i="6"/>
  <c r="H111" i="6"/>
  <c r="H112" i="6"/>
  <c r="H113" i="6"/>
  <c r="I113" i="6" s="1"/>
  <c r="H114" i="6"/>
  <c r="H115" i="6"/>
  <c r="H116" i="6"/>
  <c r="H117" i="6"/>
  <c r="H118" i="6"/>
  <c r="H119" i="6"/>
  <c r="I119" i="6" s="1"/>
  <c r="H120" i="6"/>
  <c r="H121" i="6"/>
  <c r="H122" i="6"/>
  <c r="H123" i="6"/>
  <c r="H124" i="6"/>
  <c r="H125" i="6"/>
  <c r="I125" i="6" s="1"/>
  <c r="H126" i="6"/>
  <c r="H127" i="6"/>
  <c r="H128" i="6"/>
  <c r="H129" i="6"/>
  <c r="H130" i="6"/>
  <c r="H131" i="6"/>
  <c r="I131" i="6" s="1"/>
  <c r="H132" i="6"/>
  <c r="H133" i="6"/>
  <c r="H134" i="6"/>
  <c r="H135" i="6"/>
  <c r="H136" i="6"/>
  <c r="H137" i="6"/>
  <c r="I137" i="6" s="1"/>
  <c r="H138" i="6"/>
  <c r="H139" i="6"/>
  <c r="H140" i="6"/>
  <c r="H141" i="6"/>
  <c r="H142" i="6"/>
  <c r="H143" i="6"/>
  <c r="H144" i="6"/>
  <c r="I144" i="6" s="1"/>
  <c r="H145" i="6"/>
  <c r="H146" i="6"/>
  <c r="H147" i="6"/>
  <c r="H148" i="6"/>
  <c r="H149" i="6"/>
  <c r="H150" i="6"/>
  <c r="I150" i="6" s="1"/>
  <c r="H151" i="6"/>
  <c r="H152" i="6"/>
  <c r="H153" i="6"/>
  <c r="H154" i="6"/>
  <c r="H155" i="6"/>
  <c r="H156" i="6"/>
  <c r="H157" i="6"/>
  <c r="I157" i="6" s="1"/>
  <c r="H158" i="6"/>
  <c r="H159" i="6"/>
  <c r="H160" i="6"/>
  <c r="H161" i="6"/>
  <c r="H162" i="6"/>
  <c r="H163" i="6"/>
  <c r="H164" i="6"/>
  <c r="I164" i="6" s="1"/>
  <c r="H165" i="6"/>
  <c r="H166" i="6"/>
  <c r="H167" i="6"/>
  <c r="H168" i="6"/>
  <c r="H169" i="6"/>
  <c r="H170" i="6"/>
  <c r="I170" i="6" s="1"/>
  <c r="H171" i="6"/>
  <c r="H172" i="6"/>
  <c r="H173" i="6"/>
  <c r="H174" i="6"/>
  <c r="H175" i="6"/>
  <c r="H176" i="6"/>
  <c r="I176" i="6" s="1"/>
  <c r="H177" i="6"/>
  <c r="H178" i="6"/>
  <c r="H179" i="6"/>
  <c r="H180" i="6"/>
  <c r="H181" i="6"/>
  <c r="H182" i="6"/>
  <c r="H183" i="6"/>
  <c r="I183" i="6" s="1"/>
  <c r="H184" i="6"/>
  <c r="H185" i="6"/>
  <c r="H186" i="6"/>
  <c r="H187" i="6"/>
  <c r="H188" i="6"/>
  <c r="H189" i="6"/>
  <c r="I189" i="6" s="1"/>
  <c r="H190" i="6"/>
  <c r="H191" i="6"/>
  <c r="H192" i="6"/>
  <c r="H193" i="6"/>
  <c r="H194" i="6"/>
  <c r="H195" i="6"/>
  <c r="H196" i="6"/>
  <c r="I196" i="6" s="1"/>
  <c r="H197" i="6"/>
  <c r="H198" i="6"/>
  <c r="H199" i="6"/>
  <c r="H200" i="6"/>
  <c r="H201" i="6"/>
  <c r="H202" i="6"/>
  <c r="H203" i="6"/>
  <c r="I203" i="6" s="1"/>
  <c r="H204" i="6"/>
  <c r="H205" i="6"/>
  <c r="H206" i="6"/>
  <c r="H207" i="6"/>
  <c r="H208" i="6"/>
  <c r="H209" i="6"/>
  <c r="I209" i="6" s="1"/>
  <c r="H210" i="6"/>
  <c r="H211" i="6"/>
  <c r="H212" i="6"/>
  <c r="H213" i="6"/>
  <c r="H214" i="6"/>
  <c r="H215" i="6"/>
  <c r="I215" i="6" s="1"/>
  <c r="H216" i="6"/>
  <c r="H217" i="6"/>
  <c r="H218" i="6"/>
  <c r="H219" i="6"/>
  <c r="H220" i="6"/>
  <c r="H221" i="6"/>
  <c r="I221" i="6" s="1"/>
  <c r="H222" i="6"/>
  <c r="H223" i="6"/>
  <c r="H224" i="6"/>
  <c r="H225" i="6"/>
  <c r="H226" i="6"/>
  <c r="H227" i="6"/>
  <c r="I227" i="6" s="1"/>
  <c r="H228" i="6"/>
  <c r="H229" i="6"/>
  <c r="H230" i="6"/>
  <c r="H231" i="6"/>
  <c r="H232" i="6"/>
  <c r="H233" i="6"/>
  <c r="H234" i="6"/>
  <c r="I234" i="6" s="1"/>
  <c r="H235" i="6"/>
  <c r="H236" i="6"/>
  <c r="H237" i="6"/>
  <c r="H238" i="6"/>
  <c r="H239" i="6"/>
  <c r="H240" i="6"/>
  <c r="I240" i="6" s="1"/>
  <c r="H241" i="6"/>
  <c r="H242" i="6"/>
  <c r="H243" i="6"/>
  <c r="H244" i="6"/>
  <c r="H245" i="6"/>
  <c r="H246" i="6"/>
  <c r="I246" i="6" s="1"/>
  <c r="H247" i="6"/>
  <c r="H248" i="6"/>
  <c r="H249" i="6"/>
  <c r="H250" i="6"/>
  <c r="H251" i="6"/>
  <c r="H252" i="6"/>
  <c r="H253" i="6"/>
  <c r="I253" i="6" s="1"/>
  <c r="H254" i="6"/>
  <c r="H255" i="6"/>
  <c r="H256" i="6"/>
  <c r="H257" i="6"/>
  <c r="H258" i="6"/>
  <c r="H259" i="6"/>
  <c r="I259" i="6" s="1"/>
  <c r="H260" i="6"/>
  <c r="H261" i="6"/>
  <c r="H262" i="6"/>
  <c r="H263" i="6"/>
  <c r="H264" i="6"/>
  <c r="H265" i="6"/>
  <c r="I265" i="6" s="1"/>
  <c r="H266" i="6"/>
  <c r="H267" i="6"/>
  <c r="H268" i="6"/>
  <c r="H269" i="6"/>
  <c r="H270" i="6"/>
  <c r="H271" i="6"/>
  <c r="I271" i="6" s="1"/>
  <c r="H272" i="6"/>
  <c r="H273" i="6"/>
  <c r="H274" i="6"/>
  <c r="H275" i="6"/>
  <c r="H276" i="6"/>
  <c r="H277" i="6"/>
  <c r="H278" i="6"/>
  <c r="I278" i="6" s="1"/>
  <c r="H279" i="6"/>
  <c r="H280" i="6"/>
  <c r="H281" i="6"/>
  <c r="H282" i="6"/>
  <c r="H283" i="6"/>
  <c r="H284" i="6"/>
  <c r="I284" i="6" s="1"/>
  <c r="H285" i="6"/>
  <c r="H286" i="6"/>
  <c r="H287" i="6"/>
  <c r="H288" i="6"/>
  <c r="H289" i="6"/>
  <c r="H290" i="6"/>
  <c r="I290" i="6" s="1"/>
  <c r="H291" i="6"/>
  <c r="H292" i="6"/>
  <c r="H293" i="6"/>
  <c r="H294" i="6"/>
  <c r="H295" i="6"/>
  <c r="H296" i="6"/>
  <c r="I296" i="6" s="1"/>
  <c r="H297" i="6"/>
  <c r="H298" i="6"/>
  <c r="H299" i="6"/>
  <c r="H300" i="6"/>
  <c r="H301" i="6"/>
  <c r="H302" i="6"/>
  <c r="H303" i="6"/>
  <c r="I303" i="6" s="1"/>
  <c r="H304" i="6"/>
  <c r="H305" i="6"/>
  <c r="H306" i="6"/>
  <c r="H307" i="6"/>
  <c r="H308" i="6"/>
  <c r="H309" i="6"/>
  <c r="I309" i="6" s="1"/>
  <c r="H310" i="6"/>
  <c r="H311" i="6"/>
  <c r="H312" i="6"/>
  <c r="H313" i="6"/>
  <c r="H314" i="6"/>
  <c r="H315" i="6"/>
  <c r="H316" i="6"/>
  <c r="I316" i="6" s="1"/>
  <c r="H317" i="6"/>
  <c r="H318" i="6"/>
  <c r="H319" i="6"/>
  <c r="H320" i="6"/>
  <c r="H321" i="6"/>
  <c r="H322" i="6"/>
  <c r="I322" i="6" s="1"/>
  <c r="H323" i="6"/>
  <c r="H324" i="6"/>
  <c r="H325" i="6"/>
  <c r="H326" i="6"/>
  <c r="H327" i="6"/>
  <c r="H328" i="6"/>
  <c r="H329" i="6"/>
  <c r="I329" i="6" s="1"/>
  <c r="H330" i="6"/>
  <c r="H331" i="6"/>
  <c r="H332" i="6"/>
  <c r="H333" i="6"/>
  <c r="H334" i="6"/>
  <c r="H335" i="6"/>
  <c r="I335" i="6" s="1"/>
  <c r="H336" i="6"/>
  <c r="H337" i="6"/>
  <c r="H338" i="6"/>
  <c r="H339" i="6"/>
  <c r="H340" i="6"/>
  <c r="H341" i="6"/>
  <c r="I341" i="6" s="1"/>
  <c r="H342" i="6"/>
  <c r="H343" i="6"/>
  <c r="H344" i="6"/>
  <c r="H345" i="6"/>
  <c r="H346" i="6"/>
  <c r="H347" i="6"/>
  <c r="H348" i="6"/>
  <c r="I348" i="6" s="1"/>
  <c r="H349" i="6"/>
  <c r="H350" i="6"/>
  <c r="H351" i="6"/>
  <c r="H352" i="6"/>
  <c r="H353" i="6"/>
  <c r="H354" i="6"/>
  <c r="I354" i="6" s="1"/>
  <c r="H355" i="6"/>
  <c r="H356" i="6"/>
  <c r="H357" i="6"/>
  <c r="H358" i="6"/>
  <c r="H359" i="6"/>
  <c r="H360" i="6"/>
  <c r="I360" i="6" s="1"/>
  <c r="H361" i="6"/>
  <c r="H362" i="6"/>
  <c r="H363" i="6"/>
  <c r="H364" i="6"/>
  <c r="H365" i="6"/>
  <c r="H366" i="6"/>
  <c r="H367" i="6"/>
  <c r="I367" i="6" s="1"/>
  <c r="H368" i="6"/>
  <c r="H369" i="6"/>
  <c r="H370" i="6"/>
  <c r="H371" i="6"/>
  <c r="H372" i="6"/>
  <c r="H373" i="6"/>
  <c r="I373" i="6" s="1"/>
  <c r="H374" i="6"/>
  <c r="H375" i="6"/>
  <c r="H376" i="6"/>
  <c r="H377" i="6"/>
  <c r="H378" i="6"/>
  <c r="H379" i="6"/>
  <c r="H380" i="6"/>
  <c r="I380" i="6" s="1"/>
  <c r="H381" i="6"/>
  <c r="H382" i="6"/>
  <c r="H383" i="6"/>
  <c r="H384" i="6"/>
  <c r="H385" i="6"/>
  <c r="H386" i="6"/>
  <c r="I386" i="6" s="1"/>
  <c r="H387" i="6"/>
  <c r="H388" i="6"/>
  <c r="H389" i="6"/>
  <c r="H390" i="6"/>
  <c r="H391" i="6"/>
  <c r="H392" i="6"/>
  <c r="H393" i="6"/>
  <c r="I393" i="6" s="1"/>
  <c r="H394" i="6"/>
  <c r="H395" i="6"/>
  <c r="H396" i="6"/>
  <c r="H397" i="6"/>
  <c r="H398" i="6"/>
  <c r="H399" i="6"/>
  <c r="H400" i="6"/>
  <c r="I400" i="6" s="1"/>
  <c r="H401" i="6"/>
  <c r="H402" i="6"/>
  <c r="H403" i="6"/>
  <c r="H404" i="6"/>
  <c r="H405" i="6"/>
  <c r="H406" i="6"/>
  <c r="I406" i="6" s="1"/>
  <c r="H407" i="6"/>
  <c r="H408" i="6"/>
  <c r="H409" i="6"/>
  <c r="H410" i="6"/>
  <c r="H411" i="6"/>
  <c r="H412" i="6"/>
  <c r="H413" i="6"/>
  <c r="H414" i="6"/>
  <c r="I414" i="6" s="1"/>
  <c r="H415" i="6"/>
  <c r="H416" i="6"/>
  <c r="H417" i="6"/>
  <c r="H418" i="6"/>
  <c r="H419" i="6"/>
  <c r="H420" i="6"/>
  <c r="I420" i="6" s="1"/>
  <c r="H421" i="6"/>
  <c r="H422" i="6"/>
  <c r="H423" i="6"/>
  <c r="H424" i="6"/>
  <c r="H425" i="6"/>
  <c r="H426" i="6"/>
  <c r="H427" i="6"/>
  <c r="I427" i="6" s="1"/>
  <c r="H428" i="6"/>
  <c r="H429" i="6"/>
  <c r="H430" i="6"/>
  <c r="H431" i="6"/>
  <c r="H432" i="6"/>
  <c r="H433" i="6"/>
  <c r="I433" i="6" s="1"/>
  <c r="H434" i="6"/>
  <c r="H435" i="6"/>
  <c r="H436" i="6"/>
  <c r="H437" i="6"/>
  <c r="H438" i="6"/>
  <c r="H439" i="6"/>
  <c r="I439" i="6" s="1"/>
  <c r="H440" i="6"/>
  <c r="H441" i="6"/>
  <c r="H442" i="6"/>
  <c r="H443" i="6"/>
  <c r="H444" i="6"/>
  <c r="H445" i="6"/>
  <c r="H446" i="6"/>
  <c r="I446" i="6" s="1"/>
  <c r="H447" i="6"/>
  <c r="H448" i="6"/>
  <c r="H449" i="6"/>
  <c r="H450" i="6"/>
  <c r="H451" i="6"/>
  <c r="H452" i="6"/>
  <c r="I452" i="6" s="1"/>
  <c r="H453" i="6"/>
  <c r="H454" i="6"/>
  <c r="H455" i="6"/>
  <c r="H456" i="6"/>
  <c r="H457" i="6"/>
  <c r="H458" i="6"/>
  <c r="H459" i="6"/>
  <c r="I459" i="6" s="1"/>
  <c r="H460" i="6"/>
  <c r="H461" i="6"/>
  <c r="H462" i="6"/>
  <c r="H463" i="6"/>
  <c r="H464" i="6"/>
  <c r="H465" i="6"/>
  <c r="I465" i="6" s="1"/>
  <c r="H466" i="6"/>
  <c r="H467" i="6"/>
  <c r="H468" i="6"/>
  <c r="H469" i="6"/>
  <c r="H470" i="6"/>
  <c r="H471" i="6"/>
  <c r="I471" i="6" s="1"/>
  <c r="H472" i="6"/>
  <c r="H473" i="6"/>
  <c r="H474" i="6"/>
  <c r="H475" i="6"/>
  <c r="H476" i="6"/>
  <c r="H477" i="6"/>
  <c r="H478" i="6"/>
  <c r="I478" i="6" s="1"/>
  <c r="H479" i="6"/>
  <c r="H480" i="6"/>
  <c r="H481" i="6"/>
  <c r="H482" i="6"/>
  <c r="H483" i="6"/>
  <c r="H484" i="6"/>
  <c r="I484" i="6" s="1"/>
  <c r="H485" i="6"/>
  <c r="H486" i="6"/>
  <c r="H487" i="6"/>
  <c r="H488" i="6"/>
  <c r="H489" i="6"/>
  <c r="H490" i="6"/>
  <c r="H491" i="6"/>
  <c r="H492" i="6"/>
  <c r="I492" i="6" s="1"/>
  <c r="H493" i="6"/>
  <c r="H494" i="6"/>
  <c r="H495" i="6"/>
  <c r="H496" i="6"/>
  <c r="H497" i="6"/>
  <c r="H498" i="6"/>
  <c r="I498" i="6" s="1"/>
  <c r="H499" i="6"/>
  <c r="H500" i="6"/>
  <c r="H501" i="6"/>
  <c r="H502" i="6"/>
  <c r="H503" i="6"/>
  <c r="H504" i="6"/>
  <c r="I504" i="6" s="1"/>
  <c r="H505" i="6"/>
  <c r="H506" i="6"/>
  <c r="H507" i="6"/>
  <c r="H508" i="6"/>
  <c r="H509" i="6"/>
  <c r="H510" i="6"/>
  <c r="I510" i="6" s="1"/>
  <c r="H511" i="6"/>
  <c r="H512" i="6"/>
  <c r="H513" i="6"/>
  <c r="H514" i="6"/>
  <c r="H515" i="6"/>
  <c r="H516" i="6"/>
  <c r="H517" i="6"/>
  <c r="I517" i="6" s="1"/>
  <c r="H518" i="6"/>
  <c r="H519" i="6"/>
  <c r="H520" i="6"/>
  <c r="H521" i="6"/>
  <c r="H522" i="6"/>
  <c r="H523" i="6"/>
  <c r="I523" i="6" s="1"/>
  <c r="H524" i="6"/>
  <c r="H525" i="6"/>
  <c r="H526" i="6"/>
  <c r="H527" i="6"/>
  <c r="H528" i="6"/>
  <c r="H529" i="6"/>
  <c r="H530" i="6"/>
  <c r="I530" i="6" s="1"/>
  <c r="H531" i="6"/>
  <c r="H532" i="6"/>
  <c r="H533" i="6"/>
  <c r="H534" i="6"/>
  <c r="H535" i="6"/>
  <c r="H536" i="6"/>
  <c r="I536" i="6" s="1"/>
  <c r="H537" i="6"/>
  <c r="H538" i="6"/>
  <c r="H539" i="6"/>
  <c r="H540" i="6"/>
  <c r="H541" i="6"/>
  <c r="H542" i="6"/>
  <c r="I542" i="6" s="1"/>
  <c r="H543" i="6"/>
  <c r="H544" i="6"/>
  <c r="H545" i="6"/>
  <c r="H546" i="6"/>
  <c r="H547" i="6"/>
  <c r="H548" i="6"/>
  <c r="I548" i="6" s="1"/>
  <c r="H549" i="6"/>
  <c r="H550" i="6"/>
  <c r="H551" i="6"/>
  <c r="H552" i="6"/>
  <c r="H553" i="6"/>
  <c r="H554" i="6"/>
  <c r="H555" i="6"/>
  <c r="I555" i="6" s="1"/>
  <c r="H556" i="6"/>
  <c r="I556" i="6" s="1"/>
  <c r="H557" i="6"/>
  <c r="I557" i="6" s="1"/>
  <c r="H558" i="6"/>
  <c r="I558" i="6" s="1"/>
  <c r="H559" i="6"/>
  <c r="I559" i="6" s="1"/>
  <c r="H560" i="6"/>
  <c r="I560" i="6" s="1"/>
  <c r="H561" i="6"/>
  <c r="I561" i="6" s="1"/>
  <c r="H562" i="6"/>
  <c r="I562" i="6" s="1"/>
  <c r="H563" i="6"/>
  <c r="I563" i="6" s="1"/>
  <c r="H564" i="6"/>
  <c r="I564" i="6" s="1"/>
  <c r="H565" i="6"/>
  <c r="I565" i="6" s="1"/>
  <c r="H566" i="6"/>
  <c r="I566" i="6" s="1"/>
  <c r="H567" i="6"/>
  <c r="I567" i="6" s="1"/>
  <c r="H568" i="6"/>
  <c r="I568" i="6" s="1"/>
  <c r="H569" i="6"/>
  <c r="I569" i="6" s="1"/>
  <c r="H570" i="6"/>
  <c r="I570" i="6" s="1"/>
  <c r="H571" i="6"/>
  <c r="I571" i="6" s="1"/>
  <c r="H572" i="6"/>
  <c r="I572" i="6" s="1"/>
  <c r="H573" i="6"/>
  <c r="H574" i="6"/>
  <c r="I574" i="6" s="1"/>
  <c r="H575" i="6"/>
  <c r="I575" i="6" s="1"/>
  <c r="H576" i="6"/>
  <c r="I576" i="6" s="1"/>
  <c r="H577" i="6"/>
  <c r="I577" i="6" s="1"/>
  <c r="H578" i="6"/>
  <c r="I578" i="6" s="1"/>
  <c r="H579" i="6"/>
  <c r="I579" i="6" s="1"/>
  <c r="H580" i="6"/>
  <c r="I580" i="6" s="1"/>
  <c r="H581" i="6"/>
  <c r="I581" i="6" s="1"/>
  <c r="H582" i="6"/>
  <c r="I582" i="6" s="1"/>
  <c r="H583" i="6"/>
  <c r="I583" i="6" s="1"/>
  <c r="H584" i="6"/>
  <c r="I584" i="6" s="1"/>
  <c r="H585" i="6"/>
  <c r="I585" i="6" s="1"/>
  <c r="H586" i="6"/>
  <c r="I586" i="6" s="1"/>
  <c r="H587" i="6"/>
  <c r="I587" i="6" s="1"/>
  <c r="H588" i="6"/>
  <c r="I588" i="6" s="1"/>
  <c r="H589" i="6"/>
  <c r="I589" i="6" s="1"/>
  <c r="H590" i="6"/>
  <c r="I590" i="6" s="1"/>
  <c r="H591" i="6"/>
  <c r="I591" i="6" s="1"/>
  <c r="H592" i="6"/>
  <c r="I592" i="6" s="1"/>
  <c r="H593" i="6"/>
  <c r="I593" i="6" s="1"/>
  <c r="H594" i="6"/>
  <c r="I594" i="6" s="1"/>
  <c r="H595" i="6"/>
  <c r="I595" i="6" s="1"/>
  <c r="H596" i="6"/>
  <c r="I596" i="6" s="1"/>
  <c r="H597" i="6"/>
  <c r="I597" i="6" s="1"/>
  <c r="H598" i="6"/>
  <c r="I598" i="6" s="1"/>
  <c r="H599" i="6"/>
  <c r="I599" i="6" s="1"/>
  <c r="H600" i="6"/>
  <c r="I600" i="6" s="1"/>
  <c r="H601" i="6"/>
  <c r="I601" i="6" s="1"/>
  <c r="H602" i="6"/>
  <c r="I602" i="6" s="1"/>
  <c r="H603" i="6"/>
  <c r="I603" i="6" s="1"/>
  <c r="H604" i="6"/>
  <c r="I604" i="6" s="1"/>
  <c r="H605" i="6"/>
  <c r="H606" i="6"/>
  <c r="I606" i="6" s="1"/>
  <c r="H607" i="6"/>
  <c r="I607" i="6" s="1"/>
  <c r="H608" i="6"/>
  <c r="I608" i="6" s="1"/>
  <c r="H609" i="6"/>
  <c r="I609" i="6" s="1"/>
  <c r="H610" i="6"/>
  <c r="I610" i="6" s="1"/>
  <c r="H611" i="6"/>
  <c r="I611" i="6" s="1"/>
  <c r="H612" i="6"/>
  <c r="I612" i="6" s="1"/>
  <c r="H613" i="6"/>
  <c r="I613" i="6" s="1"/>
  <c r="H614" i="6"/>
  <c r="I614" i="6" s="1"/>
  <c r="H615" i="6"/>
  <c r="I615" i="6" s="1"/>
  <c r="H616" i="6"/>
  <c r="I616" i="6" s="1"/>
  <c r="H617" i="6"/>
  <c r="I617" i="6" s="1"/>
  <c r="H618" i="6"/>
  <c r="I618" i="6" s="1"/>
  <c r="H619" i="6"/>
  <c r="I619" i="6" s="1"/>
  <c r="H620" i="6"/>
  <c r="H621" i="6"/>
  <c r="I621" i="6" s="1"/>
  <c r="H622" i="6"/>
  <c r="I622" i="6" s="1"/>
  <c r="H623" i="6"/>
  <c r="I623" i="6" s="1"/>
  <c r="H624" i="6"/>
  <c r="I624" i="6" s="1"/>
  <c r="H625" i="6"/>
  <c r="I625" i="6" s="1"/>
  <c r="H626" i="6"/>
  <c r="I626" i="6" s="1"/>
  <c r="H627" i="6"/>
  <c r="I627" i="6" s="1"/>
  <c r="H628" i="6"/>
  <c r="I628" i="6" s="1"/>
  <c r="H629" i="6"/>
  <c r="I629" i="6" s="1"/>
  <c r="H630" i="6"/>
  <c r="I630" i="6" s="1"/>
  <c r="H631" i="6"/>
  <c r="I631" i="6" s="1"/>
  <c r="H632" i="6"/>
  <c r="I632" i="6" s="1"/>
  <c r="H633" i="6"/>
  <c r="I633" i="6" s="1"/>
  <c r="H634" i="6"/>
  <c r="I634" i="6" s="1"/>
  <c r="H635" i="6"/>
  <c r="I635" i="6" s="1"/>
  <c r="H636" i="6"/>
  <c r="I636" i="6" s="1"/>
  <c r="H637" i="6"/>
  <c r="I637" i="6" s="1"/>
  <c r="H638" i="6"/>
  <c r="I638" i="6" s="1"/>
  <c r="H639" i="6"/>
  <c r="I639" i="6" s="1"/>
  <c r="H640" i="6"/>
  <c r="I640" i="6" s="1"/>
  <c r="H641" i="6"/>
  <c r="H642" i="6"/>
  <c r="I642" i="6" s="1"/>
  <c r="H643" i="6"/>
  <c r="I643" i="6" s="1"/>
  <c r="H644" i="6"/>
  <c r="I644" i="6" s="1"/>
  <c r="H645" i="6"/>
  <c r="I645" i="6" s="1"/>
  <c r="H646" i="6"/>
  <c r="I646" i="6" s="1"/>
  <c r="H647" i="6"/>
  <c r="I647" i="6" s="1"/>
  <c r="H648" i="6"/>
  <c r="I648" i="6" s="1"/>
  <c r="H649" i="6"/>
  <c r="I649" i="6" s="1"/>
  <c r="H650" i="6"/>
  <c r="I650" i="6" s="1"/>
  <c r="H651" i="6"/>
  <c r="I651" i="6" s="1"/>
  <c r="H652" i="6"/>
  <c r="I652" i="6" s="1"/>
  <c r="H653" i="6"/>
  <c r="I653" i="6" s="1"/>
  <c r="H654" i="6"/>
  <c r="I654" i="6" s="1"/>
  <c r="H655" i="6"/>
  <c r="I655" i="6" s="1"/>
  <c r="H656" i="6"/>
  <c r="I656" i="6" s="1"/>
  <c r="H657" i="6"/>
  <c r="I657" i="6" s="1"/>
  <c r="H658" i="6"/>
  <c r="I658" i="6" s="1"/>
  <c r="H659" i="6"/>
  <c r="I659" i="6" s="1"/>
  <c r="H660" i="6"/>
  <c r="I660" i="6" s="1"/>
  <c r="H661" i="6"/>
  <c r="H662" i="6"/>
  <c r="I662" i="6" s="1"/>
  <c r="H663" i="6"/>
  <c r="I663" i="6" s="1"/>
  <c r="H664" i="6"/>
  <c r="I664" i="6" s="1"/>
  <c r="H665" i="6"/>
  <c r="I665" i="6" s="1"/>
  <c r="H666" i="6"/>
  <c r="I666" i="6" s="1"/>
  <c r="H667" i="6"/>
  <c r="I667" i="6" s="1"/>
  <c r="H668" i="6"/>
  <c r="I668" i="6" s="1"/>
  <c r="H669" i="6"/>
  <c r="I669" i="6" s="1"/>
  <c r="H670" i="6"/>
  <c r="I670" i="6" s="1"/>
  <c r="H671" i="6"/>
  <c r="I671" i="6" s="1"/>
  <c r="H672" i="6"/>
  <c r="I672" i="6" s="1"/>
  <c r="H673" i="6"/>
  <c r="H674" i="6"/>
  <c r="I674" i="6" s="1"/>
  <c r="H675" i="6"/>
  <c r="I675" i="6" s="1"/>
  <c r="H676" i="6"/>
  <c r="I676" i="6" s="1"/>
  <c r="H677" i="6"/>
  <c r="I677" i="6" s="1"/>
  <c r="H678" i="6"/>
  <c r="I678" i="6" s="1"/>
  <c r="H679" i="6"/>
  <c r="I679" i="6" s="1"/>
  <c r="H680" i="6"/>
  <c r="I680" i="6" s="1"/>
  <c r="H681" i="6"/>
  <c r="I681" i="6" s="1"/>
  <c r="H682" i="6"/>
  <c r="I682" i="6" s="1"/>
  <c r="H683" i="6"/>
  <c r="I683" i="6" s="1"/>
  <c r="H684" i="6"/>
  <c r="I684" i="6" s="1"/>
  <c r="H685" i="6"/>
  <c r="I685" i="6" s="1"/>
  <c r="H686" i="6"/>
  <c r="I686" i="6" s="1"/>
  <c r="H687" i="6"/>
  <c r="I687" i="6" s="1"/>
  <c r="H688" i="6"/>
  <c r="I688" i="6" s="1"/>
  <c r="H689" i="6"/>
  <c r="I689" i="6" s="1"/>
  <c r="H690" i="6"/>
  <c r="I690" i="6" s="1"/>
  <c r="H691" i="6"/>
  <c r="I691" i="6" s="1"/>
  <c r="H692" i="6"/>
  <c r="I692" i="6" s="1"/>
  <c r="H693" i="6"/>
  <c r="I693" i="6" s="1"/>
  <c r="H694" i="6"/>
  <c r="I694" i="6" s="1"/>
  <c r="H695" i="6"/>
  <c r="I695" i="6" s="1"/>
  <c r="H696" i="6"/>
  <c r="H697" i="6"/>
  <c r="I697" i="6" s="1"/>
  <c r="H698" i="6"/>
  <c r="I698" i="6" s="1"/>
  <c r="H699" i="6"/>
  <c r="I699" i="6" s="1"/>
  <c r="H700" i="6"/>
  <c r="I700" i="6" s="1"/>
  <c r="H701" i="6"/>
  <c r="I701" i="6" s="1"/>
  <c r="H702" i="6"/>
  <c r="I702" i="6" s="1"/>
  <c r="H703" i="6"/>
  <c r="I703" i="6" s="1"/>
  <c r="H704" i="6"/>
  <c r="I704" i="6" s="1"/>
  <c r="H705" i="6"/>
  <c r="I705" i="6" s="1"/>
  <c r="H706" i="6"/>
  <c r="I706" i="6" s="1"/>
  <c r="H707" i="6"/>
  <c r="I707" i="6" s="1"/>
  <c r="H708" i="6"/>
  <c r="I708" i="6" s="1"/>
  <c r="H709" i="6"/>
  <c r="I709" i="6" s="1"/>
  <c r="H710" i="6"/>
  <c r="I710" i="6" s="1"/>
  <c r="H711" i="6"/>
  <c r="H712" i="6"/>
  <c r="I712" i="6" s="1"/>
  <c r="H713" i="6"/>
  <c r="I713" i="6" s="1"/>
  <c r="H714" i="6"/>
  <c r="I714" i="6" s="1"/>
  <c r="M2" i="6"/>
  <c r="M3" i="6"/>
  <c r="M4" i="6"/>
  <c r="M5" i="6"/>
  <c r="M7" i="6"/>
  <c r="M8" i="6"/>
  <c r="M9" i="6"/>
  <c r="M10" i="6"/>
  <c r="M11" i="6"/>
  <c r="M12" i="6"/>
  <c r="M13" i="6"/>
  <c r="M14" i="6"/>
  <c r="M15" i="6"/>
  <c r="M16" i="6"/>
  <c r="M17" i="6"/>
  <c r="M18" i="6"/>
  <c r="M19" i="6"/>
  <c r="M20" i="6"/>
  <c r="M21" i="6"/>
  <c r="M22" i="6"/>
  <c r="M23" i="6"/>
  <c r="M24" i="6"/>
  <c r="M25" i="6"/>
  <c r="M26" i="6"/>
  <c r="M27" i="6"/>
  <c r="M28" i="6"/>
  <c r="M29" i="6"/>
  <c r="M30" i="6"/>
  <c r="M31" i="6"/>
  <c r="M32" i="6"/>
  <c r="M33" i="6"/>
  <c r="M34" i="6"/>
  <c r="M35" i="6"/>
  <c r="M36" i="6"/>
  <c r="M37" i="6"/>
  <c r="M38" i="6"/>
  <c r="M39" i="6"/>
  <c r="M40" i="6"/>
  <c r="M41" i="6"/>
  <c r="M42" i="6"/>
  <c r="M43" i="6"/>
  <c r="M44" i="6"/>
  <c r="M45" i="6"/>
  <c r="M46" i="6"/>
  <c r="M47" i="6"/>
  <c r="M48" i="6"/>
  <c r="M49" i="6"/>
  <c r="M50" i="6"/>
  <c r="M51" i="6"/>
  <c r="M52" i="6"/>
  <c r="M53" i="6"/>
  <c r="M54" i="6"/>
  <c r="M55" i="6"/>
  <c r="M56" i="6"/>
  <c r="M57" i="6"/>
  <c r="M58" i="6"/>
  <c r="M59" i="6"/>
  <c r="M60" i="6"/>
  <c r="M61" i="6"/>
  <c r="M62" i="6"/>
  <c r="M63" i="6"/>
  <c r="M64" i="6"/>
  <c r="M65" i="6"/>
  <c r="M66" i="6"/>
  <c r="M67" i="6"/>
  <c r="M68" i="6"/>
  <c r="M69" i="6"/>
  <c r="M70" i="6"/>
  <c r="M71" i="6"/>
  <c r="M72" i="6"/>
  <c r="M73" i="6"/>
  <c r="M74" i="6"/>
  <c r="M75" i="6"/>
  <c r="M76" i="6"/>
  <c r="M77" i="6"/>
  <c r="M78" i="6"/>
  <c r="M79" i="6"/>
  <c r="M80" i="6"/>
  <c r="M81" i="6"/>
  <c r="M82" i="6"/>
  <c r="M83" i="6"/>
  <c r="M84" i="6"/>
  <c r="M85" i="6"/>
  <c r="M86" i="6"/>
  <c r="M87" i="6"/>
  <c r="M88" i="6"/>
  <c r="M89" i="6"/>
  <c r="M90" i="6"/>
  <c r="M91" i="6"/>
  <c r="M92" i="6"/>
  <c r="M93" i="6"/>
  <c r="M94" i="6"/>
  <c r="M95" i="6"/>
  <c r="M96" i="6"/>
  <c r="M97" i="6"/>
  <c r="M98" i="6"/>
  <c r="M99" i="6"/>
  <c r="M100" i="6"/>
  <c r="M101" i="6"/>
  <c r="M102" i="6"/>
  <c r="M103" i="6"/>
  <c r="M104" i="6"/>
  <c r="M105" i="6"/>
  <c r="M106" i="6"/>
  <c r="M107" i="6"/>
  <c r="M108" i="6"/>
  <c r="M109" i="6"/>
  <c r="M110" i="6"/>
  <c r="M111" i="6"/>
  <c r="M112" i="6"/>
  <c r="M113" i="6"/>
  <c r="M114" i="6"/>
  <c r="M115" i="6"/>
  <c r="M116" i="6"/>
  <c r="M117" i="6"/>
  <c r="M118" i="6"/>
  <c r="M119" i="6"/>
  <c r="M120" i="6"/>
  <c r="M121" i="6"/>
  <c r="M122" i="6"/>
  <c r="M123" i="6"/>
  <c r="M124" i="6"/>
  <c r="M125" i="6"/>
  <c r="M126" i="6"/>
  <c r="M127" i="6"/>
  <c r="M128" i="6"/>
  <c r="M129" i="6"/>
  <c r="M130" i="6"/>
  <c r="M131" i="6"/>
  <c r="M132" i="6"/>
  <c r="M133" i="6"/>
  <c r="M134" i="6"/>
  <c r="M135" i="6"/>
  <c r="M136" i="6"/>
  <c r="M137" i="6"/>
  <c r="M138" i="6"/>
  <c r="M139" i="6"/>
  <c r="M140" i="6"/>
  <c r="M141" i="6"/>
  <c r="M142" i="6"/>
  <c r="M143" i="6"/>
  <c r="M144" i="6"/>
  <c r="M145" i="6"/>
  <c r="M146" i="6"/>
  <c r="M147" i="6"/>
  <c r="M148" i="6"/>
  <c r="M149" i="6"/>
  <c r="M150" i="6"/>
  <c r="M151" i="6"/>
  <c r="M152" i="6"/>
  <c r="M153" i="6"/>
  <c r="M154" i="6"/>
  <c r="M155" i="6"/>
  <c r="M156" i="6"/>
  <c r="M157" i="6"/>
  <c r="M158" i="6"/>
  <c r="M159" i="6"/>
  <c r="M160" i="6"/>
  <c r="M161" i="6"/>
  <c r="M162" i="6"/>
  <c r="M163" i="6"/>
  <c r="M164" i="6"/>
  <c r="M165" i="6"/>
  <c r="M166" i="6"/>
  <c r="M167" i="6"/>
  <c r="M168" i="6"/>
  <c r="M169" i="6"/>
  <c r="M170" i="6"/>
  <c r="M171" i="6"/>
  <c r="M172" i="6"/>
  <c r="M173" i="6"/>
  <c r="M174" i="6"/>
  <c r="M175" i="6"/>
  <c r="M176" i="6"/>
  <c r="M177" i="6"/>
  <c r="M178" i="6"/>
  <c r="M179" i="6"/>
  <c r="M180" i="6"/>
  <c r="M181" i="6"/>
  <c r="M182" i="6"/>
  <c r="M183" i="6"/>
  <c r="M184" i="6"/>
  <c r="M185" i="6"/>
  <c r="M186" i="6"/>
  <c r="M187" i="6"/>
  <c r="M188" i="6"/>
  <c r="M189" i="6"/>
  <c r="M190" i="6"/>
  <c r="M191" i="6"/>
  <c r="M192" i="6"/>
  <c r="M193" i="6"/>
  <c r="M194" i="6"/>
  <c r="M195" i="6"/>
  <c r="M196" i="6"/>
  <c r="M197" i="6"/>
  <c r="M198" i="6"/>
  <c r="M199" i="6"/>
  <c r="M200" i="6"/>
  <c r="M201" i="6"/>
  <c r="M202" i="6"/>
  <c r="M203" i="6"/>
  <c r="M204" i="6"/>
  <c r="M205" i="6"/>
  <c r="M206" i="6"/>
  <c r="M207" i="6"/>
  <c r="M208" i="6"/>
  <c r="M209" i="6"/>
  <c r="M210" i="6"/>
  <c r="M211" i="6"/>
  <c r="M212" i="6"/>
  <c r="M213" i="6"/>
  <c r="M214" i="6"/>
  <c r="M215" i="6"/>
  <c r="M216" i="6"/>
  <c r="M217" i="6"/>
  <c r="M218" i="6"/>
  <c r="M219" i="6"/>
  <c r="M220" i="6"/>
  <c r="M221" i="6"/>
  <c r="M222" i="6"/>
  <c r="M223" i="6"/>
  <c r="M224" i="6"/>
  <c r="M225" i="6"/>
  <c r="M226" i="6"/>
  <c r="M227" i="6"/>
  <c r="M228" i="6"/>
  <c r="M229" i="6"/>
  <c r="M230" i="6"/>
  <c r="M231" i="6"/>
  <c r="M232" i="6"/>
  <c r="M233" i="6"/>
  <c r="M234" i="6"/>
  <c r="M235" i="6"/>
  <c r="M236" i="6"/>
  <c r="M237" i="6"/>
  <c r="M238" i="6"/>
  <c r="M239" i="6"/>
  <c r="M240" i="6"/>
  <c r="M241" i="6"/>
  <c r="M242" i="6"/>
  <c r="M243" i="6"/>
  <c r="M244" i="6"/>
  <c r="M245" i="6"/>
  <c r="M246" i="6"/>
  <c r="M247" i="6"/>
  <c r="M248" i="6"/>
  <c r="M249" i="6"/>
  <c r="M250" i="6"/>
  <c r="M251" i="6"/>
  <c r="M252" i="6"/>
  <c r="M253" i="6"/>
  <c r="M254" i="6"/>
  <c r="M255" i="6"/>
  <c r="M256" i="6"/>
  <c r="M257" i="6"/>
  <c r="M258" i="6"/>
  <c r="M259" i="6"/>
  <c r="M260" i="6"/>
  <c r="M261" i="6"/>
  <c r="M262" i="6"/>
  <c r="M263" i="6"/>
  <c r="M264" i="6"/>
  <c r="M265" i="6"/>
  <c r="M266" i="6"/>
  <c r="M267" i="6"/>
  <c r="M268" i="6"/>
  <c r="M269" i="6"/>
  <c r="M270" i="6"/>
  <c r="M271" i="6"/>
  <c r="M272" i="6"/>
  <c r="M273" i="6"/>
  <c r="M274" i="6"/>
  <c r="M275" i="6"/>
  <c r="M276" i="6"/>
  <c r="M277" i="6"/>
  <c r="M278" i="6"/>
  <c r="M279" i="6"/>
  <c r="M280" i="6"/>
  <c r="M281" i="6"/>
  <c r="M282" i="6"/>
  <c r="M283" i="6"/>
  <c r="M284" i="6"/>
  <c r="M285" i="6"/>
  <c r="M286" i="6"/>
  <c r="M287" i="6"/>
  <c r="M288" i="6"/>
  <c r="M289" i="6"/>
  <c r="M290" i="6"/>
  <c r="M291" i="6"/>
  <c r="M292" i="6"/>
  <c r="M293" i="6"/>
  <c r="M294" i="6"/>
  <c r="M295" i="6"/>
  <c r="M296" i="6"/>
  <c r="M297" i="6"/>
  <c r="M298" i="6"/>
  <c r="M299" i="6"/>
  <c r="M300" i="6"/>
  <c r="M301" i="6"/>
  <c r="M302" i="6"/>
  <c r="M303" i="6"/>
  <c r="M304" i="6"/>
  <c r="M305" i="6"/>
  <c r="M306" i="6"/>
  <c r="M307" i="6"/>
  <c r="M308" i="6"/>
  <c r="M309" i="6"/>
  <c r="M310" i="6"/>
  <c r="M311" i="6"/>
  <c r="M312" i="6"/>
  <c r="M313" i="6"/>
  <c r="M314" i="6"/>
  <c r="M315" i="6"/>
  <c r="M316" i="6"/>
  <c r="M317" i="6"/>
  <c r="M318" i="6"/>
  <c r="M319" i="6"/>
  <c r="M320" i="6"/>
  <c r="M321" i="6"/>
  <c r="M322" i="6"/>
  <c r="M323" i="6"/>
  <c r="M324" i="6"/>
  <c r="M325" i="6"/>
  <c r="M326" i="6"/>
  <c r="M327" i="6"/>
  <c r="M328" i="6"/>
  <c r="M329" i="6"/>
  <c r="M330" i="6"/>
  <c r="M331" i="6"/>
  <c r="M332" i="6"/>
  <c r="M333" i="6"/>
  <c r="M334" i="6"/>
  <c r="M335" i="6"/>
  <c r="M336" i="6"/>
  <c r="M337" i="6"/>
  <c r="M338" i="6"/>
  <c r="M339" i="6"/>
  <c r="M340" i="6"/>
  <c r="M341" i="6"/>
  <c r="M342" i="6"/>
  <c r="M343" i="6"/>
  <c r="M344" i="6"/>
  <c r="M345" i="6"/>
  <c r="M346" i="6"/>
  <c r="M347" i="6"/>
  <c r="M348" i="6"/>
  <c r="M349" i="6"/>
  <c r="M350" i="6"/>
  <c r="M351" i="6"/>
  <c r="M352" i="6"/>
  <c r="M353" i="6"/>
  <c r="M354" i="6"/>
  <c r="M355" i="6"/>
  <c r="M356" i="6"/>
  <c r="M357" i="6"/>
  <c r="M358" i="6"/>
  <c r="M359" i="6"/>
  <c r="M360" i="6"/>
  <c r="M361" i="6"/>
  <c r="M362" i="6"/>
  <c r="M363" i="6"/>
  <c r="M364" i="6"/>
  <c r="M365" i="6"/>
  <c r="M366" i="6"/>
  <c r="M367" i="6"/>
  <c r="M368" i="6"/>
  <c r="M369" i="6"/>
  <c r="M370" i="6"/>
  <c r="M371" i="6"/>
  <c r="M372" i="6"/>
  <c r="M373" i="6"/>
  <c r="M374" i="6"/>
  <c r="M375" i="6"/>
  <c r="M376" i="6"/>
  <c r="M377" i="6"/>
  <c r="M378" i="6"/>
  <c r="M379" i="6"/>
  <c r="M380" i="6"/>
  <c r="M381" i="6"/>
  <c r="M382" i="6"/>
  <c r="M383" i="6"/>
  <c r="M384" i="6"/>
  <c r="M385" i="6"/>
  <c r="M386" i="6"/>
  <c r="M387" i="6"/>
  <c r="M388" i="6"/>
  <c r="M389" i="6"/>
  <c r="M390" i="6"/>
  <c r="M391" i="6"/>
  <c r="M392" i="6"/>
  <c r="M393" i="6"/>
  <c r="M394" i="6"/>
  <c r="M395" i="6"/>
  <c r="M396" i="6"/>
  <c r="M397" i="6"/>
  <c r="M398" i="6"/>
  <c r="M399" i="6"/>
  <c r="M400" i="6"/>
  <c r="M401" i="6"/>
  <c r="M402" i="6"/>
  <c r="M403" i="6"/>
  <c r="M404" i="6"/>
  <c r="M405" i="6"/>
  <c r="M406" i="6"/>
  <c r="M407" i="6"/>
  <c r="M408" i="6"/>
  <c r="M409" i="6"/>
  <c r="M410" i="6"/>
  <c r="M411" i="6"/>
  <c r="M412" i="6"/>
  <c r="M413" i="6"/>
  <c r="M414" i="6"/>
  <c r="M415" i="6"/>
  <c r="M416" i="6"/>
  <c r="M417" i="6"/>
  <c r="M418" i="6"/>
  <c r="M419" i="6"/>
  <c r="M420" i="6"/>
  <c r="M421" i="6"/>
  <c r="M422" i="6"/>
  <c r="M423" i="6"/>
  <c r="M424" i="6"/>
  <c r="M425" i="6"/>
  <c r="M426" i="6"/>
  <c r="M427" i="6"/>
  <c r="M428" i="6"/>
  <c r="M429" i="6"/>
  <c r="M430" i="6"/>
  <c r="M431" i="6"/>
  <c r="M432" i="6"/>
  <c r="M433" i="6"/>
  <c r="M434" i="6"/>
  <c r="M435" i="6"/>
  <c r="M436" i="6"/>
  <c r="M437" i="6"/>
  <c r="M438" i="6"/>
  <c r="M439" i="6"/>
  <c r="M440" i="6"/>
  <c r="M441" i="6"/>
  <c r="M442" i="6"/>
  <c r="M443" i="6"/>
  <c r="M444" i="6"/>
  <c r="M445" i="6"/>
  <c r="M446" i="6"/>
  <c r="M447" i="6"/>
  <c r="M448" i="6"/>
  <c r="M449" i="6"/>
  <c r="M450" i="6"/>
  <c r="M451" i="6"/>
  <c r="M452" i="6"/>
  <c r="M453" i="6"/>
  <c r="M454" i="6"/>
  <c r="M455" i="6"/>
  <c r="M456" i="6"/>
  <c r="M457" i="6"/>
  <c r="M458" i="6"/>
  <c r="M459" i="6"/>
  <c r="M460" i="6"/>
  <c r="M461" i="6"/>
  <c r="M462" i="6"/>
  <c r="M463" i="6"/>
  <c r="M464" i="6"/>
  <c r="M465" i="6"/>
  <c r="M466" i="6"/>
  <c r="M467" i="6"/>
  <c r="M468" i="6"/>
  <c r="M469" i="6"/>
  <c r="M470" i="6"/>
  <c r="M471" i="6"/>
  <c r="M472" i="6"/>
  <c r="M473" i="6"/>
  <c r="M474" i="6"/>
  <c r="M475" i="6"/>
  <c r="M476" i="6"/>
  <c r="M477" i="6"/>
  <c r="M478" i="6"/>
  <c r="M479" i="6"/>
  <c r="M480" i="6"/>
  <c r="M481" i="6"/>
  <c r="M482" i="6"/>
  <c r="M483" i="6"/>
  <c r="M484" i="6"/>
  <c r="M485" i="6"/>
  <c r="M486" i="6"/>
  <c r="M487" i="6"/>
  <c r="M488" i="6"/>
  <c r="M489" i="6"/>
  <c r="M490" i="6"/>
  <c r="M491" i="6"/>
  <c r="M492" i="6"/>
  <c r="M493" i="6"/>
  <c r="M494" i="6"/>
  <c r="M495" i="6"/>
  <c r="M496" i="6"/>
  <c r="M497" i="6"/>
  <c r="M498" i="6"/>
  <c r="M499" i="6"/>
  <c r="M500" i="6"/>
  <c r="M501" i="6"/>
  <c r="M502" i="6"/>
  <c r="M503" i="6"/>
  <c r="M504" i="6"/>
  <c r="M505" i="6"/>
  <c r="M506" i="6"/>
  <c r="M507" i="6"/>
  <c r="M508" i="6"/>
  <c r="M509" i="6"/>
  <c r="M510" i="6"/>
  <c r="M511" i="6"/>
  <c r="M512" i="6"/>
  <c r="M513" i="6"/>
  <c r="M514" i="6"/>
  <c r="M515" i="6"/>
  <c r="M516" i="6"/>
  <c r="M517" i="6"/>
  <c r="M518" i="6"/>
  <c r="M519" i="6"/>
  <c r="M520" i="6"/>
  <c r="M521" i="6"/>
  <c r="M522" i="6"/>
  <c r="M523" i="6"/>
  <c r="M524" i="6"/>
  <c r="M525" i="6"/>
  <c r="M526" i="6"/>
  <c r="M527" i="6"/>
  <c r="M528" i="6"/>
  <c r="M529" i="6"/>
  <c r="M530" i="6"/>
  <c r="M531" i="6"/>
  <c r="M532" i="6"/>
  <c r="M533" i="6"/>
  <c r="M534" i="6"/>
  <c r="M535" i="6"/>
  <c r="M536" i="6"/>
  <c r="M537" i="6"/>
  <c r="M538" i="6"/>
  <c r="M539" i="6"/>
  <c r="M540" i="6"/>
  <c r="M541" i="6"/>
  <c r="M542" i="6"/>
  <c r="M543" i="6"/>
  <c r="M544" i="6"/>
  <c r="M545" i="6"/>
  <c r="M546" i="6"/>
  <c r="M547" i="6"/>
  <c r="M548" i="6"/>
  <c r="M549" i="6"/>
  <c r="M550" i="6"/>
  <c r="M551" i="6"/>
  <c r="M552" i="6"/>
  <c r="M553" i="6"/>
  <c r="M554" i="6"/>
  <c r="M555" i="6"/>
  <c r="M556" i="6"/>
  <c r="M557" i="6"/>
  <c r="M558" i="6"/>
  <c r="M559" i="6"/>
  <c r="M560" i="6"/>
  <c r="M561" i="6"/>
  <c r="M562" i="6"/>
  <c r="M563" i="6"/>
  <c r="M564" i="6"/>
  <c r="M565" i="6"/>
  <c r="M566" i="6"/>
  <c r="M567" i="6"/>
  <c r="M568" i="6"/>
  <c r="M569" i="6"/>
  <c r="M570" i="6"/>
  <c r="M571" i="6"/>
  <c r="M572" i="6"/>
  <c r="M573" i="6"/>
  <c r="M574" i="6"/>
  <c r="M575" i="6"/>
  <c r="M576" i="6"/>
  <c r="M577" i="6"/>
  <c r="M578" i="6"/>
  <c r="M579" i="6"/>
  <c r="M580" i="6"/>
  <c r="M581" i="6"/>
  <c r="M582" i="6"/>
  <c r="M583" i="6"/>
  <c r="M584" i="6"/>
  <c r="M585" i="6"/>
  <c r="M586" i="6"/>
  <c r="M587" i="6"/>
  <c r="M588" i="6"/>
  <c r="M589" i="6"/>
  <c r="M590" i="6"/>
  <c r="M591" i="6"/>
  <c r="M592" i="6"/>
  <c r="M593" i="6"/>
  <c r="M594" i="6"/>
  <c r="M595" i="6"/>
  <c r="M596" i="6"/>
  <c r="M597" i="6"/>
  <c r="M598" i="6"/>
  <c r="M599" i="6"/>
  <c r="M600" i="6"/>
  <c r="M601" i="6"/>
  <c r="M602" i="6"/>
  <c r="M603" i="6"/>
  <c r="M604" i="6"/>
  <c r="M605" i="6"/>
  <c r="M606" i="6"/>
  <c r="M607" i="6"/>
  <c r="M608" i="6"/>
  <c r="M609" i="6"/>
  <c r="M610" i="6"/>
  <c r="M611" i="6"/>
  <c r="M612" i="6"/>
  <c r="M613" i="6"/>
  <c r="M614" i="6"/>
  <c r="M615" i="6"/>
  <c r="M616" i="6"/>
  <c r="M617" i="6"/>
  <c r="M618" i="6"/>
  <c r="M619" i="6"/>
  <c r="M620" i="6"/>
  <c r="M621" i="6"/>
  <c r="M622" i="6"/>
  <c r="M623" i="6"/>
  <c r="M624" i="6"/>
  <c r="M625" i="6"/>
  <c r="M626" i="6"/>
  <c r="M627" i="6"/>
  <c r="M628" i="6"/>
  <c r="M629" i="6"/>
  <c r="M630" i="6"/>
  <c r="M631" i="6"/>
  <c r="M632" i="6"/>
  <c r="M633" i="6"/>
  <c r="M634" i="6"/>
  <c r="M635" i="6"/>
  <c r="M636" i="6"/>
  <c r="M637" i="6"/>
  <c r="M638" i="6"/>
  <c r="M639" i="6"/>
  <c r="M640" i="6"/>
  <c r="M641" i="6"/>
  <c r="M642" i="6"/>
  <c r="M643" i="6"/>
  <c r="M644" i="6"/>
  <c r="M645" i="6"/>
  <c r="M646" i="6"/>
  <c r="M647" i="6"/>
  <c r="M648" i="6"/>
  <c r="M649" i="6"/>
  <c r="M650" i="6"/>
  <c r="M651" i="6"/>
  <c r="M652" i="6"/>
  <c r="M653" i="6"/>
  <c r="M654" i="6"/>
  <c r="M655" i="6"/>
  <c r="M656" i="6"/>
  <c r="M657" i="6"/>
  <c r="M658" i="6"/>
  <c r="M659" i="6"/>
  <c r="M660" i="6"/>
  <c r="M661" i="6"/>
  <c r="M662" i="6"/>
  <c r="M663" i="6"/>
  <c r="M664" i="6"/>
  <c r="M665" i="6"/>
  <c r="M666" i="6"/>
  <c r="M667" i="6"/>
  <c r="M668" i="6"/>
  <c r="M669" i="6"/>
  <c r="M670" i="6"/>
  <c r="M671" i="6"/>
  <c r="M672" i="6"/>
  <c r="M673" i="6"/>
  <c r="M674" i="6"/>
  <c r="M675" i="6"/>
  <c r="M676" i="6"/>
  <c r="M677" i="6"/>
  <c r="M678" i="6"/>
  <c r="M679" i="6"/>
  <c r="M680" i="6"/>
  <c r="M681" i="6"/>
  <c r="M682" i="6"/>
  <c r="M683" i="6"/>
  <c r="M684" i="6"/>
  <c r="M685" i="6"/>
  <c r="M686" i="6"/>
  <c r="M687" i="6"/>
  <c r="M688" i="6"/>
  <c r="M689" i="6"/>
  <c r="M690" i="6"/>
  <c r="M691" i="6"/>
  <c r="M692" i="6"/>
  <c r="M693" i="6"/>
  <c r="M694" i="6"/>
  <c r="M695" i="6"/>
  <c r="M696" i="6"/>
  <c r="M697" i="6"/>
  <c r="M698" i="6"/>
  <c r="M699" i="6"/>
  <c r="M700" i="6"/>
  <c r="M701" i="6"/>
  <c r="M702" i="6"/>
  <c r="M703" i="6"/>
  <c r="M704" i="6"/>
  <c r="M705" i="6"/>
  <c r="M706" i="6"/>
  <c r="M707" i="6"/>
  <c r="M708" i="6"/>
  <c r="M709" i="6"/>
  <c r="M710" i="6"/>
  <c r="M711" i="6"/>
  <c r="M712" i="6"/>
  <c r="M713" i="6"/>
  <c r="M714" i="6"/>
  <c r="J654" i="6" l="1"/>
  <c r="J616" i="6"/>
  <c r="J579" i="6"/>
  <c r="J316" i="6"/>
  <c r="J78" i="6"/>
  <c r="J712" i="6"/>
  <c r="J648" i="6"/>
  <c r="J610" i="6"/>
  <c r="J510" i="6"/>
  <c r="J240" i="6"/>
  <c r="J46" i="6"/>
  <c r="J705" i="6"/>
  <c r="J642" i="6"/>
  <c r="J603" i="6"/>
  <c r="J471" i="6"/>
  <c r="J203" i="6"/>
  <c r="J7" i="6"/>
  <c r="J660" i="6"/>
  <c r="J354" i="6"/>
  <c r="J699" i="6"/>
  <c r="J635" i="6"/>
  <c r="J597" i="6"/>
  <c r="J433" i="6"/>
  <c r="J125" i="6"/>
  <c r="J667" i="6"/>
  <c r="J629" i="6"/>
  <c r="J591" i="6"/>
  <c r="J393" i="6"/>
  <c r="J119" i="6"/>
  <c r="I428" i="6"/>
  <c r="J428" i="6"/>
  <c r="I416" i="6"/>
  <c r="J416" i="6"/>
  <c r="I404" i="6"/>
  <c r="J404" i="6"/>
  <c r="I338" i="6"/>
  <c r="J338" i="6"/>
  <c r="I230" i="6"/>
  <c r="J230" i="6"/>
  <c r="I122" i="6"/>
  <c r="J122" i="6"/>
  <c r="I110" i="6"/>
  <c r="J110" i="6"/>
  <c r="I74" i="6"/>
  <c r="J74" i="6"/>
  <c r="I44" i="6"/>
  <c r="J44" i="6"/>
  <c r="I8" i="6"/>
  <c r="J8" i="6"/>
  <c r="J560" i="6"/>
  <c r="J278" i="6"/>
  <c r="J164" i="6"/>
  <c r="I553" i="6"/>
  <c r="J553" i="6"/>
  <c r="I547" i="6"/>
  <c r="J547" i="6"/>
  <c r="I541" i="6"/>
  <c r="J541" i="6"/>
  <c r="I535" i="6"/>
  <c r="J535" i="6"/>
  <c r="I511" i="6"/>
  <c r="J511" i="6"/>
  <c r="I505" i="6"/>
  <c r="J505" i="6"/>
  <c r="I499" i="6"/>
  <c r="J499" i="6"/>
  <c r="I493" i="6"/>
  <c r="J493" i="6"/>
  <c r="I487" i="6"/>
  <c r="J487" i="6"/>
  <c r="I481" i="6"/>
  <c r="J481" i="6"/>
  <c r="I475" i="6"/>
  <c r="J475" i="6"/>
  <c r="I469" i="6"/>
  <c r="J469" i="6"/>
  <c r="I463" i="6"/>
  <c r="J463" i="6"/>
  <c r="I457" i="6"/>
  <c r="J457" i="6"/>
  <c r="I451" i="6"/>
  <c r="J451" i="6"/>
  <c r="I445" i="6"/>
  <c r="J445" i="6"/>
  <c r="I421" i="6"/>
  <c r="J421" i="6"/>
  <c r="I415" i="6"/>
  <c r="J415" i="6"/>
  <c r="I409" i="6"/>
  <c r="J409" i="6"/>
  <c r="I403" i="6"/>
  <c r="J403" i="6"/>
  <c r="I397" i="6"/>
  <c r="J397" i="6"/>
  <c r="I391" i="6"/>
  <c r="J391" i="6"/>
  <c r="I385" i="6"/>
  <c r="J385" i="6"/>
  <c r="I379" i="6"/>
  <c r="J379" i="6"/>
  <c r="I355" i="6"/>
  <c r="J355" i="6"/>
  <c r="I349" i="6"/>
  <c r="J349" i="6"/>
  <c r="I343" i="6"/>
  <c r="J343" i="6"/>
  <c r="I337" i="6"/>
  <c r="J337" i="6"/>
  <c r="I331" i="6"/>
  <c r="J331" i="6"/>
  <c r="I325" i="6"/>
  <c r="J325" i="6"/>
  <c r="I319" i="6"/>
  <c r="J319" i="6"/>
  <c r="I307" i="6"/>
  <c r="J307" i="6"/>
  <c r="I301" i="6"/>
  <c r="J301" i="6"/>
  <c r="I295" i="6"/>
  <c r="J295" i="6"/>
  <c r="I289" i="6"/>
  <c r="J289" i="6"/>
  <c r="I283" i="6"/>
  <c r="J283" i="6"/>
  <c r="I247" i="6"/>
  <c r="J247" i="6"/>
  <c r="I241" i="6"/>
  <c r="J241" i="6"/>
  <c r="I235" i="6"/>
  <c r="J235" i="6"/>
  <c r="I229" i="6"/>
  <c r="J229" i="6"/>
  <c r="I223" i="6"/>
  <c r="J223" i="6"/>
  <c r="I217" i="6"/>
  <c r="J217" i="6"/>
  <c r="I211" i="6"/>
  <c r="J211" i="6"/>
  <c r="I205" i="6"/>
  <c r="J205" i="6"/>
  <c r="I193" i="6"/>
  <c r="J193" i="6"/>
  <c r="I187" i="6"/>
  <c r="J187" i="6"/>
  <c r="I181" i="6"/>
  <c r="J181" i="6"/>
  <c r="I175" i="6"/>
  <c r="J175" i="6"/>
  <c r="I169" i="6"/>
  <c r="J169" i="6"/>
  <c r="I163" i="6"/>
  <c r="J163" i="6"/>
  <c r="I151" i="6"/>
  <c r="J151" i="6"/>
  <c r="I145" i="6"/>
  <c r="J145" i="6"/>
  <c r="I139" i="6"/>
  <c r="J139" i="6"/>
  <c r="I133" i="6"/>
  <c r="J133" i="6"/>
  <c r="I127" i="6"/>
  <c r="J127" i="6"/>
  <c r="I121" i="6"/>
  <c r="J121" i="6"/>
  <c r="I115" i="6"/>
  <c r="J115" i="6"/>
  <c r="I109" i="6"/>
  <c r="J109" i="6"/>
  <c r="I103" i="6"/>
  <c r="J103" i="6"/>
  <c r="I97" i="6"/>
  <c r="J97" i="6"/>
  <c r="I91" i="6"/>
  <c r="J91" i="6"/>
  <c r="I79" i="6"/>
  <c r="J79" i="6"/>
  <c r="I73" i="6"/>
  <c r="J73" i="6"/>
  <c r="I67" i="6"/>
  <c r="J67" i="6"/>
  <c r="I61" i="6"/>
  <c r="J61" i="6"/>
  <c r="I55" i="6"/>
  <c r="J55" i="6"/>
  <c r="I49" i="6"/>
  <c r="J49" i="6"/>
  <c r="I43" i="6"/>
  <c r="J43" i="6"/>
  <c r="I37" i="6"/>
  <c r="J37" i="6"/>
  <c r="I31" i="6"/>
  <c r="J31" i="6"/>
  <c r="I25" i="6"/>
  <c r="J25" i="6"/>
  <c r="I19" i="6"/>
  <c r="J19" i="6"/>
  <c r="J710" i="6"/>
  <c r="J704" i="6"/>
  <c r="J698" i="6"/>
  <c r="J691" i="6"/>
  <c r="J685" i="6"/>
  <c r="J679" i="6"/>
  <c r="J672" i="6"/>
  <c r="J666" i="6"/>
  <c r="J659" i="6"/>
  <c r="J653" i="6"/>
  <c r="J647" i="6"/>
  <c r="J640" i="6"/>
  <c r="J634" i="6"/>
  <c r="J628" i="6"/>
  <c r="J622" i="6"/>
  <c r="J615" i="6"/>
  <c r="J609" i="6"/>
  <c r="J602" i="6"/>
  <c r="J596" i="6"/>
  <c r="J590" i="6"/>
  <c r="J584" i="6"/>
  <c r="J578" i="6"/>
  <c r="J571" i="6"/>
  <c r="J565" i="6"/>
  <c r="J559" i="6"/>
  <c r="J542" i="6"/>
  <c r="J504" i="6"/>
  <c r="J465" i="6"/>
  <c r="J427" i="6"/>
  <c r="J386" i="6"/>
  <c r="J348" i="6"/>
  <c r="J309" i="6"/>
  <c r="J271" i="6"/>
  <c r="J234" i="6"/>
  <c r="J196" i="6"/>
  <c r="J157" i="6"/>
  <c r="J38" i="6"/>
  <c r="I554" i="6"/>
  <c r="J554" i="6"/>
  <c r="I524" i="6"/>
  <c r="J524" i="6"/>
  <c r="I506" i="6"/>
  <c r="J506" i="6"/>
  <c r="I488" i="6"/>
  <c r="J488" i="6"/>
  <c r="I470" i="6"/>
  <c r="J470" i="6"/>
  <c r="I398" i="6"/>
  <c r="J398" i="6"/>
  <c r="I368" i="6"/>
  <c r="J368" i="6"/>
  <c r="I356" i="6"/>
  <c r="J356" i="6"/>
  <c r="I344" i="6"/>
  <c r="J344" i="6"/>
  <c r="I332" i="6"/>
  <c r="J332" i="6"/>
  <c r="I326" i="6"/>
  <c r="J326" i="6"/>
  <c r="I320" i="6"/>
  <c r="J320" i="6"/>
  <c r="I314" i="6"/>
  <c r="J314" i="6"/>
  <c r="I308" i="6"/>
  <c r="J308" i="6"/>
  <c r="I302" i="6"/>
  <c r="J302" i="6"/>
  <c r="I272" i="6"/>
  <c r="J272" i="6"/>
  <c r="I266" i="6"/>
  <c r="J266" i="6"/>
  <c r="I248" i="6"/>
  <c r="J248" i="6"/>
  <c r="I224" i="6"/>
  <c r="J224" i="6"/>
  <c r="I194" i="6"/>
  <c r="J194" i="6"/>
  <c r="I188" i="6"/>
  <c r="J188" i="6"/>
  <c r="I182" i="6"/>
  <c r="J182" i="6"/>
  <c r="I158" i="6"/>
  <c r="J158" i="6"/>
  <c r="I152" i="6"/>
  <c r="J152" i="6"/>
  <c r="I146" i="6"/>
  <c r="J146" i="6"/>
  <c r="I134" i="6"/>
  <c r="J134" i="6"/>
  <c r="I128" i="6"/>
  <c r="J128" i="6"/>
  <c r="I116" i="6"/>
  <c r="J116" i="6"/>
  <c r="I104" i="6"/>
  <c r="J104" i="6"/>
  <c r="I86" i="6"/>
  <c r="J86" i="6"/>
  <c r="I68" i="6"/>
  <c r="J68" i="6"/>
  <c r="J680" i="6"/>
  <c r="I552" i="6"/>
  <c r="J552" i="6"/>
  <c r="I546" i="6"/>
  <c r="J546" i="6"/>
  <c r="I540" i="6"/>
  <c r="J540" i="6"/>
  <c r="I534" i="6"/>
  <c r="J534" i="6"/>
  <c r="I528" i="6"/>
  <c r="J528" i="6"/>
  <c r="I522" i="6"/>
  <c r="J522" i="6"/>
  <c r="I516" i="6"/>
  <c r="J516" i="6"/>
  <c r="I486" i="6"/>
  <c r="J486" i="6"/>
  <c r="I480" i="6"/>
  <c r="J480" i="6"/>
  <c r="I474" i="6"/>
  <c r="J474" i="6"/>
  <c r="I468" i="6"/>
  <c r="J468" i="6"/>
  <c r="I462" i="6"/>
  <c r="J462" i="6"/>
  <c r="I450" i="6"/>
  <c r="J450" i="6"/>
  <c r="I444" i="6"/>
  <c r="J444" i="6"/>
  <c r="I438" i="6"/>
  <c r="J438" i="6"/>
  <c r="I432" i="6"/>
  <c r="J432" i="6"/>
  <c r="I402" i="6"/>
  <c r="J402" i="6"/>
  <c r="I390" i="6"/>
  <c r="J390" i="6"/>
  <c r="I384" i="6"/>
  <c r="J384" i="6"/>
  <c r="I378" i="6"/>
  <c r="J378" i="6"/>
  <c r="I372" i="6"/>
  <c r="J372" i="6"/>
  <c r="I366" i="6"/>
  <c r="J366" i="6"/>
  <c r="I342" i="6"/>
  <c r="J342" i="6"/>
  <c r="I336" i="6"/>
  <c r="J336" i="6"/>
  <c r="I330" i="6"/>
  <c r="J330" i="6"/>
  <c r="I324" i="6"/>
  <c r="J324" i="6"/>
  <c r="I318" i="6"/>
  <c r="J318" i="6"/>
  <c r="I312" i="6"/>
  <c r="J312" i="6"/>
  <c r="I306" i="6"/>
  <c r="J306" i="6"/>
  <c r="I300" i="6"/>
  <c r="J300" i="6"/>
  <c r="I294" i="6"/>
  <c r="J294" i="6"/>
  <c r="I288" i="6"/>
  <c r="J288" i="6"/>
  <c r="I282" i="6"/>
  <c r="J282" i="6"/>
  <c r="I276" i="6"/>
  <c r="J276" i="6"/>
  <c r="I270" i="6"/>
  <c r="J270" i="6"/>
  <c r="I264" i="6"/>
  <c r="J264" i="6"/>
  <c r="I258" i="6"/>
  <c r="J258" i="6"/>
  <c r="I222" i="6"/>
  <c r="J222" i="6"/>
  <c r="I216" i="6"/>
  <c r="J216" i="6"/>
  <c r="I210" i="6"/>
  <c r="J210" i="6"/>
  <c r="I204" i="6"/>
  <c r="J204" i="6"/>
  <c r="I198" i="6"/>
  <c r="J198" i="6"/>
  <c r="I192" i="6"/>
  <c r="J192" i="6"/>
  <c r="I186" i="6"/>
  <c r="J186" i="6"/>
  <c r="I180" i="6"/>
  <c r="J180" i="6"/>
  <c r="I174" i="6"/>
  <c r="J174" i="6"/>
  <c r="I168" i="6"/>
  <c r="J168" i="6"/>
  <c r="I138" i="6"/>
  <c r="J138" i="6"/>
  <c r="I132" i="6"/>
  <c r="J132" i="6"/>
  <c r="I126" i="6"/>
  <c r="J126" i="6"/>
  <c r="I120" i="6"/>
  <c r="J120" i="6"/>
  <c r="I114" i="6"/>
  <c r="J114" i="6"/>
  <c r="I102" i="6"/>
  <c r="J102" i="6"/>
  <c r="I96" i="6"/>
  <c r="J96" i="6"/>
  <c r="I90" i="6"/>
  <c r="J90" i="6"/>
  <c r="I84" i="6"/>
  <c r="J84" i="6"/>
  <c r="I60" i="6"/>
  <c r="J60" i="6"/>
  <c r="I54" i="6"/>
  <c r="J54" i="6"/>
  <c r="I48" i="6"/>
  <c r="J48" i="6"/>
  <c r="I42" i="6"/>
  <c r="J42" i="6"/>
  <c r="I36" i="6"/>
  <c r="J36" i="6"/>
  <c r="I30" i="6"/>
  <c r="J30" i="6"/>
  <c r="I24" i="6"/>
  <c r="J24" i="6"/>
  <c r="I12" i="6"/>
  <c r="J12" i="6"/>
  <c r="J709" i="6"/>
  <c r="J703" i="6"/>
  <c r="J697" i="6"/>
  <c r="J690" i="6"/>
  <c r="J684" i="6"/>
  <c r="J678" i="6"/>
  <c r="J671" i="6"/>
  <c r="J665" i="6"/>
  <c r="J658" i="6"/>
  <c r="J652" i="6"/>
  <c r="J646" i="6"/>
  <c r="J639" i="6"/>
  <c r="J633" i="6"/>
  <c r="J627" i="6"/>
  <c r="J621" i="6"/>
  <c r="J614" i="6"/>
  <c r="J608" i="6"/>
  <c r="J601" i="6"/>
  <c r="J595" i="6"/>
  <c r="J589" i="6"/>
  <c r="J583" i="6"/>
  <c r="J577" i="6"/>
  <c r="J570" i="6"/>
  <c r="J564" i="6"/>
  <c r="J558" i="6"/>
  <c r="J536" i="6"/>
  <c r="J498" i="6"/>
  <c r="J459" i="6"/>
  <c r="J420" i="6"/>
  <c r="J380" i="6"/>
  <c r="J341" i="6"/>
  <c r="J303" i="6"/>
  <c r="J265" i="6"/>
  <c r="J227" i="6"/>
  <c r="J189" i="6"/>
  <c r="J150" i="6"/>
  <c r="J113" i="6"/>
  <c r="J72" i="6"/>
  <c r="J32" i="6"/>
  <c r="I350" i="6"/>
  <c r="J350" i="6"/>
  <c r="I260" i="6"/>
  <c r="J260" i="6"/>
  <c r="I242" i="6"/>
  <c r="J242" i="6"/>
  <c r="I212" i="6"/>
  <c r="J212" i="6"/>
  <c r="I98" i="6"/>
  <c r="J98" i="6"/>
  <c r="I80" i="6"/>
  <c r="J80" i="6"/>
  <c r="I56" i="6"/>
  <c r="J56" i="6"/>
  <c r="J686" i="6"/>
  <c r="J566" i="6"/>
  <c r="I551" i="6"/>
  <c r="J551" i="6"/>
  <c r="I545" i="6"/>
  <c r="J545" i="6"/>
  <c r="I539" i="6"/>
  <c r="J539" i="6"/>
  <c r="I533" i="6"/>
  <c r="J533" i="6"/>
  <c r="I527" i="6"/>
  <c r="J527" i="6"/>
  <c r="I521" i="6"/>
  <c r="J521" i="6"/>
  <c r="I515" i="6"/>
  <c r="J515" i="6"/>
  <c r="I509" i="6"/>
  <c r="J509" i="6"/>
  <c r="I503" i="6"/>
  <c r="J503" i="6"/>
  <c r="I497" i="6"/>
  <c r="J497" i="6"/>
  <c r="I479" i="6"/>
  <c r="J479" i="6"/>
  <c r="I473" i="6"/>
  <c r="J473" i="6"/>
  <c r="I467" i="6"/>
  <c r="J467" i="6"/>
  <c r="I461" i="6"/>
  <c r="J461" i="6"/>
  <c r="I455" i="6"/>
  <c r="J455" i="6"/>
  <c r="I449" i="6"/>
  <c r="J449" i="6"/>
  <c r="I443" i="6"/>
  <c r="J443" i="6"/>
  <c r="I437" i="6"/>
  <c r="J437" i="6"/>
  <c r="I431" i="6"/>
  <c r="J431" i="6"/>
  <c r="I425" i="6"/>
  <c r="J425" i="6"/>
  <c r="I419" i="6"/>
  <c r="J419" i="6"/>
  <c r="I413" i="6"/>
  <c r="J413" i="6"/>
  <c r="I407" i="6"/>
  <c r="J407" i="6"/>
  <c r="I401" i="6"/>
  <c r="J401" i="6"/>
  <c r="I395" i="6"/>
  <c r="J395" i="6"/>
  <c r="I389" i="6"/>
  <c r="J389" i="6"/>
  <c r="I383" i="6"/>
  <c r="J383" i="6"/>
  <c r="I377" i="6"/>
  <c r="J377" i="6"/>
  <c r="I371" i="6"/>
  <c r="J371" i="6"/>
  <c r="I365" i="6"/>
  <c r="J365" i="6"/>
  <c r="I359" i="6"/>
  <c r="J359" i="6"/>
  <c r="I353" i="6"/>
  <c r="J353" i="6"/>
  <c r="I317" i="6"/>
  <c r="J317" i="6"/>
  <c r="I311" i="6"/>
  <c r="J311" i="6"/>
  <c r="I305" i="6"/>
  <c r="J305" i="6"/>
  <c r="I299" i="6"/>
  <c r="J299" i="6"/>
  <c r="I293" i="6"/>
  <c r="J293" i="6"/>
  <c r="I287" i="6"/>
  <c r="J287" i="6"/>
  <c r="I281" i="6"/>
  <c r="J281" i="6"/>
  <c r="I275" i="6"/>
  <c r="J275" i="6"/>
  <c r="I269" i="6"/>
  <c r="J269" i="6"/>
  <c r="I263" i="6"/>
  <c r="J263" i="6"/>
  <c r="I257" i="6"/>
  <c r="J257" i="6"/>
  <c r="I251" i="6"/>
  <c r="J251" i="6"/>
  <c r="I245" i="6"/>
  <c r="J245" i="6"/>
  <c r="I239" i="6"/>
  <c r="J239" i="6"/>
  <c r="I233" i="6"/>
  <c r="J233" i="6"/>
  <c r="I197" i="6"/>
  <c r="J197" i="6"/>
  <c r="I191" i="6"/>
  <c r="J191" i="6"/>
  <c r="I185" i="6"/>
  <c r="J185" i="6"/>
  <c r="I179" i="6"/>
  <c r="J179" i="6"/>
  <c r="I173" i="6"/>
  <c r="J173" i="6"/>
  <c r="I167" i="6"/>
  <c r="J167" i="6"/>
  <c r="I161" i="6"/>
  <c r="J161" i="6"/>
  <c r="I155" i="6"/>
  <c r="J155" i="6"/>
  <c r="I149" i="6"/>
  <c r="J149" i="6"/>
  <c r="I143" i="6"/>
  <c r="J143" i="6"/>
  <c r="I107" i="6"/>
  <c r="J107" i="6"/>
  <c r="I101" i="6"/>
  <c r="J101" i="6"/>
  <c r="I95" i="6"/>
  <c r="J95" i="6"/>
  <c r="I89" i="6"/>
  <c r="J89" i="6"/>
  <c r="I83" i="6"/>
  <c r="J83" i="6"/>
  <c r="I77" i="6"/>
  <c r="J77" i="6"/>
  <c r="I71" i="6"/>
  <c r="J71" i="6"/>
  <c r="I65" i="6"/>
  <c r="J65" i="6"/>
  <c r="I47" i="6"/>
  <c r="J47" i="6"/>
  <c r="I41" i="6"/>
  <c r="J41" i="6"/>
  <c r="I35" i="6"/>
  <c r="J35" i="6"/>
  <c r="I29" i="6"/>
  <c r="J29" i="6"/>
  <c r="I23" i="6"/>
  <c r="J23" i="6"/>
  <c r="I17" i="6"/>
  <c r="J17" i="6"/>
  <c r="I11" i="6"/>
  <c r="J11" i="6"/>
  <c r="J708" i="6"/>
  <c r="J702" i="6"/>
  <c r="J695" i="6"/>
  <c r="J689" i="6"/>
  <c r="J683" i="6"/>
  <c r="J677" i="6"/>
  <c r="J670" i="6"/>
  <c r="J664" i="6"/>
  <c r="J657" i="6"/>
  <c r="J651" i="6"/>
  <c r="J645" i="6"/>
  <c r="J638" i="6"/>
  <c r="J632" i="6"/>
  <c r="J626" i="6"/>
  <c r="J619" i="6"/>
  <c r="J613" i="6"/>
  <c r="J607" i="6"/>
  <c r="J600" i="6"/>
  <c r="J594" i="6"/>
  <c r="J588" i="6"/>
  <c r="J582" i="6"/>
  <c r="J576" i="6"/>
  <c r="J569" i="6"/>
  <c r="J563" i="6"/>
  <c r="J557" i="6"/>
  <c r="J530" i="6"/>
  <c r="J492" i="6"/>
  <c r="J452" i="6"/>
  <c r="J414" i="6"/>
  <c r="J373" i="6"/>
  <c r="J335" i="6"/>
  <c r="J296" i="6"/>
  <c r="J259" i="6"/>
  <c r="J221" i="6"/>
  <c r="J183" i="6"/>
  <c r="J144" i="6"/>
  <c r="J106" i="6"/>
  <c r="J66" i="6"/>
  <c r="J26" i="6"/>
  <c r="I464" i="6"/>
  <c r="J464" i="6"/>
  <c r="I440" i="6"/>
  <c r="J440" i="6"/>
  <c r="I434" i="6"/>
  <c r="J434" i="6"/>
  <c r="I410" i="6"/>
  <c r="J410" i="6"/>
  <c r="I392" i="6"/>
  <c r="J392" i="6"/>
  <c r="I362" i="6"/>
  <c r="J362" i="6"/>
  <c r="I254" i="6"/>
  <c r="J254" i="6"/>
  <c r="I236" i="6"/>
  <c r="J236" i="6"/>
  <c r="I218" i="6"/>
  <c r="J218" i="6"/>
  <c r="I206" i="6"/>
  <c r="J206" i="6"/>
  <c r="I14" i="6"/>
  <c r="J14" i="6"/>
  <c r="J692" i="6"/>
  <c r="J572" i="6"/>
  <c r="I550" i="6"/>
  <c r="J550" i="6"/>
  <c r="I544" i="6"/>
  <c r="J544" i="6"/>
  <c r="I538" i="6"/>
  <c r="J538" i="6"/>
  <c r="I532" i="6"/>
  <c r="J532" i="6"/>
  <c r="I526" i="6"/>
  <c r="J526" i="6"/>
  <c r="I520" i="6"/>
  <c r="J520" i="6"/>
  <c r="I514" i="6"/>
  <c r="J514" i="6"/>
  <c r="I508" i="6"/>
  <c r="J508" i="6"/>
  <c r="I502" i="6"/>
  <c r="J502" i="6"/>
  <c r="I496" i="6"/>
  <c r="J496" i="6"/>
  <c r="I490" i="6"/>
  <c r="J490" i="6"/>
  <c r="I472" i="6"/>
  <c r="J472" i="6"/>
  <c r="I466" i="6"/>
  <c r="J466" i="6"/>
  <c r="I460" i="6"/>
  <c r="J460" i="6"/>
  <c r="I454" i="6"/>
  <c r="J454" i="6"/>
  <c r="I448" i="6"/>
  <c r="J448" i="6"/>
  <c r="I442" i="6"/>
  <c r="J442" i="6"/>
  <c r="I436" i="6"/>
  <c r="J436" i="6"/>
  <c r="I430" i="6"/>
  <c r="J430" i="6"/>
  <c r="I424" i="6"/>
  <c r="J424" i="6"/>
  <c r="I418" i="6"/>
  <c r="J418" i="6"/>
  <c r="I394" i="6"/>
  <c r="J394" i="6"/>
  <c r="I388" i="6"/>
  <c r="J388" i="6"/>
  <c r="I382" i="6"/>
  <c r="J382" i="6"/>
  <c r="I376" i="6"/>
  <c r="J376" i="6"/>
  <c r="I370" i="6"/>
  <c r="J370" i="6"/>
  <c r="I364" i="6"/>
  <c r="J364" i="6"/>
  <c r="I358" i="6"/>
  <c r="J358" i="6"/>
  <c r="I352" i="6"/>
  <c r="J352" i="6"/>
  <c r="I346" i="6"/>
  <c r="J346" i="6"/>
  <c r="I340" i="6"/>
  <c r="J340" i="6"/>
  <c r="I334" i="6"/>
  <c r="J334" i="6"/>
  <c r="I328" i="6"/>
  <c r="J328" i="6"/>
  <c r="I310" i="6"/>
  <c r="J310" i="6"/>
  <c r="I304" i="6"/>
  <c r="J304" i="6"/>
  <c r="I292" i="6"/>
  <c r="J292" i="6"/>
  <c r="I286" i="6"/>
  <c r="J286" i="6"/>
  <c r="I280" i="6"/>
  <c r="J280" i="6"/>
  <c r="I274" i="6"/>
  <c r="J274" i="6"/>
  <c r="I268" i="6"/>
  <c r="J268" i="6"/>
  <c r="I262" i="6"/>
  <c r="J262" i="6"/>
  <c r="I256" i="6"/>
  <c r="J256" i="6"/>
  <c r="I250" i="6"/>
  <c r="J250" i="6"/>
  <c r="I244" i="6"/>
  <c r="J244" i="6"/>
  <c r="I238" i="6"/>
  <c r="J238" i="6"/>
  <c r="I232" i="6"/>
  <c r="J232" i="6"/>
  <c r="I226" i="6"/>
  <c r="J226" i="6"/>
  <c r="I220" i="6"/>
  <c r="J220" i="6"/>
  <c r="I214" i="6"/>
  <c r="J214" i="6"/>
  <c r="I208" i="6"/>
  <c r="J208" i="6"/>
  <c r="I202" i="6"/>
  <c r="J202" i="6"/>
  <c r="I190" i="6"/>
  <c r="J190" i="6"/>
  <c r="I184" i="6"/>
  <c r="J184" i="6"/>
  <c r="I178" i="6"/>
  <c r="J178" i="6"/>
  <c r="I172" i="6"/>
  <c r="J172" i="6"/>
  <c r="I166" i="6"/>
  <c r="J166" i="6"/>
  <c r="I160" i="6"/>
  <c r="J160" i="6"/>
  <c r="I154" i="6"/>
  <c r="J154" i="6"/>
  <c r="I148" i="6"/>
  <c r="J148" i="6"/>
  <c r="I142" i="6"/>
  <c r="J142" i="6"/>
  <c r="I136" i="6"/>
  <c r="J136" i="6"/>
  <c r="I130" i="6"/>
  <c r="J130" i="6"/>
  <c r="I124" i="6"/>
  <c r="J124" i="6"/>
  <c r="I118" i="6"/>
  <c r="J118" i="6"/>
  <c r="I112" i="6"/>
  <c r="J112" i="6"/>
  <c r="I88" i="6"/>
  <c r="J88" i="6"/>
  <c r="I82" i="6"/>
  <c r="J82" i="6"/>
  <c r="I76" i="6"/>
  <c r="J76" i="6"/>
  <c r="I70" i="6"/>
  <c r="J70" i="6"/>
  <c r="I64" i="6"/>
  <c r="J64" i="6"/>
  <c r="I58" i="6"/>
  <c r="J58" i="6"/>
  <c r="I52" i="6"/>
  <c r="J52" i="6"/>
  <c r="I34" i="6"/>
  <c r="J34" i="6"/>
  <c r="I28" i="6"/>
  <c r="J28" i="6"/>
  <c r="I22" i="6"/>
  <c r="J22" i="6"/>
  <c r="I16" i="6"/>
  <c r="J16" i="6"/>
  <c r="I10" i="6"/>
  <c r="J10" i="6"/>
  <c r="J714" i="6"/>
  <c r="J707" i="6"/>
  <c r="J701" i="6"/>
  <c r="J694" i="6"/>
  <c r="J688" i="6"/>
  <c r="J682" i="6"/>
  <c r="J676" i="6"/>
  <c r="J669" i="6"/>
  <c r="J663" i="6"/>
  <c r="J656" i="6"/>
  <c r="J650" i="6"/>
  <c r="J644" i="6"/>
  <c r="J637" i="6"/>
  <c r="J631" i="6"/>
  <c r="J625" i="6"/>
  <c r="J618" i="6"/>
  <c r="J612" i="6"/>
  <c r="J606" i="6"/>
  <c r="J599" i="6"/>
  <c r="J593" i="6"/>
  <c r="J587" i="6"/>
  <c r="J581" i="6"/>
  <c r="J575" i="6"/>
  <c r="J568" i="6"/>
  <c r="J562" i="6"/>
  <c r="J556" i="6"/>
  <c r="J523" i="6"/>
  <c r="J484" i="6"/>
  <c r="J446" i="6"/>
  <c r="J406" i="6"/>
  <c r="J367" i="6"/>
  <c r="J329" i="6"/>
  <c r="J290" i="6"/>
  <c r="J253" i="6"/>
  <c r="J215" i="6"/>
  <c r="J176" i="6"/>
  <c r="J137" i="6"/>
  <c r="J99" i="6"/>
  <c r="J59" i="6"/>
  <c r="J20" i="6"/>
  <c r="I518" i="6"/>
  <c r="J518" i="6"/>
  <c r="I500" i="6"/>
  <c r="J500" i="6"/>
  <c r="I494" i="6"/>
  <c r="J494" i="6"/>
  <c r="I482" i="6"/>
  <c r="J482" i="6"/>
  <c r="I458" i="6"/>
  <c r="J458" i="6"/>
  <c r="I422" i="6"/>
  <c r="J422" i="6"/>
  <c r="I200" i="6"/>
  <c r="J200" i="6"/>
  <c r="J674" i="6"/>
  <c r="J548" i="6"/>
  <c r="I543" i="6"/>
  <c r="J543" i="6"/>
  <c r="I537" i="6"/>
  <c r="J537" i="6"/>
  <c r="I531" i="6"/>
  <c r="J531" i="6"/>
  <c r="I525" i="6"/>
  <c r="J525" i="6"/>
  <c r="I519" i="6"/>
  <c r="J519" i="6"/>
  <c r="I513" i="6"/>
  <c r="J513" i="6"/>
  <c r="I507" i="6"/>
  <c r="J507" i="6"/>
  <c r="I501" i="6"/>
  <c r="J501" i="6"/>
  <c r="I495" i="6"/>
  <c r="J495" i="6"/>
  <c r="I489" i="6"/>
  <c r="J489" i="6"/>
  <c r="I483" i="6"/>
  <c r="J483" i="6"/>
  <c r="I477" i="6"/>
  <c r="J477" i="6"/>
  <c r="I453" i="6"/>
  <c r="J453" i="6"/>
  <c r="I447" i="6"/>
  <c r="J447" i="6"/>
  <c r="I435" i="6"/>
  <c r="J435" i="6"/>
  <c r="I429" i="6"/>
  <c r="J429" i="6"/>
  <c r="I423" i="6"/>
  <c r="J423" i="6"/>
  <c r="I417" i="6"/>
  <c r="J417" i="6"/>
  <c r="I411" i="6"/>
  <c r="J411" i="6"/>
  <c r="I405" i="6"/>
  <c r="J405" i="6"/>
  <c r="I399" i="6"/>
  <c r="J399" i="6"/>
  <c r="I381" i="6"/>
  <c r="J381" i="6"/>
  <c r="I375" i="6"/>
  <c r="J375" i="6"/>
  <c r="I369" i="6"/>
  <c r="J369" i="6"/>
  <c r="I363" i="6"/>
  <c r="J363" i="6"/>
  <c r="I357" i="6"/>
  <c r="J357" i="6"/>
  <c r="I351" i="6"/>
  <c r="J351" i="6"/>
  <c r="I345" i="6"/>
  <c r="J345" i="6"/>
  <c r="I339" i="6"/>
  <c r="J339" i="6"/>
  <c r="I333" i="6"/>
  <c r="J333" i="6"/>
  <c r="I327" i="6"/>
  <c r="J327" i="6"/>
  <c r="I321" i="6"/>
  <c r="J321" i="6"/>
  <c r="I315" i="6"/>
  <c r="J315" i="6"/>
  <c r="I297" i="6"/>
  <c r="J297" i="6"/>
  <c r="I291" i="6"/>
  <c r="J291" i="6"/>
  <c r="I285" i="6"/>
  <c r="J285" i="6"/>
  <c r="I279" i="6"/>
  <c r="J279" i="6"/>
  <c r="I273" i="6"/>
  <c r="J273" i="6"/>
  <c r="I267" i="6"/>
  <c r="J267" i="6"/>
  <c r="I261" i="6"/>
  <c r="J261" i="6"/>
  <c r="I255" i="6"/>
  <c r="J255" i="6"/>
  <c r="I249" i="6"/>
  <c r="J249" i="6"/>
  <c r="I243" i="6"/>
  <c r="J243" i="6"/>
  <c r="I237" i="6"/>
  <c r="J237" i="6"/>
  <c r="I231" i="6"/>
  <c r="J231" i="6"/>
  <c r="I225" i="6"/>
  <c r="J225" i="6"/>
  <c r="I219" i="6"/>
  <c r="J219" i="6"/>
  <c r="I213" i="6"/>
  <c r="J213" i="6"/>
  <c r="I207" i="6"/>
  <c r="J207" i="6"/>
  <c r="I201" i="6"/>
  <c r="J201" i="6"/>
  <c r="I171" i="6"/>
  <c r="J171" i="6"/>
  <c r="I165" i="6"/>
  <c r="J165" i="6"/>
  <c r="I159" i="6"/>
  <c r="J159" i="6"/>
  <c r="I153" i="6"/>
  <c r="J153" i="6"/>
  <c r="I147" i="6"/>
  <c r="J147" i="6"/>
  <c r="I141" i="6"/>
  <c r="J141" i="6"/>
  <c r="I135" i="6"/>
  <c r="J135" i="6"/>
  <c r="I129" i="6"/>
  <c r="J129" i="6"/>
  <c r="I123" i="6"/>
  <c r="J123" i="6"/>
  <c r="I117" i="6"/>
  <c r="J117" i="6"/>
  <c r="I111" i="6"/>
  <c r="J111" i="6"/>
  <c r="I105" i="6"/>
  <c r="J105" i="6"/>
  <c r="I93" i="6"/>
  <c r="J93" i="6"/>
  <c r="I75" i="6"/>
  <c r="J75" i="6"/>
  <c r="I69" i="6"/>
  <c r="J69" i="6"/>
  <c r="I63" i="6"/>
  <c r="J63" i="6"/>
  <c r="I57" i="6"/>
  <c r="J57" i="6"/>
  <c r="I51" i="6"/>
  <c r="J51" i="6"/>
  <c r="I39" i="6"/>
  <c r="J39" i="6"/>
  <c r="I33" i="6"/>
  <c r="J33" i="6"/>
  <c r="I27" i="6"/>
  <c r="J27" i="6"/>
  <c r="I21" i="6"/>
  <c r="J21" i="6"/>
  <c r="I15" i="6"/>
  <c r="J15" i="6"/>
  <c r="I9" i="6"/>
  <c r="J9" i="6"/>
  <c r="J713" i="6"/>
  <c r="J706" i="6"/>
  <c r="J700" i="6"/>
  <c r="J693" i="6"/>
  <c r="J687" i="6"/>
  <c r="J681" i="6"/>
  <c r="J675" i="6"/>
  <c r="J668" i="6"/>
  <c r="J662" i="6"/>
  <c r="J655" i="6"/>
  <c r="J649" i="6"/>
  <c r="J643" i="6"/>
  <c r="J636" i="6"/>
  <c r="J630" i="6"/>
  <c r="J624" i="6"/>
  <c r="J617" i="6"/>
  <c r="J611" i="6"/>
  <c r="J604" i="6"/>
  <c r="J598" i="6"/>
  <c r="J592" i="6"/>
  <c r="J586" i="6"/>
  <c r="J580" i="6"/>
  <c r="J574" i="6"/>
  <c r="J567" i="6"/>
  <c r="J561" i="6"/>
  <c r="J555" i="6"/>
  <c r="J517" i="6"/>
  <c r="J478" i="6"/>
  <c r="J439" i="6"/>
  <c r="J400" i="6"/>
  <c r="J360" i="6"/>
  <c r="J322" i="6"/>
  <c r="J284" i="6"/>
  <c r="J246" i="6"/>
  <c r="J209" i="6"/>
  <c r="J170" i="6"/>
  <c r="J131" i="6"/>
  <c r="J92" i="6"/>
  <c r="J53" i="6"/>
  <c r="J13" i="6"/>
  <c r="I696" i="6"/>
  <c r="J696" i="6" s="1"/>
  <c r="I711" i="6"/>
  <c r="J711" i="6" s="1"/>
  <c r="I426" i="6"/>
  <c r="J426" i="6" s="1"/>
  <c r="I374" i="6"/>
  <c r="J374" i="6" s="1"/>
  <c r="I298" i="6"/>
  <c r="J298" i="6" s="1"/>
  <c r="I162" i="6"/>
  <c r="J162" i="6" s="1"/>
  <c r="I94" i="6"/>
  <c r="J94" i="6" s="1"/>
  <c r="I62" i="6"/>
  <c r="J62" i="6" s="1"/>
  <c r="I50" i="6"/>
  <c r="J50" i="6" s="1"/>
  <c r="I6" i="6"/>
  <c r="J6" i="6" s="1"/>
  <c r="I673" i="6"/>
  <c r="J673" i="6" s="1"/>
  <c r="I661" i="6"/>
  <c r="J661" i="6" s="1"/>
  <c r="I641" i="6"/>
  <c r="J641" i="6" s="1"/>
  <c r="I605" i="6"/>
  <c r="J605" i="6" s="1"/>
  <c r="I573" i="6"/>
  <c r="J573" i="6" s="1"/>
  <c r="I549" i="6"/>
  <c r="J549" i="6" s="1"/>
  <c r="I529" i="6"/>
  <c r="J529" i="6" s="1"/>
  <c r="I485" i="6"/>
  <c r="J485" i="6" s="1"/>
  <c r="I441" i="6"/>
  <c r="J441" i="6" s="1"/>
  <c r="I361" i="6"/>
  <c r="J361" i="6" s="1"/>
  <c r="I313" i="6"/>
  <c r="J313" i="6" s="1"/>
  <c r="I277" i="6"/>
  <c r="J277" i="6" s="1"/>
  <c r="I177" i="6"/>
  <c r="J177" i="6" s="1"/>
  <c r="I81" i="6"/>
  <c r="J81" i="6" s="1"/>
  <c r="I620" i="6"/>
  <c r="J620" i="6" s="1"/>
  <c r="I512" i="6"/>
  <c r="J512" i="6" s="1"/>
  <c r="I476" i="6"/>
  <c r="J476" i="6" s="1"/>
  <c r="I456" i="6"/>
  <c r="J456" i="6" s="1"/>
  <c r="I412" i="6"/>
  <c r="J412" i="6" s="1"/>
  <c r="I408" i="6"/>
  <c r="J408" i="6" s="1"/>
  <c r="I396" i="6"/>
  <c r="J396" i="6" s="1"/>
  <c r="I252" i="6"/>
  <c r="J252" i="6" s="1"/>
  <c r="I228" i="6"/>
  <c r="J228" i="6" s="1"/>
  <c r="I156" i="6"/>
  <c r="J156" i="6" s="1"/>
  <c r="I140" i="6"/>
  <c r="J140" i="6" s="1"/>
  <c r="I108" i="6"/>
  <c r="J108" i="6" s="1"/>
  <c r="I100" i="6"/>
  <c r="J100" i="6" s="1"/>
  <c r="I40" i="6"/>
  <c r="J40" i="6" s="1"/>
  <c r="I491" i="6"/>
  <c r="J491" i="6" s="1"/>
  <c r="I387" i="6"/>
  <c r="J387" i="6" s="1"/>
  <c r="I347" i="6"/>
  <c r="J347" i="6" s="1"/>
  <c r="I323" i="6"/>
  <c r="J323" i="6" s="1"/>
  <c r="I199" i="6"/>
  <c r="J199" i="6" s="1"/>
  <c r="I195" i="6"/>
  <c r="J195" i="6" s="1"/>
  <c r="I87" i="6"/>
  <c r="J87" i="6" s="1"/>
  <c r="I18" i="6"/>
  <c r="J18" i="6" s="1"/>
  <c r="I45" i="6"/>
  <c r="J45" i="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17B824F-6619-448F-9A6A-CC0F3A00C549}" keepAlive="1" name="Подключение" type="5" refreshedVersion="0" background="1">
    <dbPr connection="Provider=Microsoft.Mashup.OleDb.1;Data Source=$Workbook$;Location=9001FF000001_20240715_134549_reject;Extended Properties=&quot;&quot;" commandType="0"/>
  </connection>
</connections>
</file>

<file path=xl/sharedStrings.xml><?xml version="1.0" encoding="utf-8"?>
<sst xmlns="http://schemas.openxmlformats.org/spreadsheetml/2006/main" count="5461" uniqueCount="1774">
  <si>
    <t>0_GROUPHEADER</t>
  </si>
  <si>
    <t>B</t>
  </si>
  <si>
    <t>C1_NAME</t>
  </si>
  <si>
    <t>C2_PREVNAME</t>
  </si>
  <si>
    <t>C3_BIRTH</t>
  </si>
  <si>
    <t>C4_ID</t>
  </si>
  <si>
    <t>C5_PREVID</t>
  </si>
  <si>
    <t>C6_REGNUM</t>
  </si>
  <si>
    <t>C7_SNILS</t>
  </si>
  <si>
    <t>C17_UID</t>
  </si>
  <si>
    <t>C54_OBLIGACCOUNT</t>
  </si>
  <si>
    <t>TRAILER</t>
  </si>
  <si>
    <t>HEADER</t>
  </si>
  <si>
    <t>RUTDF6.0</t>
  </si>
  <si>
    <t>7728757215</t>
  </si>
  <si>
    <t>1107746998369</t>
  </si>
  <si>
    <t>2</t>
  </si>
  <si>
    <t>2.3</t>
  </si>
  <si>
    <t>0</t>
  </si>
  <si>
    <t>643</t>
  </si>
  <si>
    <t>21</t>
  </si>
  <si>
    <t>1</t>
  </si>
  <si>
    <t>3</t>
  </si>
  <si>
    <t>0,00</t>
  </si>
  <si>
    <t>-</t>
  </si>
  <si>
    <t/>
  </si>
  <si>
    <t>21.08.2023</t>
  </si>
  <si>
    <t>22.1</t>
  </si>
  <si>
    <t>Номер показателя</t>
  </si>
  <si>
    <t>Наименование показателя</t>
  </si>
  <si>
    <t>Требования к формированию</t>
  </si>
  <si>
    <t>Тип блока/</t>
  </si>
  <si>
    <t>ключ[1]</t>
  </si>
  <si>
    <t>B2B-раздел/элемент</t>
  </si>
  <si>
    <t>Подраздел 2.1. Титульная часть КИ</t>
  </si>
  <si>
    <t>Основные сведения о субъекте КИ</t>
  </si>
  <si>
    <t>(ℹ) Сведения о юридическом лице, указанные в едином государственном реестре юридических лиц (далее – ЕГРЮЛ), приводятся согласно ЕГРЮЛ.</t>
  </si>
  <si>
    <t>Блок 1. Наименование юридического лица – B1_NAME</t>
  </si>
  <si>
    <t>(допустим 1 на группу блоков)</t>
  </si>
  <si>
    <t>1М</t>
  </si>
  <si>
    <t>BusinessReply</t>
  </si>
  <si>
    <t>Полное наименование</t>
  </si>
  <si>
    <t>Полное наименование юридического лица на русском языке. Недопустимо указание символа дефиса вместо значения.</t>
  </si>
  <si>
    <t>businessName</t>
  </si>
  <si>
    <t>Сокращенное наименование</t>
  </si>
  <si>
    <t>Сокращенное наименование юридического лица на русском языке.</t>
  </si>
  <si>
    <t>abbreviatedBusinessName</t>
  </si>
  <si>
    <t>Иное наименование</t>
  </si>
  <si>
    <t>Фирменное наименование юридического лица или его наименование на иностранном языке.</t>
  </si>
  <si>
    <t>Заполняется при наличии у источника сведений об ином наименовании субъекта.</t>
  </si>
  <si>
    <t>businessNameAlt</t>
  </si>
  <si>
    <t>Признак смены наименования</t>
  </si>
  <si>
    <t>Сведения о наименовании субъекта до его смены (за исключением случаев смены наименования субъекта при переходе к нему прав и обязанностей в рамках универсального правопреемства).</t>
  </si>
  <si>
    <t>код «1» – в случае если у субъекта имеется предыдущее наименование;</t>
  </si>
  <si>
    <t>код «0» – в случае если обстоятельство кода «1» отсутствует.</t>
  </si>
  <si>
    <t>Если указан код «0», показатель 1.5 «Полное наименование до его смены» не заполняется.</t>
  </si>
  <si>
    <t>nameChange</t>
  </si>
  <si>
    <t>Полное наименование до его смены</t>
  </si>
  <si>
    <t>Указывается полное наименование субъекта до его смены. Недопустимо указание символа дефиса вместо значения.</t>
  </si>
  <si>
    <t>businessNamebfrChange</t>
  </si>
  <si>
    <t>Блок 2. Адрес юридического лица в пределах его места нахождения и контактная информация – B2_ADDR</t>
  </si>
  <si>
    <t>AddressReplyRUTDF</t>
  </si>
  <si>
    <t>Код страны по ОКСМ</t>
  </si>
  <si>
    <t>Цифровой код страны согласно Общероссийскому классификатору стран мира (далее – ОКСМ, см. справочник A1).</t>
  </si>
  <si>
    <t>При отсутствии страны в ОКСМ указывается «999».</t>
  </si>
  <si>
    <t>OKSM</t>
  </si>
  <si>
    <t>Наименование иной страны</t>
  </si>
  <si>
    <t>otherCountry</t>
  </si>
  <si>
    <t>Номер адреса в ГАР</t>
  </si>
  <si>
    <t xml:space="preserve">Уникальный номер адреса объекта адресации в государственном адресном реестре (далее – ГАР). </t>
  </si>
  <si>
    <t>Указываются код населенного пункта, код улицы, код дома (владения), код корпуса и код номера квартиры.</t>
  </si>
  <si>
    <t>FIAS</t>
  </si>
  <si>
    <t>Код населенного пункта по ОКАТО</t>
  </si>
  <si>
    <t>Указывается согласно Общероссийскому классификатору объектов административно-территориального деления (далее – ОКАТО).</t>
  </si>
  <si>
    <t>При отсутствии в ОКАТО кода населенного пункта указывается «99 999 999 999».</t>
  </si>
  <si>
    <t>OKATO</t>
  </si>
  <si>
    <t>Иной населенный пункт</t>
  </si>
  <si>
    <t>Заполняется, если по показателю «Код населенного пункта по ОКАТО» указано «99 999 999 999».</t>
  </si>
  <si>
    <t>При отсутствии сведений о населенном пункте в государственном реестре (ЕГРЮЛ или иной реестр) населенный пункт указывается на русском или английском языке (по выбору источника).</t>
  </si>
  <si>
    <t>otherLocation</t>
  </si>
  <si>
    <t>Улица</t>
  </si>
  <si>
    <t>street</t>
  </si>
  <si>
    <t>Дом</t>
  </si>
  <si>
    <t>houseNumber</t>
  </si>
  <si>
    <t>Владение</t>
  </si>
  <si>
    <t>estate</t>
  </si>
  <si>
    <t>Корпус</t>
  </si>
  <si>
    <t>block</t>
  </si>
  <si>
    <t>Строение</t>
  </si>
  <si>
    <t>building</t>
  </si>
  <si>
    <t>Помещение (офис)</t>
  </si>
  <si>
    <t>Номер офиса, помещения или комнаты, в которой зарегистрировано лицо.</t>
  </si>
  <si>
    <t>apartment</t>
  </si>
  <si>
    <t>Номер телефона</t>
  </si>
  <si>
    <t>Контактный номер телефона.</t>
  </si>
  <si>
    <t>Заполняется, если субъект предоставил данные источнику.</t>
  </si>
  <si>
    <t>phone</t>
  </si>
  <si>
    <t>Комментарий к номеру телефона</t>
  </si>
  <si>
    <t>Пояснительные сведения о номере телефона</t>
  </si>
  <si>
    <t>phoneComment</t>
  </si>
  <si>
    <t>Адрес электронной почты</t>
  </si>
  <si>
    <t>email</t>
  </si>
  <si>
    <t>Блок 3. Регистрационный номер – B3_REGNUM</t>
  </si>
  <si>
    <t>RegnumReply</t>
  </si>
  <si>
    <t>Регистрационный номер</t>
  </si>
  <si>
    <t>Для российского юридического лица указывается ОГРН в соответствии с пунктом 2 статьи 4 Федерального закона от 8 августа 2001 года № 129-ФЗ «О государственной регистрации юридических лиц и индивидуальных предпринимателей» (Собрание законодательства Российской Федерации, 2001, № 33, ст. 3431; 2011, № 27, ст. 3880).</t>
  </si>
  <si>
    <t>Для иностранного юридического лица указывается регистрационный номер в стране регистрации (инкорпорации) или его аналог.</t>
  </si>
  <si>
    <t>Недопустимо указание символа дефиса вместо значения.</t>
  </si>
  <si>
    <t>regNum</t>
  </si>
  <si>
    <t>Идентификатор LEI</t>
  </si>
  <si>
    <t>Международный код идентификации юридического лица (Legal Entity Identifier, LEI) (далее ‒ идентификатор LEI). Значение указанного показателя приводится в соответствии с международным стандартом ISO 17442:2012 «Финансовые услуги. Идентификатор юридического лица».</t>
  </si>
  <si>
    <t>LEI</t>
  </si>
  <si>
    <t>Блок 4. Номер налогоплательщика – B4_TAXPAYERID</t>
  </si>
  <si>
    <t>TaxpayerIdReply</t>
  </si>
  <si>
    <t>Код номера налогоплательщика</t>
  </si>
  <si>
    <t>Заполняется согласно документу, подтверждающему постановку лица на налоговый учет. Заполняется по справочнику 1.7.</t>
  </si>
  <si>
    <t>taxpayerCode</t>
  </si>
  <si>
    <t>Номер налогоплательщика</t>
  </si>
  <si>
    <t>Заполняется согласно документу, подтверждающему постановку лица на налоговый учет. Указывается номер налогоплательщика того вида, который указан по показателю «Код номера налогоплательщика».</t>
  </si>
  <si>
    <t>Если по показателю «Код номера налогоплательщика» указан код «1», по показателю «Номер налогоплательщика» указывается ИНН в соответствии с пунктом 7 статьи 84 Налогового кодекса Российской Федерации (Собрание законодательства Российской Федерации, 1998, № 31, ст. 3824; 2019, № 39, ст. 5375).</t>
  </si>
  <si>
    <t>taxpayerNum</t>
  </si>
  <si>
    <t>Блок 5. Сведения о правопреемстве при реорганизации – B5_REORG</t>
  </si>
  <si>
    <t>ReorgReply</t>
  </si>
  <si>
    <t>(ℹ) Указываются сведения о наименовании субъекта до перехода к нему прав и обязанностей в рамках универсального правопреемства.</t>
  </si>
  <si>
    <t>Не заполняется, начиная с версии 5.0 настоящего формата (на основании Указания Банка России 6300-У). В предыдущих версиях в этом показателе указывался код «1» – субъект сменил свое наименование без реорганизации, либо код «0» – обстоятельство кода «1» отсутствовало.</t>
  </si>
  <si>
    <t>nameChangeCode</t>
  </si>
  <si>
    <t>Признак реорганизации</t>
  </si>
  <si>
    <t>Код «1» – субъект создан в результате реорганизации;</t>
  </si>
  <si>
    <t>код «0» – обстоятельство кода «1» отсутствует.</t>
  </si>
  <si>
    <t>В случае если по данному показателю указан код «0», иные показатели блока 5 Показателей КИ ЮЛ не заполняются.</t>
  </si>
  <si>
    <t>isReorg</t>
  </si>
  <si>
    <t>Полное наименование лица, от которого перешли права и обязанности</t>
  </si>
  <si>
    <t>prevName</t>
  </si>
  <si>
    <t>Сокращенное наименование лица, от которого перешли права и обязанности</t>
  </si>
  <si>
    <t>prevAbbrName</t>
  </si>
  <si>
    <t>Регистрационный номер лица, от которого перешли права и обязанности</t>
  </si>
  <si>
    <t>prevRegNum</t>
  </si>
  <si>
    <t>Дата правопреемства (окончания реорганизации)</t>
  </si>
  <si>
    <t>reorgDt</t>
  </si>
  <si>
    <t>Подраздел 2.2. Основная часть КИ</t>
  </si>
  <si>
    <t>Специальные сведения о субъекте КИ</t>
  </si>
  <si>
    <t>Блок 6. Сведения по делу о несостоятельности (банкротстве) B6_BANKRUPTCY</t>
  </si>
  <si>
    <t>BankruptcyReplyRUTDF</t>
  </si>
  <si>
    <t xml:space="preserve">(ℹ) Для корректной идентификации конкретного дела о банкротстве передайте его номер в показателе 0.4 блока 0_GROUPHEADER как значение ключа bankruptcy_case_num. </t>
  </si>
  <si>
    <t>Номер будет использован как ключевое поле.</t>
  </si>
  <si>
    <t>(ℹ) Блок передается только арбитражным управляющим</t>
  </si>
  <si>
    <t>Признак дела о банкротстве</t>
  </si>
  <si>
    <t xml:space="preserve">Код «1» – арбитражным судом принято к производству заявление о признании субъекта банкротом; </t>
  </si>
  <si>
    <t>Если указан код «0», иные показатели блока 6 не заполняются.</t>
  </si>
  <si>
    <t>Код стадии рассмотрения дела</t>
  </si>
  <si>
    <t>Последняя по состоянию на дату его формирования стадия рассмотрения дела о банкротстве по справочнику 1.4.</t>
  </si>
  <si>
    <t>Допустимые коды – 9-14.</t>
  </si>
  <si>
    <t>И</t>
  </si>
  <si>
    <t>stageCode</t>
  </si>
  <si>
    <t>Дата публикации в ЕФРСБ сведений о стадии рассмотрения дела</t>
  </si>
  <si>
    <t>Дата публикации сведений о переходе к стадии, указанной по показателю 6.2.</t>
  </si>
  <si>
    <t>procedureInclusionDt</t>
  </si>
  <si>
    <t>Ссылка на публикацию в ЕФРСБ</t>
  </si>
  <si>
    <t>URL со сведениями о переходе к стадии, указанной по показателю 6.2 «Код стадии рассмотрения дела».</t>
  </si>
  <si>
    <t>procedureLink</t>
  </si>
  <si>
    <t>Признак неправомерных действий в деле</t>
  </si>
  <si>
    <t>Код «1» – в ЕФРСБ имеются сведения о неправомерных действиях субъекта;</t>
  </si>
  <si>
    <t>illegActCode</t>
  </si>
  <si>
    <t>Дата публикации в ЕФРСБ сообщения о неправомерных действиях</t>
  </si>
  <si>
    <t>illegActInfoDt</t>
  </si>
  <si>
    <t>Признак преднамеренного или фиктивного банкротства</t>
  </si>
  <si>
    <t>Код «1» – имеются признаки преднамеренного или фиктивного банкротства субъекта;</t>
  </si>
  <si>
    <t>fictitiousActCode</t>
  </si>
  <si>
    <t>Дата публикации в ЕФРСБ сообщения о признаках преднамеренного или фиктивного банкротства</t>
  </si>
  <si>
    <t>fictitiousActDt</t>
  </si>
  <si>
    <t>Дополнительные сведения по делу</t>
  </si>
  <si>
    <t>Комментарий по делу о банкротстве субъекта, на усмотрение источника.</t>
  </si>
  <si>
    <t>additionalInfo</t>
  </si>
  <si>
    <t>Блок 7. Сведения о завершении расчетов с кредиторами и освобождении субъекта от исполнения обязательств в связи с банкротством – B7_SETTLED</t>
  </si>
  <si>
    <t>SettledReply</t>
  </si>
  <si>
    <t>Признак завершения расчетов с кредиторами</t>
  </si>
  <si>
    <t>Код «1» – суд вынес определение о завершении конкурсного производства в соответствии со статьей 149 Федерального закона от 26 октября 2002 года № 127-ФЗ «О несостоятельности (банкротстве)» (Собрание законодательства Российской Федерации, 2002, № 43, ст. 4190; 2010, № 31, ст. 4196);</t>
  </si>
  <si>
    <t>Если указан код «0», иные показатели блока 7 не заполняются.</t>
  </si>
  <si>
    <t>isClosed</t>
  </si>
  <si>
    <t>Дата завершения расчетов с кредиторами</t>
  </si>
  <si>
    <t>closeDt</t>
  </si>
  <si>
    <t>Блок 8. Сведения об основных частях КИ юридического лица, от которого субъекту перешли права и обязанности – B8_PREVCRED</t>
  </si>
  <si>
    <t xml:space="preserve">(ℹ) Блок не формируется и не передается[2] </t>
  </si>
  <si>
    <t>PrevCredReply</t>
  </si>
  <si>
    <t>Признак наличия лица, от которого перешли права и обязанности</t>
  </si>
  <si>
    <t xml:space="preserve">Не заполняется, начиная с версии 5.0 настоящего формата (на основании Указания Банка России 6300-У). В предыдущих версиях в этом показателе указывался код «1» – права и обязанности субъекта по сделкам перешли к нему от другого лица (правопредшественника), либо </t>
  </si>
  <si>
    <t>код «0» – обстоятельство кода «1» отсутствует. Если  указывался код «0», иные показатели блока 8 не заполнялись.</t>
  </si>
  <si>
    <t>Признак регистрации в Российской Федерации</t>
  </si>
  <si>
    <t>Не заполняется, начиная с версии 5.0 настоящего формата (на основании Указания Банка России 6300-У). В предыдущих версиях в этом показателе указывался код «1» – лицо зарегистрировано на территории Российской Федерации, либо код «0» – обстоятельство кода «1» отсутствовало.</t>
  </si>
  <si>
    <t>prevRus</t>
  </si>
  <si>
    <t>Полное наименование лица, от которого перешли права и обязанности</t>
  </si>
  <si>
    <t>Не заполняется, начиная с версии 5.0 настоящего формата (на основании Указания Банка России 6300-У). В предыдущих версиях в этом показателе указывались сведения о юридическом лице, от которого субъекту перешли права и обязанности. Если субъекту перешли права и обязанности от нескольких юридических лиц, блок 8 Показателей КИ ЮЛ формировался для каждого такого юридического лица</t>
  </si>
  <si>
    <t>prevBorrowerName</t>
  </si>
  <si>
    <t>prevBorrowerRegNum</t>
  </si>
  <si>
    <t>Блок 9. Кредитная оценка (скоринг) – B9_SCORE</t>
  </si>
  <si>
    <t>ScoreReply</t>
  </si>
  <si>
    <t>(ℹ) Блок может заполняться НБКИ и содержит сведения о рассчитанной им кредитной оценке (скоринге) субъекта</t>
  </si>
  <si>
    <t>Значение кредитной оценки</t>
  </si>
  <si>
    <t>score</t>
  </si>
  <si>
    <t xml:space="preserve">Дата расчета кредитной оценки </t>
  </si>
  <si>
    <t>scoreDate</t>
  </si>
  <si>
    <t>Сведения об обязательстве субъекта КИ</t>
  </si>
  <si>
    <t>Сведения об условиях обязательства</t>
  </si>
  <si>
    <t>Блок 10. Идентификатор сделки – B10_UID</t>
  </si>
  <si>
    <t>AccountReplyRUTDF</t>
  </si>
  <si>
    <t>УИд сделки</t>
  </si>
  <si>
    <t>УИд сделки, по обязательствам из которой формируются блоки 11–30 ниже.</t>
  </si>
  <si>
    <t>Если сделка совершена по обращению, УИд сделки должен соответствовать значению показателя 45.4 «УИд обращения» блока 45.</t>
  </si>
  <si>
    <t>Если по одному обращению совершено несколько сделок, только УИд сделки, совершенной первой по времени, должен соответствовать УИд обращения.</t>
  </si>
  <si>
    <t>uuid</t>
  </si>
  <si>
    <t>Номер сделки</t>
  </si>
  <si>
    <t>Номер сделки, присвоенный источником.</t>
  </si>
  <si>
    <t>Заполняется, если сделке ранее не был присвоен УИд сделки.</t>
  </si>
  <si>
    <t>137 только если не запол-нен 10.1</t>
  </si>
  <si>
    <t>acctNum</t>
  </si>
  <si>
    <t>Блок 11. Общие сведения о сделке – B11_TRADE</t>
  </si>
  <si>
    <t>2M</t>
  </si>
  <si>
    <t>AccountReplyRUTDF/trade</t>
  </si>
  <si>
    <t>Код вида участия в сделке</t>
  </si>
  <si>
    <t>Заполняется по справочнику 2.1.</t>
  </si>
  <si>
    <t>ownerIndic</t>
  </si>
  <si>
    <t>Дата совершения сделки</t>
  </si>
  <si>
    <t>Дата совершения сделки, по обязательствам из которой формируется КИ.</t>
  </si>
  <si>
    <t>openedDt</t>
  </si>
  <si>
    <t>Код типа сделки</t>
  </si>
  <si>
    <t>Заполняется по справочнику 2.2.</t>
  </si>
  <si>
    <t>tradeTypeCode</t>
  </si>
  <si>
    <t>Код вида займа (кредита)</t>
  </si>
  <si>
    <t>Заполняется по справочнику 2.3.</t>
  </si>
  <si>
    <t>loanKindCode</t>
  </si>
  <si>
    <t>Код цели займа (кредита)</t>
  </si>
  <si>
    <t>Заполняется по справочнику 2.4. При наличии нескольких целей займа (кредита) значения указываются через запятую.</t>
  </si>
  <si>
    <t>acctType</t>
  </si>
  <si>
    <t>Признак использования платежной карты</t>
  </si>
  <si>
    <t>Код «1» – сумма займа (кредита) выдается с использованием платежной карты[3];</t>
  </si>
  <si>
    <t>hasCard</t>
  </si>
  <si>
    <t>Признак возникновения обязательства в результате новации</t>
  </si>
  <si>
    <t>Код «1» – обязательство возникло на основании соглашения о новации;</t>
  </si>
  <si>
    <t>isNovation</t>
  </si>
  <si>
    <t>Признак денежного обязательства источника</t>
  </si>
  <si>
    <t>Код «1» – объектом предоставления по сделке со стороны источника являются деньги;</t>
  </si>
  <si>
    <t>код «0» – объектом предоставления по сделке со стороны источника является иное имущество (в том числе драгоценные металлы, сельскохозяйственная продукция, а также товарный кредит).</t>
  </si>
  <si>
    <t>isMoneySource</t>
  </si>
  <si>
    <t>Признак денежного обязательства субъекта</t>
  </si>
  <si>
    <t>Код «1» – объектом предоставления по сделке со стороны субъекта являются деньги;</t>
  </si>
  <si>
    <t>код «0» – объектом предоставления по сделке со стороны субъекта является иное имущество (в том числе драгоценные металлы, сельскохозяйственная продукция, а также товарный кредит).</t>
  </si>
  <si>
    <t>isMoneyBorrower</t>
  </si>
  <si>
    <t>Дата прекращения обязательства субъекта по условиям сделки</t>
  </si>
  <si>
    <t>Дата, в которую субъект по условиям сделки должен полностью исполнить обязательство.</t>
  </si>
  <si>
    <t>Для договора займа (кредита) указывается плановая дата полного возврата суммы займа (кредита) и процентов на нее. Для поручительства или независимой гарантии по указанному показателю приводится плановая дата прекращения обязательства.</t>
  </si>
  <si>
    <t>Признак возникновения обязательства в результате получения части прав кредитора от другого лица</t>
  </si>
  <si>
    <t>Указывается источником, которому частично перешли права кредитора по обязательству:</t>
  </si>
  <si>
    <t>код «1» – в случае возникновения обязательства перед источником в</t>
  </si>
  <si>
    <t>результате получения им части прав кредитора от другого лица;</t>
  </si>
  <si>
    <t>код «0» – в случае если обстоятельство кода «1» отсутствует</t>
  </si>
  <si>
    <t>obtainpartCred</t>
  </si>
  <si>
    <t>Признак кредитной линии</t>
  </si>
  <si>
    <t>код «1» – в случае если заем (кредит) предусматривает наличие кредитной линии;</t>
  </si>
  <si>
    <t>creditLine</t>
  </si>
  <si>
    <t>Код типа кредитной линии</t>
  </si>
  <si>
    <t>Заполняется по справочнику 2.3.1, если по показателю 11.12 «Признак кредитной линии» указан код «1».</t>
  </si>
  <si>
    <t>creditLineCode</t>
  </si>
  <si>
    <t>Признак плавающей (переменной) процентной ставки</t>
  </si>
  <si>
    <t>код «1» – в случае если по сделке применяется плавающая (переменная) процентная ставка;</t>
  </si>
  <si>
    <t>interestrateFloat</t>
  </si>
  <si>
    <t>Признак частичной передачи прав кредитора другому лицу</t>
  </si>
  <si>
    <t>Указывается источником, осуществившим частичную передачу прав кредитора по обязательству в результате уступки права (требования) другому источнику:</t>
  </si>
  <si>
    <t>код «1» – в случае частичной передачи источником права кредитора по обязательству другому лицу;</t>
  </si>
  <si>
    <t>transpartCred</t>
  </si>
  <si>
    <t>УИд сделки, по которой права кредитора частично переданы другому лицу</t>
  </si>
  <si>
    <t>transpartCredUuid</t>
  </si>
  <si>
    <t>Дата возникновения обязательства субъекта</t>
  </si>
  <si>
    <t>Дата возникновения у субъекта обязательства в силу закона или по соглашению сторон.</t>
  </si>
  <si>
    <t>commitDate</t>
  </si>
  <si>
    <t>Блок 12. Сумма и валюта обязательства – B12_ACCOUNTAMT</t>
  </si>
  <si>
    <t>AccountReplyRUTDF/accountAmt</t>
  </si>
  <si>
    <t>(ℹ) Блок может быть Множественным, если показатель ЮЛ_11.1 = 2, 3, 5 или 99. Если показатель ЮЛ_11.1 = 1 или 4, то блок Единичный дополняемый.</t>
  </si>
  <si>
    <t>Сумма обязательства[4]</t>
  </si>
  <si>
    <t>Заполняется согласно условиям сделки.</t>
  </si>
  <si>
    <t>Для договора займа (кредита) указывается сумма займа (кредита) либо расходный лимит.</t>
  </si>
  <si>
    <t>Для договора поручительства указывается размер ответственности поручителя.</t>
  </si>
  <si>
    <t>Для независимой гарантии указывается сумма, которую принципал обязуется возместить гаранту по выплаченной гарантии (при наличии такой суммы).</t>
  </si>
  <si>
    <t>Для договора лизинга указывается сумма лизинговых платежей.</t>
  </si>
  <si>
    <t>В случае частичной передачи права кредитора по обязательству в результате уступки права (требования) другому лицу источник, получивший право требования по обязательству, по показателю 12.1 «Сумма обязательства» указывает сумму обязательства, право требования по которому он получил согласно условиям договора уступки права (требования).</t>
  </si>
  <si>
    <t>В случае если условия сделки не изменяются, показатели 12.1 «Сумма обязательства» и 12.2 «Валюта обязательства» остаются неизменными.</t>
  </si>
  <si>
    <t>creditLimit</t>
  </si>
  <si>
    <t>Валюта обязательства</t>
  </si>
  <si>
    <t>currencyCode</t>
  </si>
  <si>
    <t>Сумма обеспечиваемого обязательства49</t>
  </si>
  <si>
    <t xml:space="preserve">Заполняется, если обязательством субъекта обеспечивается исполнение другого обязательства. </t>
  </si>
  <si>
    <t xml:space="preserve">Отражается сумма задолженности всех видов по обязательству, исполнение которого обеспечено обязательством субъекта, на дату формирования задолженности, изменения суммы задолженности </t>
  </si>
  <si>
    <t>ensuredAmt</t>
  </si>
  <si>
    <t>Валюта обеспечиваемого обязательства[5]</t>
  </si>
  <si>
    <t>commitcurrCode</t>
  </si>
  <si>
    <t>Код типа обеспечиваемого обязательства50</t>
  </si>
  <si>
    <t>Заполняется по справочнику 2.2</t>
  </si>
  <si>
    <t>commitCode</t>
  </si>
  <si>
    <t>Дата расчета</t>
  </si>
  <si>
    <t>Определяется датой, по состоянию на которую сформирован блок 12 Показателей КИ ЮЛ</t>
  </si>
  <si>
    <t>amtDate</t>
  </si>
  <si>
    <t>УИд сделки, в результате которой возникло обеспечиваемое обязательство50</t>
  </si>
  <si>
    <t>УИд сделки, обязательства из которой обеспечены обязательством субъекта.</t>
  </si>
  <si>
    <t>commitUuid</t>
  </si>
  <si>
    <t>Блок 13. Сведения о солидарных должниках – B13_COBORROWER</t>
  </si>
  <si>
    <t>AccountReplyRUTDF/coborrower</t>
  </si>
  <si>
    <t>Признак наличия солидарных должников</t>
  </si>
  <si>
    <t>Код «1» – в обязательстве участвуют солидарные должники;</t>
  </si>
  <si>
    <t>Если указан код «0», показатель 13.2 «Число солидарных должников» не заполняется.</t>
  </si>
  <si>
    <t>Число солидарных должников</t>
  </si>
  <si>
    <t>solidaryNum</t>
  </si>
  <si>
    <t>Блок 14. Сведения об условиях платежей- B14_PAYMTCONDITION</t>
  </si>
  <si>
    <t>AccountReplyRUTDF/paymtCondition</t>
  </si>
  <si>
    <t>(ℹ) Показатели блока заполняются согласно условиям сделки</t>
  </si>
  <si>
    <t>Сумма ближайшего следующего платежа по основному долгу</t>
  </si>
  <si>
    <t>По обязательству поручителя до наступления его ответственности указывается значение «0,00».</t>
  </si>
  <si>
    <t>Если по этому показателю, а также по показателю 14.3 указано значение «0,00», иные показатели блока 14 не заполняются.</t>
  </si>
  <si>
    <t>principalTermsAmt</t>
  </si>
  <si>
    <t>Дата ближайшего следующего платежа по основному долгу</t>
  </si>
  <si>
    <t>principalTermsAmtDt</t>
  </si>
  <si>
    <t>Сумма ближайшего следующего платежа по процентам</t>
  </si>
  <si>
    <t>interestTermsAmt</t>
  </si>
  <si>
    <t>Дата ближайшего следующего платежа по процентам</t>
  </si>
  <si>
    <t>interestTermsAmtDt</t>
  </si>
  <si>
    <t>Код частоты платежей</t>
  </si>
  <si>
    <t>Заполняется по справочнику 2.5.</t>
  </si>
  <si>
    <t>Частота платежей определяется в целом по сделке количеством дней, в которые истекает срок для внесения платежа по основному долгу или процентам.</t>
  </si>
  <si>
    <t>termsFrequency</t>
  </si>
  <si>
    <t>Сумма минимального платежа по кредитной карте</t>
  </si>
  <si>
    <t>Заполняется, если КИ формируется по кредитной карте с условием о минимальном платеже.</t>
  </si>
  <si>
    <t>minPaymt</t>
  </si>
  <si>
    <t>Дата начала беспроцентного периода</t>
  </si>
  <si>
    <t>Заполняется при наличии в договоре займа (кредита) с расходным лимитом беспроцентного периода.</t>
  </si>
  <si>
    <t>graceStartDt</t>
  </si>
  <si>
    <t>Дата окончания беспроцентного периода</t>
  </si>
  <si>
    <t>Если на дату расчета действует беспроцентный период, указывается плановая дата окончания беспроцентного периода.</t>
  </si>
  <si>
    <t>graceEndDt</t>
  </si>
  <si>
    <t>Дата окончания срока уплаты процентов</t>
  </si>
  <si>
    <t>Определяется последней датой, в которую субъект должен полностью погасить требования по процентам на срочный долг согласно сделке.</t>
  </si>
  <si>
    <t>interestPaymentDueDate</t>
  </si>
  <si>
    <t>Блок 15. Сведения об изменении договора – B15_AMENDMENT</t>
  </si>
  <si>
    <t>AccountReplyRUTDF/amendment</t>
  </si>
  <si>
    <t>Признак изменения договора</t>
  </si>
  <si>
    <t>Код «1» – договор изменен (в том числе дополнен) в части условия, сведения о котором указываются в ином блоке в КИ данного субъекта;</t>
  </si>
  <si>
    <t>Если указан код «0», иные показатели блока 15 не заполняются.</t>
  </si>
  <si>
    <t>Дата изменения договора</t>
  </si>
  <si>
    <t>amendDate</t>
  </si>
  <si>
    <t>Код вида изменения договора</t>
  </si>
  <si>
    <t>Заполняется по справочнику 3.1.</t>
  </si>
  <si>
    <t>type</t>
  </si>
  <si>
    <t>Код специального изменения договора</t>
  </si>
  <si>
    <t>Заполняется:</t>
  </si>
  <si>
    <t>по справочнику 3.2 – если по показателю 15.3 «Код вида изменения договора» указан код «1»;</t>
  </si>
  <si>
    <t>по справочнику 3.3 – если по показателю 15.3 «Код вида изменения договора» указан код «2»;</t>
  </si>
  <si>
    <t>по справочнику 3.4 – если по показателю 15.3 «Код вида изменения договора» указан код «3».</t>
  </si>
  <si>
    <t>specType</t>
  </si>
  <si>
    <t>Описание иного изменения договора</t>
  </si>
  <si>
    <t>Заполняется, если по показателю 15.4 «Код специального изменения договора» указан код «99».</t>
  </si>
  <si>
    <t>Вносится комментарий с описанием изменения договора.</t>
  </si>
  <si>
    <t>otherDesc</t>
  </si>
  <si>
    <t>Дата вступления изменения договора в силу</t>
  </si>
  <si>
    <t>startDt</t>
  </si>
  <si>
    <t>Дата планового прекращения действия изменения договора</t>
  </si>
  <si>
    <t>planEndDt</t>
  </si>
  <si>
    <t>Дата фактического прекращения действия изменения договора</t>
  </si>
  <si>
    <t>factEndDt</t>
  </si>
  <si>
    <t>Код причины прекращения действия изменения договора</t>
  </si>
  <si>
    <t>Заполняется по справочнику 3.5.</t>
  </si>
  <si>
    <t>endReason</t>
  </si>
  <si>
    <t>Курс конверсии валюты долга</t>
  </si>
  <si>
    <t>Заполняется, если валюта обязательства субъекта была изменена. По указанному показателю отражается обменный курс валюты согласно условиям сделки.</t>
  </si>
  <si>
    <t>curRate</t>
  </si>
  <si>
    <t>Сведения об исполнении обязательства</t>
  </si>
  <si>
    <t>Блок 16. Сведения о передаче финансирования субъекту или о возникновении обеспечения исполнения обязательства – B16_FUNDDATE</t>
  </si>
  <si>
    <t>Дата передачи финансирования субъекту или возникновения обеспечения исполнения обязательства</t>
  </si>
  <si>
    <t>В КИ заемщика или лизингополучателя указывается дата передачи ему суммы займа (кредита) или каждого предмета лизинга, в КИ принципала по независимой гарантии или поручителя – соответственно дата выдачи гарантии или дата возникновения поручительства.</t>
  </si>
  <si>
    <t>По обязательству источника выдавать сумму займа (кредита) траншами или в пределах расходного лимита указывается дата передачи каждого транша, за исключением выданного с использованием платежной карты, и займа (кредита), предоставленного на условиях овердрафта.</t>
  </si>
  <si>
    <t>fundDate</t>
  </si>
  <si>
    <t>Порядковый номер транша</t>
  </si>
  <si>
    <t>Заполняется для займа (кредита), который выдается траншами, за исключением выданного с использованием платежной карты, займа (кредита), предоставленного на условиях овердрафта.</t>
  </si>
  <si>
    <t>trancheNum</t>
  </si>
  <si>
    <t>Блок 17. Сведения о задолженности – B17_ARREAR</t>
  </si>
  <si>
    <t>AccountReplyRUTDF/arrear</t>
  </si>
  <si>
    <t>(ℹ) В блоке указываются сведения обо всех имеющихся (непогашенных) денежных требованиях к субъекту согласно условиям сделки. Размер требований определяется методом ФИФО.</t>
  </si>
  <si>
    <t>Для договора лизинга указываются требования по внесению в том числе лизинговых платежей, пеней и штрафов</t>
  </si>
  <si>
    <t>Признак наличия задолженности</t>
  </si>
  <si>
    <t>Код «1» – у субъекта имеется задолженность перед источником;</t>
  </si>
  <si>
    <t>код «0» – обстоятельство кода «1» отсутствует (в частности, если субъекту не передана сумма займа (кредита), ответственность субъекта-поручителя не наступила, обязательство принципала возместить выплаченную по независимой гарантии сумму не возникло).</t>
  </si>
  <si>
    <t>Если указан код «0», иные показатели блока 17 не заполняются</t>
  </si>
  <si>
    <t>Сумма задолженности на дату передачи финансирования субъекту или возникновения обеспечения исполнения обязательства</t>
  </si>
  <si>
    <t>Сумма общей задолженности субъекта перед источником по состоянию на дату:</t>
  </si>
  <si>
    <t>передачи суммы займа или транша субъекту-заемщику;</t>
  </si>
  <si>
    <t>передачи каждого предмета лизинга субъекту-лизингополучателю;</t>
  </si>
  <si>
    <t>вступления в силу договора поручительства – для субъекта-поручителя;</t>
  </si>
  <si>
    <t>выдачи гарантии – для субъекта-принципала.</t>
  </si>
  <si>
    <t>В валюте, которая указана по показателю 12.2 «Валюта обязательства».</t>
  </si>
  <si>
    <t>startAmtOutstanding</t>
  </si>
  <si>
    <t>Признак расчета по последнему платежу</t>
  </si>
  <si>
    <t>Код события, на момент наступления которого рассчитана сумма задолженности:</t>
  </si>
  <si>
    <t>код «1» – субъект внес платеж либо наступил срок для внесения платежа по срочному долгу;</t>
  </si>
  <si>
    <t>код «0» – прошло 30 календарных дней с даты последнего расчета суммы задолженности по показателю 17.8 «Дата расчета».</t>
  </si>
  <si>
    <t>Если ни одно из указанных событий не наступило этот показатель не заполняется.</t>
  </si>
  <si>
    <t>lastPaymentDueCode</t>
  </si>
  <si>
    <t>Сумма задолженности</t>
  </si>
  <si>
    <t>Сумма определяется на момент наступления каждого события, которое указано по показателю 17.3 «Признак расчета по последнему платежу».</t>
  </si>
  <si>
    <t>Если показатель 17.3 «Признак расчета по последнему платежу» не заполнен, то сумма указывается на дату их изменения вследствие иных событий согласно Приложению 2.</t>
  </si>
  <si>
    <t>amtOutstanding</t>
  </si>
  <si>
    <t>Сумма задолженности по основному долгу</t>
  </si>
  <si>
    <t>principalOutstanding</t>
  </si>
  <si>
    <t>Сумма задолженности по процентам</t>
  </si>
  <si>
    <t>intOutstanding</t>
  </si>
  <si>
    <t>Сумма задолженности по иным требованиям</t>
  </si>
  <si>
    <t>otherAmtOutstanding</t>
  </si>
  <si>
    <t>Дата, по состоянию на которую рассчитаны значения показателей 17.4–17.7.</t>
  </si>
  <si>
    <t>calcDate</t>
  </si>
  <si>
    <t>Блок 18. Сведения о срочной задолженности – B18_DUEARREAR</t>
  </si>
  <si>
    <t>AccountReplyRUTDF/dueArrear</t>
  </si>
  <si>
    <t>(ℹ) В блоке указываются сведения обо всех денежных требованиях к субъекту, срок погашения которых не наступил. Сведения указываются согласно условиям сделки.</t>
  </si>
  <si>
    <t xml:space="preserve">Для договора лизинга указываются требования по внесению в том числе лизинговых платежей. </t>
  </si>
  <si>
    <t>Дата возникновения срочной задолженности</t>
  </si>
  <si>
    <t>Дата возникновения срочной задолженности.</t>
  </si>
  <si>
    <t>По обязательству источника выдавать сумму займа (кредита) траншами или в пределах расходного лимита по показателю 18.1 «Дата возникновения срочной задолженности» указывается дата возникновения срочной задолженности при передаче первого транша и каждый раз при выдаче транша после полного погашения задолженности по предыдущему (предыдущим) траншам.</t>
  </si>
  <si>
    <t>Код события, по состоянию на момент наступления которого рассчитана сумма срочной задолженности:</t>
  </si>
  <si>
    <t>код «0» – прошло 30 календарных дней с даты последнего расчета суммы срочной задолженности по показателю 18.7 «Дата расчета».</t>
  </si>
  <si>
    <t>В случае если ни одно из указанных событий не наступило, этот показатель не заполняется.</t>
  </si>
  <si>
    <t>Сумма срочной задолженности</t>
  </si>
  <si>
    <t>Сумма определяется на момент наступления каждого события, которое указано по показателю 18.2 «Признак расчета по последнему платежу».</t>
  </si>
  <si>
    <t>Если указано значение «0,00», иные показатели блока 18 не заполняются.</t>
  </si>
  <si>
    <t>Если показатель 18.2 «Признак расчета по последнему платежу» не заполнен, то сумма указывается на дату их изменения вследствие иных событий согласно Приложению 2.</t>
  </si>
  <si>
    <t>Сумма срочной задолженности по основному долгу</t>
  </si>
  <si>
    <t>Сумма срочной задолженности по процентам</t>
  </si>
  <si>
    <t>Сумма срочной задолженности по иным требованиям</t>
  </si>
  <si>
    <t>Дата, по состоянию на которую рассчитаны значения показателей 18.3–18.6.</t>
  </si>
  <si>
    <t>Блок 19. Сведения о просроченной задолженности – B19_PASTDUEARREAR</t>
  </si>
  <si>
    <t>AccountReplyRUTDF/pastdueArrear</t>
  </si>
  <si>
    <t xml:space="preserve">(ℹ) В блоке указываются сведения обо всех денежных требованиях к субъекту, которые не были погашены в срок. Сведения приводятся согласно условиям сделки. </t>
  </si>
  <si>
    <t>Для договора лизинга указываются требования по внесению в том числе лизинговых платежей, пеней и штрафов.</t>
  </si>
  <si>
    <t>Дата возникновения просроченной задолженности</t>
  </si>
  <si>
    <t>pastDueDt</t>
  </si>
  <si>
    <t>Код события, по состоянию на момент наступления которого рассчитана сумма просроченной задолженности:</t>
  </si>
  <si>
    <t>код «0» – прошло 30 календарных дней с даты последнего расчета суммы просроченной задолженности по показателю 19.7 «Дата расчета».</t>
  </si>
  <si>
    <t>Сумма просроченной задолженности</t>
  </si>
  <si>
    <t>Сумма определяется на момент наступления каждого события, которое указано по показателю 19.2 «Признак расчета по последнему платежу»</t>
  </si>
  <si>
    <t>Если указано значение «0,00», то заполняются показатели 19.1 и 19.7, иные показатели блока 19 не заполняются.</t>
  </si>
  <si>
    <t>Если в блоке 19 ранее указывались сведения о денежных требованиях к субъекту, которые не были погашены в срок, по показателю 19.1 указывается ближайшая прошедшая дата возникновения просроченной задолженности.</t>
  </si>
  <si>
    <t>Если показатель 19.2 «Признак расчета по последнему платежу» не заполнен, то сумма указывается на дату их изменения вследствие иных событий согласно Приложению 2.</t>
  </si>
  <si>
    <t>amtPastDue</t>
  </si>
  <si>
    <t>Сумма просроченной задолженности по основному долгу</t>
  </si>
  <si>
    <t>Сумма определяется на момент наступления каждого события, которое указано по показателю 19.2 «Признак расчета по последнему платежу».</t>
  </si>
  <si>
    <t>principalAmtPastDue</t>
  </si>
  <si>
    <t>Сумма просроченной задолженности по процентам</t>
  </si>
  <si>
    <t>intAmtPastDue</t>
  </si>
  <si>
    <t>Сумма просроченной задолженности по иным требованиям</t>
  </si>
  <si>
    <t>otherAmtPastDue</t>
  </si>
  <si>
    <t>Дата, по состоянию на которую рассчитаны значения показателей 19.3–19.6.</t>
  </si>
  <si>
    <t>Дата последнего пропущенного платежа по основному долгу</t>
  </si>
  <si>
    <t>Ближайшая прошедшая дата, в которую заемщик по условиям сделки должен был внести, но не внес платеж по срочной задолженности.</t>
  </si>
  <si>
    <t>principalMissedDate</t>
  </si>
  <si>
    <t>Дата последнего пропущенного платежа по процентам</t>
  </si>
  <si>
    <t>intMissedDate</t>
  </si>
  <si>
    <t>Блок 20. Сведения о внесении платежей – B20_PAYMT</t>
  </si>
  <si>
    <t>AccountReplyRUTDF/payment</t>
  </si>
  <si>
    <t>(ℹ) Cведения о действиях субъекта по исполнению своего обязательства или его части.</t>
  </si>
  <si>
    <t>Для договора лизинга указываются суммы внесенных лизинговых платежей, пеней и штрафов</t>
  </si>
  <si>
    <t>В случае если по условиям сделки платеж признается внесенным с момента его принятия источником, в блоке 20 показателей КИ ЮЛ отражаются сведения о принятых источником платежах.</t>
  </si>
  <si>
    <t>(ℹ) Если в одной группе блоков идут несколько блоков 20, то они будут обработаны и отображены в кредитном отчете последовательно. Таким образом, если последнее событие на дату – это полное погашение просрочки, то в последнем блоке 20 одной группы блоков по показателю ЮЛ_20.12 указывается «0».</t>
  </si>
  <si>
    <t>Дата последнего внесенного платежа</t>
  </si>
  <si>
    <t>paymtDate</t>
  </si>
  <si>
    <t>Сумма последнего внесенного платежа</t>
  </si>
  <si>
    <t>Если указано значение «0,00», то заполняются только показатели 20.10-20.12, иные показатели блока 20 не заполняются[6].</t>
  </si>
  <si>
    <t>paymtAmt</t>
  </si>
  <si>
    <t>Сумма последнего внесенного платежа по основному долгу</t>
  </si>
  <si>
    <t>principalPaymtAmt</t>
  </si>
  <si>
    <t>Сумма последнего внесенного платежа по процентам</t>
  </si>
  <si>
    <t>intPaymtAmt</t>
  </si>
  <si>
    <t>Сумма последнего внесенного платежа по иным требованиям</t>
  </si>
  <si>
    <t>otherPaymtAmt</t>
  </si>
  <si>
    <t>Сумма всех внесенных платежей по обязательству</t>
  </si>
  <si>
    <t>totalAmt</t>
  </si>
  <si>
    <t>Сумма внесенных платежей по основному долгу</t>
  </si>
  <si>
    <t>principalTotalAmt</t>
  </si>
  <si>
    <t>Сумма внесенных платежей по процентам</t>
  </si>
  <si>
    <t>intTotalAmt</t>
  </si>
  <si>
    <t>Сумма внесенных платежей</t>
  </si>
  <si>
    <t xml:space="preserve"> по иным требованиям</t>
  </si>
  <si>
    <t>otherTotalAmt</t>
  </si>
  <si>
    <t>Код соблюдения размера платежей</t>
  </si>
  <si>
    <t>Заполняется по состоянию на дату формирования блока 20.</t>
  </si>
  <si>
    <t>Заполняется по справочнику 3.6.</t>
  </si>
  <si>
    <t>amtKeepCode</t>
  </si>
  <si>
    <t>Код соблюдения срока внесения платежей</t>
  </si>
  <si>
    <t>Заполняется по справочнику 3.7.</t>
  </si>
  <si>
    <t>termsDueCode</t>
  </si>
  <si>
    <t>Продолжительность просрочки</t>
  </si>
  <si>
    <t>Количество календарных дней, в течение которых субъект нарушает обязанность вносить платежи. Значение указанного показателя определяется методом ФИФО.</t>
  </si>
  <si>
    <t>daysPastDue</t>
  </si>
  <si>
    <t>Блок 21. Сведения о неденежном обязательстве источника - B21_SOURCENONMONETOBLIG</t>
  </si>
  <si>
    <t>AccountReplyRUTDF/sourceNonMonetOblig</t>
  </si>
  <si>
    <t>(ℹ) Блок формируется, если по показателю 11.8 «Признак денежного обязательства источника» блока 11 указан код «0». Сведения указываются согласно условиям сделки.</t>
  </si>
  <si>
    <t>(ℹ) Показатели в блоке не заполняются (обязательные заполняются дефисом) при передаче сведений о поручительстве и независимой гарантии до наступления ответственности поручителя или обязанности принципала возместить гаранту выплаченную сумму соответственно (11.1 = 2 или 3, 11.3 = 6-8 или 9-13, 17.1=0).</t>
  </si>
  <si>
    <t>Предмет обязательства</t>
  </si>
  <si>
    <t>Предмет обязательства источника согласно условиям договора.</t>
  </si>
  <si>
    <t>Во избежание задвоения записей, при обновлении данных необходимо указывать значение, в точности совпадающее с ранее направленным.</t>
  </si>
  <si>
    <t>srcNonMonetOblig</t>
  </si>
  <si>
    <t>Код предоставляемого имущества</t>
  </si>
  <si>
    <t>Заполняется по справочнику 4.1.</t>
  </si>
  <si>
    <t>srcNonMonetObligCode</t>
  </si>
  <si>
    <t>Объект предоставления</t>
  </si>
  <si>
    <t>Не заполняется, начиная с версии 5.0 настоящего формата (на основании Указания Банка России 6300-У). В предыдущих версиях в этом показателе указывалось имущество, которое источник должен передать субъекту.</t>
  </si>
  <si>
    <t>srcNonMonetObligObject</t>
  </si>
  <si>
    <t>Дата передачи имущества субъекту</t>
  </si>
  <si>
    <t>Дата передачи имущества субъекту или возникновения неденежного поручительства.</t>
  </si>
  <si>
    <t>srcNonMonetObligDt</t>
  </si>
  <si>
    <t>Идентификационный код предоставляемого имущества[7]</t>
  </si>
  <si>
    <t>Указывается:</t>
  </si>
  <si>
    <t>кадастровый номер – для имеющей такой номер недвижимости;</t>
  </si>
  <si>
    <t>идентификационный номер транспортного средства (VIN) – для имеющего такой номер транспортного средства;</t>
  </si>
  <si>
    <t>код по ОКОФ или заводской номер – для промышленных машин и оборудования;</t>
  </si>
  <si>
    <t xml:space="preserve">штриховой код – для имеющего такой код товара; </t>
  </si>
  <si>
    <t>уникальный идентификатор финансового инструмента в торговой системе (тикер) – для имеющих такой идентификатор ценной бумаги или иного финансового инструмента.</t>
  </si>
  <si>
    <t>Для предметов залога, не поименованных выше, указывается предусмотренное договором обозначение.</t>
  </si>
  <si>
    <t>srcNonMonetObligCodeIdent</t>
  </si>
  <si>
    <t>Блок 22. Сведения о неденежном обязательстве субъекта – B22_SUBJECTNONMONETOBLIG</t>
  </si>
  <si>
    <t>AccountReplyRUTDF/subjectNonMonetOblig</t>
  </si>
  <si>
    <t>(ℹ) Блок формируется, если по показателю 11.9 «Признак денежного обязательства субъекта» блока 11 указан код «0». Сведения указываются согласно условиям сделки.</t>
  </si>
  <si>
    <t>Предмет обязательства субъекта согласно условиям договора.</t>
  </si>
  <si>
    <t>subjNonMonetOblig</t>
  </si>
  <si>
    <t>Не заполняется, начиная с версии 5.0 настоящего формата (на основании Указания Банка России 6300-У). В предыдущих версиях в этом показателе указывалось имущество, которое субъект должен передать источнику</t>
  </si>
  <si>
    <t>subjNonMonetObligObject</t>
  </si>
  <si>
    <t>Порядок исполнения обязательства</t>
  </si>
  <si>
    <t>Заполняется согласно условиям договора.</t>
  </si>
  <si>
    <t>subjNonMonetObligRegul</t>
  </si>
  <si>
    <t>Признак ненадлежащего исполнения обязательства</t>
  </si>
  <si>
    <t>Код «1» – субъект не исполнил свое обязательство или его часть;</t>
  </si>
  <si>
    <t>код «0» – субъект надлежаще исполняет свое обязательство.</t>
  </si>
  <si>
    <t>subjNonMonetObligAdverseCode</t>
  </si>
  <si>
    <t>Код полученного имущества</t>
  </si>
  <si>
    <t>Заполняется по справочнику 4.1</t>
  </si>
  <si>
    <t>receivedpropCode</t>
  </si>
  <si>
    <t>Сведения об обеспечении исполнения обязательства</t>
  </si>
  <si>
    <t>Блок 23. Сведения о залоге – B23_COLLATERAL</t>
  </si>
  <si>
    <t>AccountReplyRUTDF/collateral</t>
  </si>
  <si>
    <t>Признак наличия залога</t>
  </si>
  <si>
    <t>Код «1» – исполнение обязательства обеспечено залогом;</t>
  </si>
  <si>
    <t>Если указан код «0», иные показатели блока 23 не заполняются.</t>
  </si>
  <si>
    <t>Код предмета залога</t>
  </si>
  <si>
    <t>collateralCode</t>
  </si>
  <si>
    <t>Идентификационный код предмета залога</t>
  </si>
  <si>
    <t>Кадастровый номер – для имеющей такой номер недвижимости;</t>
  </si>
  <si>
    <t>collateralId</t>
  </si>
  <si>
    <t>Дата заключения договора залога</t>
  </si>
  <si>
    <t>collateralAgreementDt</t>
  </si>
  <si>
    <t>Стоимость предмета залога</t>
  </si>
  <si>
    <t>Заполняется согласно заключению об оценке стоимости предмета залога.  если оценка стоимости предмета залога не проводилась, указывается цена приобретения предмета залога либо его стоимость по договору залога (по выбору источника).</t>
  </si>
  <si>
    <t>collateralValue</t>
  </si>
  <si>
    <t>Валюта стоимости предмета залога</t>
  </si>
  <si>
    <t>Дата проведения оценки предмета залога</t>
  </si>
  <si>
    <t>Заполняется, если стоимость предмета залога оценивалась.</t>
  </si>
  <si>
    <t>collateralDate</t>
  </si>
  <si>
    <t>Признак иного обременения предмета залога</t>
  </si>
  <si>
    <t>Не заполняется, начиная с версии 5.0 настоящего формата (на основании Указания Банка России 6300-У). В предыдущих версиях в этом показателе указывался код «1» – имеется иное обременение предмета залога, либо код «0» – обстоятельство кода «1» отсутствовало.</t>
  </si>
  <si>
    <t>collateralEncum</t>
  </si>
  <si>
    <t>Дата прекращения залога согласно договору</t>
  </si>
  <si>
    <t>collateralExpirationDate</t>
  </si>
  <si>
    <t>Дата фактического прекращения залога</t>
  </si>
  <si>
    <t>collateralFactExpirationDate</t>
  </si>
  <si>
    <t>Код причины прекращения залога</t>
  </si>
  <si>
    <t>Заполняется по справочнику 4.2.</t>
  </si>
  <si>
    <t>collateralEndReason</t>
  </si>
  <si>
    <t>Вид стоимости предмета залога</t>
  </si>
  <si>
    <t>Заполняется по справочнику 4.1.1</t>
  </si>
  <si>
    <t>Указывается вид стоимости предмета залога, указанной по показателю 23.5 «Стоимость предмета залога».</t>
  </si>
  <si>
    <t>collateralValueType</t>
  </si>
  <si>
    <t>23.13</t>
  </si>
  <si>
    <t>Сумма обязательств по всем договорам, исполнение которых обеспечено предметом залога</t>
  </si>
  <si>
    <t>Общая сумма обязательств по всем договорам, исполнение которых обеспечивается одним и тем же предметом залога.</t>
  </si>
  <si>
    <t>Значение указывается в валюте, которая указана по показателю 23.6 «Валюта стоимости предмета залога».</t>
  </si>
  <si>
    <t>collateralcommAmt</t>
  </si>
  <si>
    <t>23.14</t>
  </si>
  <si>
    <t>Количество договоров, исполнение обязательств по которым обеспечено предметом залога</t>
  </si>
  <si>
    <t>Количество договоров, обязательства из которых обеспечиваются одним и тем же предметом залога.</t>
  </si>
  <si>
    <t>collateralcontCnt</t>
  </si>
  <si>
    <t>Блок 24. Сведения о поручительстве – B24_GUARANTOR</t>
  </si>
  <si>
    <t>AccountReplyRUTDF/guarantor</t>
  </si>
  <si>
    <t>Признак наличия поручительства</t>
  </si>
  <si>
    <t>Код «1» – обязательство субъекта обеспечено поручительством;</t>
  </si>
  <si>
    <t>Если указан код «0», иные показатели блока 24 не заполняются.</t>
  </si>
  <si>
    <t>УИд договора поручительства</t>
  </si>
  <si>
    <t>Заполняется, если по обязательству поручителя формируется КИ.</t>
  </si>
  <si>
    <t>Значение показателя должно соответствовать значению показателя 17.1 «УИд сделки» блока 17 в КИ поручителя – физического лица или показателя 10.1 «УИд сделки» блока 10 в КИ поручителя – юридического лица. Недопустимо указание символа дефиса вместо значения.</t>
  </si>
  <si>
    <t>Для корректной идентификации договора, которому ранее не был присвоен УИд, передайте вместе с присвоенным УИд действоваший ранее уникальный идентификатор договора в показателе 0.4 блока 0_GROUPHEADER как значение ключа guar_num.</t>
  </si>
  <si>
    <t>Идентификатор будет использован как альтернативное ключевое поле..</t>
  </si>
  <si>
    <t>guaranteeUuid</t>
  </si>
  <si>
    <t>Размер поручительства</t>
  </si>
  <si>
    <t>guaranteeVolume</t>
  </si>
  <si>
    <t>Валюта поручительства</t>
  </si>
  <si>
    <t>Дата заключения договора поручительства</t>
  </si>
  <si>
    <t>guaranteeAgreementDt</t>
  </si>
  <si>
    <t>Дата прекращения поручительства согласно договору</t>
  </si>
  <si>
    <t>guaranteeExpirationDate</t>
  </si>
  <si>
    <t>Дата фактического прекращения поручительства</t>
  </si>
  <si>
    <t>guaranteeFactExpirationDate</t>
  </si>
  <si>
    <t>Код причины прекращения поручительства</t>
  </si>
  <si>
    <t>guaranteeEndReason</t>
  </si>
  <si>
    <t>Блок 25. Сведения о независимой гарантии – B25_INDEPGUARANTOR</t>
  </si>
  <si>
    <t>AccountReplyRUTDF/indepGuarantor</t>
  </si>
  <si>
    <t>Признак наличия независимой гарантии</t>
  </si>
  <si>
    <t>Код «1» – исполнение обязательства обеспечено независимой гарантией;</t>
  </si>
  <si>
    <t>Если указан код «0», иные показатели блока 25 не заполняются.</t>
  </si>
  <si>
    <t>УИд независимой гарантии</t>
  </si>
  <si>
    <t>Заполняется, если по обязательству принципала формируется КИ. Значение указанного показателя должно соответствовать значению показателя 17.1 «УИд сделки» блока 17 в КИ принципала – физического лица или показателя 10.1 «УИд сделки» блока 10 в КИ принципала – юридического лица. Недопустимо указание символа дефиса вместо значения.</t>
  </si>
  <si>
    <t>Для корректной идентификации договора, которому ранее не был присвоен УИд, передайте вместе с присвоенным УИд действоваший ранее уникальный идентификатор договора в показателе 0.4 блока 0_GROUPHEADER как значение ключа indepguar_num.</t>
  </si>
  <si>
    <t>Идентификатор будет использован как альтернативное ключевое поле.</t>
  </si>
  <si>
    <t>indepGuaranteeUuid</t>
  </si>
  <si>
    <t>Сумма независимой гарантии</t>
  </si>
  <si>
    <t>indepGuaranteeVolume</t>
  </si>
  <si>
    <t>Валюта независимой гарантии</t>
  </si>
  <si>
    <t>Дата выдачи независимой гарантии</t>
  </si>
  <si>
    <t>indepGuaranteeDt</t>
  </si>
  <si>
    <t>Дата окончания независимой гарантии согласно ее условиям</t>
  </si>
  <si>
    <t>indepGuaranteeExpirationDate</t>
  </si>
  <si>
    <t>Дата фактического прекращения независимой гарантии</t>
  </si>
  <si>
    <t>indepGuaranteeFactExpirationDate</t>
  </si>
  <si>
    <t>Код причины прекращения независимой гарантии</t>
  </si>
  <si>
    <t>indepGuaranteeEndReason</t>
  </si>
  <si>
    <t>Блок 26. Сведения о страховании предмета залога – B26_COLLATINSURED</t>
  </si>
  <si>
    <t>AccountReplyRUTDF/collatInsured</t>
  </si>
  <si>
    <t>Признак наличия страхования</t>
  </si>
  <si>
    <t>Код «1» – риск утраты стоимости предмета залога застрахован в пользу источника или субъекта;</t>
  </si>
  <si>
    <t>Если указан код «0», иные показатели блока 26 не заполняются.</t>
  </si>
  <si>
    <t>Лимит страховых выплат</t>
  </si>
  <si>
    <t>Предельный размер обязательств страховщика согласно договору. При отсутствии лимита страховых выплат по указанному показателю приводится страховая сумма.</t>
  </si>
  <si>
    <t>insurLimit</t>
  </si>
  <si>
    <t>Валюта страховых выплат</t>
  </si>
  <si>
    <t>Признак наличия франшизы</t>
  </si>
  <si>
    <t>Код «1» – в договоре страхования имеется условие об условной или безусловной франшизе;</t>
  </si>
  <si>
    <t>hasFranchise</t>
  </si>
  <si>
    <t>Дата начала действия страхования</t>
  </si>
  <si>
    <t>Дата начала действия страхования, обусловленного договором страхования.</t>
  </si>
  <si>
    <t>insurStartDt</t>
  </si>
  <si>
    <t>Дата окончания действия страхования согласно договору</t>
  </si>
  <si>
    <t>Дата планового окончания действия страхования, обусловленного договором страхования.</t>
  </si>
  <si>
    <t>insurEndDt</t>
  </si>
  <si>
    <t>Дата фактического прекращения страхования</t>
  </si>
  <si>
    <t>Дата фактического окончания действия страхования, обусловленного договором страхования.</t>
  </si>
  <si>
    <t>insurFactEndDt</t>
  </si>
  <si>
    <t>Код причины прекращения страхования</t>
  </si>
  <si>
    <t>insurEndReason</t>
  </si>
  <si>
    <t>Должно совпадать хотя бы с одним значением показателя 23.3 «Идентификационный код предмета залога».</t>
  </si>
  <si>
    <t>Блок 27. Сведения о погашении требований кредитора по обязательству за счет обеспечения – B27_COLLATREPAY</t>
  </si>
  <si>
    <t>AccountReplyRUTDF/collatRepay</t>
  </si>
  <si>
    <t>Признак погашения требований за счет обеспечения</t>
  </si>
  <si>
    <t>Код «1» – в случае если требования источника к субъекту были полностью или частично погашены за счет обеспечения;</t>
  </si>
  <si>
    <t>Если указан код «0», иные показатели блока 27 не заполняются.</t>
  </si>
  <si>
    <t>Код использованного обеспечения</t>
  </si>
  <si>
    <t>Заполняется по справочнику 4.3.</t>
  </si>
  <si>
    <t>collatRepayCode</t>
  </si>
  <si>
    <t>Дата погашения требований за счет обеспечения</t>
  </si>
  <si>
    <t>collatRepayDt</t>
  </si>
  <si>
    <t>Сумма требований, погашенных за счет обеспечения</t>
  </si>
  <si>
    <t xml:space="preserve">По обязательству поручителя указывается общая сумма внесенных им платежей; </t>
  </si>
  <si>
    <t>по обязательству из независимой гарантии указывается выплаченная по гарантии сумма;</t>
  </si>
  <si>
    <t>по договору страхования предмета залога, который заключен в пользу источника или субъекта, указывается размер страховой выплаты.</t>
  </si>
  <si>
    <t>collatRepayAmt</t>
  </si>
  <si>
    <t>Блок 28. Сведения о возмещении принципалом гаранту выплаченной суммы – B28_GUARANTEEREPAY</t>
  </si>
  <si>
    <t>(ℹ) Блок формируется гарантом</t>
  </si>
  <si>
    <t>Признак обязанности возместить выплаченную сумму</t>
  </si>
  <si>
    <t>Код «1» – принципал обязан возместить гаранту выплаченную им сумму;</t>
  </si>
  <si>
    <t>Если указан код «0», иные показатели блока 28 не заполняются.</t>
  </si>
  <si>
    <t>hasGuaranteeRepay</t>
  </si>
  <si>
    <t>Сумма, подлежащая возмещению</t>
  </si>
  <si>
    <t>guaranteeToRepay</t>
  </si>
  <si>
    <t>Сумма, выплаченная принципалом</t>
  </si>
  <si>
    <t>guaranteeRepayAmt</t>
  </si>
  <si>
    <t>Признак соблюдения порядка возмещения</t>
  </si>
  <si>
    <t>Код «1» – принципал надлежаще возмещает гаранту выплаченную им сумму;</t>
  </si>
  <si>
    <t>guaranteeRepayKeepCode</t>
  </si>
  <si>
    <t>Дата, по состоянию на которую рассчитаны значения показателей блока 28.</t>
  </si>
  <si>
    <t>guaranteeDate</t>
  </si>
  <si>
    <t>Сведения о прекращении обязательства, о судебных спорах и требованиях по обязательству</t>
  </si>
  <si>
    <t>Блок 29. Сведения о прекращении обязательства – B29_OBLIGTERMINATION</t>
  </si>
  <si>
    <t>2Е</t>
  </si>
  <si>
    <t>Код основания прекращения обязательства</t>
  </si>
  <si>
    <t>Заполняется по справочнику 3.8.</t>
  </si>
  <si>
    <t>loanIndicator</t>
  </si>
  <si>
    <t>Дата фактического прекращения обязательства</t>
  </si>
  <si>
    <t>Дата, в которую прекратились взаимные обязательства субъекта и источника.</t>
  </si>
  <si>
    <t>loanIndicatorDt</t>
  </si>
  <si>
    <t>Блок 30. Сведения о судебном споре или требовании по обязательству – B30_LEGALRECORD</t>
  </si>
  <si>
    <t>AccountReplyRUTDF/legalItems</t>
  </si>
  <si>
    <t>(ℹ) По показателям 30.2–30.6 указываются сведения о судебном акте, которым заканчивается рассмотрение дела по существу</t>
  </si>
  <si>
    <t>Признак судебного спора или требования</t>
  </si>
  <si>
    <t>Код «1» – в производстве суда находится иск по обязательству источника и субъекта либо заявление источника о выдаче судебного приказа по обязательству;</t>
  </si>
  <si>
    <t>код «0» – обстоятельства кода «1» отсутствуют.</t>
  </si>
  <si>
    <t>Если указан код «0», иные показатели блока 30 не заполняются.</t>
  </si>
  <si>
    <t>30.2</t>
  </si>
  <si>
    <t>Признак наличия судебного акта</t>
  </si>
  <si>
    <t>Код «1» – суд принял акт, которым заканчивается рассмотрение дела по существу (в частности, судебное решение или судебный приказ);</t>
  </si>
  <si>
    <t>Если указан код «0», показатели 30.3–30.6 не заполняются.</t>
  </si>
  <si>
    <t>hasCourtAct</t>
  </si>
  <si>
    <t>Дата принятия судебного акта</t>
  </si>
  <si>
    <t>courtActDt</t>
  </si>
  <si>
    <t>Номер судебного акта</t>
  </si>
  <si>
    <t>courtActNum</t>
  </si>
  <si>
    <t>Резолютивная часть судебного акта</t>
  </si>
  <si>
    <t>Цитируется резолютивная часть судебного акта. Из цитируемого текста исключаются номера счетов и не принадлежащие субъекту персональные данные.</t>
  </si>
  <si>
    <t>resolution</t>
  </si>
  <si>
    <t>Признак вступления акта в законную силу</t>
  </si>
  <si>
    <t>Код «1» – судебный акт вступил в законную силу;</t>
  </si>
  <si>
    <t>courtActEffectCode</t>
  </si>
  <si>
    <t>Отдельные блоки основной части КИ</t>
  </si>
  <si>
    <t>Блок 31. Сведения об обязательстве, если в отношении источника открыто конкурсное производство – B31_OBLIGSRCBANKRUPT</t>
  </si>
  <si>
    <t>Сумма задолженности на дату открытия конкурсного производства</t>
  </si>
  <si>
    <t>Сумма задолженности определяется всеми денежными требованиями источника к субъекту согласно условиям сделки.</t>
  </si>
  <si>
    <t>sbStartOutstanding</t>
  </si>
  <si>
    <t>31.2</t>
  </si>
  <si>
    <t>Дата открытия конкурсного производства</t>
  </si>
  <si>
    <t>sbStartDt</t>
  </si>
  <si>
    <t>Сумма задолженности на дату завершения конкурсного производства</t>
  </si>
  <si>
    <t>sbEndOutstanding</t>
  </si>
  <si>
    <t>31.4</t>
  </si>
  <si>
    <t>Дата завершения конкурсного производства</t>
  </si>
  <si>
    <t>sbEndDt</t>
  </si>
  <si>
    <t>Сумма задолженности на дату последнего внесенного платежа</t>
  </si>
  <si>
    <t>sbLastPayOutstanding</t>
  </si>
  <si>
    <t>31.6</t>
  </si>
  <si>
    <t>sbLastPaymtDt</t>
  </si>
  <si>
    <t>Признак перехода прав кредитора к другому лицу</t>
  </si>
  <si>
    <t>Код «1» – права кредитора по обязательству перешли от источника к другому лицу;</t>
  </si>
  <si>
    <t>sbTransferCode</t>
  </si>
  <si>
    <t>Признак прекращения обязательства</t>
  </si>
  <si>
    <t>Код «1» – обязательство субъекта прекратилось;</t>
  </si>
  <si>
    <t>sbLoanIndicator</t>
  </si>
  <si>
    <t>31.9</t>
  </si>
  <si>
    <t>sbLoanIndicatorReason</t>
  </si>
  <si>
    <t>Валюта задолженности</t>
  </si>
  <si>
    <t>sbArrCurrency</t>
  </si>
  <si>
    <t>Блок 32. Сведения об обязательстве, если источник находится в процессе ликвидации – B32_OBLIGSRCLIQUID</t>
  </si>
  <si>
    <t>(ℹ) Блок передается только ликвидационной комиссией или ликвидатором</t>
  </si>
  <si>
    <t>32.1</t>
  </si>
  <si>
    <t>Сумма задолженности на дату начала ликвидации</t>
  </si>
  <si>
    <t>Сумма задолженности определяется всеми денежными требованиями источника к субъекту.</t>
  </si>
  <si>
    <t>slStartOutstanding</t>
  </si>
  <si>
    <t>32.2</t>
  </si>
  <si>
    <t>Дата начала ликвидации</t>
  </si>
  <si>
    <t>slStartDt</t>
  </si>
  <si>
    <t>32.3</t>
  </si>
  <si>
    <t>Сумма задолженности на дату утверждения ликвидационного баланса</t>
  </si>
  <si>
    <t>slBalanceOutstanding</t>
  </si>
  <si>
    <t>32.4</t>
  </si>
  <si>
    <t>Дата утверждения ликвидационного баланса</t>
  </si>
  <si>
    <t>slBalanceDt</t>
  </si>
  <si>
    <t>32.5</t>
  </si>
  <si>
    <t>slLastPayOutstanding</t>
  </si>
  <si>
    <t>32.6</t>
  </si>
  <si>
    <t>slLastPaymtDt</t>
  </si>
  <si>
    <t>32.7</t>
  </si>
  <si>
    <t>slTransferCode</t>
  </si>
  <si>
    <t>32.8</t>
  </si>
  <si>
    <t>slLoanIndicator</t>
  </si>
  <si>
    <t>32.9</t>
  </si>
  <si>
    <t>slLoanIndicatorReason</t>
  </si>
  <si>
    <t>32.10</t>
  </si>
  <si>
    <t>slArrCurrency</t>
  </si>
  <si>
    <t>Блок 33. Сведения о взыскании платы за жилое помещение, коммунальные услуги или услуги связи – B33_OTHERLEGAL</t>
  </si>
  <si>
    <t>OtherLegalItemsReply</t>
  </si>
  <si>
    <t>(ℹ) Блок передается только организацией или ФОИВ - взыскателем</t>
  </si>
  <si>
    <t>33.1</t>
  </si>
  <si>
    <t>Код взыскиваемого долга</t>
  </si>
  <si>
    <t>Заполняется по справочнику 5.1.</t>
  </si>
  <si>
    <t>debtCode</t>
  </si>
  <si>
    <t>33.2</t>
  </si>
  <si>
    <t>Наименование суда</t>
  </si>
  <si>
    <t>Наименование суда, который вынес акт.</t>
  </si>
  <si>
    <t>courtName</t>
  </si>
  <si>
    <t>33.3</t>
  </si>
  <si>
    <t>33.4</t>
  </si>
  <si>
    <t>33.5</t>
  </si>
  <si>
    <t>33.6</t>
  </si>
  <si>
    <t>Номер исполнительного документа</t>
  </si>
  <si>
    <t>execNum</t>
  </si>
  <si>
    <t>33.7</t>
  </si>
  <si>
    <t>Дата прекращения взыскания</t>
  </si>
  <si>
    <t>Дата, в которую обязательство субъекта прекратилось.</t>
  </si>
  <si>
    <t>collectEnd</t>
  </si>
  <si>
    <t>33.8</t>
  </si>
  <si>
    <t>Сумма единовременного взыскания</t>
  </si>
  <si>
    <t>Заполняется, если задолженность подлежит погашению единовременно. Значение указанного показателя приводится согласно судебному акту.</t>
  </si>
  <si>
    <t>Если данный показатель заполнен, показатель 33.11 «Сумма периодического взыскания» не заполняется, а по показателю 33.12 «Код частоты платежей» указывается код «7».</t>
  </si>
  <si>
    <t>collectFirstAmt</t>
  </si>
  <si>
    <t>33.9</t>
  </si>
  <si>
    <t>Взысканная сумма</t>
  </si>
  <si>
    <t>Фактически взысканная сумма. Если суммы взыскиваются периодически, по указанному показателю отражается сумма, взысканная за все периоды.</t>
  </si>
  <si>
    <t>Значение указывается по состоянию на ближайшую дату, когда взыскателю была передана какая-либо денежная сумма.</t>
  </si>
  <si>
    <t>collectAmt</t>
  </si>
  <si>
    <t>33.10</t>
  </si>
  <si>
    <t>Ближайшая прошедшая дата, в которую взыскателю была передана какая-либо денежная сумма.</t>
  </si>
  <si>
    <t>calcDt</t>
  </si>
  <si>
    <t>33.11</t>
  </si>
  <si>
    <t>Сумма периодического взыскания</t>
  </si>
  <si>
    <t>Заполняется, если задолженность подлежит погашению периодическими платежами. Значение указанного показателя приводится согласно судебному акту.</t>
  </si>
  <si>
    <t>Если данный показатель заполнен, показатель 33.8 «Сумма единовременного взыскания» не заполняется.</t>
  </si>
  <si>
    <t>collectRegularAmt</t>
  </si>
  <si>
    <t>33.12</t>
  </si>
  <si>
    <t>Частота платежей определяется количеством дней, в которые истекает срок внесения платежа по основному долгу или процентам.</t>
  </si>
  <si>
    <t>frequencyCode</t>
  </si>
  <si>
    <t>33.13</t>
  </si>
  <si>
    <t>Валюта взыскания</t>
  </si>
  <si>
    <t>collectCurrency</t>
  </si>
  <si>
    <t>Сопроводительные сведения</t>
  </si>
  <si>
    <t>Блок 34. Сведения о запросе информации пользователем – B34_INQUIRY</t>
  </si>
  <si>
    <t>InquiryReplyRUTDF</t>
  </si>
  <si>
    <t>(ℹ) Блок заполняет НБКИ, сведения указываются согласно запросу пользователя КИ</t>
  </si>
  <si>
    <t>34.1</t>
  </si>
  <si>
    <t>Код запрошенных сведений</t>
  </si>
  <si>
    <t>Вид сведений, которые пользователь запросил в бюро. Заполняется по справочнику 5.2.</t>
  </si>
  <si>
    <t>inquiryType</t>
  </si>
  <si>
    <t>34.2</t>
  </si>
  <si>
    <t>Дата предоставления сведений</t>
  </si>
  <si>
    <t>inqRespDate</t>
  </si>
  <si>
    <t>34.3</t>
  </si>
  <si>
    <t>Дата запроса</t>
  </si>
  <si>
    <t>inquiryDt</t>
  </si>
  <si>
    <t>34.4</t>
  </si>
  <si>
    <t>Код цели запроса</t>
  </si>
  <si>
    <t>Заполняется по справочнику 5.3.</t>
  </si>
  <si>
    <t>inqPurpose</t>
  </si>
  <si>
    <t>34.5</t>
  </si>
  <si>
    <t>Иная цель запроса</t>
  </si>
  <si>
    <t>Заполняется, если по показателю 34.4 «Код цели запроса» указан код «99».</t>
  </si>
  <si>
    <t>otherInqPurpose</t>
  </si>
  <si>
    <t>34.6</t>
  </si>
  <si>
    <t>Сумма обязательства, в связи с которым сделан запрос</t>
  </si>
  <si>
    <t>Заполняется, если субъект при обращении к пользователю с предложением совершить сделку указал сумму и валюту финансирования или обеспечения. Значение определяется суммой запроса на финансирование или обеспечение</t>
  </si>
  <si>
    <t>inqAmount</t>
  </si>
  <si>
    <t>34.7</t>
  </si>
  <si>
    <t>Валюта обязательства, в связи с которым сделан запрос</t>
  </si>
  <si>
    <t>Заполняется, если субъект при обращении к пользователю с предложением совершить сделку указал сумму и валюту финансирования или обеспечения. Значение определяется валютой запроса на финансирование или обеспечение</t>
  </si>
  <si>
    <t>Блок 35. Сведения о прекращении передачи информации по обязательству – B35_SUBMITHOLD</t>
  </si>
  <si>
    <t>AccountReplyRUTDF/submitHold</t>
  </si>
  <si>
    <t>(ℹ) В случае перехода прав кредитора к другому лицу блок формирует лицо, от которого права перешли</t>
  </si>
  <si>
    <t>35.1</t>
  </si>
  <si>
    <t>Код причины прекращения передачи информации</t>
  </si>
  <si>
    <t>Заполняется по справочнику 5.4.</t>
  </si>
  <si>
    <t>holdCode</t>
  </si>
  <si>
    <t>35.2</t>
  </si>
  <si>
    <t>Дата прекращения передачи информации</t>
  </si>
  <si>
    <t>holdDt</t>
  </si>
  <si>
    <t>Подраздел 2.3. Дополнительная (закрытая) часть КИ</t>
  </si>
  <si>
    <t>Сведения об источнике формирования КИ</t>
  </si>
  <si>
    <t>Блок 36. Сведения об источнике – юридическом лице – B36_SOURCELEGAL</t>
  </si>
  <si>
    <t>(ℹ) Блок не передается источником. Источник инициирует его автоматическое заполнение, исходя из данных, предоставленных им о себе при заключении Договора или при их обновлении. Эти показатели входят в дополнительную (закрытую) часть КИ и предоставляются только лицам, имеющим такое право в соответствии со ст.6 218-ФЗ «О кредитных историях».</t>
  </si>
  <si>
    <t>Если обслуживание денежных требований по договору займа (кредита) осуществляет обслуживающая организация (в случаях, предусмотренных договором между специализированным финансовым обществом (ипотечным агентом) и обслуживающей организацией) в соответствии с частью 54 статьи 5 Федерального закона от 30 декабря 2004 года №218-ФЗ «О кредитных историях», в этом блоке указываются сведения об источнике – специализированном финансовом обществе или ипотечном агенте.</t>
  </si>
  <si>
    <t>36.1</t>
  </si>
  <si>
    <t>Код источника</t>
  </si>
  <si>
    <t>Заполняется по справочнику 6.1.</t>
  </si>
  <si>
    <t>memberTypeCode</t>
  </si>
  <si>
    <t>36.2</t>
  </si>
  <si>
    <t>Код «1» – лицо зарегистрировано на территории Российской Федерации;</t>
  </si>
  <si>
    <t>memberRus</t>
  </si>
  <si>
    <t>36.3</t>
  </si>
  <si>
    <t>Для федерального органа исполнительной власти, уполномоченного на осуществление функций по обеспечению установленного порядка деятельности судов и исполнению судебных актов и актов других органов, указывается наименование подразделения, которому передано непосредственное исполнение судебного акта, по обязательствам из которого формируется КИ.</t>
  </si>
  <si>
    <t>memberFullName</t>
  </si>
  <si>
    <t>36.4</t>
  </si>
  <si>
    <t>memberShortName</t>
  </si>
  <si>
    <t>36.5</t>
  </si>
  <si>
    <t>memberOtherName</t>
  </si>
  <si>
    <t>36.6</t>
  </si>
  <si>
    <t>memberLEI</t>
  </si>
  <si>
    <t>36.7</t>
  </si>
  <si>
    <t>Дата создания источника</t>
  </si>
  <si>
    <t>Дата внесения в ЕГРЮЛ сведений о создании юридического лица.</t>
  </si>
  <si>
    <t>memberStartDt</t>
  </si>
  <si>
    <t>36.8</t>
  </si>
  <si>
    <t>memberRegNum</t>
  </si>
  <si>
    <t>36.9</t>
  </si>
  <si>
    <t>memberTaxpayerIDCode</t>
  </si>
  <si>
    <t>36.10</t>
  </si>
  <si>
    <t>Номер налогоплательщика того вида, который указан по показателю 46.9 «Код номера налогоплательщика».</t>
  </si>
  <si>
    <t>memberTaxpayerID</t>
  </si>
  <si>
    <t>36.11</t>
  </si>
  <si>
    <t>Дата признания источника банкротом</t>
  </si>
  <si>
    <t>memberBankruptDt</t>
  </si>
  <si>
    <t>36.12</t>
  </si>
  <si>
    <t>Дата окончания конкурсного производства</t>
  </si>
  <si>
    <t>memberComp</t>
  </si>
  <si>
    <t>36.13</t>
  </si>
  <si>
    <t>Дата начала ликвидации источника</t>
  </si>
  <si>
    <t>memberLiquidStartDt</t>
  </si>
  <si>
    <t>36.14</t>
  </si>
  <si>
    <t>Дата окончания ликвидации источника</t>
  </si>
  <si>
    <t>memberLiquidEndDt</t>
  </si>
  <si>
    <t>36.15</t>
  </si>
  <si>
    <t>Дата формирования кредитной информации</t>
  </si>
  <si>
    <t>Дата составления документа, содержащего кредитную информацию, из блока HEADER.</t>
  </si>
  <si>
    <t>headerReportingDt</t>
  </si>
  <si>
    <t>Блок 37. Сведения об источнике – физическом лице – B37_SOURCEINDIVID</t>
  </si>
  <si>
    <t>37.1</t>
  </si>
  <si>
    <t>Фамилия</t>
  </si>
  <si>
    <t>memberLastName</t>
  </si>
  <si>
    <t>37.2</t>
  </si>
  <si>
    <t>Имя</t>
  </si>
  <si>
    <t>memberFirstName</t>
  </si>
  <si>
    <t>37.3</t>
  </si>
  <si>
    <t>Отчество</t>
  </si>
  <si>
    <t>Указывается при наличии.</t>
  </si>
  <si>
    <t>memberMiddleName</t>
  </si>
  <si>
    <t>37.4</t>
  </si>
  <si>
    <t>Дата рождения</t>
  </si>
  <si>
    <t>memberBirthDt</t>
  </si>
  <si>
    <t>37.5</t>
  </si>
  <si>
    <t>Место рождения</t>
  </si>
  <si>
    <t>memberPlaceOfBirth</t>
  </si>
  <si>
    <t>37.6</t>
  </si>
  <si>
    <t>Код документа</t>
  </si>
  <si>
    <t>Заполняется по справочнику 1.1.</t>
  </si>
  <si>
    <t>memberIdType</t>
  </si>
  <si>
    <t>37.7</t>
  </si>
  <si>
    <t>Наименование иного документа</t>
  </si>
  <si>
    <t>Заполняется, если по показателю «Код документа» указано «999».</t>
  </si>
  <si>
    <t>memberOtherId</t>
  </si>
  <si>
    <t>37.8</t>
  </si>
  <si>
    <t>Серия документа</t>
  </si>
  <si>
    <t>memberIdSeries</t>
  </si>
  <si>
    <t>37.9</t>
  </si>
  <si>
    <t>Номер документа</t>
  </si>
  <si>
    <t>memberIdNum</t>
  </si>
  <si>
    <t>37.10</t>
  </si>
  <si>
    <t>Дата выдачи документа</t>
  </si>
  <si>
    <t>memberIdIssueDt</t>
  </si>
  <si>
    <t>37.11</t>
  </si>
  <si>
    <t>Кем выдан документ</t>
  </si>
  <si>
    <t>Наименование органа, который выдал документ, удостоверяющий личность.</t>
  </si>
  <si>
    <t>Может не заполняться, если заполнен показатель «Код подразделения» в блоке показателей, содержащем этот показатель.</t>
  </si>
  <si>
    <t>memberIdIssueAuthority</t>
  </si>
  <si>
    <t>37.12</t>
  </si>
  <si>
    <t>Код подразделения</t>
  </si>
  <si>
    <t>Заполняется только для паспорта гражданина Российской Федерации.</t>
  </si>
  <si>
    <t>memberIdDivCode</t>
  </si>
  <si>
    <t>37.13</t>
  </si>
  <si>
    <t>37.14</t>
  </si>
  <si>
    <t>Блок 38. Сведения об источнике – арбитражном управляющем – B38_SOURCEBCOMM</t>
  </si>
  <si>
    <t>2М</t>
  </si>
  <si>
    <t>или</t>
  </si>
  <si>
    <t>ConsumerBankruptcyReplyRUTDF</t>
  </si>
  <si>
    <t>(ℹ) Блок не передается источником. Источник инициирует его автоматическое заполнение, исходя из данных, предоставленных им о себе при заключении Договора или при их обновлении. (кроме показателей 38.8, 38.9, которые должны быть направлены арбитражным управляющим в данном блоке). Эти показатели входят в дополнительную (закрытую) часть КИ и предоставляются только лицам, имеющим такое право в соответствии со ст.6 218-ФЗ «О кредитных историях».</t>
  </si>
  <si>
    <t>38.1</t>
  </si>
  <si>
    <t>38.2</t>
  </si>
  <si>
    <t>38.3</t>
  </si>
  <si>
    <t>38.4</t>
  </si>
  <si>
    <t>38.5</t>
  </si>
  <si>
    <t>38.6</t>
  </si>
  <si>
    <t>Наименование саморегулируемой организации</t>
  </si>
  <si>
    <t>Наименование саморегулируемой организации арбитражных управляющих, членом которой является источник. Сведения по указанному показателю приводятся согласно единому государственному реестру саморегулируемых организаций арбитражных управляющих.</t>
  </si>
  <si>
    <t>memberSRO</t>
  </si>
  <si>
    <t>38.7</t>
  </si>
  <si>
    <t>Адрес саморегулируемой организации</t>
  </si>
  <si>
    <t>Субъект Российской Федерации, муниципальное образование или иная административно-территориальная единица, населенный пункт, элемент улично-дорожной сети (улица), идентификационные элементы объекта адресации (дом)[8]  и иные сведения (помещение, комната).</t>
  </si>
  <si>
    <t>memberSROAddress</t>
  </si>
  <si>
    <t>38.8</t>
  </si>
  <si>
    <t>Дата утверждения арбитражного управляющего</t>
  </si>
  <si>
    <t>memberBCStart</t>
  </si>
  <si>
    <t>38.9</t>
  </si>
  <si>
    <t>Дата прекращения полномочий арбитражного управляющего</t>
  </si>
  <si>
    <t>memberBCEnd</t>
  </si>
  <si>
    <t>38.10</t>
  </si>
  <si>
    <t>38.11</t>
  </si>
  <si>
    <t>Номер налогоплательщика того вида, который указан по показателю 48.10 «Код номера налогоплательщика».</t>
  </si>
  <si>
    <t xml:space="preserve"> если по показателю «Код номера налогоплательщика» указан код «1», по показателю «Номер налогоплательщика» указывается ИНН в соответствии с пунктом 7 статьи 84 Налогового кодекса Российской Федерации (Собрание законодательства Российской Федерации, 1998, № 31, ст. 3824; 2019, № 39, ст. 5375).</t>
  </si>
  <si>
    <t>38.12</t>
  </si>
  <si>
    <t>СНИЛС</t>
  </si>
  <si>
    <t>memberSNILS</t>
  </si>
  <si>
    <t>38.13</t>
  </si>
  <si>
    <t>Сведения о пользователе КИ</t>
  </si>
  <si>
    <t>Блок 39. Сведения о пользователе – юридическом лице – B39_USERLEGAL</t>
  </si>
  <si>
    <t>(ℹ) Показатели 39.1-39.9, 39.13, 39.14 не передаются пользователем. Пользователь инициирует их автоматическое заполнение, исходя из данных, предоставленных им о себе при заключении Договора. Эти показатели входят в дополнительную (закрытую) часть КИ и предоставляются только лицам, имеющим такое право в соответствии со ст.6 218-ФЗ «О кредитных историях».</t>
  </si>
  <si>
    <t>39.1</t>
  </si>
  <si>
    <t>Код пользователя</t>
  </si>
  <si>
    <t>Заполняется по справочнику 6.2.</t>
  </si>
  <si>
    <t>39.2</t>
  </si>
  <si>
    <t>39.3</t>
  </si>
  <si>
    <t>39.4</t>
  </si>
  <si>
    <t>39.5</t>
  </si>
  <si>
    <t>39.6</t>
  </si>
  <si>
    <t>39.7</t>
  </si>
  <si>
    <t>39.8</t>
  </si>
  <si>
    <t>39.9</t>
  </si>
  <si>
    <t>Номер налогоплательщика того вида, который указан по показателю 49.8 «Код номера налогоплательщика».</t>
  </si>
  <si>
    <t>39.10</t>
  </si>
  <si>
    <t>Признак мониторинга изменения КИ</t>
  </si>
  <si>
    <t>Код «1» – пользователю оказывается услуга по мониторингу изменения КИ субъекта;</t>
  </si>
  <si>
    <t>memberMonitor</t>
  </si>
  <si>
    <t>39.11</t>
  </si>
  <si>
    <t>Дата начала мониторинга изменения КИ</t>
  </si>
  <si>
    <t>memberMonitorStartDt</t>
  </si>
  <si>
    <t>39.12</t>
  </si>
  <si>
    <t>Аналогично 34.1.</t>
  </si>
  <si>
    <t>39.13</t>
  </si>
  <si>
    <t>Аналогично 34.2.</t>
  </si>
  <si>
    <t>39.14</t>
  </si>
  <si>
    <t>Аналогично 34.3.</t>
  </si>
  <si>
    <t>39.15</t>
  </si>
  <si>
    <t>Аналогично 34.4.</t>
  </si>
  <si>
    <t>39.16</t>
  </si>
  <si>
    <t>Аналогично 34.5.</t>
  </si>
  <si>
    <t>39.17</t>
  </si>
  <si>
    <t>Аналогично 34.6.</t>
  </si>
  <si>
    <t>39.18</t>
  </si>
  <si>
    <t>Аналогично 34.7.</t>
  </si>
  <si>
    <t>Блок 40. Сведения о пользователе – индивидуальном предпринимателе – B40_USERENTREP</t>
  </si>
  <si>
    <t>(ℹ) Показатели 40.1-40.16, 40.20, 40.21 не передаются пользователем. Пользователь инициирует их автоматическое заполнение, исходя из данных, предоставленных им о себе при заключении Договора. Эти показатели входят в дополнительную (закрытую) часть КИ и предоставляются только лицам, имеющим такое право в соответствии со ст.6 218-ФЗ «О кредитных историях».</t>
  </si>
  <si>
    <t>40.1</t>
  </si>
  <si>
    <t xml:space="preserve">Фамилия </t>
  </si>
  <si>
    <t>40.2</t>
  </si>
  <si>
    <t>40.3</t>
  </si>
  <si>
    <t>40.4</t>
  </si>
  <si>
    <t>40.5</t>
  </si>
  <si>
    <t>40.6</t>
  </si>
  <si>
    <t>40.7</t>
  </si>
  <si>
    <t>40.8</t>
  </si>
  <si>
    <t>Номер налогоплательщика того вида, который указан по показателю 40.7 «Код номера налогоплательщика».</t>
  </si>
  <si>
    <t>40.9</t>
  </si>
  <si>
    <t>40.10</t>
  </si>
  <si>
    <t>40.11</t>
  </si>
  <si>
    <t>40.12</t>
  </si>
  <si>
    <t>40.13</t>
  </si>
  <si>
    <t>40.14</t>
  </si>
  <si>
    <t>40.15</t>
  </si>
  <si>
    <t>40.16</t>
  </si>
  <si>
    <t>40.17</t>
  </si>
  <si>
    <t>код «1» – пользователю оказывается услуга по мониторингу изменения КИ субъекта;</t>
  </si>
  <si>
    <t>40.18</t>
  </si>
  <si>
    <t>40.19</t>
  </si>
  <si>
    <t>40.20</t>
  </si>
  <si>
    <t>40.21</t>
  </si>
  <si>
    <t>40.22</t>
  </si>
  <si>
    <t>40.23</t>
  </si>
  <si>
    <t>40.24</t>
  </si>
  <si>
    <t>40.25</t>
  </si>
  <si>
    <t>Сведения о приобретателе прав кредитора и обслуживающей организации</t>
  </si>
  <si>
    <t>Блок 41. Сведения о приобретателе прав – юридическом лице – B41_ACQUIRERLEGAL</t>
  </si>
  <si>
    <t>AccountReplyRUTDF/acquirerLegal</t>
  </si>
  <si>
    <t>(ℹ) Блок входит в дополнительную (закрытую) часть КИ и предоставляются только лицам, имеющим такое право в соответствии со ст.6 218-ФЗ «О кредитных историях».</t>
  </si>
  <si>
    <t>41.1</t>
  </si>
  <si>
    <t>Код приобретателя прав</t>
  </si>
  <si>
    <t>Заполняется по справочнику 6.3.</t>
  </si>
  <si>
    <t>rightOfClaimCode</t>
  </si>
  <si>
    <t>41.2</t>
  </si>
  <si>
    <t>rightOfClaimRus</t>
  </si>
  <si>
    <t>41.3</t>
  </si>
  <si>
    <t>2, только если не заполнен 51.7</t>
  </si>
  <si>
    <t>rightOfClaimFullName</t>
  </si>
  <si>
    <t>41.4</t>
  </si>
  <si>
    <t>rightOfClaimName</t>
  </si>
  <si>
    <t>41.5</t>
  </si>
  <si>
    <t>rightOfClaimOtherName</t>
  </si>
  <si>
    <t>41.6</t>
  </si>
  <si>
    <t>rightOfClaimLEI</t>
  </si>
  <si>
    <t>41.7</t>
  </si>
  <si>
    <t>rightOfClaimRegNum</t>
  </si>
  <si>
    <t>41.8</t>
  </si>
  <si>
    <t>rightOfClaimTaxCode</t>
  </si>
  <si>
    <t>41.9</t>
  </si>
  <si>
    <t>Номер налогоплательщика того вида, который указан по показателю 41.8 «Код номера налогоплательщика».</t>
  </si>
  <si>
    <t>rightOfClaimTaxNum</t>
  </si>
  <si>
    <t>41.10</t>
  </si>
  <si>
    <t>Дата приобретения прав</t>
  </si>
  <si>
    <t>Дата перехода прав кредитора к приобретателю.</t>
  </si>
  <si>
    <t>rightOfClaimDt</t>
  </si>
  <si>
    <t>Блок 42. Сведения о приобретателе прав – физическом лице – B42_ACQUIRERINDIVID</t>
  </si>
  <si>
    <t>AccountReplyRUTDF/acquirerIndivid</t>
  </si>
  <si>
    <t>42.1</t>
  </si>
  <si>
    <t>rightOfClaimLastName</t>
  </si>
  <si>
    <t>42.2</t>
  </si>
  <si>
    <t>rightOfClaimFirstName</t>
  </si>
  <si>
    <t>42.3</t>
  </si>
  <si>
    <t>rightOfClaimMiddleName</t>
  </si>
  <si>
    <t>42.4</t>
  </si>
  <si>
    <t>rightOfClaimBirthDt</t>
  </si>
  <si>
    <t>42.5</t>
  </si>
  <si>
    <t>rightOfClaimPlaceOfBirth</t>
  </si>
  <si>
    <t>42.6</t>
  </si>
  <si>
    <t>rightOfClaimTaxpayerIDCode</t>
  </si>
  <si>
    <t>42.7</t>
  </si>
  <si>
    <t>Номер налогоплательщика того вида, который указан по показателю 42.6 «Код номера налогоплательщика».</t>
  </si>
  <si>
    <t>rightOfClaimTaxpayerID</t>
  </si>
  <si>
    <t>42.8</t>
  </si>
  <si>
    <t>rightOfClaimSNILS</t>
  </si>
  <si>
    <t>42.9</t>
  </si>
  <si>
    <t>rightOfClaimIdType</t>
  </si>
  <si>
    <t>42.10</t>
  </si>
  <si>
    <t>rightOfClaimOtherId</t>
  </si>
  <si>
    <t>42.11</t>
  </si>
  <si>
    <t>rightOfClaimIdSeries</t>
  </si>
  <si>
    <t>42.12</t>
  </si>
  <si>
    <t>rightOfClaimIdNum</t>
  </si>
  <si>
    <t>42.13</t>
  </si>
  <si>
    <t>rightOfClaimIdIssueDt</t>
  </si>
  <si>
    <t>42.14</t>
  </si>
  <si>
    <t>rightOfClaimIdIssueAuthority</t>
  </si>
  <si>
    <t>42.15</t>
  </si>
  <si>
    <t>rightOfClaimIdDivCode</t>
  </si>
  <si>
    <t>42.16</t>
  </si>
  <si>
    <t>Блок 43. Сведения об обслуживающей организации – B43_SERVICECO</t>
  </si>
  <si>
    <t>AccountReplyRUTDF/serviceCo</t>
  </si>
  <si>
    <t>(ℹ) В блоке указываются сведения об организации, которая на основании договора обслуживает уступленные специализированному финансовому обществу или ипотечному агенту денежные требования по договору займа (кредита).</t>
  </si>
  <si>
    <t>Блок входит в дополнительную (закрытую) часть КИ и предоставляются только лицам, имеющим такое право в соответствии со ст.6 218-ФЗ «О кредитных историях».</t>
  </si>
  <si>
    <t>43.1</t>
  </si>
  <si>
    <t>servRus</t>
  </si>
  <si>
    <t>43.2</t>
  </si>
  <si>
    <t>2, только если не заполнено 43.5</t>
  </si>
  <si>
    <t>servFullName</t>
  </si>
  <si>
    <t>43.3</t>
  </si>
  <si>
    <t>servShortName</t>
  </si>
  <si>
    <t>43.4</t>
  </si>
  <si>
    <t>servOtherName</t>
  </si>
  <si>
    <t>43.5</t>
  </si>
  <si>
    <t>Регистрационный номер обслуживающей организации</t>
  </si>
  <si>
    <t>servRegNum</t>
  </si>
  <si>
    <t>43.6</t>
  </si>
  <si>
    <t>servTaxpayerIDCode</t>
  </si>
  <si>
    <t>43.7</t>
  </si>
  <si>
    <t>Номер налогоплательщика того вида, который указан по показателю 43.6 «Код номера налогоплательщика».</t>
  </si>
  <si>
    <t>servTaxpayerID</t>
  </si>
  <si>
    <t>43.8</t>
  </si>
  <si>
    <t>Дата начала действия договора обслуживания</t>
  </si>
  <si>
    <t>servStartDt</t>
  </si>
  <si>
    <t>43.9</t>
  </si>
  <si>
    <t>Дата окончания действия договора обслуживания</t>
  </si>
  <si>
    <t>Последний день срока действия договора – если договор действует и содержит такой срок;</t>
  </si>
  <si>
    <t>дата фактического прекращения действия договора – если договор прекратил действие.</t>
  </si>
  <si>
    <t>В иных случаях показатель не заполняется.</t>
  </si>
  <si>
    <t>servEndDt</t>
  </si>
  <si>
    <t>43.10</t>
  </si>
  <si>
    <t>Наименование эмитента</t>
  </si>
  <si>
    <t>Сведения об эмитенте облигаций, которые обеспечены залогом обслуживаемых денежных требований.</t>
  </si>
  <si>
    <t>servEmitentName</t>
  </si>
  <si>
    <t>43.11</t>
  </si>
  <si>
    <t>Регистрационный номер эмитента</t>
  </si>
  <si>
    <t>servEmitentRegNum</t>
  </si>
  <si>
    <t>Сведения об учете обязательства</t>
  </si>
  <si>
    <t>Блок 44. Сведения об учете обязательства, о льготном финансировании с государственной поддержкой и процентной ставке – B44_OBLIGACCOUNT</t>
  </si>
  <si>
    <t>44.1</t>
  </si>
  <si>
    <t>Признак учета обязательства</t>
  </si>
  <si>
    <t>Код «1» – обязательство учтено у источника на балансовых счетах;</t>
  </si>
  <si>
    <t>код «0» – обстоятельство кода «1» отсутствует, в том числе в случае, если обязательство частично учтено на внебалансовых счетах.</t>
  </si>
  <si>
    <t>obligAccountCode</t>
  </si>
  <si>
    <t>44.2</t>
  </si>
  <si>
    <t>Процентная ставка</t>
  </si>
  <si>
    <t>Значение процентной ставки в соответствии с условиями сделки.</t>
  </si>
  <si>
    <t>intRate</t>
  </si>
  <si>
    <t>44.3</t>
  </si>
  <si>
    <t>Сумма обязательства, учтенная на внебалансовых счетах</t>
  </si>
  <si>
    <t>Заполняется в случае, если по показателю 44.1 «Признак учета обязательства» указан код «0».</t>
  </si>
  <si>
    <t>Сумма обязательства, которая учтена на внебалансовых счетах источника.</t>
  </si>
  <si>
    <t>offbalanceAmt</t>
  </si>
  <si>
    <t>44.4</t>
  </si>
  <si>
    <t>Признак льготного финансирования с государственной поддержкой</t>
  </si>
  <si>
    <t>код «1» – в случае если заем (кредит) или предмет лизинга получен субъектом в рамках программы льготного финансирования с государственной поддержкой;</t>
  </si>
  <si>
    <t>preferenFinanc</t>
  </si>
  <si>
    <t>44.5</t>
  </si>
  <si>
    <t>Информация о программе государственной поддержки</t>
  </si>
  <si>
    <t>Регистрационный номер, дата и наименование нормативного акта, которым утверждена программа льготного финансирования с государственной поддержкой.</t>
  </si>
  <si>
    <t>preferenFinancInfo</t>
  </si>
  <si>
    <t>Подраздел 2.4. Информационная часть КИ</t>
  </si>
  <si>
    <t>Сведения о предложении совершить сделку и об участии в обязательстве</t>
  </si>
  <si>
    <t>Блок 45. Сведения об обращении – B45_APPLICATION</t>
  </si>
  <si>
    <t>InformationPartReplyRUTDF</t>
  </si>
  <si>
    <t>(ℹ) Если обращение перешло в стадию рассмотрения «4» либо по истечении 10 рабочих дней со дня окончания указанного в показателе 45.8 срока в бюро не поступили сведения о заключении договора, НБКИ исключает из КИ информацию об обращении (в течение 2 рабочих дней).</t>
  </si>
  <si>
    <t>(ℹ) Если за один день произошло несколько переходов из одной стадии рассмотрения обращения в другую, то передать их в одном файле с соответствующими событиями и в порядке наступления этих событий в этот день.</t>
  </si>
  <si>
    <t>45.1</t>
  </si>
  <si>
    <t>requestedFlagIndicatorCode</t>
  </si>
  <si>
    <t>45.2</t>
  </si>
  <si>
    <t>Сумма запрошенного займа (кредита), лизинга или обеспечения</t>
  </si>
  <si>
    <t>requestedAmt</t>
  </si>
  <si>
    <t>45.3</t>
  </si>
  <si>
    <t>Запрошенная валюта обязательства</t>
  </si>
  <si>
    <t>requestedCurrencyCode</t>
  </si>
  <si>
    <t>45.4</t>
  </si>
  <si>
    <t>УИд обращения</t>
  </si>
  <si>
    <t>УИд, который присваивается обращению по правилам, установленным приложением 2 к Положению Банка России «О порядке формирования кредитной истории» для присвоения УИд сделке.</t>
  </si>
  <si>
    <t>Если по этому обращению совершена сделка, то значение поля должно соответствовать показателю 10.1 «УИд сделки».</t>
  </si>
  <si>
    <t>Если УИд не присваивался, то укажите его произвольный уникальный идентификатор в показателе 45.14 «Номер обращения».</t>
  </si>
  <si>
    <t>УИд обязателен для всех обращений, показатель «Дата обращения» по которым больше или равен 01.11.2022. Недопустимо указание символа дефиса вместо значения.</t>
  </si>
  <si>
    <t>applicationNumber</t>
  </si>
  <si>
    <t>45.5</t>
  </si>
  <si>
    <t>Дата обращения</t>
  </si>
  <si>
    <t>applicationDate</t>
  </si>
  <si>
    <t>45.6</t>
  </si>
  <si>
    <t>creditorTypeCode</t>
  </si>
  <si>
    <t>45.7</t>
  </si>
  <si>
    <t>Код способа обращения</t>
  </si>
  <si>
    <t>Заполняется кодом 6, 7 или 8 по справочнику 6.4.1.</t>
  </si>
  <si>
    <t>applicationShipmentCode</t>
  </si>
  <si>
    <t>45.8</t>
  </si>
  <si>
    <t>Дата окончания действия инвестиционного предложения, одобрения обращения (оферты кредитора)</t>
  </si>
  <si>
    <t>Заполняется для инвестиционного предложения или оферты кредитора со сроком для ее акцепта и принятом решении об одобрении.</t>
  </si>
  <si>
    <t>approvalExpireDate</t>
  </si>
  <si>
    <t>45.9</t>
  </si>
  <si>
    <t>Дата окончания срока рассмотрения обращения</t>
  </si>
  <si>
    <t>Плановая дата окончания срока рассмотрения источником обращения.</t>
  </si>
  <si>
    <t>В случае если по истечении 5 календарных дней со дня окончания указанного по показателю 45.9 срока в бюро не поступили сведения об изменении стадии рассмотрения обращения, НБКИ должно исключить из КИ информацию об обращении.</t>
  </si>
  <si>
    <t>considerationShipmentDate</t>
  </si>
  <si>
    <t>45.10</t>
  </si>
  <si>
    <t>Код цели запрошенного займа (кредита)</t>
  </si>
  <si>
    <t>Заполняется по справочнику 2.4</t>
  </si>
  <si>
    <t>При наличии нескольких целей займа (кредита) значения указываются через запятую45.</t>
  </si>
  <si>
    <t>requestloanCode37</t>
  </si>
  <si>
    <t>45.11</t>
  </si>
  <si>
    <t>Код стадии рассмотрения обращения</t>
  </si>
  <si>
    <t>Заполняется по справочнику 6.4.2</t>
  </si>
  <si>
    <t>considerationShipmentCode</t>
  </si>
  <si>
    <t>45.12</t>
  </si>
  <si>
    <t>Дата перехода обращения в текущую стадию рассмотрения</t>
  </si>
  <si>
    <t>Дата, в которую рассмотрение обращения перешло к стадии, указанной по показателю 45.11 «Код стадии рассмотрения обращения».</t>
  </si>
  <si>
    <t>transitDate</t>
  </si>
  <si>
    <t>45.13</t>
  </si>
  <si>
    <t>Код вида обращения</t>
  </si>
  <si>
    <t>Заполняется по справочнику 6.4</t>
  </si>
  <si>
    <t>applicationCode</t>
  </si>
  <si>
    <t>45.14</t>
  </si>
  <si>
    <t>Номер обращения</t>
  </si>
  <si>
    <t>Номер обращения, присвоенный источником.</t>
  </si>
  <si>
    <t>oldAppNum</t>
  </si>
  <si>
    <t>Блок 46. Сведения об участии в обязательстве, по которому формируется КИ – B46_OBLIGPARTTAKE</t>
  </si>
  <si>
    <t>(ℹ) Блок формируется, если на основании сделки субъекту переданы сумма займа (кредита) или предмет лизинга либо возникло обеспечение</t>
  </si>
  <si>
    <t>Для требований о взыскании платы за жилое помещение, коммунальные услуги или услуги связи в блоке 46 заполняются только показатели 46.1, 46.5 и 46.6.</t>
  </si>
  <si>
    <t>Если показатель 46.3 не заполнен, то в качестве ключа используется показатель 46.4. Если и он не заполнен, укажите произвольный уникальный идентификатор сведений об участии в обязательстве в показателе 0.4 блока 0_GROUPHEADER как значение ключа obligpt_num. Идентификатор будет использован как ключевое поле.</t>
  </si>
  <si>
    <t>46.1</t>
  </si>
  <si>
    <t>flagIndicatorCode</t>
  </si>
  <si>
    <t>46.2</t>
  </si>
  <si>
    <t>approvedLoanTypeCode</t>
  </si>
  <si>
    <t>46.3</t>
  </si>
  <si>
    <t>Значение должно соответствовать одному из значений показателя 10.1 «УИд сделки». Недопустимо указание символа дефиса вместо значения.</t>
  </si>
  <si>
    <t>agreementNumber</t>
  </si>
  <si>
    <t>46.4</t>
  </si>
  <si>
    <t>Должно совпадать со значением показателя 16.1.</t>
  </si>
  <si>
    <t>fundDt</t>
  </si>
  <si>
    <t>46.5</t>
  </si>
  <si>
    <t>Признак просрочки должника более 90 дней</t>
  </si>
  <si>
    <t>Код «1» – должник нарушил срок платежа по займу или лизингу более чем на 90 календарных дней;</t>
  </si>
  <si>
    <t>Продолжительность просрочки определяется методом ФИФО. Значение данного показателя должно соответствовать продолжительности просрочки, которая указана по показателю 20.12 «Продолжительность просрочки».</t>
  </si>
  <si>
    <t>defaultFlag</t>
  </si>
  <si>
    <t>46.6</t>
  </si>
  <si>
    <t>Код «1» – взаимные обязательства субъекта и источника прекращены (независимо от основания);</t>
  </si>
  <si>
    <t>Блок 47. Сведения об отказе источника от предложения совершить сделку – B47_APPLREJECT</t>
  </si>
  <si>
    <t>47.1</t>
  </si>
  <si>
    <t>Дата отказа</t>
  </si>
  <si>
    <t>rejectedDate</t>
  </si>
  <si>
    <t>47.2</t>
  </si>
  <si>
    <t>Код причины отказа</t>
  </si>
  <si>
    <t>Заполняется по справочнику 6.5. При наличии нескольких причин значения указываются через запятую.</t>
  </si>
  <si>
    <t>rejectedReasonCode</t>
  </si>
  <si>
    <t>1.1</t>
  </si>
  <si>
    <t>1.2</t>
  </si>
  <si>
    <t>1.3</t>
  </si>
  <si>
    <t>1.4</t>
  </si>
  <si>
    <t>1.5</t>
  </si>
  <si>
    <t>2.1</t>
  </si>
  <si>
    <t>2.2</t>
  </si>
  <si>
    <t>2.4</t>
  </si>
  <si>
    <t>2.5</t>
  </si>
  <si>
    <t>2.6</t>
  </si>
  <si>
    <t>2.7</t>
  </si>
  <si>
    <t>2.8</t>
  </si>
  <si>
    <t>2.9</t>
  </si>
  <si>
    <t>2.10</t>
  </si>
  <si>
    <t>2.11</t>
  </si>
  <si>
    <t>2.12</t>
  </si>
  <si>
    <t>2.13</t>
  </si>
  <si>
    <t>2.14</t>
  </si>
  <si>
    <t>3.1</t>
  </si>
  <si>
    <t>3.2</t>
  </si>
  <si>
    <t>4.1</t>
  </si>
  <si>
    <t>4.2</t>
  </si>
  <si>
    <t>5.1</t>
  </si>
  <si>
    <t>5.2</t>
  </si>
  <si>
    <t>5.3</t>
  </si>
  <si>
    <t>5.4</t>
  </si>
  <si>
    <t>5.5</t>
  </si>
  <si>
    <t>5.6</t>
  </si>
  <si>
    <t>6.1</t>
  </si>
  <si>
    <t>6.2</t>
  </si>
  <si>
    <t>6.3</t>
  </si>
  <si>
    <t>6.4</t>
  </si>
  <si>
    <t>6.5</t>
  </si>
  <si>
    <t>6.6</t>
  </si>
  <si>
    <t>6.7</t>
  </si>
  <si>
    <t>6.8</t>
  </si>
  <si>
    <t>6.9</t>
  </si>
  <si>
    <t>7.1</t>
  </si>
  <si>
    <t>7.2</t>
  </si>
  <si>
    <t>8.1</t>
  </si>
  <si>
    <t>8.2</t>
  </si>
  <si>
    <t>8.3</t>
  </si>
  <si>
    <t>8.4</t>
  </si>
  <si>
    <t>9.1</t>
  </si>
  <si>
    <t>9.2</t>
  </si>
  <si>
    <t>10.1</t>
  </si>
  <si>
    <t>10.2</t>
  </si>
  <si>
    <t>11.1</t>
  </si>
  <si>
    <t>11.2</t>
  </si>
  <si>
    <t>11.3</t>
  </si>
  <si>
    <t>11.4</t>
  </si>
  <si>
    <t>11.5</t>
  </si>
  <si>
    <t>11.6</t>
  </si>
  <si>
    <t>11.7</t>
  </si>
  <si>
    <t>11.8</t>
  </si>
  <si>
    <t>11.9</t>
  </si>
  <si>
    <t>11.10</t>
  </si>
  <si>
    <t>11.11</t>
  </si>
  <si>
    <t>11.12</t>
  </si>
  <si>
    <t>11.13</t>
  </si>
  <si>
    <t>11.14</t>
  </si>
  <si>
    <t>11.15</t>
  </si>
  <si>
    <t>11.16</t>
  </si>
  <si>
    <t>11.17</t>
  </si>
  <si>
    <t>12.1</t>
  </si>
  <si>
    <t>12.2</t>
  </si>
  <si>
    <t>12.3</t>
  </si>
  <si>
    <t>12.4</t>
  </si>
  <si>
    <t>12.5</t>
  </si>
  <si>
    <t>12.6</t>
  </si>
  <si>
    <t>12.7</t>
  </si>
  <si>
    <t>13.1</t>
  </si>
  <si>
    <t>13.2</t>
  </si>
  <si>
    <t>14.1</t>
  </si>
  <si>
    <t>14.2</t>
  </si>
  <si>
    <t>14.3</t>
  </si>
  <si>
    <t>14.4</t>
  </si>
  <si>
    <t>14.5</t>
  </si>
  <si>
    <t>14.6</t>
  </si>
  <si>
    <t>14.7</t>
  </si>
  <si>
    <t>14.8</t>
  </si>
  <si>
    <t>14.9</t>
  </si>
  <si>
    <t>15.1</t>
  </si>
  <si>
    <t>15.2</t>
  </si>
  <si>
    <t>15.3</t>
  </si>
  <si>
    <t>15.4</t>
  </si>
  <si>
    <t>15.5</t>
  </si>
  <si>
    <t>15.6</t>
  </si>
  <si>
    <t>15.7</t>
  </si>
  <si>
    <t>15.8</t>
  </si>
  <si>
    <t>15.9</t>
  </si>
  <si>
    <t>15.10</t>
  </si>
  <si>
    <t>16.1</t>
  </si>
  <si>
    <t>16.2</t>
  </si>
  <si>
    <t>17.1</t>
  </si>
  <si>
    <t>17.2</t>
  </si>
  <si>
    <t>17.3</t>
  </si>
  <si>
    <t>17.4</t>
  </si>
  <si>
    <t>17.5</t>
  </si>
  <si>
    <t>17.6</t>
  </si>
  <si>
    <t>17.7</t>
  </si>
  <si>
    <t>17.8</t>
  </si>
  <si>
    <t>18.1</t>
  </si>
  <si>
    <t>18.2</t>
  </si>
  <si>
    <t>18.3</t>
  </si>
  <si>
    <t>18.4</t>
  </si>
  <si>
    <t>18.5</t>
  </si>
  <si>
    <t>18.6</t>
  </si>
  <si>
    <t>18.7</t>
  </si>
  <si>
    <t>19.1</t>
  </si>
  <si>
    <t>19.2</t>
  </si>
  <si>
    <t>19.3</t>
  </si>
  <si>
    <t>19.4</t>
  </si>
  <si>
    <t>19.5</t>
  </si>
  <si>
    <t>19.6</t>
  </si>
  <si>
    <t>19.7</t>
  </si>
  <si>
    <t>19.8</t>
  </si>
  <si>
    <t>19.9</t>
  </si>
  <si>
    <t>20.1</t>
  </si>
  <si>
    <t>20.2</t>
  </si>
  <si>
    <t>20.3</t>
  </si>
  <si>
    <t>20.4</t>
  </si>
  <si>
    <t>20.5</t>
  </si>
  <si>
    <t>20.6</t>
  </si>
  <si>
    <t>20.7</t>
  </si>
  <si>
    <t>20.8</t>
  </si>
  <si>
    <t>20.9</t>
  </si>
  <si>
    <t>20.10</t>
  </si>
  <si>
    <t>20.11</t>
  </si>
  <si>
    <t>20.12</t>
  </si>
  <si>
    <t>21.1</t>
  </si>
  <si>
    <t>21.2</t>
  </si>
  <si>
    <t>21.3</t>
  </si>
  <si>
    <t>21.4</t>
  </si>
  <si>
    <t>21.5</t>
  </si>
  <si>
    <t>22.2</t>
  </si>
  <si>
    <t>22.3</t>
  </si>
  <si>
    <t>22.4</t>
  </si>
  <si>
    <t>22.5</t>
  </si>
  <si>
    <t>23.1</t>
  </si>
  <si>
    <t>23.2</t>
  </si>
  <si>
    <t>23.3</t>
  </si>
  <si>
    <t>23.4</t>
  </si>
  <si>
    <t>23.5</t>
  </si>
  <si>
    <t>23.6</t>
  </si>
  <si>
    <t>23.7</t>
  </si>
  <si>
    <t>23.8</t>
  </si>
  <si>
    <t>23.9</t>
  </si>
  <si>
    <t>23.10</t>
  </si>
  <si>
    <t>23.11</t>
  </si>
  <si>
    <t>23.12</t>
  </si>
  <si>
    <t>24.1</t>
  </si>
  <si>
    <t>24.2</t>
  </si>
  <si>
    <t>24.3</t>
  </si>
  <si>
    <t>24.4</t>
  </si>
  <si>
    <t>24.5</t>
  </si>
  <si>
    <t>24.6</t>
  </si>
  <si>
    <t>24.7</t>
  </si>
  <si>
    <t>24.8</t>
  </si>
  <si>
    <t>25.1</t>
  </si>
  <si>
    <t>25.2</t>
  </si>
  <si>
    <t>25.3</t>
  </si>
  <si>
    <t>25.4</t>
  </si>
  <si>
    <t>25.5</t>
  </si>
  <si>
    <t>25.6</t>
  </si>
  <si>
    <t>25.7</t>
  </si>
  <si>
    <t>25.8</t>
  </si>
  <si>
    <t>26.1</t>
  </si>
  <si>
    <t>26.2</t>
  </si>
  <si>
    <t>26.3</t>
  </si>
  <si>
    <t>26.4</t>
  </si>
  <si>
    <t>26.5</t>
  </si>
  <si>
    <t>26.6</t>
  </si>
  <si>
    <t>26.7</t>
  </si>
  <si>
    <t>26.8</t>
  </si>
  <si>
    <t>26.9</t>
  </si>
  <si>
    <t>27.1</t>
  </si>
  <si>
    <t>27.2</t>
  </si>
  <si>
    <t>27.3</t>
  </si>
  <si>
    <t>27.4</t>
  </si>
  <si>
    <t>28.1</t>
  </si>
  <si>
    <t>28.2</t>
  </si>
  <si>
    <t>28.3</t>
  </si>
  <si>
    <t>28.4</t>
  </si>
  <si>
    <t>28.5</t>
  </si>
  <si>
    <t>29.1</t>
  </si>
  <si>
    <t>29.2</t>
  </si>
  <si>
    <t>30.1</t>
  </si>
  <si>
    <t>30.3</t>
  </si>
  <si>
    <t>30.4</t>
  </si>
  <si>
    <t>30.5</t>
  </si>
  <si>
    <t>30.6</t>
  </si>
  <si>
    <t>31.1</t>
  </si>
  <si>
    <t>31.3</t>
  </si>
  <si>
    <t>31.5</t>
  </si>
  <si>
    <t>31.7</t>
  </si>
  <si>
    <t>31.8</t>
  </si>
  <si>
    <t>31.10</t>
  </si>
  <si>
    <t>Имя блока</t>
  </si>
  <si>
    <t>Номер блока</t>
  </si>
  <si>
    <t>блок</t>
  </si>
  <si>
    <t>блок/счет</t>
  </si>
  <si>
    <t>итог</t>
  </si>
  <si>
    <t>"B1_NAME", 5</t>
  </si>
  <si>
    <t>"B2_ADDR", 14</t>
  </si>
  <si>
    <t>"B3_REGNUM", 2</t>
  </si>
  <si>
    <t>"B4_TAXPAYERID", 2</t>
  </si>
  <si>
    <t>"B5_REORG", 6</t>
  </si>
  <si>
    <t>"B6_BANKRUPTCY", 9</t>
  </si>
  <si>
    <t>"B7_SETTLED", 2</t>
  </si>
  <si>
    <t>"B8_PREVCRED", 4</t>
  </si>
  <si>
    <t>"B9_SCORE", 2</t>
  </si>
  <si>
    <t>"B10_UID", 2</t>
  </si>
  <si>
    <t>"B11_TRADE", 9</t>
  </si>
  <si>
    <t>"B12_ACCOUNTAMT", 7</t>
  </si>
  <si>
    <t>"B13_COBORROWER", 2</t>
  </si>
  <si>
    <t>"B14_PAYMTCONDITION", 9</t>
  </si>
  <si>
    <t>"B15_AMENDMENT", 9</t>
  </si>
  <si>
    <t>"B16_FUNDDATE", 2</t>
  </si>
  <si>
    <t>"B17_ARREAR", 8</t>
  </si>
  <si>
    <t>"B18_DUEARREAR", 7</t>
  </si>
  <si>
    <t>"B19_PASTDUEARREAR", 9</t>
  </si>
  <si>
    <t>"B20_PAYMT", 9</t>
  </si>
  <si>
    <t>"B21_SOURCENONMONETOBLIG", 5</t>
  </si>
  <si>
    <t>"B22_SUBJECTNONMONETOBLIG", 5</t>
  </si>
  <si>
    <t>"B23_COLLATERAL", 9</t>
  </si>
  <si>
    <t>"B24_GUARANTOR", 8</t>
  </si>
  <si>
    <t>"B25_INDEPGUARANTOR", 8</t>
  </si>
  <si>
    <t>"B26_COLLATINSURED", 9</t>
  </si>
  <si>
    <t>"B27_COLLATREPAY", 4</t>
  </si>
  <si>
    <t>"B28_GUARANTEEREPAY", 5</t>
  </si>
  <si>
    <t>"B29_OBLIGTERMINATION", 2</t>
  </si>
  <si>
    <t>"B30_LEGALRECORD", 6</t>
  </si>
  <si>
    <t>"B31_OBLIGSRCBANKRUPT", 9</t>
  </si>
  <si>
    <t>"B32_OBLIGSRCLIQUID", 9</t>
  </si>
  <si>
    <t>"B33_OTHERLEGAL", 9</t>
  </si>
  <si>
    <t>"B34_INQUIRY", 7</t>
  </si>
  <si>
    <t>"B35_SUBMITHOLD", 2</t>
  </si>
  <si>
    <t>"B36_SOURCELEGAL", 9</t>
  </si>
  <si>
    <t>"B37_SOURCEINDIVID", 9</t>
  </si>
  <si>
    <t>"B38_SOURCEBCOMM", 9</t>
  </si>
  <si>
    <t>"B39_USERLEGAL", 9</t>
  </si>
  <si>
    <t>"B40_USERENTREP", 9</t>
  </si>
  <si>
    <t>"B41_ACQUIRERLEGAL", 9</t>
  </si>
  <si>
    <t>"B42_ACQUIRERINDIVID", 9</t>
  </si>
  <si>
    <t>"B43_SERVICECO", 9</t>
  </si>
  <si>
    <t>"B44_OBLIGACCOUNT", 5</t>
  </si>
  <si>
    <t>"B45_APPLICATION", 9</t>
  </si>
  <si>
    <t>"B46_OBLIGPARTTAKE", 6</t>
  </si>
  <si>
    <t>"B47_APPLREJECT", 2</t>
  </si>
  <si>
    <t>"B1_NAME", 5, "B2_ADDR", 14, "B3_REGNUM", 2, "B4_TAXPAYERID", 2, "B5_REORG", 6 _
, "B6_BANKRUPTCY", 9, "B7_SETTLED", 2, "B8_PREVCRED", 4, "B9_SCORE", 2, "B10_UID", 2 _
, "B11_TRADE", 9, "B12_ACCOUNTAMT", 7, "B13_COBORROWER", 2, "B14_PAYMTCONDITION", 9, "B15_AMENDMENT", 9 _
, "B16_FUNDDATE", 2, "B17_ARREAR", 8, "B18_DUEARREAR", 7, "B19_PASTDUEARREAR", 9, "B20_PAYMT", 9 _
, "B21_SOURCENONMONETOBLIG", 5, "B22_SUBJECTNONMONETOBLIG", 5, "B23_COLLATERAL", 9, "B24_GUARANTOR", 8, "B25_INDEPGUARANTOR", 8 _
, "B26_COLLATINSURED", 9, "B27_COLLATREPAY", 4, "B28_GUARANTEEREPAY", 5, "B29_OBLIGTERMINATION", 2, "B30_LEGALRECORD", 6 _
, "B31_OBLIGSRCBANKRUPT", 9, "B32_OBLIGSRCLIQUID", 9, "B33_OTHERLEGAL", 9, "B34_INQUIRY", 7, "B35_SUBMITHOLD", 2 _
, "B36_SOURCELEGAL", 9, "B37_SOURCEINDIVID", 9, "B38_SOURCEBCOMM", 9, "B39_USERLEGAL", 9, "B40_USERENTREP", 9 _
, "B41_ACQUIRERLEGAL", 9, "B42_ACQUIRERINDIVID", 9, "B43_SERVICECO", 9, "B44_OBLIGACCOUNT", 5, "B45_APPLICATION", 9 _
, "B46_OBLIGPARTTAKE", 6, "B47_APPLREJECT", 2</t>
  </si>
  <si>
    <t>"B11_TRADE", 17</t>
  </si>
  <si>
    <t>"B15_AMENDMENT", 10</t>
  </si>
  <si>
    <t>"B20_PAYMT", 12</t>
  </si>
  <si>
    <t>"B23_COLLATERAL", 14</t>
  </si>
  <si>
    <t>"B31_OBLIGSRCBANKRUPT", 10</t>
  </si>
  <si>
    <t>"B32_OBLIGSRCLIQUID", 10</t>
  </si>
  <si>
    <t>"B33_OTHERLEGAL", 13</t>
  </si>
  <si>
    <t>"B36_SOURCELEGAL", 15</t>
  </si>
  <si>
    <t>"B37_SOURCEINDIVID", 14</t>
  </si>
  <si>
    <t>"B38_SOURCEBCOMM", 13</t>
  </si>
  <si>
    <t>"B39_USERLEGAL", 18</t>
  </si>
  <si>
    <t>"B40_USERENTREP", 25</t>
  </si>
  <si>
    <t>"B41_ACQUIRERLEGAL", 10</t>
  </si>
  <si>
    <t>"B42_ACQUIRERINDIVID", 16</t>
  </si>
  <si>
    <t>"B43_SERVICECO", 11</t>
  </si>
  <si>
    <t>"B45_APPLICATION", 14</t>
  </si>
  <si>
    <t>истравить</t>
  </si>
  <si>
    <t>9001FF000001</t>
  </si>
  <si>
    <t>9KL7wbCS</t>
  </si>
  <si>
    <t>C28_PAYMT</t>
  </si>
  <si>
    <t>ДУДИН</t>
  </si>
  <si>
    <t>ВАСИЛИЙ</t>
  </si>
  <si>
    <t>30.06.1984</t>
  </si>
  <si>
    <t>1505</t>
  </si>
  <si>
    <t>479230</t>
  </si>
  <si>
    <t>30.03.2006</t>
  </si>
  <si>
    <t>ОТДЕЛОМ ВНУТРЕННИХ ДЕЛ БРЯНСКОГО РАЙОНА БРЯНСКОЙ ОБЛАСТИ</t>
  </si>
  <si>
    <t>322-006</t>
  </si>
  <si>
    <t>320701971386</t>
  </si>
  <si>
    <t>e10feb9d-9146-11eb-8de0-000c29de367a-0</t>
  </si>
  <si>
    <t>30.03.2021</t>
  </si>
  <si>
    <t>30.03.2025</t>
  </si>
  <si>
    <t>147727,30</t>
  </si>
  <si>
    <t>RUB</t>
  </si>
  <si>
    <t>50,012</t>
  </si>
  <si>
    <t>59055,08</t>
  </si>
  <si>
    <t>14.07.2024</t>
  </si>
  <si>
    <t>42140,83</t>
  </si>
  <si>
    <t>50,00</t>
  </si>
  <si>
    <t>ВЛАДИМИРОВИЧ</t>
  </si>
  <si>
    <t>C18_TRADE</t>
  </si>
  <si>
    <t>C19_ACCOUNTAMT</t>
  </si>
  <si>
    <t>C21_PAYMTCONDITION</t>
  </si>
  <si>
    <t>C24_FUNDDATE</t>
  </si>
  <si>
    <t>C25_ARREAR</t>
  </si>
  <si>
    <t>C26_DUEARREAR</t>
  </si>
  <si>
    <t>C27_PASTDUEARREAR</t>
  </si>
  <si>
    <t>C29_MONTHAVERPAYMT</t>
  </si>
  <si>
    <t>4</t>
  </si>
  <si>
    <t>C22_OVERALLVAL</t>
  </si>
  <si>
    <t>C56_OBLIGPARTTAKE</t>
  </si>
  <si>
    <t>ВАСИЛЬЕВИЧ</t>
  </si>
  <si>
    <t>ПОС. ПЯТИЛЕТКА БРЯНСКОГО Р-НА БРЯНСКОЙ ОБЛ.</t>
  </si>
  <si>
    <t>19.06.2024</t>
  </si>
  <si>
    <t>100000,00</t>
  </si>
  <si>
    <t>50,022</t>
  </si>
  <si>
    <t>5</t>
  </si>
  <si>
    <t>08.06.2018</t>
  </si>
  <si>
    <t>6</t>
  </si>
  <si>
    <t>ИВАНОВИЧ</t>
  </si>
  <si>
    <t>7</t>
  </si>
  <si>
    <t>АНДРЕЙ</t>
  </si>
  <si>
    <t>8</t>
  </si>
  <si>
    <t>60,00</t>
  </si>
  <si>
    <t>ГОР. ЭЛЕКТРОСТАЛЬ МОСКОВСКОЙ ОБЛ.</t>
  </si>
  <si>
    <t>АЛЕКСАНДР</t>
  </si>
  <si>
    <t>ВЛАДИМИРОВНА</t>
  </si>
  <si>
    <t>9001FF000001_20240619_142117</t>
  </si>
  <si>
    <t>18.06.2024</t>
  </si>
  <si>
    <t>МАСАЛЬСКИЙ</t>
  </si>
  <si>
    <t>РУСЛАН</t>
  </si>
  <si>
    <t>05.01.1977</t>
  </si>
  <si>
    <t>ДЕР. КАЗОВИЦЫ ШИМСКОГО Р-НА НОВГОРОДСКОЙ ОБЛ.</t>
  </si>
  <si>
    <t>4909</t>
  </si>
  <si>
    <t>935856</t>
  </si>
  <si>
    <t>21.01.2010</t>
  </si>
  <si>
    <t>ТП УФМС РОССИИ ПО НОВГОРОДСКОЙ ОБЛАСТИ В ШИМСКОМ РАЙОНЕ</t>
  </si>
  <si>
    <t>530-023</t>
  </si>
  <si>
    <t>531900932628</t>
  </si>
  <si>
    <t>3889692b-3de6-11eb-8ddb-000c29de367a-f</t>
  </si>
  <si>
    <t>16.05.2022</t>
  </si>
  <si>
    <t>15.05.2022</t>
  </si>
  <si>
    <t>200000,00</t>
  </si>
  <si>
    <t>49,999</t>
  </si>
  <si>
    <t>228,53</t>
  </si>
  <si>
    <t>70578,30</t>
  </si>
  <si>
    <t>64686,21</t>
  </si>
  <si>
    <t>5892,09</t>
  </si>
  <si>
    <t>14.05.2022</t>
  </si>
  <si>
    <t>3638,35</t>
  </si>
  <si>
    <t>145914,76</t>
  </si>
  <si>
    <t>114244,71</t>
  </si>
  <si>
    <t>31670,05</t>
  </si>
  <si>
    <t>767</t>
  </si>
  <si>
    <t>70579</t>
  </si>
  <si>
    <t>4906,22</t>
  </si>
  <si>
    <t>2426,92</t>
  </si>
  <si>
    <t>47561,52</t>
  </si>
  <si>
    <t>59378,67</t>
  </si>
  <si>
    <t>323,59</t>
  </si>
  <si>
    <t>14.05.2024</t>
  </si>
  <si>
    <t>17.06.2024</t>
  </si>
  <si>
    <t>9000,00</t>
  </si>
  <si>
    <t>46,29</t>
  </si>
  <si>
    <t>8953,71</t>
  </si>
  <si>
    <t>37440,54</t>
  </si>
  <si>
    <t>7334</t>
  </si>
  <si>
    <t>САЙДАЛИЕВА</t>
  </si>
  <si>
    <t>НАТАЛИЯ</t>
  </si>
  <si>
    <t>23.05.1984</t>
  </si>
  <si>
    <t>ГОР. ТУЛА</t>
  </si>
  <si>
    <t>7012</t>
  </si>
  <si>
    <t>396162</t>
  </si>
  <si>
    <t>26.12.2012</t>
  </si>
  <si>
    <t>ОТДЕЛЕНИЕМ УФМС РОССИИ ПО ТУЛЬСКОЙ ОБЛАСТИ В СОВЕТСКОМ РАЙОНЕ</t>
  </si>
  <si>
    <t>710-008</t>
  </si>
  <si>
    <t>710606424003</t>
  </si>
  <si>
    <t>da0ab23e-4122-11eb-8e4d-000c29fe3464-c</t>
  </si>
  <si>
    <t>18.12.2020</t>
  </si>
  <si>
    <t>18.12.2024</t>
  </si>
  <si>
    <t>150000,00</t>
  </si>
  <si>
    <t>2926,76</t>
  </si>
  <si>
    <t>18.07.2024</t>
  </si>
  <si>
    <t>1270,00</t>
  </si>
  <si>
    <t>73,011</t>
  </si>
  <si>
    <t>25304,47</t>
  </si>
  <si>
    <t>21166,72</t>
  </si>
  <si>
    <t>18.05.2024</t>
  </si>
  <si>
    <t>4196,76</t>
  </si>
  <si>
    <t>2716,03</t>
  </si>
  <si>
    <t>1480,73</t>
  </si>
  <si>
    <t>42001,02</t>
  </si>
  <si>
    <t>21274,07</t>
  </si>
  <si>
    <t>20726,95</t>
  </si>
  <si>
    <t>4339</t>
  </si>
  <si>
    <t>73,00</t>
  </si>
  <si>
    <t>СИДОРОВ</t>
  </si>
  <si>
    <t>12.09.1982</t>
  </si>
  <si>
    <t>4606</t>
  </si>
  <si>
    <t>539728</t>
  </si>
  <si>
    <t>01.06.2006</t>
  </si>
  <si>
    <t>ОТДЕЛОМ ВНУТРЕННИХ ДЕЛ ГОРОДА ЭЛЕКТРОСТАЛЬ МОСКОВСКОЙ ОБЛАСТИ</t>
  </si>
  <si>
    <t>502-043</t>
  </si>
  <si>
    <t>505310480590</t>
  </si>
  <si>
    <t>c0c03988-d040-11eb-8f17-000c29fe3464-e</t>
  </si>
  <si>
    <t>18.06.2021</t>
  </si>
  <si>
    <t>18.06.2025</t>
  </si>
  <si>
    <t>136363,60</t>
  </si>
  <si>
    <t>5503,91</t>
  </si>
  <si>
    <t>3401,87</t>
  </si>
  <si>
    <t>32535,77</t>
  </si>
  <si>
    <t>05.04.2024</t>
  </si>
  <si>
    <t>92967,97</t>
  </si>
  <si>
    <t>82778,91</t>
  </si>
  <si>
    <t>10189,06</t>
  </si>
  <si>
    <t>18.04.2024</t>
  </si>
  <si>
    <t>18.03.2024</t>
  </si>
  <si>
    <t>10600,00</t>
  </si>
  <si>
    <t>32,75</t>
  </si>
  <si>
    <t>10567,25</t>
  </si>
  <si>
    <t>13932,71</t>
  </si>
  <si>
    <t>30325,28</t>
  </si>
  <si>
    <t>62</t>
  </si>
  <si>
    <t>15878</t>
  </si>
  <si>
    <t>КИЛЬДЮШКИН</t>
  </si>
  <si>
    <t>НИКОЛАЕВИЧ</t>
  </si>
  <si>
    <t>27.05.1995</t>
  </si>
  <si>
    <t>С. СТАРЫЕ ТУРДАКИ КОЧКУРОВСКОГО РАЙОНА РЕСПУБЛИКИ</t>
  </si>
  <si>
    <t>8914</t>
  </si>
  <si>
    <t>355178</t>
  </si>
  <si>
    <t>25.06.2015</t>
  </si>
  <si>
    <t>ТЕРРИТОРИАЛЬНЫЙ ПУНКТ УФМС РОССИИ ПО РЕСПУБЛИКЕ МОРДОВИЯ В КОЧКУРОВСКОМ РАЙОНЕ</t>
  </si>
  <si>
    <t>130-033</t>
  </si>
  <si>
    <t>131301435873</t>
  </si>
  <si>
    <t>c72a6f85-e79d-11eb-8de5-000c29de367a-3</t>
  </si>
  <si>
    <t>18.07.2021</t>
  </si>
  <si>
    <t>6461,51</t>
  </si>
  <si>
    <t>318,65</t>
  </si>
  <si>
    <t>60,007</t>
  </si>
  <si>
    <t>16381,48</t>
  </si>
  <si>
    <t>195868,22</t>
  </si>
  <si>
    <t>86951,96</t>
  </si>
  <si>
    <t>108916,26</t>
  </si>
  <si>
    <t>18.06.2022</t>
  </si>
  <si>
    <t>189406,71</t>
  </si>
  <si>
    <t>80490,45</t>
  </si>
  <si>
    <t>732</t>
  </si>
  <si>
    <t>196187</t>
  </si>
  <si>
    <t>КОРНИЛОВА</t>
  </si>
  <si>
    <t>12.09.1991</t>
  </si>
  <si>
    <t>ГОР. ЧЕБОКСАРЫ</t>
  </si>
  <si>
    <t>9718</t>
  </si>
  <si>
    <t>349269</t>
  </si>
  <si>
    <t>МВД ПО ЧУВАШСКОЙ РЕСПУБЛИКЕ</t>
  </si>
  <si>
    <t>210-025</t>
  </si>
  <si>
    <t>213002153867</t>
  </si>
  <si>
    <t>32182ade-c4ff-11eb-8de5-000c29de367a-8</t>
  </si>
  <si>
    <t>04.06.2021</t>
  </si>
  <si>
    <t>218181,80</t>
  </si>
  <si>
    <t>50,004</t>
  </si>
  <si>
    <t>23249,48</t>
  </si>
  <si>
    <t>12050,59</t>
  </si>
  <si>
    <t>11559,77</t>
  </si>
  <si>
    <t>490,82</t>
  </si>
  <si>
    <t>0,07</t>
  </si>
  <si>
    <t>108629,14</t>
  </si>
  <si>
    <t>85299,03</t>
  </si>
  <si>
    <t>23330,11</t>
  </si>
  <si>
    <t>12051</t>
  </si>
  <si>
    <t>ФОМИН</t>
  </si>
  <si>
    <t>ИВАН</t>
  </si>
  <si>
    <t>ЕВГЕНЬЕВИЧ</t>
  </si>
  <si>
    <t>02.09.1986</t>
  </si>
  <si>
    <t>ГОР. ЖЕЛЕЗНОДОРОЖНЫЙ МОСКОВСКОЙ ОБЛ.</t>
  </si>
  <si>
    <t>4611</t>
  </si>
  <si>
    <t>675963</t>
  </si>
  <si>
    <t>07.07.2012</t>
  </si>
  <si>
    <t>ТП № 2 ОУФМС РОССИИ ПО МОСКОВСКОЙ ОБЛ. ПО ГОРОДСКОМУ ОКРУГУ ЖЕЛЕЗНОДОРОЖНЫЙ</t>
  </si>
  <si>
    <t>500-035</t>
  </si>
  <si>
    <t>501208641175</t>
  </si>
  <si>
    <t>0e60e0d9-f993-11ea-8dd4-000c29de367a-a</t>
  </si>
  <si>
    <t>18.09.2020</t>
  </si>
  <si>
    <t>18.09.2024</t>
  </si>
  <si>
    <t>4311,77</t>
  </si>
  <si>
    <t>538,47</t>
  </si>
  <si>
    <t>50,005</t>
  </si>
  <si>
    <t>14817,97</t>
  </si>
  <si>
    <t>37303,26</t>
  </si>
  <si>
    <t>32183,25</t>
  </si>
  <si>
    <t>5120,01</t>
  </si>
  <si>
    <t>13102,66</t>
  </si>
  <si>
    <t>18.02.2024</t>
  </si>
  <si>
    <t>24200,60</t>
  </si>
  <si>
    <t>19080,59</t>
  </si>
  <si>
    <t>21.05.2024</t>
  </si>
  <si>
    <t>1500,00</t>
  </si>
  <si>
    <t>26005,76</t>
  </si>
  <si>
    <t>15502,85</t>
  </si>
  <si>
    <t>10502,91</t>
  </si>
  <si>
    <t>122</t>
  </si>
  <si>
    <t>25700</t>
  </si>
  <si>
    <t>ЦИПИС</t>
  </si>
  <si>
    <t>ВАДИМ</t>
  </si>
  <si>
    <t>ЯКОВЛЕВИЧ</t>
  </si>
  <si>
    <t>26.01.1970</t>
  </si>
  <si>
    <t>ГОР. МОСКВА</t>
  </si>
  <si>
    <t>4614</t>
  </si>
  <si>
    <t>691889</t>
  </si>
  <si>
    <t>05.02.2015</t>
  </si>
  <si>
    <t>ТП №1 ОУФМС РОССИИ ПО МОСКОВСКОЙ ОБЛ. ПО ГОРОДСКОМУ ОКРУГУ БАЛАШИХА</t>
  </si>
  <si>
    <t>500-007</t>
  </si>
  <si>
    <t>771906304780</t>
  </si>
  <si>
    <t>d2a692ac-6603-11eb-8ddd-000c29de367a-1</t>
  </si>
  <si>
    <t>18.03.2021</t>
  </si>
  <si>
    <t>18.03.2025</t>
  </si>
  <si>
    <t>3755,74</t>
  </si>
  <si>
    <t>2357,87</t>
  </si>
  <si>
    <t>67,010</t>
  </si>
  <si>
    <t>45902,91</t>
  </si>
  <si>
    <t>42817,02</t>
  </si>
  <si>
    <t>6113,61</t>
  </si>
  <si>
    <t>3479,17</t>
  </si>
  <si>
    <t>2634,44</t>
  </si>
  <si>
    <t>61162,92</t>
  </si>
  <si>
    <t>27867,05</t>
  </si>
  <si>
    <t>33295,87</t>
  </si>
  <si>
    <t>6205</t>
  </si>
  <si>
    <t>67,00</t>
  </si>
  <si>
    <t>79581,37</t>
  </si>
  <si>
    <t>44257,99</t>
  </si>
  <si>
    <t>14.12.2020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</si>
</sst>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charset val="204"/>
      <scheme val="minor"/>
    </font>
    <font>
      <b/>
      <sz val="11"/>
      <color theme="1"/>
      <name val="Calibri"/>
      <family val="2"/>
      <charset val="204"/>
      <scheme val="minor"/>
    </font>
  </fonts>
  <fills count="4">
    <fill>
      <patternFill patternType="none"/>
    </fill>
    <fill>
      <patternFill patternType="gray125"/>
    </fill>
    <fill>
      <patternFill patternType="solid">
        <fgColor theme="5" tint="0.59999389629810485"/>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6">
    <xf numFmtId="0" fontId="0" fillId="0" borderId="0" xfId="0"/>
    <xf numFmtId="49" fontId="0" fillId="0" borderId="0" xfId="0" applyNumberFormat="1"/>
    <xf numFmtId="49" fontId="1" fillId="2" borderId="0" xfId="0" applyNumberFormat="1" applyFont="1" applyFill="1" applyAlignment="1">
      <alignment horizontal="center"/>
    </xf>
    <xf numFmtId="49" fontId="1" fillId="0" borderId="0" xfId="0" applyNumberFormat="1" applyFont="1" applyAlignment="1">
      <alignment horizontal="center"/>
    </xf>
    <xf numFmtId="0" fontId="1" fillId="2" borderId="0" xfId="0" applyFont="1" applyFill="1" applyAlignment="1">
      <alignment horizontal="center"/>
    </xf>
    <xf numFmtId="49" fontId="0" fillId="3" borderId="0" xfId="0" applyNumberFormat="1" applyFill="1"/>
  </cellXfs>
  <cellStyles count="1">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AA7E83-B749-4D99-83E7-7432E0377CAA}">
  <sheetPr codeName="Лист5"/>
  <dimension ref="A1:AA170"/>
  <sheetViews>
    <sheetView tabSelected="1" workbookViewId="0">
      <selection activeCell="D30" sqref="D30"/>
    </sheetView>
  </sheetViews>
  <sheetFormatPr defaultRowHeight="15" x14ac:dyDescent="0.25"/>
  <cols>
    <col min="1" max="1" width="23.42578125" bestFit="1" customWidth="1"/>
    <col min="2" max="2" width="39.28515625" bestFit="1" customWidth="1"/>
    <col min="3" max="3" width="38.5703125" bestFit="1" customWidth="1"/>
    <col min="4" max="4" width="80.42578125" bestFit="1" customWidth="1"/>
    <col min="5" max="5" width="10.140625" bestFit="1" customWidth="1"/>
    <col min="7" max="7" width="13.140625" bestFit="1" customWidth="1"/>
    <col min="8" max="8" width="38.7109375" bestFit="1" customWidth="1"/>
    <col min="9" max="9" width="38.85546875" customWidth="1"/>
    <col min="11" max="12" width="10.140625" bestFit="1" customWidth="1"/>
  </cols>
  <sheetData>
    <row r="1" spans="1:27" x14ac:dyDescent="0.25">
      <c r="A1" s="1" t="s">
        <v>12</v>
      </c>
      <c r="B1" s="1" t="s">
        <v>14</v>
      </c>
      <c r="C1" s="1" t="s">
        <v>15</v>
      </c>
      <c r="D1" s="1" t="s">
        <v>1570</v>
      </c>
      <c r="E1" s="1" t="s">
        <v>1556</v>
      </c>
      <c r="F1" s="1" t="s">
        <v>25</v>
      </c>
      <c r="G1" s="1" t="s">
        <v>1520</v>
      </c>
      <c r="H1" s="1" t="s">
        <v>1521</v>
      </c>
      <c r="I1" s="1" t="s">
        <v>13</v>
      </c>
      <c r="J1" s="1" t="s">
        <v>25</v>
      </c>
      <c r="K1" s="1" t="s">
        <v>1556</v>
      </c>
      <c r="L1" s="1" t="s">
        <v>25</v>
      </c>
      <c r="M1" s="1" t="s">
        <v>25</v>
      </c>
      <c r="N1" s="1" t="s">
        <v>25</v>
      </c>
      <c r="O1" s="1" t="s">
        <v>25</v>
      </c>
      <c r="P1" s="1" t="s">
        <v>25</v>
      </c>
      <c r="Q1" s="1" t="s">
        <v>25</v>
      </c>
      <c r="R1" s="1" t="s">
        <v>25</v>
      </c>
      <c r="S1" s="1" t="s">
        <v>25</v>
      </c>
      <c r="T1" s="1" t="s">
        <v>25</v>
      </c>
      <c r="AA1" t="str">
        <f>IFERROR(IF(A1="C18_TRADE",IF(OR((B8-C1)&lt;=0,(L1-C1)&lt;=0),"FIX it",""),""),"")</f>
        <v/>
      </c>
    </row>
    <row r="2" spans="1:27" x14ac:dyDescent="0.25">
      <c r="A2" s="1" t="s">
        <v>0</v>
      </c>
      <c r="B2" s="1" t="s">
        <v>21</v>
      </c>
      <c r="C2" s="1" t="s">
        <v>17</v>
      </c>
      <c r="D2" s="1" t="s">
        <v>1</v>
      </c>
      <c r="E2" s="1" t="s">
        <v>25</v>
      </c>
      <c r="F2" s="1" t="s">
        <v>1571</v>
      </c>
      <c r="G2" s="1" t="s">
        <v>25</v>
      </c>
      <c r="H2" s="1" t="s">
        <v>25</v>
      </c>
      <c r="I2" s="1" t="s">
        <v>25</v>
      </c>
      <c r="J2" s="1" t="s">
        <v>25</v>
      </c>
      <c r="K2" s="1" t="s">
        <v>25</v>
      </c>
      <c r="L2" s="1" t="s">
        <v>25</v>
      </c>
      <c r="M2" s="1" t="s">
        <v>25</v>
      </c>
      <c r="N2" s="1" t="s">
        <v>25</v>
      </c>
      <c r="O2" s="1" t="s">
        <v>25</v>
      </c>
      <c r="P2" s="1" t="s">
        <v>25</v>
      </c>
      <c r="Q2" s="1" t="s">
        <v>25</v>
      </c>
      <c r="R2" s="1" t="s">
        <v>25</v>
      </c>
      <c r="S2" s="1" t="s">
        <v>25</v>
      </c>
      <c r="T2" s="1" t="s">
        <v>25</v>
      </c>
      <c r="AA2" t="str">
        <f t="shared" ref="AA2:AA65" si="0">IFERROR(IF(A2="C18_TRADE",IF(OR((B9-C2)&lt;=0,(L2-C2)&lt;=0),"FIX it",""),""),"")</f>
        <v/>
      </c>
    </row>
    <row r="3" spans="1:27" x14ac:dyDescent="0.25">
      <c r="A3" s="1" t="s">
        <v>2</v>
      </c>
      <c r="B3" s="1" t="s">
        <v>1572</v>
      </c>
      <c r="C3" s="1" t="s">
        <v>1573</v>
      </c>
      <c r="D3" s="1" t="s">
        <v>1562</v>
      </c>
      <c r="E3" s="1" t="s">
        <v>25</v>
      </c>
      <c r="F3" s="1" t="s">
        <v>25</v>
      </c>
      <c r="G3" s="1" t="s">
        <v>25</v>
      </c>
      <c r="H3" s="1" t="s">
        <v>25</v>
      </c>
      <c r="I3" s="1" t="s">
        <v>25</v>
      </c>
      <c r="J3" s="1" t="s">
        <v>25</v>
      </c>
      <c r="K3" s="1" t="s">
        <v>25</v>
      </c>
      <c r="L3" s="1" t="s">
        <v>25</v>
      </c>
      <c r="M3" s="1" t="s">
        <v>25</v>
      </c>
      <c r="N3" s="1" t="s">
        <v>25</v>
      </c>
      <c r="O3" s="1" t="s">
        <v>25</v>
      </c>
      <c r="P3" s="1" t="s">
        <v>25</v>
      </c>
      <c r="Q3" s="1" t="s">
        <v>25</v>
      </c>
      <c r="R3" s="1" t="s">
        <v>25</v>
      </c>
      <c r="S3" s="1" t="s">
        <v>25</v>
      </c>
      <c r="T3" s="1" t="s">
        <v>25</v>
      </c>
      <c r="AA3" t="str">
        <f t="shared" si="0"/>
        <v/>
      </c>
    </row>
    <row r="4" spans="1:27" x14ac:dyDescent="0.25">
      <c r="A4" s="1" t="s">
        <v>3</v>
      </c>
      <c r="B4" s="1" t="s">
        <v>18</v>
      </c>
      <c r="C4" s="1" t="s">
        <v>25</v>
      </c>
      <c r="D4" s="1" t="s">
        <v>25</v>
      </c>
      <c r="E4" s="1" t="s">
        <v>25</v>
      </c>
      <c r="F4" s="1" t="s">
        <v>25</v>
      </c>
      <c r="G4" s="1" t="s">
        <v>25</v>
      </c>
      <c r="H4" s="1" t="s">
        <v>25</v>
      </c>
      <c r="I4" s="1" t="s">
        <v>25</v>
      </c>
      <c r="J4" s="1" t="s">
        <v>25</v>
      </c>
      <c r="K4" s="1" t="s">
        <v>25</v>
      </c>
      <c r="L4" s="1" t="s">
        <v>25</v>
      </c>
      <c r="M4" s="1" t="s">
        <v>25</v>
      </c>
      <c r="N4" s="1" t="s">
        <v>25</v>
      </c>
      <c r="O4" s="1" t="s">
        <v>25</v>
      </c>
      <c r="P4" s="1" t="s">
        <v>25</v>
      </c>
      <c r="Q4" s="1" t="s">
        <v>25</v>
      </c>
      <c r="R4" s="1" t="s">
        <v>25</v>
      </c>
      <c r="S4" s="1" t="s">
        <v>25</v>
      </c>
      <c r="T4" s="1" t="s">
        <v>25</v>
      </c>
      <c r="AA4" t="str">
        <f t="shared" si="0"/>
        <v/>
      </c>
    </row>
    <row r="5" spans="1:27" x14ac:dyDescent="0.25">
      <c r="A5" s="1" t="s">
        <v>4</v>
      </c>
      <c r="B5" s="1" t="s">
        <v>1574</v>
      </c>
      <c r="C5" s="1" t="s">
        <v>19</v>
      </c>
      <c r="D5" s="1" t="s">
        <v>1575</v>
      </c>
      <c r="E5" s="1" t="s">
        <v>25</v>
      </c>
      <c r="F5" s="1" t="s">
        <v>25</v>
      </c>
      <c r="G5" s="1" t="s">
        <v>25</v>
      </c>
      <c r="H5" s="1" t="s">
        <v>25</v>
      </c>
      <c r="I5" s="1" t="s">
        <v>25</v>
      </c>
      <c r="J5" s="1" t="s">
        <v>25</v>
      </c>
      <c r="K5" s="1" t="s">
        <v>25</v>
      </c>
      <c r="L5" s="1" t="s">
        <v>25</v>
      </c>
      <c r="M5" s="1" t="s">
        <v>25</v>
      </c>
      <c r="N5" s="1" t="s">
        <v>25</v>
      </c>
      <c r="O5" s="1" t="s">
        <v>25</v>
      </c>
      <c r="P5" s="1" t="s">
        <v>25</v>
      </c>
      <c r="Q5" s="1" t="s">
        <v>25</v>
      </c>
      <c r="R5" s="1" t="s">
        <v>25</v>
      </c>
      <c r="S5" s="1" t="s">
        <v>25</v>
      </c>
      <c r="T5" s="1" t="s">
        <v>25</v>
      </c>
      <c r="AA5" t="str">
        <f t="shared" si="0"/>
        <v/>
      </c>
    </row>
    <row r="6" spans="1:27" x14ac:dyDescent="0.25">
      <c r="A6" s="1" t="s">
        <v>5</v>
      </c>
      <c r="B6" s="1" t="s">
        <v>19</v>
      </c>
      <c r="C6" s="1" t="s">
        <v>25</v>
      </c>
      <c r="D6" s="1" t="s">
        <v>20</v>
      </c>
      <c r="E6" s="1" t="s">
        <v>25</v>
      </c>
      <c r="F6" s="1" t="s">
        <v>1576</v>
      </c>
      <c r="G6" s="1" t="s">
        <v>1577</v>
      </c>
      <c r="H6" s="1" t="s">
        <v>1578</v>
      </c>
      <c r="I6" s="1" t="s">
        <v>1579</v>
      </c>
      <c r="J6" s="1" t="s">
        <v>1580</v>
      </c>
      <c r="K6" s="1" t="s">
        <v>25</v>
      </c>
      <c r="L6" s="1" t="s">
        <v>25</v>
      </c>
      <c r="M6" s="1" t="s">
        <v>25</v>
      </c>
      <c r="N6" s="1" t="s">
        <v>25</v>
      </c>
      <c r="O6" s="1" t="s">
        <v>25</v>
      </c>
      <c r="P6" s="1" t="s">
        <v>25</v>
      </c>
      <c r="Q6" s="1" t="s">
        <v>25</v>
      </c>
      <c r="R6" s="1" t="s">
        <v>25</v>
      </c>
      <c r="S6" s="1" t="s">
        <v>25</v>
      </c>
      <c r="T6" s="1" t="s">
        <v>25</v>
      </c>
      <c r="AA6" t="str">
        <f t="shared" si="0"/>
        <v/>
      </c>
    </row>
    <row r="7" spans="1:27" x14ac:dyDescent="0.25">
      <c r="A7" s="1" t="s">
        <v>6</v>
      </c>
      <c r="B7" s="1" t="s">
        <v>18</v>
      </c>
      <c r="C7" s="1" t="s">
        <v>25</v>
      </c>
      <c r="D7" s="1" t="s">
        <v>25</v>
      </c>
      <c r="E7" s="1" t="s">
        <v>25</v>
      </c>
      <c r="F7" s="1" t="s">
        <v>25</v>
      </c>
      <c r="G7" s="1" t="s">
        <v>25</v>
      </c>
      <c r="H7" s="1" t="s">
        <v>25</v>
      </c>
      <c r="I7" s="1" t="s">
        <v>25</v>
      </c>
      <c r="J7" s="1" t="s">
        <v>25</v>
      </c>
      <c r="K7" s="1" t="s">
        <v>25</v>
      </c>
      <c r="L7" s="1" t="s">
        <v>25</v>
      </c>
      <c r="M7" s="1" t="s">
        <v>25</v>
      </c>
      <c r="N7" s="1" t="s">
        <v>25</v>
      </c>
      <c r="O7" s="1" t="s">
        <v>25</v>
      </c>
      <c r="P7" s="1" t="s">
        <v>25</v>
      </c>
      <c r="Q7" s="1" t="s">
        <v>25</v>
      </c>
      <c r="R7" s="1" t="s">
        <v>25</v>
      </c>
      <c r="S7" s="1" t="s">
        <v>25</v>
      </c>
      <c r="T7" s="1" t="s">
        <v>25</v>
      </c>
      <c r="AA7" t="str">
        <f t="shared" si="0"/>
        <v/>
      </c>
    </row>
    <row r="8" spans="1:27" x14ac:dyDescent="0.25">
      <c r="A8" s="1" t="s">
        <v>7</v>
      </c>
      <c r="B8" s="1" t="s">
        <v>21</v>
      </c>
      <c r="C8" s="1" t="s">
        <v>1581</v>
      </c>
      <c r="D8" s="1" t="s">
        <v>25</v>
      </c>
      <c r="E8" s="1" t="s">
        <v>18</v>
      </c>
      <c r="F8" s="1" t="s">
        <v>25</v>
      </c>
      <c r="G8" s="1" t="s">
        <v>25</v>
      </c>
      <c r="H8" s="1" t="s">
        <v>25</v>
      </c>
      <c r="I8" s="1" t="s">
        <v>25</v>
      </c>
      <c r="J8" s="1" t="s">
        <v>25</v>
      </c>
      <c r="K8" s="1" t="s">
        <v>25</v>
      </c>
      <c r="L8" s="1" t="s">
        <v>25</v>
      </c>
      <c r="M8" s="1" t="s">
        <v>25</v>
      </c>
      <c r="N8" s="1" t="s">
        <v>25</v>
      </c>
      <c r="O8" s="1" t="s">
        <v>25</v>
      </c>
      <c r="P8" s="1" t="s">
        <v>25</v>
      </c>
      <c r="Q8" s="1" t="s">
        <v>25</v>
      </c>
      <c r="R8" s="1" t="s">
        <v>25</v>
      </c>
      <c r="S8" s="1" t="s">
        <v>25</v>
      </c>
      <c r="T8" s="1" t="s">
        <v>25</v>
      </c>
      <c r="AA8" t="str">
        <f t="shared" si="0"/>
        <v/>
      </c>
    </row>
    <row r="9" spans="1:27" x14ac:dyDescent="0.25">
      <c r="A9" s="1" t="s">
        <v>8</v>
      </c>
      <c r="B9" s="1" t="s">
        <v>25</v>
      </c>
      <c r="C9" s="1" t="s">
        <v>25</v>
      </c>
      <c r="D9" s="1" t="s">
        <v>25</v>
      </c>
      <c r="E9" s="1" t="s">
        <v>25</v>
      </c>
      <c r="F9" s="1" t="s">
        <v>25</v>
      </c>
      <c r="G9" s="1" t="s">
        <v>25</v>
      </c>
      <c r="H9" s="1" t="s">
        <v>25</v>
      </c>
      <c r="I9" s="1" t="s">
        <v>25</v>
      </c>
      <c r="J9" s="1" t="s">
        <v>25</v>
      </c>
      <c r="K9" s="1" t="s">
        <v>25</v>
      </c>
      <c r="L9" s="1" t="s">
        <v>25</v>
      </c>
      <c r="M9" s="1" t="s">
        <v>25</v>
      </c>
      <c r="N9" s="1" t="s">
        <v>25</v>
      </c>
      <c r="O9" s="1" t="s">
        <v>25</v>
      </c>
      <c r="P9" s="1" t="s">
        <v>25</v>
      </c>
      <c r="Q9" s="1" t="s">
        <v>25</v>
      </c>
      <c r="R9" s="1" t="s">
        <v>25</v>
      </c>
      <c r="S9" s="1" t="s">
        <v>25</v>
      </c>
      <c r="T9" s="1" t="s">
        <v>25</v>
      </c>
      <c r="AA9" t="str">
        <f t="shared" si="0"/>
        <v/>
      </c>
    </row>
    <row r="10" spans="1:27" x14ac:dyDescent="0.25">
      <c r="A10" s="1" t="s">
        <v>9</v>
      </c>
      <c r="B10" s="1" t="s">
        <v>1582</v>
      </c>
      <c r="C10" s="1" t="s">
        <v>25</v>
      </c>
      <c r="D10" s="1" t="s">
        <v>25</v>
      </c>
      <c r="E10" s="1" t="s">
        <v>25</v>
      </c>
      <c r="F10" s="1" t="s">
        <v>25</v>
      </c>
      <c r="G10" s="1" t="s">
        <v>25</v>
      </c>
      <c r="H10" s="1" t="s">
        <v>25</v>
      </c>
      <c r="I10" s="1" t="s">
        <v>25</v>
      </c>
      <c r="J10" s="1" t="s">
        <v>25</v>
      </c>
      <c r="K10" s="1" t="s">
        <v>25</v>
      </c>
      <c r="L10" s="1" t="s">
        <v>25</v>
      </c>
      <c r="M10" s="1" t="s">
        <v>25</v>
      </c>
      <c r="N10" s="1" t="s">
        <v>25</v>
      </c>
      <c r="O10" s="1" t="s">
        <v>25</v>
      </c>
      <c r="P10" s="1" t="s">
        <v>25</v>
      </c>
      <c r="Q10" s="1" t="s">
        <v>25</v>
      </c>
      <c r="R10" s="1" t="s">
        <v>25</v>
      </c>
      <c r="S10" s="1" t="s">
        <v>25</v>
      </c>
      <c r="T10" s="1" t="s">
        <v>25</v>
      </c>
      <c r="AA10" t="str">
        <f t="shared" si="0"/>
        <v/>
      </c>
    </row>
    <row r="11" spans="1:27" x14ac:dyDescent="0.25">
      <c r="A11" s="5" t="s">
        <v>1543</v>
      </c>
      <c r="B11" s="5" t="s">
        <v>21</v>
      </c>
      <c r="C11" s="5" t="s">
        <v>1773</v>
      </c>
      <c r="D11" s="5" t="s">
        <v>21</v>
      </c>
      <c r="E11" s="5" t="s">
        <v>24</v>
      </c>
      <c r="F11" s="5" t="s">
        <v>24</v>
      </c>
      <c r="G11" s="5" t="s">
        <v>21</v>
      </c>
      <c r="H11" s="5" t="s">
        <v>18</v>
      </c>
      <c r="I11" s="5" t="s">
        <v>18</v>
      </c>
      <c r="J11" s="5" t="s">
        <v>21</v>
      </c>
      <c r="K11" s="1" t="s">
        <v>21</v>
      </c>
      <c r="L11" s="1" t="s">
        <v>1584</v>
      </c>
      <c r="M11" s="1" t="s">
        <v>25</v>
      </c>
      <c r="N11" s="1" t="s">
        <v>18</v>
      </c>
      <c r="O11" s="1" t="s">
        <v>18</v>
      </c>
      <c r="P11" s="1" t="s">
        <v>25</v>
      </c>
      <c r="Q11" s="1" t="s">
        <v>18</v>
      </c>
      <c r="R11" s="1" t="s">
        <v>18</v>
      </c>
      <c r="S11" s="1" t="s">
        <v>25</v>
      </c>
      <c r="T11" s="1" t="s">
        <v>25</v>
      </c>
      <c r="AA11" t="str">
        <f t="shared" si="0"/>
        <v/>
      </c>
    </row>
    <row r="12" spans="1:27" x14ac:dyDescent="0.25">
      <c r="A12" s="1" t="s">
        <v>1544</v>
      </c>
      <c r="B12" s="1" t="s">
        <v>1585</v>
      </c>
      <c r="C12" s="1" t="s">
        <v>1536</v>
      </c>
      <c r="D12" s="1" t="s">
        <v>25</v>
      </c>
      <c r="E12" s="1" t="s">
        <v>25</v>
      </c>
      <c r="F12" s="1" t="s">
        <v>25</v>
      </c>
      <c r="G12" s="1" t="s">
        <v>25</v>
      </c>
      <c r="H12" s="1" t="s">
        <v>25</v>
      </c>
      <c r="I12" s="1" t="s">
        <v>25</v>
      </c>
      <c r="J12" s="1" t="s">
        <v>25</v>
      </c>
      <c r="K12" s="1" t="s">
        <v>25</v>
      </c>
      <c r="L12" s="1" t="s">
        <v>25</v>
      </c>
      <c r="M12" s="1" t="s">
        <v>25</v>
      </c>
      <c r="N12" s="1" t="s">
        <v>25</v>
      </c>
      <c r="O12" s="1" t="s">
        <v>25</v>
      </c>
      <c r="P12" s="1" t="s">
        <v>25</v>
      </c>
      <c r="Q12" s="1" t="s">
        <v>25</v>
      </c>
      <c r="R12" s="1" t="s">
        <v>25</v>
      </c>
      <c r="S12" s="1" t="s">
        <v>25</v>
      </c>
      <c r="T12" s="1" t="s">
        <v>25</v>
      </c>
      <c r="AA12" t="str">
        <f t="shared" si="0"/>
        <v/>
      </c>
    </row>
    <row r="13" spans="1:27" x14ac:dyDescent="0.25">
      <c r="A13" s="1" t="s">
        <v>1545</v>
      </c>
      <c r="B13" s="1" t="s">
        <v>23</v>
      </c>
      <c r="C13" s="1" t="s">
        <v>25</v>
      </c>
      <c r="D13" s="1" t="s">
        <v>23</v>
      </c>
      <c r="E13" s="1" t="s">
        <v>25</v>
      </c>
      <c r="F13" s="1" t="s">
        <v>25</v>
      </c>
      <c r="G13" s="1" t="s">
        <v>25</v>
      </c>
      <c r="H13" s="1" t="s">
        <v>25</v>
      </c>
      <c r="I13" s="1" t="s">
        <v>25</v>
      </c>
      <c r="J13" s="1" t="s">
        <v>25</v>
      </c>
      <c r="K13" s="1" t="s">
        <v>25</v>
      </c>
      <c r="L13" s="1" t="s">
        <v>25</v>
      </c>
      <c r="M13" s="1" t="s">
        <v>25</v>
      </c>
      <c r="N13" s="1" t="s">
        <v>25</v>
      </c>
      <c r="O13" s="1" t="s">
        <v>25</v>
      </c>
      <c r="P13" s="1" t="s">
        <v>25</v>
      </c>
      <c r="Q13" s="1" t="s">
        <v>25</v>
      </c>
      <c r="R13" s="1" t="s">
        <v>25</v>
      </c>
      <c r="S13" s="1" t="s">
        <v>25</v>
      </c>
      <c r="T13" s="1" t="s">
        <v>25</v>
      </c>
      <c r="AA13" t="str">
        <f t="shared" si="0"/>
        <v/>
      </c>
    </row>
    <row r="14" spans="1:27" x14ac:dyDescent="0.25">
      <c r="A14" s="1" t="s">
        <v>1552</v>
      </c>
      <c r="B14" s="1" t="s">
        <v>1586</v>
      </c>
      <c r="C14" s="1" t="s">
        <v>1587</v>
      </c>
      <c r="D14" s="1" t="s">
        <v>1583</v>
      </c>
      <c r="E14" s="1" t="s">
        <v>25</v>
      </c>
      <c r="F14" s="1" t="s">
        <v>25</v>
      </c>
      <c r="G14" s="1" t="s">
        <v>25</v>
      </c>
      <c r="H14" s="1" t="s">
        <v>25</v>
      </c>
      <c r="I14" s="1" t="s">
        <v>25</v>
      </c>
      <c r="J14" s="1" t="s">
        <v>25</v>
      </c>
      <c r="K14" s="1" t="s">
        <v>25</v>
      </c>
      <c r="L14" s="1" t="s">
        <v>25</v>
      </c>
      <c r="M14" s="1" t="s">
        <v>25</v>
      </c>
      <c r="N14" s="1" t="s">
        <v>25</v>
      </c>
      <c r="O14" s="1" t="s">
        <v>25</v>
      </c>
      <c r="P14" s="1" t="s">
        <v>25</v>
      </c>
      <c r="Q14" s="1" t="s">
        <v>25</v>
      </c>
      <c r="R14" s="1" t="s">
        <v>25</v>
      </c>
      <c r="S14" s="1" t="s">
        <v>25</v>
      </c>
      <c r="T14" s="1" t="s">
        <v>25</v>
      </c>
      <c r="AA14" t="str">
        <f t="shared" si="0"/>
        <v/>
      </c>
    </row>
    <row r="15" spans="1:27" x14ac:dyDescent="0.25">
      <c r="A15" s="1" t="s">
        <v>1546</v>
      </c>
      <c r="B15" s="1" t="s">
        <v>1583</v>
      </c>
      <c r="C15" s="1" t="s">
        <v>25</v>
      </c>
      <c r="D15" s="1" t="s">
        <v>25</v>
      </c>
      <c r="E15" s="1" t="s">
        <v>25</v>
      </c>
      <c r="F15" s="1" t="s">
        <v>25</v>
      </c>
      <c r="G15" s="1" t="s">
        <v>25</v>
      </c>
      <c r="H15" s="1" t="s">
        <v>25</v>
      </c>
      <c r="I15" s="1" t="s">
        <v>25</v>
      </c>
      <c r="J15" s="1" t="s">
        <v>25</v>
      </c>
      <c r="K15" s="1" t="s">
        <v>25</v>
      </c>
      <c r="L15" s="1" t="s">
        <v>25</v>
      </c>
      <c r="M15" s="1" t="s">
        <v>25</v>
      </c>
      <c r="N15" s="1" t="s">
        <v>25</v>
      </c>
      <c r="O15" s="1" t="s">
        <v>25</v>
      </c>
      <c r="P15" s="1" t="s">
        <v>25</v>
      </c>
      <c r="Q15" s="1" t="s">
        <v>25</v>
      </c>
      <c r="R15" s="1" t="s">
        <v>25</v>
      </c>
      <c r="S15" s="1" t="s">
        <v>25</v>
      </c>
      <c r="T15" s="1" t="s">
        <v>25</v>
      </c>
      <c r="AA15" t="str">
        <f t="shared" si="0"/>
        <v/>
      </c>
    </row>
    <row r="16" spans="1:27" x14ac:dyDescent="0.25">
      <c r="A16" s="1" t="s">
        <v>1547</v>
      </c>
      <c r="B16" s="1" t="s">
        <v>21</v>
      </c>
      <c r="C16" s="1" t="s">
        <v>1585</v>
      </c>
      <c r="D16" s="1" t="s">
        <v>21</v>
      </c>
      <c r="E16" s="1" t="s">
        <v>1588</v>
      </c>
      <c r="F16" s="1" t="s">
        <v>1589</v>
      </c>
      <c r="G16" s="1" t="s">
        <v>1590</v>
      </c>
      <c r="H16" s="1" t="s">
        <v>23</v>
      </c>
      <c r="I16" s="1" t="s">
        <v>1571</v>
      </c>
      <c r="J16" s="1" t="s">
        <v>25</v>
      </c>
      <c r="K16" s="1" t="s">
        <v>25</v>
      </c>
      <c r="L16" s="1" t="s">
        <v>25</v>
      </c>
      <c r="M16" s="1" t="s">
        <v>25</v>
      </c>
      <c r="N16" s="1" t="s">
        <v>25</v>
      </c>
      <c r="O16" s="1" t="s">
        <v>25</v>
      </c>
      <c r="P16" s="1" t="s">
        <v>25</v>
      </c>
      <c r="Q16" s="1" t="s">
        <v>25</v>
      </c>
      <c r="R16" s="1" t="s">
        <v>25</v>
      </c>
      <c r="S16" s="1" t="s">
        <v>25</v>
      </c>
      <c r="T16" s="1" t="s">
        <v>25</v>
      </c>
      <c r="AA16" t="str">
        <f t="shared" si="0"/>
        <v/>
      </c>
    </row>
    <row r="17" spans="1:27" x14ac:dyDescent="0.25">
      <c r="A17" s="1" t="s">
        <v>1548</v>
      </c>
      <c r="B17" s="1" t="s">
        <v>25</v>
      </c>
      <c r="C17" s="1" t="s">
        <v>25</v>
      </c>
      <c r="D17" s="1" t="s">
        <v>23</v>
      </c>
      <c r="E17" s="1" t="s">
        <v>25</v>
      </c>
      <c r="F17" s="1" t="s">
        <v>25</v>
      </c>
      <c r="G17" s="1" t="s">
        <v>25</v>
      </c>
      <c r="H17" s="1" t="s">
        <v>25</v>
      </c>
      <c r="I17" s="1" t="s">
        <v>25</v>
      </c>
      <c r="J17" s="1" t="s">
        <v>25</v>
      </c>
      <c r="K17" s="1" t="s">
        <v>25</v>
      </c>
      <c r="L17" s="1" t="s">
        <v>25</v>
      </c>
      <c r="M17" s="1" t="s">
        <v>25</v>
      </c>
      <c r="N17" s="1" t="s">
        <v>25</v>
      </c>
      <c r="O17" s="1" t="s">
        <v>25</v>
      </c>
      <c r="P17" s="1" t="s">
        <v>25</v>
      </c>
      <c r="Q17" s="1" t="s">
        <v>25</v>
      </c>
      <c r="R17" s="1" t="s">
        <v>25</v>
      </c>
      <c r="S17" s="1" t="s">
        <v>25</v>
      </c>
      <c r="T17" s="1" t="s">
        <v>25</v>
      </c>
      <c r="AA17" t="str">
        <f t="shared" si="0"/>
        <v/>
      </c>
    </row>
    <row r="18" spans="1:27" x14ac:dyDescent="0.25">
      <c r="A18" s="1" t="s">
        <v>1549</v>
      </c>
      <c r="B18" s="1" t="s">
        <v>1591</v>
      </c>
      <c r="C18" s="1" t="s">
        <v>21</v>
      </c>
      <c r="D18" s="1" t="s">
        <v>1588</v>
      </c>
      <c r="E18" s="1" t="s">
        <v>1589</v>
      </c>
      <c r="F18" s="1" t="s">
        <v>1590</v>
      </c>
      <c r="G18" s="1" t="s">
        <v>23</v>
      </c>
      <c r="H18" s="1" t="s">
        <v>1571</v>
      </c>
      <c r="I18" s="1" t="s">
        <v>1584</v>
      </c>
      <c r="J18" s="1" t="s">
        <v>1584</v>
      </c>
      <c r="K18" s="1" t="s">
        <v>25</v>
      </c>
      <c r="L18" s="1" t="s">
        <v>25</v>
      </c>
      <c r="M18" s="1" t="s">
        <v>25</v>
      </c>
      <c r="N18" s="1" t="s">
        <v>25</v>
      </c>
      <c r="O18" s="1" t="s">
        <v>25</v>
      </c>
      <c r="P18" s="1" t="s">
        <v>25</v>
      </c>
      <c r="Q18" s="1" t="s">
        <v>25</v>
      </c>
      <c r="R18" s="1" t="s">
        <v>25</v>
      </c>
      <c r="S18" s="1" t="s">
        <v>25</v>
      </c>
      <c r="T18" s="1" t="s">
        <v>25</v>
      </c>
      <c r="AA18" t="str">
        <f t="shared" si="0"/>
        <v/>
      </c>
    </row>
    <row r="19" spans="1:27" x14ac:dyDescent="0.25">
      <c r="A19" s="1" t="s">
        <v>1522</v>
      </c>
      <c r="B19" s="1" t="s">
        <v>1571</v>
      </c>
      <c r="C19" s="1" t="s">
        <v>1592</v>
      </c>
      <c r="D19" s="1" t="s">
        <v>1592</v>
      </c>
      <c r="E19" s="1" t="s">
        <v>25</v>
      </c>
      <c r="F19" s="1" t="s">
        <v>25</v>
      </c>
      <c r="G19" s="1" t="s">
        <v>1593</v>
      </c>
      <c r="H19" s="1" t="s">
        <v>1594</v>
      </c>
      <c r="I19" s="1" t="s">
        <v>1595</v>
      </c>
      <c r="J19" s="1" t="s">
        <v>23</v>
      </c>
      <c r="K19" s="1" t="s">
        <v>16</v>
      </c>
      <c r="L19" s="1" t="s">
        <v>22</v>
      </c>
      <c r="M19" s="1" t="s">
        <v>1596</v>
      </c>
      <c r="N19" s="1" t="s">
        <v>25</v>
      </c>
      <c r="O19" s="1" t="s">
        <v>25</v>
      </c>
      <c r="P19" s="1" t="s">
        <v>25</v>
      </c>
      <c r="Q19" s="1" t="s">
        <v>25</v>
      </c>
      <c r="R19" s="1" t="s">
        <v>25</v>
      </c>
      <c r="S19" s="1" t="s">
        <v>25</v>
      </c>
      <c r="T19" s="1" t="s">
        <v>25</v>
      </c>
      <c r="AA19" t="str">
        <f t="shared" si="0"/>
        <v/>
      </c>
    </row>
    <row r="20" spans="1:27" x14ac:dyDescent="0.25">
      <c r="A20" s="1" t="s">
        <v>1550</v>
      </c>
      <c r="B20" s="1" t="s">
        <v>1597</v>
      </c>
      <c r="C20" s="1" t="s">
        <v>1571</v>
      </c>
      <c r="D20" s="1" t="s">
        <v>25</v>
      </c>
      <c r="E20" s="1" t="s">
        <v>25</v>
      </c>
      <c r="F20" s="1" t="s">
        <v>25</v>
      </c>
      <c r="G20" s="1" t="s">
        <v>25</v>
      </c>
      <c r="H20" s="1" t="s">
        <v>25</v>
      </c>
      <c r="I20" s="1" t="s">
        <v>25</v>
      </c>
      <c r="J20" s="1" t="s">
        <v>25</v>
      </c>
      <c r="K20" s="1" t="s">
        <v>25</v>
      </c>
      <c r="L20" s="1" t="s">
        <v>25</v>
      </c>
      <c r="M20" s="1" t="s">
        <v>25</v>
      </c>
      <c r="N20" s="1" t="s">
        <v>25</v>
      </c>
      <c r="O20" s="1" t="s">
        <v>25</v>
      </c>
      <c r="P20" s="1" t="s">
        <v>25</v>
      </c>
      <c r="Q20" s="1" t="s">
        <v>25</v>
      </c>
      <c r="R20" s="1" t="s">
        <v>25</v>
      </c>
      <c r="S20" s="1" t="s">
        <v>25</v>
      </c>
      <c r="T20" s="1" t="s">
        <v>25</v>
      </c>
      <c r="AA20" t="str">
        <f t="shared" si="0"/>
        <v/>
      </c>
    </row>
    <row r="21" spans="1:27" x14ac:dyDescent="0.25">
      <c r="A21" s="1" t="s">
        <v>10</v>
      </c>
      <c r="B21" s="1" t="s">
        <v>21</v>
      </c>
      <c r="C21" s="1" t="s">
        <v>1541</v>
      </c>
      <c r="D21" s="1" t="s">
        <v>25</v>
      </c>
      <c r="E21" s="1" t="s">
        <v>18</v>
      </c>
      <c r="F21" s="1" t="s">
        <v>25</v>
      </c>
      <c r="G21" s="1" t="s">
        <v>25</v>
      </c>
      <c r="H21" s="1" t="s">
        <v>25</v>
      </c>
      <c r="I21" s="1" t="s">
        <v>25</v>
      </c>
      <c r="J21" s="1" t="s">
        <v>25</v>
      </c>
      <c r="K21" s="1" t="s">
        <v>25</v>
      </c>
      <c r="L21" s="1" t="s">
        <v>25</v>
      </c>
      <c r="M21" s="1" t="s">
        <v>25</v>
      </c>
      <c r="N21" s="1" t="s">
        <v>25</v>
      </c>
      <c r="O21" s="1" t="s">
        <v>25</v>
      </c>
      <c r="P21" s="1" t="s">
        <v>25</v>
      </c>
      <c r="Q21" s="1" t="s">
        <v>25</v>
      </c>
      <c r="R21" s="1" t="s">
        <v>25</v>
      </c>
      <c r="S21" s="1" t="s">
        <v>25</v>
      </c>
      <c r="T21" s="1" t="s">
        <v>25</v>
      </c>
      <c r="AA21" t="str">
        <f t="shared" si="0"/>
        <v/>
      </c>
    </row>
    <row r="22" spans="1:27" x14ac:dyDescent="0.25">
      <c r="A22" s="5" t="s">
        <v>1553</v>
      </c>
      <c r="B22" s="5" t="s">
        <v>21</v>
      </c>
      <c r="C22" s="5" t="s">
        <v>24</v>
      </c>
      <c r="D22" s="5" t="s">
        <v>1582</v>
      </c>
      <c r="E22" s="5" t="s">
        <v>1583</v>
      </c>
      <c r="F22" s="5" t="s">
        <v>21</v>
      </c>
      <c r="G22" s="5" t="s">
        <v>18</v>
      </c>
      <c r="H22" s="5" t="s">
        <v>25</v>
      </c>
      <c r="I22" s="5" t="s">
        <v>25</v>
      </c>
      <c r="J22" s="5" t="s">
        <v>25</v>
      </c>
      <c r="K22" s="1" t="s">
        <v>25</v>
      </c>
      <c r="L22" s="1" t="s">
        <v>25</v>
      </c>
      <c r="M22" s="1" t="s">
        <v>25</v>
      </c>
      <c r="N22" s="1" t="s">
        <v>25</v>
      </c>
      <c r="O22" s="1" t="s">
        <v>25</v>
      </c>
      <c r="P22" s="1" t="s">
        <v>25</v>
      </c>
      <c r="Q22" s="1" t="s">
        <v>25</v>
      </c>
      <c r="R22" s="1" t="s">
        <v>25</v>
      </c>
      <c r="S22" s="1" t="s">
        <v>25</v>
      </c>
      <c r="T22" s="1" t="s">
        <v>25</v>
      </c>
      <c r="AA22" t="str">
        <f t="shared" si="0"/>
        <v/>
      </c>
    </row>
    <row r="23" spans="1:27" x14ac:dyDescent="0.25">
      <c r="A23" s="1" t="s">
        <v>0</v>
      </c>
      <c r="B23" s="1" t="s">
        <v>16</v>
      </c>
      <c r="C23" s="1" t="s">
        <v>17</v>
      </c>
      <c r="D23" s="1" t="s">
        <v>1</v>
      </c>
      <c r="E23" s="1" t="s">
        <v>25</v>
      </c>
      <c r="F23" s="1" t="s">
        <v>1571</v>
      </c>
      <c r="G23" s="1" t="s">
        <v>25</v>
      </c>
      <c r="H23" s="1" t="s">
        <v>25</v>
      </c>
      <c r="I23" s="1" t="s">
        <v>25</v>
      </c>
      <c r="J23" s="1" t="s">
        <v>25</v>
      </c>
      <c r="K23" s="1" t="s">
        <v>25</v>
      </c>
      <c r="L23" s="1" t="s">
        <v>25</v>
      </c>
      <c r="M23" s="1" t="s">
        <v>25</v>
      </c>
      <c r="N23" s="1" t="s">
        <v>25</v>
      </c>
      <c r="O23" s="1" t="s">
        <v>25</v>
      </c>
      <c r="P23" s="1" t="s">
        <v>25</v>
      </c>
      <c r="Q23" s="1" t="s">
        <v>25</v>
      </c>
      <c r="R23" s="1" t="s">
        <v>25</v>
      </c>
      <c r="S23" s="1" t="s">
        <v>25</v>
      </c>
      <c r="T23" s="1" t="s">
        <v>25</v>
      </c>
      <c r="AA23" t="str">
        <f t="shared" si="0"/>
        <v/>
      </c>
    </row>
    <row r="24" spans="1:27" x14ac:dyDescent="0.25">
      <c r="A24" s="1" t="s">
        <v>2</v>
      </c>
      <c r="B24" s="1" t="s">
        <v>1523</v>
      </c>
      <c r="C24" s="1" t="s">
        <v>1524</v>
      </c>
      <c r="D24" s="1" t="s">
        <v>1554</v>
      </c>
      <c r="E24" s="1" t="s">
        <v>25</v>
      </c>
      <c r="F24" s="1" t="s">
        <v>25</v>
      </c>
      <c r="G24" s="1" t="s">
        <v>25</v>
      </c>
      <c r="H24" s="1" t="s">
        <v>25</v>
      </c>
      <c r="I24" s="1" t="s">
        <v>25</v>
      </c>
      <c r="J24" s="1" t="s">
        <v>25</v>
      </c>
      <c r="K24" s="1" t="s">
        <v>25</v>
      </c>
      <c r="L24" s="1" t="s">
        <v>25</v>
      </c>
      <c r="M24" s="1" t="s">
        <v>25</v>
      </c>
      <c r="N24" s="1" t="s">
        <v>25</v>
      </c>
      <c r="O24" s="1" t="s">
        <v>25</v>
      </c>
      <c r="P24" s="1" t="s">
        <v>25</v>
      </c>
      <c r="Q24" s="1" t="s">
        <v>25</v>
      </c>
      <c r="R24" s="1" t="s">
        <v>25</v>
      </c>
      <c r="S24" s="1" t="s">
        <v>25</v>
      </c>
      <c r="T24" s="1" t="s">
        <v>25</v>
      </c>
      <c r="AA24" t="str">
        <f t="shared" si="0"/>
        <v/>
      </c>
    </row>
    <row r="25" spans="1:27" x14ac:dyDescent="0.25">
      <c r="A25" s="1" t="s">
        <v>3</v>
      </c>
      <c r="B25" s="1" t="s">
        <v>18</v>
      </c>
      <c r="C25" s="1" t="s">
        <v>25</v>
      </c>
      <c r="D25" s="1" t="s">
        <v>25</v>
      </c>
      <c r="E25" s="1" t="s">
        <v>25</v>
      </c>
      <c r="F25" s="1" t="s">
        <v>25</v>
      </c>
      <c r="G25" s="1" t="s">
        <v>25</v>
      </c>
      <c r="H25" s="1" t="s">
        <v>25</v>
      </c>
      <c r="I25" s="1" t="s">
        <v>25</v>
      </c>
      <c r="J25" s="1" t="s">
        <v>25</v>
      </c>
      <c r="K25" s="1" t="s">
        <v>25</v>
      </c>
      <c r="L25" s="1" t="s">
        <v>25</v>
      </c>
      <c r="M25" s="1" t="s">
        <v>25</v>
      </c>
      <c r="N25" s="1" t="s">
        <v>25</v>
      </c>
      <c r="O25" s="1" t="s">
        <v>25</v>
      </c>
      <c r="P25" s="1" t="s">
        <v>25</v>
      </c>
      <c r="Q25" s="1" t="s">
        <v>25</v>
      </c>
      <c r="R25" s="1" t="s">
        <v>25</v>
      </c>
      <c r="S25" s="1" t="s">
        <v>25</v>
      </c>
      <c r="T25" s="1" t="s">
        <v>25</v>
      </c>
      <c r="AA25" t="str">
        <f t="shared" si="0"/>
        <v/>
      </c>
    </row>
    <row r="26" spans="1:27" x14ac:dyDescent="0.25">
      <c r="A26" s="1" t="s">
        <v>4</v>
      </c>
      <c r="B26" s="1" t="s">
        <v>1525</v>
      </c>
      <c r="C26" s="1" t="s">
        <v>19</v>
      </c>
      <c r="D26" s="1" t="s">
        <v>1555</v>
      </c>
      <c r="E26" s="1" t="s">
        <v>25</v>
      </c>
      <c r="F26" s="1" t="s">
        <v>25</v>
      </c>
      <c r="G26" s="1" t="s">
        <v>25</v>
      </c>
      <c r="H26" s="1" t="s">
        <v>25</v>
      </c>
      <c r="I26" s="1" t="s">
        <v>25</v>
      </c>
      <c r="J26" s="1" t="s">
        <v>25</v>
      </c>
      <c r="K26" s="1" t="s">
        <v>25</v>
      </c>
      <c r="L26" s="1" t="s">
        <v>25</v>
      </c>
      <c r="M26" s="1" t="s">
        <v>25</v>
      </c>
      <c r="N26" s="1" t="s">
        <v>25</v>
      </c>
      <c r="O26" s="1" t="s">
        <v>25</v>
      </c>
      <c r="P26" s="1" t="s">
        <v>25</v>
      </c>
      <c r="Q26" s="1" t="s">
        <v>25</v>
      </c>
      <c r="R26" s="1" t="s">
        <v>25</v>
      </c>
      <c r="S26" s="1" t="s">
        <v>25</v>
      </c>
      <c r="T26" s="1" t="s">
        <v>25</v>
      </c>
      <c r="AA26" t="str">
        <f t="shared" si="0"/>
        <v/>
      </c>
    </row>
    <row r="27" spans="1:27" x14ac:dyDescent="0.25">
      <c r="A27" s="1" t="s">
        <v>5</v>
      </c>
      <c r="B27" s="1" t="s">
        <v>19</v>
      </c>
      <c r="C27" s="1" t="s">
        <v>25</v>
      </c>
      <c r="D27" s="1" t="s">
        <v>20</v>
      </c>
      <c r="E27" s="1" t="s">
        <v>25</v>
      </c>
      <c r="F27" s="1" t="s">
        <v>1526</v>
      </c>
      <c r="G27" s="1" t="s">
        <v>1527</v>
      </c>
      <c r="H27" s="1" t="s">
        <v>1528</v>
      </c>
      <c r="I27" s="1" t="s">
        <v>1529</v>
      </c>
      <c r="J27" s="1" t="s">
        <v>1530</v>
      </c>
      <c r="K27" s="1" t="s">
        <v>25</v>
      </c>
      <c r="L27" s="1" t="s">
        <v>25</v>
      </c>
      <c r="M27" s="1" t="s">
        <v>25</v>
      </c>
      <c r="N27" s="1" t="s">
        <v>25</v>
      </c>
      <c r="O27" s="1" t="s">
        <v>25</v>
      </c>
      <c r="P27" s="1" t="s">
        <v>25</v>
      </c>
      <c r="Q27" s="1" t="s">
        <v>25</v>
      </c>
      <c r="R27" s="1" t="s">
        <v>25</v>
      </c>
      <c r="S27" s="1" t="s">
        <v>25</v>
      </c>
      <c r="T27" s="1" t="s">
        <v>25</v>
      </c>
      <c r="AA27" t="str">
        <f t="shared" si="0"/>
        <v/>
      </c>
    </row>
    <row r="28" spans="1:27" x14ac:dyDescent="0.25">
      <c r="A28" s="1" t="s">
        <v>6</v>
      </c>
      <c r="B28" s="1" t="s">
        <v>18</v>
      </c>
      <c r="C28" s="1" t="s">
        <v>25</v>
      </c>
      <c r="D28" s="1" t="s">
        <v>25</v>
      </c>
      <c r="E28" s="1" t="s">
        <v>25</v>
      </c>
      <c r="F28" s="1" t="s">
        <v>25</v>
      </c>
      <c r="G28" s="1" t="s">
        <v>25</v>
      </c>
      <c r="H28" s="1" t="s">
        <v>25</v>
      </c>
      <c r="I28" s="1" t="s">
        <v>25</v>
      </c>
      <c r="J28" s="1" t="s">
        <v>25</v>
      </c>
      <c r="K28" s="1" t="s">
        <v>25</v>
      </c>
      <c r="L28" s="1" t="s">
        <v>25</v>
      </c>
      <c r="M28" s="1" t="s">
        <v>25</v>
      </c>
      <c r="N28" s="1" t="s">
        <v>25</v>
      </c>
      <c r="O28" s="1" t="s">
        <v>25</v>
      </c>
      <c r="P28" s="1" t="s">
        <v>25</v>
      </c>
      <c r="Q28" s="1" t="s">
        <v>25</v>
      </c>
      <c r="R28" s="1" t="s">
        <v>25</v>
      </c>
      <c r="S28" s="1" t="s">
        <v>25</v>
      </c>
      <c r="T28" s="1" t="s">
        <v>25</v>
      </c>
      <c r="AA28" t="str">
        <f t="shared" si="0"/>
        <v/>
      </c>
    </row>
    <row r="29" spans="1:27" x14ac:dyDescent="0.25">
      <c r="A29" s="1" t="s">
        <v>7</v>
      </c>
      <c r="B29" s="1" t="s">
        <v>21</v>
      </c>
      <c r="C29" s="1" t="s">
        <v>1531</v>
      </c>
      <c r="D29" s="1" t="s">
        <v>25</v>
      </c>
      <c r="E29" s="1" t="s">
        <v>18</v>
      </c>
      <c r="F29" s="1" t="s">
        <v>25</v>
      </c>
      <c r="G29" s="1" t="s">
        <v>25</v>
      </c>
      <c r="H29" s="1" t="s">
        <v>25</v>
      </c>
      <c r="I29" s="1" t="s">
        <v>25</v>
      </c>
      <c r="J29" s="1" t="s">
        <v>25</v>
      </c>
      <c r="K29" s="1" t="s">
        <v>25</v>
      </c>
      <c r="L29" s="1" t="s">
        <v>25</v>
      </c>
      <c r="M29" s="1" t="s">
        <v>25</v>
      </c>
      <c r="N29" s="1" t="s">
        <v>25</v>
      </c>
      <c r="O29" s="1" t="s">
        <v>25</v>
      </c>
      <c r="P29" s="1" t="s">
        <v>25</v>
      </c>
      <c r="Q29" s="1" t="s">
        <v>25</v>
      </c>
      <c r="R29" s="1" t="s">
        <v>25</v>
      </c>
      <c r="S29" s="1" t="s">
        <v>25</v>
      </c>
      <c r="T29" s="1" t="s">
        <v>25</v>
      </c>
      <c r="AA29" t="str">
        <f t="shared" si="0"/>
        <v/>
      </c>
    </row>
    <row r="30" spans="1:27" x14ac:dyDescent="0.25">
      <c r="A30" s="1" t="s">
        <v>8</v>
      </c>
      <c r="B30" s="1" t="s">
        <v>25</v>
      </c>
      <c r="C30" s="1" t="s">
        <v>25</v>
      </c>
      <c r="D30" s="1" t="s">
        <v>25</v>
      </c>
      <c r="E30" s="1" t="s">
        <v>25</v>
      </c>
      <c r="F30" s="1" t="s">
        <v>25</v>
      </c>
      <c r="G30" s="1" t="s">
        <v>25</v>
      </c>
      <c r="H30" s="1" t="s">
        <v>25</v>
      </c>
      <c r="I30" s="1" t="s">
        <v>25</v>
      </c>
      <c r="J30" s="1" t="s">
        <v>25</v>
      </c>
      <c r="K30" s="1" t="s">
        <v>25</v>
      </c>
      <c r="L30" s="1" t="s">
        <v>25</v>
      </c>
      <c r="M30" s="1" t="s">
        <v>25</v>
      </c>
      <c r="N30" s="1" t="s">
        <v>25</v>
      </c>
      <c r="O30" s="1" t="s">
        <v>25</v>
      </c>
      <c r="P30" s="1" t="s">
        <v>25</v>
      </c>
      <c r="Q30" s="1" t="s">
        <v>25</v>
      </c>
      <c r="R30" s="1" t="s">
        <v>25</v>
      </c>
      <c r="S30" s="1" t="s">
        <v>25</v>
      </c>
      <c r="T30" s="1" t="s">
        <v>25</v>
      </c>
      <c r="AA30" t="str">
        <f t="shared" si="0"/>
        <v/>
      </c>
    </row>
    <row r="31" spans="1:27" x14ac:dyDescent="0.25">
      <c r="A31" s="1" t="s">
        <v>9</v>
      </c>
      <c r="B31" s="1" t="s">
        <v>1532</v>
      </c>
      <c r="C31" s="1" t="s">
        <v>25</v>
      </c>
      <c r="D31" s="1" t="s">
        <v>25</v>
      </c>
      <c r="E31" s="1" t="s">
        <v>25</v>
      </c>
      <c r="F31" s="1" t="s">
        <v>25</v>
      </c>
      <c r="G31" s="1" t="s">
        <v>25</v>
      </c>
      <c r="H31" s="1" t="s">
        <v>25</v>
      </c>
      <c r="I31" s="1" t="s">
        <v>25</v>
      </c>
      <c r="J31" s="1" t="s">
        <v>25</v>
      </c>
      <c r="K31" s="1" t="s">
        <v>25</v>
      </c>
      <c r="L31" s="1" t="s">
        <v>25</v>
      </c>
      <c r="M31" s="1" t="s">
        <v>25</v>
      </c>
      <c r="N31" s="1" t="s">
        <v>25</v>
      </c>
      <c r="O31" s="1" t="s">
        <v>25</v>
      </c>
      <c r="P31" s="1" t="s">
        <v>25</v>
      </c>
      <c r="Q31" s="1" t="s">
        <v>25</v>
      </c>
      <c r="R31" s="1" t="s">
        <v>25</v>
      </c>
      <c r="S31" s="1" t="s">
        <v>25</v>
      </c>
      <c r="T31" s="1" t="s">
        <v>25</v>
      </c>
      <c r="AA31" t="str">
        <f t="shared" si="0"/>
        <v/>
      </c>
    </row>
    <row r="32" spans="1:27" x14ac:dyDescent="0.25">
      <c r="A32" s="5" t="s">
        <v>1543</v>
      </c>
      <c r="B32" s="5" t="s">
        <v>21</v>
      </c>
      <c r="C32" s="5" t="s">
        <v>1533</v>
      </c>
      <c r="D32" s="5" t="s">
        <v>21</v>
      </c>
      <c r="E32" s="5" t="s">
        <v>24</v>
      </c>
      <c r="F32" s="5" t="s">
        <v>24</v>
      </c>
      <c r="G32" s="5" t="s">
        <v>21</v>
      </c>
      <c r="H32" s="5" t="s">
        <v>18</v>
      </c>
      <c r="I32" s="5" t="s">
        <v>18</v>
      </c>
      <c r="J32" s="5" t="s">
        <v>21</v>
      </c>
      <c r="K32" s="1" t="s">
        <v>21</v>
      </c>
      <c r="L32" s="1" t="s">
        <v>1534</v>
      </c>
      <c r="M32" s="1" t="s">
        <v>25</v>
      </c>
      <c r="N32" s="1" t="s">
        <v>18</v>
      </c>
      <c r="O32" s="1" t="s">
        <v>18</v>
      </c>
      <c r="P32" s="1" t="s">
        <v>25</v>
      </c>
      <c r="Q32" s="1" t="s">
        <v>18</v>
      </c>
      <c r="R32" s="1" t="s">
        <v>18</v>
      </c>
      <c r="S32" s="1" t="s">
        <v>25</v>
      </c>
      <c r="T32" s="1" t="s">
        <v>25</v>
      </c>
      <c r="AA32" t="str">
        <f t="shared" si="0"/>
        <v/>
      </c>
    </row>
    <row r="33" spans="1:27" x14ac:dyDescent="0.25">
      <c r="A33" s="1" t="s">
        <v>1544</v>
      </c>
      <c r="B33" s="1" t="s">
        <v>1535</v>
      </c>
      <c r="C33" s="1" t="s">
        <v>1536</v>
      </c>
      <c r="D33" s="1" t="s">
        <v>25</v>
      </c>
      <c r="E33" s="1" t="s">
        <v>25</v>
      </c>
      <c r="F33" s="1" t="s">
        <v>25</v>
      </c>
      <c r="G33" s="1" t="s">
        <v>25</v>
      </c>
      <c r="H33" s="1" t="s">
        <v>25</v>
      </c>
      <c r="I33" s="1" t="s">
        <v>25</v>
      </c>
      <c r="J33" s="1" t="s">
        <v>25</v>
      </c>
      <c r="K33" s="1" t="s">
        <v>25</v>
      </c>
      <c r="L33" s="1" t="s">
        <v>25</v>
      </c>
      <c r="M33" s="1" t="s">
        <v>25</v>
      </c>
      <c r="N33" s="1" t="s">
        <v>25</v>
      </c>
      <c r="O33" s="1" t="s">
        <v>25</v>
      </c>
      <c r="P33" s="1" t="s">
        <v>25</v>
      </c>
      <c r="Q33" s="1" t="s">
        <v>25</v>
      </c>
      <c r="R33" s="1" t="s">
        <v>25</v>
      </c>
      <c r="S33" s="1" t="s">
        <v>25</v>
      </c>
      <c r="T33" s="1" t="s">
        <v>25</v>
      </c>
      <c r="AA33" t="str">
        <f t="shared" si="0"/>
        <v/>
      </c>
    </row>
    <row r="34" spans="1:27" x14ac:dyDescent="0.25">
      <c r="A34" s="1" t="s">
        <v>1545</v>
      </c>
      <c r="B34" s="1" t="s">
        <v>1598</v>
      </c>
      <c r="C34" s="1" t="s">
        <v>1539</v>
      </c>
      <c r="D34" s="1" t="s">
        <v>1599</v>
      </c>
      <c r="E34" s="1" t="s">
        <v>1539</v>
      </c>
      <c r="F34" s="1" t="s">
        <v>22</v>
      </c>
      <c r="G34" s="1" t="s">
        <v>25</v>
      </c>
      <c r="H34" s="1" t="s">
        <v>25</v>
      </c>
      <c r="I34" s="1" t="s">
        <v>25</v>
      </c>
      <c r="J34" s="1" t="s">
        <v>1534</v>
      </c>
      <c r="K34" s="1" t="s">
        <v>25</v>
      </c>
      <c r="L34" s="1" t="s">
        <v>25</v>
      </c>
      <c r="M34" s="1" t="s">
        <v>25</v>
      </c>
      <c r="N34" s="1" t="s">
        <v>25</v>
      </c>
      <c r="O34" s="1" t="s">
        <v>25</v>
      </c>
      <c r="P34" s="1" t="s">
        <v>25</v>
      </c>
      <c r="Q34" s="1" t="s">
        <v>25</v>
      </c>
      <c r="R34" s="1" t="s">
        <v>25</v>
      </c>
      <c r="S34" s="1" t="s">
        <v>25</v>
      </c>
      <c r="T34" s="1" t="s">
        <v>25</v>
      </c>
      <c r="AA34" t="str">
        <f t="shared" si="0"/>
        <v/>
      </c>
    </row>
    <row r="35" spans="1:27" x14ac:dyDescent="0.25">
      <c r="A35" s="1" t="s">
        <v>1552</v>
      </c>
      <c r="B35" s="1" t="s">
        <v>1537</v>
      </c>
      <c r="C35" s="1" t="s">
        <v>1600</v>
      </c>
      <c r="D35" s="1" t="s">
        <v>26</v>
      </c>
      <c r="E35" s="1" t="s">
        <v>25</v>
      </c>
      <c r="F35" s="1" t="s">
        <v>25</v>
      </c>
      <c r="G35" s="1" t="s">
        <v>25</v>
      </c>
      <c r="H35" s="1" t="s">
        <v>25</v>
      </c>
      <c r="I35" s="1" t="s">
        <v>25</v>
      </c>
      <c r="J35" s="1" t="s">
        <v>25</v>
      </c>
      <c r="K35" s="1" t="s">
        <v>25</v>
      </c>
      <c r="L35" s="1" t="s">
        <v>25</v>
      </c>
      <c r="M35" s="1" t="s">
        <v>25</v>
      </c>
      <c r="N35" s="1" t="s">
        <v>25</v>
      </c>
      <c r="O35" s="1" t="s">
        <v>25</v>
      </c>
      <c r="P35" s="1" t="s">
        <v>25</v>
      </c>
      <c r="Q35" s="1" t="s">
        <v>25</v>
      </c>
      <c r="R35" s="1" t="s">
        <v>25</v>
      </c>
      <c r="S35" s="1" t="s">
        <v>25</v>
      </c>
      <c r="T35" s="1" t="s">
        <v>25</v>
      </c>
      <c r="AA35" t="str">
        <f t="shared" si="0"/>
        <v/>
      </c>
    </row>
    <row r="36" spans="1:27" x14ac:dyDescent="0.25">
      <c r="A36" s="1" t="s">
        <v>1546</v>
      </c>
      <c r="B36" s="1" t="s">
        <v>1533</v>
      </c>
      <c r="C36" s="1" t="s">
        <v>25</v>
      </c>
      <c r="D36" s="1" t="s">
        <v>25</v>
      </c>
      <c r="E36" s="1" t="s">
        <v>25</v>
      </c>
      <c r="F36" s="1" t="s">
        <v>25</v>
      </c>
      <c r="G36" s="1" t="s">
        <v>25</v>
      </c>
      <c r="H36" s="1" t="s">
        <v>25</v>
      </c>
      <c r="I36" s="1" t="s">
        <v>25</v>
      </c>
      <c r="J36" s="1" t="s">
        <v>25</v>
      </c>
      <c r="K36" s="1" t="s">
        <v>25</v>
      </c>
      <c r="L36" s="1" t="s">
        <v>25</v>
      </c>
      <c r="M36" s="1" t="s">
        <v>25</v>
      </c>
      <c r="N36" s="1" t="s">
        <v>25</v>
      </c>
      <c r="O36" s="1" t="s">
        <v>25</v>
      </c>
      <c r="P36" s="1" t="s">
        <v>25</v>
      </c>
      <c r="Q36" s="1" t="s">
        <v>25</v>
      </c>
      <c r="R36" s="1" t="s">
        <v>25</v>
      </c>
      <c r="S36" s="1" t="s">
        <v>25</v>
      </c>
      <c r="T36" s="1" t="s">
        <v>25</v>
      </c>
      <c r="AA36" t="str">
        <f t="shared" si="0"/>
        <v/>
      </c>
    </row>
    <row r="37" spans="1:27" x14ac:dyDescent="0.25">
      <c r="A37" s="1" t="s">
        <v>1547</v>
      </c>
      <c r="B37" s="1" t="s">
        <v>21</v>
      </c>
      <c r="C37" s="1" t="s">
        <v>1535</v>
      </c>
      <c r="D37" s="1" t="s">
        <v>21</v>
      </c>
      <c r="E37" s="1" t="s">
        <v>1601</v>
      </c>
      <c r="F37" s="1" t="s">
        <v>1538</v>
      </c>
      <c r="G37" s="1" t="s">
        <v>1602</v>
      </c>
      <c r="H37" s="1" t="s">
        <v>23</v>
      </c>
      <c r="I37" s="1" t="s">
        <v>1571</v>
      </c>
      <c r="J37" s="1" t="s">
        <v>25</v>
      </c>
      <c r="K37" s="1" t="s">
        <v>25</v>
      </c>
      <c r="L37" s="1" t="s">
        <v>25</v>
      </c>
      <c r="M37" s="1" t="s">
        <v>25</v>
      </c>
      <c r="N37" s="1" t="s">
        <v>25</v>
      </c>
      <c r="O37" s="1" t="s">
        <v>25</v>
      </c>
      <c r="P37" s="1" t="s">
        <v>25</v>
      </c>
      <c r="Q37" s="1" t="s">
        <v>25</v>
      </c>
      <c r="R37" s="1" t="s">
        <v>25</v>
      </c>
      <c r="S37" s="1" t="s">
        <v>25</v>
      </c>
      <c r="T37" s="1" t="s">
        <v>25</v>
      </c>
      <c r="AA37" t="str">
        <f t="shared" si="0"/>
        <v/>
      </c>
    </row>
    <row r="38" spans="1:27" x14ac:dyDescent="0.25">
      <c r="A38" s="1" t="s">
        <v>1548</v>
      </c>
      <c r="B38" s="1" t="s">
        <v>1533</v>
      </c>
      <c r="C38" s="1" t="s">
        <v>21</v>
      </c>
      <c r="D38" s="1" t="s">
        <v>1601</v>
      </c>
      <c r="E38" s="1" t="s">
        <v>1538</v>
      </c>
      <c r="F38" s="1" t="s">
        <v>1602</v>
      </c>
      <c r="G38" s="1" t="s">
        <v>23</v>
      </c>
      <c r="H38" s="1" t="s">
        <v>1571</v>
      </c>
      <c r="I38" s="1" t="s">
        <v>25</v>
      </c>
      <c r="J38" s="1" t="s">
        <v>25</v>
      </c>
      <c r="K38" s="1" t="s">
        <v>25</v>
      </c>
      <c r="L38" s="1" t="s">
        <v>25</v>
      </c>
      <c r="M38" s="1" t="s">
        <v>25</v>
      </c>
      <c r="N38" s="1" t="s">
        <v>25</v>
      </c>
      <c r="O38" s="1" t="s">
        <v>25</v>
      </c>
      <c r="P38" s="1" t="s">
        <v>25</v>
      </c>
      <c r="Q38" s="1" t="s">
        <v>25</v>
      </c>
      <c r="R38" s="1" t="s">
        <v>25</v>
      </c>
      <c r="S38" s="1" t="s">
        <v>25</v>
      </c>
      <c r="T38" s="1" t="s">
        <v>25</v>
      </c>
      <c r="AA38" t="str">
        <f t="shared" si="0"/>
        <v/>
      </c>
    </row>
    <row r="39" spans="1:27" x14ac:dyDescent="0.25">
      <c r="A39" s="1" t="s">
        <v>1549</v>
      </c>
      <c r="B39" s="1" t="s">
        <v>1603</v>
      </c>
      <c r="C39" s="1" t="s">
        <v>25</v>
      </c>
      <c r="D39" s="1" t="s">
        <v>23</v>
      </c>
      <c r="E39" s="1" t="s">
        <v>25</v>
      </c>
      <c r="F39" s="1" t="s">
        <v>25</v>
      </c>
      <c r="G39" s="1" t="s">
        <v>25</v>
      </c>
      <c r="H39" s="1" t="s">
        <v>1571</v>
      </c>
      <c r="I39" s="1" t="s">
        <v>25</v>
      </c>
      <c r="J39" s="1" t="s">
        <v>25</v>
      </c>
      <c r="K39" s="1" t="s">
        <v>25</v>
      </c>
      <c r="L39" s="1" t="s">
        <v>25</v>
      </c>
      <c r="M39" s="1" t="s">
        <v>25</v>
      </c>
      <c r="N39" s="1" t="s">
        <v>25</v>
      </c>
      <c r="O39" s="1" t="s">
        <v>25</v>
      </c>
      <c r="P39" s="1" t="s">
        <v>25</v>
      </c>
      <c r="Q39" s="1" t="s">
        <v>25</v>
      </c>
      <c r="R39" s="1" t="s">
        <v>25</v>
      </c>
      <c r="S39" s="1" t="s">
        <v>25</v>
      </c>
      <c r="T39" s="1" t="s">
        <v>25</v>
      </c>
      <c r="AA39" t="str">
        <f t="shared" si="0"/>
        <v/>
      </c>
    </row>
    <row r="40" spans="1:27" x14ac:dyDescent="0.25">
      <c r="A40" s="1" t="s">
        <v>1522</v>
      </c>
      <c r="B40" s="1" t="s">
        <v>1604</v>
      </c>
      <c r="C40" s="1" t="s">
        <v>1605</v>
      </c>
      <c r="D40" s="1" t="s">
        <v>25</v>
      </c>
      <c r="E40" s="1" t="s">
        <v>1606</v>
      </c>
      <c r="F40" s="1" t="s">
        <v>1607</v>
      </c>
      <c r="G40" s="1" t="s">
        <v>1771</v>
      </c>
      <c r="H40" s="1" t="s">
        <v>1540</v>
      </c>
      <c r="I40" s="1" t="s">
        <v>1608</v>
      </c>
      <c r="J40" s="1" t="s">
        <v>23</v>
      </c>
      <c r="K40" s="1" t="s">
        <v>21</v>
      </c>
      <c r="L40" s="1" t="s">
        <v>16</v>
      </c>
      <c r="M40" s="1" t="s">
        <v>18</v>
      </c>
      <c r="N40" s="1" t="s">
        <v>25</v>
      </c>
      <c r="O40" s="1" t="s">
        <v>25</v>
      </c>
      <c r="P40" s="1" t="s">
        <v>25</v>
      </c>
      <c r="Q40" s="1" t="s">
        <v>25</v>
      </c>
      <c r="R40" s="1" t="s">
        <v>25</v>
      </c>
      <c r="S40" s="1" t="s">
        <v>25</v>
      </c>
      <c r="T40" s="1" t="s">
        <v>25</v>
      </c>
      <c r="AA40" t="str">
        <f t="shared" si="0"/>
        <v/>
      </c>
    </row>
    <row r="41" spans="1:27" x14ac:dyDescent="0.25">
      <c r="A41" s="1" t="s">
        <v>1550</v>
      </c>
      <c r="B41" s="1" t="s">
        <v>1609</v>
      </c>
      <c r="C41" s="1" t="s">
        <v>1571</v>
      </c>
      <c r="D41" s="1" t="s">
        <v>25</v>
      </c>
      <c r="E41" s="1" t="s">
        <v>25</v>
      </c>
      <c r="F41" s="1" t="s">
        <v>25</v>
      </c>
      <c r="G41" s="1" t="s">
        <v>25</v>
      </c>
      <c r="H41" s="1" t="s">
        <v>25</v>
      </c>
      <c r="I41" s="1" t="s">
        <v>25</v>
      </c>
      <c r="J41" s="1" t="s">
        <v>25</v>
      </c>
      <c r="K41" s="1" t="s">
        <v>25</v>
      </c>
      <c r="L41" s="1" t="s">
        <v>25</v>
      </c>
      <c r="M41" s="1" t="s">
        <v>25</v>
      </c>
      <c r="N41" s="1" t="s">
        <v>25</v>
      </c>
      <c r="O41" s="1" t="s">
        <v>25</v>
      </c>
      <c r="P41" s="1" t="s">
        <v>25</v>
      </c>
      <c r="Q41" s="1" t="s">
        <v>25</v>
      </c>
      <c r="R41" s="1" t="s">
        <v>25</v>
      </c>
      <c r="S41" s="1" t="s">
        <v>25</v>
      </c>
      <c r="T41" s="1" t="s">
        <v>25</v>
      </c>
      <c r="AA41" t="str">
        <f t="shared" si="0"/>
        <v/>
      </c>
    </row>
    <row r="42" spans="1:27" x14ac:dyDescent="0.25">
      <c r="A42" s="1" t="s">
        <v>10</v>
      </c>
      <c r="B42" s="1" t="s">
        <v>21</v>
      </c>
      <c r="C42" s="1" t="s">
        <v>1541</v>
      </c>
      <c r="D42" s="1" t="s">
        <v>25</v>
      </c>
      <c r="E42" s="1" t="s">
        <v>18</v>
      </c>
      <c r="F42" s="1" t="s">
        <v>25</v>
      </c>
      <c r="G42" s="1" t="s">
        <v>25</v>
      </c>
      <c r="H42" s="1" t="s">
        <v>25</v>
      </c>
      <c r="I42" s="1" t="s">
        <v>25</v>
      </c>
      <c r="J42" s="1" t="s">
        <v>25</v>
      </c>
      <c r="K42" s="1" t="s">
        <v>25</v>
      </c>
      <c r="L42" s="1" t="s">
        <v>25</v>
      </c>
      <c r="M42" s="1" t="s">
        <v>25</v>
      </c>
      <c r="N42" s="1" t="s">
        <v>25</v>
      </c>
      <c r="O42" s="1" t="s">
        <v>25</v>
      </c>
      <c r="P42" s="1" t="s">
        <v>25</v>
      </c>
      <c r="Q42" s="1" t="s">
        <v>25</v>
      </c>
      <c r="R42" s="1" t="s">
        <v>25</v>
      </c>
      <c r="S42" s="1" t="s">
        <v>25</v>
      </c>
      <c r="T42" s="1" t="s">
        <v>25</v>
      </c>
      <c r="AA42" t="str">
        <f t="shared" si="0"/>
        <v/>
      </c>
    </row>
    <row r="43" spans="1:27" x14ac:dyDescent="0.25">
      <c r="A43" s="5" t="s">
        <v>1553</v>
      </c>
      <c r="B43" s="5" t="s">
        <v>21</v>
      </c>
      <c r="C43" s="5" t="s">
        <v>24</v>
      </c>
      <c r="D43" s="5" t="s">
        <v>1532</v>
      </c>
      <c r="E43" s="5" t="s">
        <v>1533</v>
      </c>
      <c r="F43" s="5" t="s">
        <v>18</v>
      </c>
      <c r="G43" s="5" t="s">
        <v>18</v>
      </c>
      <c r="H43" s="5" t="s">
        <v>25</v>
      </c>
      <c r="I43" s="5" t="s">
        <v>25</v>
      </c>
      <c r="J43" s="5" t="s">
        <v>25</v>
      </c>
      <c r="K43" s="1" t="s">
        <v>25</v>
      </c>
      <c r="L43" s="1" t="s">
        <v>25</v>
      </c>
      <c r="M43" s="1" t="s">
        <v>25</v>
      </c>
      <c r="N43" s="1" t="s">
        <v>25</v>
      </c>
      <c r="O43" s="1" t="s">
        <v>25</v>
      </c>
      <c r="P43" s="1" t="s">
        <v>25</v>
      </c>
      <c r="Q43" s="1" t="s">
        <v>25</v>
      </c>
      <c r="R43" s="1" t="s">
        <v>25</v>
      </c>
      <c r="S43" s="1" t="s">
        <v>25</v>
      </c>
      <c r="T43" s="1" t="s">
        <v>25</v>
      </c>
      <c r="AA43" t="str">
        <f t="shared" si="0"/>
        <v/>
      </c>
    </row>
    <row r="44" spans="1:27" x14ac:dyDescent="0.25">
      <c r="A44" s="1" t="s">
        <v>0</v>
      </c>
      <c r="B44" s="1" t="s">
        <v>22</v>
      </c>
      <c r="C44" s="1" t="s">
        <v>17</v>
      </c>
      <c r="D44" s="1" t="s">
        <v>1</v>
      </c>
      <c r="E44" s="1" t="s">
        <v>25</v>
      </c>
      <c r="F44" s="1" t="s">
        <v>1571</v>
      </c>
      <c r="G44" s="1" t="s">
        <v>25</v>
      </c>
      <c r="H44" s="1" t="s">
        <v>25</v>
      </c>
      <c r="I44" s="1" t="s">
        <v>25</v>
      </c>
      <c r="J44" s="1" t="s">
        <v>25</v>
      </c>
      <c r="K44" s="1" t="s">
        <v>25</v>
      </c>
      <c r="L44" s="1" t="s">
        <v>25</v>
      </c>
      <c r="M44" s="1" t="s">
        <v>25</v>
      </c>
      <c r="N44" s="1" t="s">
        <v>25</v>
      </c>
      <c r="O44" s="1" t="s">
        <v>25</v>
      </c>
      <c r="P44" s="1" t="s">
        <v>25</v>
      </c>
      <c r="Q44" s="1" t="s">
        <v>25</v>
      </c>
      <c r="R44" s="1" t="s">
        <v>25</v>
      </c>
      <c r="S44" s="1" t="s">
        <v>25</v>
      </c>
      <c r="T44" s="1" t="s">
        <v>25</v>
      </c>
      <c r="AA44" t="str">
        <f t="shared" si="0"/>
        <v/>
      </c>
    </row>
    <row r="45" spans="1:27" x14ac:dyDescent="0.25">
      <c r="A45" s="1" t="s">
        <v>2</v>
      </c>
      <c r="B45" s="1" t="s">
        <v>1610</v>
      </c>
      <c r="C45" s="1" t="s">
        <v>1611</v>
      </c>
      <c r="D45" s="1" t="s">
        <v>1569</v>
      </c>
      <c r="E45" s="1" t="s">
        <v>25</v>
      </c>
      <c r="F45" s="1" t="s">
        <v>25</v>
      </c>
      <c r="G45" s="1" t="s">
        <v>25</v>
      </c>
      <c r="H45" s="1" t="s">
        <v>25</v>
      </c>
      <c r="I45" s="1" t="s">
        <v>25</v>
      </c>
      <c r="J45" s="1" t="s">
        <v>25</v>
      </c>
      <c r="K45" s="1" t="s">
        <v>25</v>
      </c>
      <c r="L45" s="1" t="s">
        <v>25</v>
      </c>
      <c r="M45" s="1" t="s">
        <v>25</v>
      </c>
      <c r="N45" s="1" t="s">
        <v>25</v>
      </c>
      <c r="O45" s="1" t="s">
        <v>25</v>
      </c>
      <c r="P45" s="1" t="s">
        <v>25</v>
      </c>
      <c r="Q45" s="1" t="s">
        <v>25</v>
      </c>
      <c r="R45" s="1" t="s">
        <v>25</v>
      </c>
      <c r="S45" s="1" t="s">
        <v>25</v>
      </c>
      <c r="T45" s="1" t="s">
        <v>25</v>
      </c>
      <c r="AA45" t="str">
        <f t="shared" si="0"/>
        <v/>
      </c>
    </row>
    <row r="46" spans="1:27" x14ac:dyDescent="0.25">
      <c r="A46" s="1" t="s">
        <v>3</v>
      </c>
      <c r="B46" s="1" t="s">
        <v>18</v>
      </c>
      <c r="C46" s="1" t="s">
        <v>25</v>
      </c>
      <c r="D46" s="1" t="s">
        <v>25</v>
      </c>
      <c r="E46" s="1" t="s">
        <v>25</v>
      </c>
      <c r="F46" s="1" t="s">
        <v>25</v>
      </c>
      <c r="G46" s="1" t="s">
        <v>25</v>
      </c>
      <c r="H46" s="1" t="s">
        <v>25</v>
      </c>
      <c r="I46" s="1" t="s">
        <v>25</v>
      </c>
      <c r="J46" s="1" t="s">
        <v>25</v>
      </c>
      <c r="K46" s="1" t="s">
        <v>25</v>
      </c>
      <c r="L46" s="1" t="s">
        <v>25</v>
      </c>
      <c r="M46" s="1" t="s">
        <v>25</v>
      </c>
      <c r="N46" s="1" t="s">
        <v>25</v>
      </c>
      <c r="O46" s="1" t="s">
        <v>25</v>
      </c>
      <c r="P46" s="1" t="s">
        <v>25</v>
      </c>
      <c r="Q46" s="1" t="s">
        <v>25</v>
      </c>
      <c r="R46" s="1" t="s">
        <v>25</v>
      </c>
      <c r="S46" s="1" t="s">
        <v>25</v>
      </c>
      <c r="T46" s="1" t="s">
        <v>25</v>
      </c>
      <c r="AA46" t="str">
        <f t="shared" si="0"/>
        <v/>
      </c>
    </row>
    <row r="47" spans="1:27" x14ac:dyDescent="0.25">
      <c r="A47" s="1" t="s">
        <v>4</v>
      </c>
      <c r="B47" s="1" t="s">
        <v>1612</v>
      </c>
      <c r="C47" s="1" t="s">
        <v>19</v>
      </c>
      <c r="D47" s="1" t="s">
        <v>1613</v>
      </c>
      <c r="E47" s="1" t="s">
        <v>25</v>
      </c>
      <c r="F47" s="1" t="s">
        <v>25</v>
      </c>
      <c r="G47" s="1" t="s">
        <v>25</v>
      </c>
      <c r="H47" s="1" t="s">
        <v>25</v>
      </c>
      <c r="I47" s="1" t="s">
        <v>25</v>
      </c>
      <c r="J47" s="1" t="s">
        <v>25</v>
      </c>
      <c r="K47" s="1" t="s">
        <v>25</v>
      </c>
      <c r="L47" s="1" t="s">
        <v>25</v>
      </c>
      <c r="M47" s="1" t="s">
        <v>25</v>
      </c>
      <c r="N47" s="1" t="s">
        <v>25</v>
      </c>
      <c r="O47" s="1" t="s">
        <v>25</v>
      </c>
      <c r="P47" s="1" t="s">
        <v>25</v>
      </c>
      <c r="Q47" s="1" t="s">
        <v>25</v>
      </c>
      <c r="R47" s="1" t="s">
        <v>25</v>
      </c>
      <c r="S47" s="1" t="s">
        <v>25</v>
      </c>
      <c r="T47" s="1" t="s">
        <v>25</v>
      </c>
      <c r="AA47" t="str">
        <f t="shared" si="0"/>
        <v/>
      </c>
    </row>
    <row r="48" spans="1:27" x14ac:dyDescent="0.25">
      <c r="A48" s="1" t="s">
        <v>5</v>
      </c>
      <c r="B48" s="1" t="s">
        <v>19</v>
      </c>
      <c r="C48" s="1" t="s">
        <v>25</v>
      </c>
      <c r="D48" s="1" t="s">
        <v>20</v>
      </c>
      <c r="E48" s="1" t="s">
        <v>25</v>
      </c>
      <c r="F48" s="1" t="s">
        <v>1614</v>
      </c>
      <c r="G48" s="1" t="s">
        <v>1615</v>
      </c>
      <c r="H48" s="1" t="s">
        <v>1616</v>
      </c>
      <c r="I48" s="1" t="s">
        <v>1617</v>
      </c>
      <c r="J48" s="1" t="s">
        <v>1618</v>
      </c>
      <c r="K48" s="1" t="s">
        <v>25</v>
      </c>
      <c r="L48" s="1" t="s">
        <v>25</v>
      </c>
      <c r="M48" s="1" t="s">
        <v>25</v>
      </c>
      <c r="N48" s="1" t="s">
        <v>25</v>
      </c>
      <c r="O48" s="1" t="s">
        <v>25</v>
      </c>
      <c r="P48" s="1" t="s">
        <v>25</v>
      </c>
      <c r="Q48" s="1" t="s">
        <v>25</v>
      </c>
      <c r="R48" s="1" t="s">
        <v>25</v>
      </c>
      <c r="S48" s="1" t="s">
        <v>25</v>
      </c>
      <c r="T48" s="1" t="s">
        <v>25</v>
      </c>
      <c r="AA48" t="str">
        <f t="shared" si="0"/>
        <v/>
      </c>
    </row>
    <row r="49" spans="1:27" x14ac:dyDescent="0.25">
      <c r="A49" s="1" t="s">
        <v>6</v>
      </c>
      <c r="B49" s="1" t="s">
        <v>18</v>
      </c>
      <c r="C49" s="1" t="s">
        <v>25</v>
      </c>
      <c r="D49" s="1" t="s">
        <v>25</v>
      </c>
      <c r="E49" s="1" t="s">
        <v>25</v>
      </c>
      <c r="F49" s="1" t="s">
        <v>25</v>
      </c>
      <c r="G49" s="1" t="s">
        <v>25</v>
      </c>
      <c r="H49" s="1" t="s">
        <v>25</v>
      </c>
      <c r="I49" s="1" t="s">
        <v>25</v>
      </c>
      <c r="J49" s="1" t="s">
        <v>25</v>
      </c>
      <c r="K49" s="1" t="s">
        <v>25</v>
      </c>
      <c r="L49" s="1" t="s">
        <v>25</v>
      </c>
      <c r="M49" s="1" t="s">
        <v>25</v>
      </c>
      <c r="N49" s="1" t="s">
        <v>25</v>
      </c>
      <c r="O49" s="1" t="s">
        <v>25</v>
      </c>
      <c r="P49" s="1" t="s">
        <v>25</v>
      </c>
      <c r="Q49" s="1" t="s">
        <v>25</v>
      </c>
      <c r="R49" s="1" t="s">
        <v>25</v>
      </c>
      <c r="S49" s="1" t="s">
        <v>25</v>
      </c>
      <c r="T49" s="1" t="s">
        <v>25</v>
      </c>
      <c r="AA49" t="str">
        <f t="shared" si="0"/>
        <v/>
      </c>
    </row>
    <row r="50" spans="1:27" x14ac:dyDescent="0.25">
      <c r="A50" s="1" t="s">
        <v>7</v>
      </c>
      <c r="B50" s="1" t="s">
        <v>21</v>
      </c>
      <c r="C50" s="1" t="s">
        <v>1619</v>
      </c>
      <c r="D50" s="1" t="s">
        <v>25</v>
      </c>
      <c r="E50" s="1" t="s">
        <v>18</v>
      </c>
      <c r="F50" s="1" t="s">
        <v>25</v>
      </c>
      <c r="G50" s="1" t="s">
        <v>25</v>
      </c>
      <c r="H50" s="1" t="s">
        <v>25</v>
      </c>
      <c r="I50" s="1" t="s">
        <v>25</v>
      </c>
      <c r="J50" s="1" t="s">
        <v>25</v>
      </c>
      <c r="K50" s="1" t="s">
        <v>25</v>
      </c>
      <c r="L50" s="1" t="s">
        <v>25</v>
      </c>
      <c r="M50" s="1" t="s">
        <v>25</v>
      </c>
      <c r="N50" s="1" t="s">
        <v>25</v>
      </c>
      <c r="O50" s="1" t="s">
        <v>25</v>
      </c>
      <c r="P50" s="1" t="s">
        <v>25</v>
      </c>
      <c r="Q50" s="1" t="s">
        <v>25</v>
      </c>
      <c r="R50" s="1" t="s">
        <v>25</v>
      </c>
      <c r="S50" s="1" t="s">
        <v>25</v>
      </c>
      <c r="T50" s="1" t="s">
        <v>25</v>
      </c>
      <c r="AA50" t="str">
        <f t="shared" si="0"/>
        <v/>
      </c>
    </row>
    <row r="51" spans="1:27" x14ac:dyDescent="0.25">
      <c r="A51" s="1" t="s">
        <v>8</v>
      </c>
      <c r="B51" s="1" t="s">
        <v>25</v>
      </c>
      <c r="C51" s="1" t="s">
        <v>25</v>
      </c>
      <c r="D51" s="1" t="s">
        <v>25</v>
      </c>
      <c r="E51" s="1" t="s">
        <v>25</v>
      </c>
      <c r="F51" s="1" t="s">
        <v>25</v>
      </c>
      <c r="G51" s="1" t="s">
        <v>25</v>
      </c>
      <c r="H51" s="1" t="s">
        <v>25</v>
      </c>
      <c r="I51" s="1" t="s">
        <v>25</v>
      </c>
      <c r="J51" s="1" t="s">
        <v>25</v>
      </c>
      <c r="K51" s="1" t="s">
        <v>25</v>
      </c>
      <c r="L51" s="1" t="s">
        <v>25</v>
      </c>
      <c r="M51" s="1" t="s">
        <v>25</v>
      </c>
      <c r="N51" s="1" t="s">
        <v>25</v>
      </c>
      <c r="O51" s="1" t="s">
        <v>25</v>
      </c>
      <c r="P51" s="1" t="s">
        <v>25</v>
      </c>
      <c r="Q51" s="1" t="s">
        <v>25</v>
      </c>
      <c r="R51" s="1" t="s">
        <v>25</v>
      </c>
      <c r="S51" s="1" t="s">
        <v>25</v>
      </c>
      <c r="T51" s="1" t="s">
        <v>25</v>
      </c>
      <c r="AA51" t="str">
        <f t="shared" si="0"/>
        <v/>
      </c>
    </row>
    <row r="52" spans="1:27" x14ac:dyDescent="0.25">
      <c r="A52" s="1" t="s">
        <v>9</v>
      </c>
      <c r="B52" s="1" t="s">
        <v>1620</v>
      </c>
      <c r="C52" s="1" t="s">
        <v>25</v>
      </c>
      <c r="D52" s="1" t="s">
        <v>25</v>
      </c>
      <c r="E52" s="1" t="s">
        <v>25</v>
      </c>
      <c r="F52" s="1" t="s">
        <v>25</v>
      </c>
      <c r="G52" s="1" t="s">
        <v>25</v>
      </c>
      <c r="H52" s="1" t="s">
        <v>25</v>
      </c>
      <c r="I52" s="1" t="s">
        <v>25</v>
      </c>
      <c r="J52" s="1" t="s">
        <v>25</v>
      </c>
      <c r="K52" s="1" t="s">
        <v>25</v>
      </c>
      <c r="L52" s="1" t="s">
        <v>25</v>
      </c>
      <c r="M52" s="1" t="s">
        <v>25</v>
      </c>
      <c r="N52" s="1" t="s">
        <v>25</v>
      </c>
      <c r="O52" s="1" t="s">
        <v>25</v>
      </c>
      <c r="P52" s="1" t="s">
        <v>25</v>
      </c>
      <c r="Q52" s="1" t="s">
        <v>25</v>
      </c>
      <c r="R52" s="1" t="s">
        <v>25</v>
      </c>
      <c r="S52" s="1" t="s">
        <v>25</v>
      </c>
      <c r="T52" s="1" t="s">
        <v>25</v>
      </c>
      <c r="AA52" t="str">
        <f t="shared" si="0"/>
        <v/>
      </c>
    </row>
    <row r="53" spans="1:27" x14ac:dyDescent="0.25">
      <c r="A53" s="5" t="s">
        <v>1543</v>
      </c>
      <c r="B53" s="5" t="s">
        <v>21</v>
      </c>
      <c r="C53" s="5" t="s">
        <v>1621</v>
      </c>
      <c r="D53" s="5" t="s">
        <v>21</v>
      </c>
      <c r="E53" s="5" t="s">
        <v>24</v>
      </c>
      <c r="F53" s="5" t="s">
        <v>24</v>
      </c>
      <c r="G53" s="5" t="s">
        <v>21</v>
      </c>
      <c r="H53" s="5" t="s">
        <v>18</v>
      </c>
      <c r="I53" s="5" t="s">
        <v>18</v>
      </c>
      <c r="J53" s="5" t="s">
        <v>21</v>
      </c>
      <c r="K53" s="1" t="s">
        <v>21</v>
      </c>
      <c r="L53" s="1" t="s">
        <v>1622</v>
      </c>
      <c r="M53" s="1" t="s">
        <v>25</v>
      </c>
      <c r="N53" s="1" t="s">
        <v>18</v>
      </c>
      <c r="O53" s="1" t="s">
        <v>18</v>
      </c>
      <c r="P53" s="1" t="s">
        <v>25</v>
      </c>
      <c r="Q53" s="1" t="s">
        <v>18</v>
      </c>
      <c r="R53" s="1" t="s">
        <v>18</v>
      </c>
      <c r="S53" s="1" t="s">
        <v>25</v>
      </c>
      <c r="T53" s="1" t="s">
        <v>25</v>
      </c>
      <c r="AA53" t="str">
        <f t="shared" si="0"/>
        <v/>
      </c>
    </row>
    <row r="54" spans="1:27" x14ac:dyDescent="0.25">
      <c r="A54" s="1" t="s">
        <v>1544</v>
      </c>
      <c r="B54" s="1" t="s">
        <v>1623</v>
      </c>
      <c r="C54" s="1" t="s">
        <v>1536</v>
      </c>
      <c r="D54" s="1" t="s">
        <v>25</v>
      </c>
      <c r="E54" s="1" t="s">
        <v>25</v>
      </c>
      <c r="F54" s="1" t="s">
        <v>25</v>
      </c>
      <c r="G54" s="1" t="s">
        <v>25</v>
      </c>
      <c r="H54" s="1" t="s">
        <v>25</v>
      </c>
      <c r="I54" s="1" t="s">
        <v>25</v>
      </c>
      <c r="J54" s="1" t="s">
        <v>25</v>
      </c>
      <c r="K54" s="1" t="s">
        <v>25</v>
      </c>
      <c r="L54" s="1" t="s">
        <v>25</v>
      </c>
      <c r="M54" s="1" t="s">
        <v>25</v>
      </c>
      <c r="N54" s="1" t="s">
        <v>25</v>
      </c>
      <c r="O54" s="1" t="s">
        <v>25</v>
      </c>
      <c r="P54" s="1" t="s">
        <v>25</v>
      </c>
      <c r="Q54" s="1" t="s">
        <v>25</v>
      </c>
      <c r="R54" s="1" t="s">
        <v>25</v>
      </c>
      <c r="S54" s="1" t="s">
        <v>25</v>
      </c>
      <c r="T54" s="1" t="s">
        <v>25</v>
      </c>
      <c r="AA54" t="str">
        <f t="shared" si="0"/>
        <v/>
      </c>
    </row>
    <row r="55" spans="1:27" x14ac:dyDescent="0.25">
      <c r="A55" s="1" t="s">
        <v>1545</v>
      </c>
      <c r="B55" s="1" t="s">
        <v>1624</v>
      </c>
      <c r="C55" s="1" t="s">
        <v>1625</v>
      </c>
      <c r="D55" s="1" t="s">
        <v>1626</v>
      </c>
      <c r="E55" s="1" t="s">
        <v>1625</v>
      </c>
      <c r="F55" s="1" t="s">
        <v>22</v>
      </c>
      <c r="G55" s="1" t="s">
        <v>25</v>
      </c>
      <c r="H55" s="1" t="s">
        <v>25</v>
      </c>
      <c r="I55" s="1" t="s">
        <v>25</v>
      </c>
      <c r="J55" s="1" t="s">
        <v>1622</v>
      </c>
      <c r="K55" s="1" t="s">
        <v>25</v>
      </c>
      <c r="L55" s="1" t="s">
        <v>25</v>
      </c>
      <c r="M55" s="1" t="s">
        <v>25</v>
      </c>
      <c r="N55" s="1" t="s">
        <v>25</v>
      </c>
      <c r="O55" s="1" t="s">
        <v>25</v>
      </c>
      <c r="P55" s="1" t="s">
        <v>25</v>
      </c>
      <c r="Q55" s="1" t="s">
        <v>25</v>
      </c>
      <c r="R55" s="1" t="s">
        <v>25</v>
      </c>
      <c r="S55" s="1" t="s">
        <v>25</v>
      </c>
      <c r="T55" s="1" t="s">
        <v>25</v>
      </c>
      <c r="AA55" t="str">
        <f t="shared" si="0"/>
        <v/>
      </c>
    </row>
    <row r="56" spans="1:27" x14ac:dyDescent="0.25">
      <c r="A56" s="1" t="s">
        <v>1552</v>
      </c>
      <c r="B56" s="1" t="s">
        <v>1627</v>
      </c>
      <c r="C56" s="1" t="s">
        <v>1628</v>
      </c>
      <c r="D56" s="1" t="s">
        <v>26</v>
      </c>
      <c r="E56" s="1" t="s">
        <v>25</v>
      </c>
      <c r="F56" s="1" t="s">
        <v>25</v>
      </c>
      <c r="G56" s="1" t="s">
        <v>25</v>
      </c>
      <c r="H56" s="1" t="s">
        <v>25</v>
      </c>
      <c r="I56" s="1" t="s">
        <v>25</v>
      </c>
      <c r="J56" s="1" t="s">
        <v>25</v>
      </c>
      <c r="K56" s="1" t="s">
        <v>25</v>
      </c>
      <c r="L56" s="1" t="s">
        <v>25</v>
      </c>
      <c r="M56" s="1" t="s">
        <v>25</v>
      </c>
      <c r="N56" s="1" t="s">
        <v>25</v>
      </c>
      <c r="O56" s="1" t="s">
        <v>25</v>
      </c>
      <c r="P56" s="1" t="s">
        <v>25</v>
      </c>
      <c r="Q56" s="1" t="s">
        <v>25</v>
      </c>
      <c r="R56" s="1" t="s">
        <v>25</v>
      </c>
      <c r="S56" s="1" t="s">
        <v>25</v>
      </c>
      <c r="T56" s="1" t="s">
        <v>25</v>
      </c>
      <c r="AA56" t="str">
        <f t="shared" si="0"/>
        <v/>
      </c>
    </row>
    <row r="57" spans="1:27" x14ac:dyDescent="0.25">
      <c r="A57" s="1" t="s">
        <v>1546</v>
      </c>
      <c r="B57" s="1" t="s">
        <v>1621</v>
      </c>
      <c r="C57" s="1" t="s">
        <v>25</v>
      </c>
      <c r="D57" s="1" t="s">
        <v>25</v>
      </c>
      <c r="E57" s="1" t="s">
        <v>25</v>
      </c>
      <c r="F57" s="1" t="s">
        <v>25</v>
      </c>
      <c r="G57" s="1" t="s">
        <v>25</v>
      </c>
      <c r="H57" s="1" t="s">
        <v>25</v>
      </c>
      <c r="I57" s="1" t="s">
        <v>25</v>
      </c>
      <c r="J57" s="1" t="s">
        <v>25</v>
      </c>
      <c r="K57" s="1" t="s">
        <v>25</v>
      </c>
      <c r="L57" s="1" t="s">
        <v>25</v>
      </c>
      <c r="M57" s="1" t="s">
        <v>25</v>
      </c>
      <c r="N57" s="1" t="s">
        <v>25</v>
      </c>
      <c r="O57" s="1" t="s">
        <v>25</v>
      </c>
      <c r="P57" s="1" t="s">
        <v>25</v>
      </c>
      <c r="Q57" s="1" t="s">
        <v>25</v>
      </c>
      <c r="R57" s="1" t="s">
        <v>25</v>
      </c>
      <c r="S57" s="1" t="s">
        <v>25</v>
      </c>
      <c r="T57" s="1" t="s">
        <v>25</v>
      </c>
      <c r="AA57" t="str">
        <f t="shared" si="0"/>
        <v/>
      </c>
    </row>
    <row r="58" spans="1:27" x14ac:dyDescent="0.25">
      <c r="A58" s="1" t="s">
        <v>1547</v>
      </c>
      <c r="B58" s="1" t="s">
        <v>21</v>
      </c>
      <c r="C58" s="1" t="s">
        <v>1623</v>
      </c>
      <c r="D58" s="1" t="s">
        <v>21</v>
      </c>
      <c r="E58" s="1" t="s">
        <v>1629</v>
      </c>
      <c r="F58" s="1" t="s">
        <v>1629</v>
      </c>
      <c r="G58" s="1" t="s">
        <v>23</v>
      </c>
      <c r="H58" s="1" t="s">
        <v>23</v>
      </c>
      <c r="I58" s="1" t="s">
        <v>1571</v>
      </c>
      <c r="J58" s="1" t="s">
        <v>25</v>
      </c>
      <c r="K58" s="1" t="s">
        <v>25</v>
      </c>
      <c r="L58" s="1" t="s">
        <v>25</v>
      </c>
      <c r="M58" s="1" t="s">
        <v>25</v>
      </c>
      <c r="N58" s="1" t="s">
        <v>25</v>
      </c>
      <c r="O58" s="1" t="s">
        <v>25</v>
      </c>
      <c r="P58" s="1" t="s">
        <v>25</v>
      </c>
      <c r="Q58" s="1" t="s">
        <v>25</v>
      </c>
      <c r="R58" s="1" t="s">
        <v>25</v>
      </c>
      <c r="S58" s="1" t="s">
        <v>25</v>
      </c>
      <c r="T58" s="1" t="s">
        <v>25</v>
      </c>
      <c r="AA58" t="str">
        <f t="shared" si="0"/>
        <v/>
      </c>
    </row>
    <row r="59" spans="1:27" x14ac:dyDescent="0.25">
      <c r="A59" s="1" t="s">
        <v>1548</v>
      </c>
      <c r="B59" s="1" t="s">
        <v>1621</v>
      </c>
      <c r="C59" s="1" t="s">
        <v>21</v>
      </c>
      <c r="D59" s="1" t="s">
        <v>1629</v>
      </c>
      <c r="E59" s="1" t="s">
        <v>1629</v>
      </c>
      <c r="F59" s="1" t="s">
        <v>23</v>
      </c>
      <c r="G59" s="1" t="s">
        <v>23</v>
      </c>
      <c r="H59" s="1" t="s">
        <v>1571</v>
      </c>
      <c r="I59" s="1" t="s">
        <v>25</v>
      </c>
      <c r="J59" s="1" t="s">
        <v>25</v>
      </c>
      <c r="K59" s="1" t="s">
        <v>25</v>
      </c>
      <c r="L59" s="1" t="s">
        <v>25</v>
      </c>
      <c r="M59" s="1" t="s">
        <v>25</v>
      </c>
      <c r="N59" s="1" t="s">
        <v>25</v>
      </c>
      <c r="O59" s="1" t="s">
        <v>25</v>
      </c>
      <c r="P59" s="1" t="s">
        <v>25</v>
      </c>
      <c r="Q59" s="1" t="s">
        <v>25</v>
      </c>
      <c r="R59" s="1" t="s">
        <v>25</v>
      </c>
      <c r="S59" s="1" t="s">
        <v>25</v>
      </c>
      <c r="T59" s="1" t="s">
        <v>25</v>
      </c>
      <c r="AA59" t="str">
        <f t="shared" si="0"/>
        <v/>
      </c>
    </row>
    <row r="60" spans="1:27" x14ac:dyDescent="0.25">
      <c r="A60" s="1" t="s">
        <v>1549</v>
      </c>
      <c r="B60" s="1" t="s">
        <v>1630</v>
      </c>
      <c r="C60" s="1" t="s">
        <v>25</v>
      </c>
      <c r="D60" s="1" t="s">
        <v>23</v>
      </c>
      <c r="E60" s="1" t="s">
        <v>25</v>
      </c>
      <c r="F60" s="1" t="s">
        <v>25</v>
      </c>
      <c r="G60" s="1" t="s">
        <v>25</v>
      </c>
      <c r="H60" s="1" t="s">
        <v>1571</v>
      </c>
      <c r="I60" s="1" t="s">
        <v>25</v>
      </c>
      <c r="J60" s="1" t="s">
        <v>25</v>
      </c>
      <c r="K60" s="1" t="s">
        <v>25</v>
      </c>
      <c r="L60" s="1" t="s">
        <v>25</v>
      </c>
      <c r="M60" s="1" t="s">
        <v>25</v>
      </c>
      <c r="N60" s="1" t="s">
        <v>25</v>
      </c>
      <c r="O60" s="1" t="s">
        <v>25</v>
      </c>
      <c r="P60" s="1" t="s">
        <v>25</v>
      </c>
      <c r="Q60" s="1" t="s">
        <v>25</v>
      </c>
      <c r="R60" s="1" t="s">
        <v>25</v>
      </c>
      <c r="S60" s="1" t="s">
        <v>25</v>
      </c>
      <c r="T60" s="1" t="s">
        <v>25</v>
      </c>
      <c r="AA60" t="str">
        <f t="shared" si="0"/>
        <v/>
      </c>
    </row>
    <row r="61" spans="1:27" x14ac:dyDescent="0.25">
      <c r="A61" s="1" t="s">
        <v>1522</v>
      </c>
      <c r="B61" s="1" t="s">
        <v>1571</v>
      </c>
      <c r="C61" s="1" t="s">
        <v>1631</v>
      </c>
      <c r="D61" s="1" t="s">
        <v>1632</v>
      </c>
      <c r="E61" s="1" t="s">
        <v>1633</v>
      </c>
      <c r="F61" s="1" t="s">
        <v>25</v>
      </c>
      <c r="G61" s="1" t="s">
        <v>1634</v>
      </c>
      <c r="H61" s="1" t="s">
        <v>1635</v>
      </c>
      <c r="I61" s="1" t="s">
        <v>1636</v>
      </c>
      <c r="J61" s="1" t="s">
        <v>23</v>
      </c>
      <c r="K61" s="1" t="s">
        <v>21</v>
      </c>
      <c r="L61" s="1" t="s">
        <v>16</v>
      </c>
      <c r="M61" s="1" t="s">
        <v>18</v>
      </c>
      <c r="N61" s="1" t="s">
        <v>25</v>
      </c>
      <c r="O61" s="1" t="s">
        <v>25</v>
      </c>
      <c r="P61" s="1" t="s">
        <v>25</v>
      </c>
      <c r="Q61" s="1" t="s">
        <v>25</v>
      </c>
      <c r="R61" s="1" t="s">
        <v>25</v>
      </c>
      <c r="S61" s="1" t="s">
        <v>25</v>
      </c>
      <c r="T61" s="1" t="s">
        <v>25</v>
      </c>
      <c r="AA61" t="str">
        <f t="shared" si="0"/>
        <v/>
      </c>
    </row>
    <row r="62" spans="1:27" x14ac:dyDescent="0.25">
      <c r="A62" s="1" t="s">
        <v>1550</v>
      </c>
      <c r="B62" s="1" t="s">
        <v>1637</v>
      </c>
      <c r="C62" s="1" t="s">
        <v>1571</v>
      </c>
      <c r="D62" s="1" t="s">
        <v>25</v>
      </c>
      <c r="E62" s="1" t="s">
        <v>25</v>
      </c>
      <c r="F62" s="1" t="s">
        <v>25</v>
      </c>
      <c r="G62" s="1" t="s">
        <v>25</v>
      </c>
      <c r="H62" s="1" t="s">
        <v>25</v>
      </c>
      <c r="I62" s="1" t="s">
        <v>25</v>
      </c>
      <c r="J62" s="1" t="s">
        <v>25</v>
      </c>
      <c r="K62" s="1" t="s">
        <v>25</v>
      </c>
      <c r="L62" s="1" t="s">
        <v>25</v>
      </c>
      <c r="M62" s="1" t="s">
        <v>25</v>
      </c>
      <c r="N62" s="1" t="s">
        <v>25</v>
      </c>
      <c r="O62" s="1" t="s">
        <v>25</v>
      </c>
      <c r="P62" s="1" t="s">
        <v>25</v>
      </c>
      <c r="Q62" s="1" t="s">
        <v>25</v>
      </c>
      <c r="R62" s="1" t="s">
        <v>25</v>
      </c>
      <c r="S62" s="1" t="s">
        <v>25</v>
      </c>
      <c r="T62" s="1" t="s">
        <v>25</v>
      </c>
      <c r="AA62" t="str">
        <f t="shared" si="0"/>
        <v/>
      </c>
    </row>
    <row r="63" spans="1:27" x14ac:dyDescent="0.25">
      <c r="A63" s="1" t="s">
        <v>10</v>
      </c>
      <c r="B63" s="1" t="s">
        <v>21</v>
      </c>
      <c r="C63" s="1" t="s">
        <v>1638</v>
      </c>
      <c r="D63" s="1" t="s">
        <v>25</v>
      </c>
      <c r="E63" s="1" t="s">
        <v>18</v>
      </c>
      <c r="F63" s="1" t="s">
        <v>25</v>
      </c>
      <c r="G63" s="1" t="s">
        <v>25</v>
      </c>
      <c r="H63" s="1" t="s">
        <v>25</v>
      </c>
      <c r="I63" s="1" t="s">
        <v>25</v>
      </c>
      <c r="J63" s="1" t="s">
        <v>25</v>
      </c>
      <c r="K63" s="1" t="s">
        <v>25</v>
      </c>
      <c r="L63" s="1" t="s">
        <v>25</v>
      </c>
      <c r="M63" s="1" t="s">
        <v>25</v>
      </c>
      <c r="N63" s="1" t="s">
        <v>25</v>
      </c>
      <c r="O63" s="1" t="s">
        <v>25</v>
      </c>
      <c r="P63" s="1" t="s">
        <v>25</v>
      </c>
      <c r="Q63" s="1" t="s">
        <v>25</v>
      </c>
      <c r="R63" s="1" t="s">
        <v>25</v>
      </c>
      <c r="S63" s="1" t="s">
        <v>25</v>
      </c>
      <c r="T63" s="1" t="s">
        <v>25</v>
      </c>
      <c r="AA63" t="str">
        <f t="shared" si="0"/>
        <v/>
      </c>
    </row>
    <row r="64" spans="1:27" x14ac:dyDescent="0.25">
      <c r="A64" s="5" t="s">
        <v>1553</v>
      </c>
      <c r="B64" s="5" t="s">
        <v>21</v>
      </c>
      <c r="C64" s="5" t="s">
        <v>24</v>
      </c>
      <c r="D64" s="5" t="s">
        <v>1620</v>
      </c>
      <c r="E64" s="5" t="s">
        <v>1621</v>
      </c>
      <c r="F64" s="5" t="s">
        <v>18</v>
      </c>
      <c r="G64" s="5" t="s">
        <v>18</v>
      </c>
      <c r="H64" s="5" t="s">
        <v>25</v>
      </c>
      <c r="I64" s="5" t="s">
        <v>25</v>
      </c>
      <c r="J64" s="5" t="s">
        <v>25</v>
      </c>
      <c r="K64" s="1" t="s">
        <v>25</v>
      </c>
      <c r="L64" s="1" t="s">
        <v>25</v>
      </c>
      <c r="M64" s="1" t="s">
        <v>25</v>
      </c>
      <c r="N64" s="1" t="s">
        <v>25</v>
      </c>
      <c r="O64" s="1" t="s">
        <v>25</v>
      </c>
      <c r="P64" s="1" t="s">
        <v>25</v>
      </c>
      <c r="Q64" s="1" t="s">
        <v>25</v>
      </c>
      <c r="R64" s="1" t="s">
        <v>25</v>
      </c>
      <c r="S64" s="1" t="s">
        <v>25</v>
      </c>
      <c r="T64" s="1" t="s">
        <v>25</v>
      </c>
      <c r="AA64" t="str">
        <f t="shared" si="0"/>
        <v/>
      </c>
    </row>
    <row r="65" spans="1:27" x14ac:dyDescent="0.25">
      <c r="A65" s="1" t="s">
        <v>0</v>
      </c>
      <c r="B65" s="1" t="s">
        <v>1551</v>
      </c>
      <c r="C65" s="1" t="s">
        <v>17</v>
      </c>
      <c r="D65" s="1" t="s">
        <v>1</v>
      </c>
      <c r="E65" s="1" t="s">
        <v>25</v>
      </c>
      <c r="F65" s="1" t="s">
        <v>1571</v>
      </c>
      <c r="G65" s="1" t="s">
        <v>25</v>
      </c>
      <c r="H65" s="1" t="s">
        <v>25</v>
      </c>
      <c r="I65" s="1" t="s">
        <v>25</v>
      </c>
      <c r="J65" s="1" t="s">
        <v>25</v>
      </c>
      <c r="K65" s="1" t="s">
        <v>25</v>
      </c>
      <c r="L65" s="1" t="s">
        <v>25</v>
      </c>
      <c r="M65" s="1" t="s">
        <v>25</v>
      </c>
      <c r="N65" s="1" t="s">
        <v>25</v>
      </c>
      <c r="O65" s="1" t="s">
        <v>25</v>
      </c>
      <c r="P65" s="1" t="s">
        <v>25</v>
      </c>
      <c r="Q65" s="1" t="s">
        <v>25</v>
      </c>
      <c r="R65" s="1" t="s">
        <v>25</v>
      </c>
      <c r="S65" s="1" t="s">
        <v>25</v>
      </c>
      <c r="T65" s="1" t="s">
        <v>25</v>
      </c>
      <c r="AA65" t="str">
        <f t="shared" si="0"/>
        <v/>
      </c>
    </row>
    <row r="66" spans="1:27" x14ac:dyDescent="0.25">
      <c r="A66" s="1" t="s">
        <v>2</v>
      </c>
      <c r="B66" s="1" t="s">
        <v>1639</v>
      </c>
      <c r="C66" s="1" t="s">
        <v>1568</v>
      </c>
      <c r="D66" s="1" t="s">
        <v>1542</v>
      </c>
      <c r="E66" s="1" t="s">
        <v>25</v>
      </c>
      <c r="F66" s="1" t="s">
        <v>25</v>
      </c>
      <c r="G66" s="1" t="s">
        <v>25</v>
      </c>
      <c r="H66" s="1" t="s">
        <v>25</v>
      </c>
      <c r="I66" s="1" t="s">
        <v>25</v>
      </c>
      <c r="J66" s="1" t="s">
        <v>25</v>
      </c>
      <c r="K66" s="1" t="s">
        <v>25</v>
      </c>
      <c r="L66" s="1" t="s">
        <v>25</v>
      </c>
      <c r="M66" s="1" t="s">
        <v>25</v>
      </c>
      <c r="N66" s="1" t="s">
        <v>25</v>
      </c>
      <c r="O66" s="1" t="s">
        <v>25</v>
      </c>
      <c r="P66" s="1" t="s">
        <v>25</v>
      </c>
      <c r="Q66" s="1" t="s">
        <v>25</v>
      </c>
      <c r="R66" s="1" t="s">
        <v>25</v>
      </c>
      <c r="S66" s="1" t="s">
        <v>25</v>
      </c>
      <c r="T66" s="1" t="s">
        <v>25</v>
      </c>
      <c r="AA66" t="str">
        <f t="shared" ref="AA66:AA129" si="1">IFERROR(IF(A66="C18_TRADE",IF(OR((B73-C66)&lt;=0,(L66-C66)&lt;=0),"FIX it",""),""),"")</f>
        <v/>
      </c>
    </row>
    <row r="67" spans="1:27" x14ac:dyDescent="0.25">
      <c r="A67" s="1" t="s">
        <v>3</v>
      </c>
      <c r="B67" s="1" t="s">
        <v>18</v>
      </c>
      <c r="C67" s="1" t="s">
        <v>25</v>
      </c>
      <c r="D67" s="1" t="s">
        <v>25</v>
      </c>
      <c r="E67" s="1" t="s">
        <v>25</v>
      </c>
      <c r="F67" s="1" t="s">
        <v>25</v>
      </c>
      <c r="G67" s="1" t="s">
        <v>25</v>
      </c>
      <c r="H67" s="1" t="s">
        <v>25</v>
      </c>
      <c r="I67" s="1" t="s">
        <v>25</v>
      </c>
      <c r="J67" s="1" t="s">
        <v>25</v>
      </c>
      <c r="K67" s="1" t="s">
        <v>25</v>
      </c>
      <c r="L67" s="1" t="s">
        <v>25</v>
      </c>
      <c r="M67" s="1" t="s">
        <v>25</v>
      </c>
      <c r="N67" s="1" t="s">
        <v>25</v>
      </c>
      <c r="O67" s="1" t="s">
        <v>25</v>
      </c>
      <c r="P67" s="1" t="s">
        <v>25</v>
      </c>
      <c r="Q67" s="1" t="s">
        <v>25</v>
      </c>
      <c r="R67" s="1" t="s">
        <v>25</v>
      </c>
      <c r="S67" s="1" t="s">
        <v>25</v>
      </c>
      <c r="T67" s="1" t="s">
        <v>25</v>
      </c>
      <c r="AA67" t="str">
        <f t="shared" si="1"/>
        <v/>
      </c>
    </row>
    <row r="68" spans="1:27" x14ac:dyDescent="0.25">
      <c r="A68" s="1" t="s">
        <v>4</v>
      </c>
      <c r="B68" s="1" t="s">
        <v>1640</v>
      </c>
      <c r="C68" s="1" t="s">
        <v>19</v>
      </c>
      <c r="D68" s="1" t="s">
        <v>1567</v>
      </c>
      <c r="E68" s="1" t="s">
        <v>25</v>
      </c>
      <c r="F68" s="1" t="s">
        <v>25</v>
      </c>
      <c r="G68" s="1" t="s">
        <v>25</v>
      </c>
      <c r="H68" s="1" t="s">
        <v>25</v>
      </c>
      <c r="I68" s="1" t="s">
        <v>25</v>
      </c>
      <c r="J68" s="1" t="s">
        <v>25</v>
      </c>
      <c r="K68" s="1" t="s">
        <v>25</v>
      </c>
      <c r="L68" s="1" t="s">
        <v>25</v>
      </c>
      <c r="M68" s="1" t="s">
        <v>25</v>
      </c>
      <c r="N68" s="1" t="s">
        <v>25</v>
      </c>
      <c r="O68" s="1" t="s">
        <v>25</v>
      </c>
      <c r="P68" s="1" t="s">
        <v>25</v>
      </c>
      <c r="Q68" s="1" t="s">
        <v>25</v>
      </c>
      <c r="R68" s="1" t="s">
        <v>25</v>
      </c>
      <c r="S68" s="1" t="s">
        <v>25</v>
      </c>
      <c r="T68" s="1" t="s">
        <v>25</v>
      </c>
      <c r="AA68" t="str">
        <f t="shared" si="1"/>
        <v/>
      </c>
    </row>
    <row r="69" spans="1:27" x14ac:dyDescent="0.25">
      <c r="A69" s="1" t="s">
        <v>5</v>
      </c>
      <c r="B69" s="1" t="s">
        <v>19</v>
      </c>
      <c r="C69" s="1" t="s">
        <v>25</v>
      </c>
      <c r="D69" s="1" t="s">
        <v>20</v>
      </c>
      <c r="E69" s="1" t="s">
        <v>25</v>
      </c>
      <c r="F69" s="1" t="s">
        <v>1641</v>
      </c>
      <c r="G69" s="1" t="s">
        <v>1642</v>
      </c>
      <c r="H69" s="1" t="s">
        <v>1643</v>
      </c>
      <c r="I69" s="1" t="s">
        <v>1644</v>
      </c>
      <c r="J69" s="1" t="s">
        <v>1645</v>
      </c>
      <c r="K69" s="1" t="s">
        <v>25</v>
      </c>
      <c r="L69" s="1" t="s">
        <v>25</v>
      </c>
      <c r="M69" s="1" t="s">
        <v>25</v>
      </c>
      <c r="N69" s="1" t="s">
        <v>25</v>
      </c>
      <c r="O69" s="1" t="s">
        <v>25</v>
      </c>
      <c r="P69" s="1" t="s">
        <v>25</v>
      </c>
      <c r="Q69" s="1" t="s">
        <v>25</v>
      </c>
      <c r="R69" s="1" t="s">
        <v>25</v>
      </c>
      <c r="S69" s="1" t="s">
        <v>25</v>
      </c>
      <c r="T69" s="1" t="s">
        <v>25</v>
      </c>
      <c r="AA69" t="str">
        <f t="shared" si="1"/>
        <v/>
      </c>
    </row>
    <row r="70" spans="1:27" x14ac:dyDescent="0.25">
      <c r="A70" s="1" t="s">
        <v>6</v>
      </c>
      <c r="B70" s="1" t="s">
        <v>18</v>
      </c>
      <c r="C70" s="1" t="s">
        <v>25</v>
      </c>
      <c r="D70" s="1" t="s">
        <v>25</v>
      </c>
      <c r="E70" s="1" t="s">
        <v>25</v>
      </c>
      <c r="F70" s="1" t="s">
        <v>25</v>
      </c>
      <c r="G70" s="1" t="s">
        <v>25</v>
      </c>
      <c r="H70" s="1" t="s">
        <v>25</v>
      </c>
      <c r="I70" s="1" t="s">
        <v>25</v>
      </c>
      <c r="J70" s="1" t="s">
        <v>25</v>
      </c>
      <c r="K70" s="1" t="s">
        <v>25</v>
      </c>
      <c r="L70" s="1" t="s">
        <v>25</v>
      </c>
      <c r="M70" s="1" t="s">
        <v>25</v>
      </c>
      <c r="N70" s="1" t="s">
        <v>25</v>
      </c>
      <c r="O70" s="1" t="s">
        <v>25</v>
      </c>
      <c r="P70" s="1" t="s">
        <v>25</v>
      </c>
      <c r="Q70" s="1" t="s">
        <v>25</v>
      </c>
      <c r="R70" s="1" t="s">
        <v>25</v>
      </c>
      <c r="S70" s="1" t="s">
        <v>25</v>
      </c>
      <c r="T70" s="1" t="s">
        <v>25</v>
      </c>
      <c r="AA70" t="str">
        <f t="shared" si="1"/>
        <v/>
      </c>
    </row>
    <row r="71" spans="1:27" x14ac:dyDescent="0.25">
      <c r="A71" s="1" t="s">
        <v>7</v>
      </c>
      <c r="B71" s="1" t="s">
        <v>21</v>
      </c>
      <c r="C71" s="1" t="s">
        <v>1646</v>
      </c>
      <c r="D71" s="1" t="s">
        <v>25</v>
      </c>
      <c r="E71" s="1" t="s">
        <v>18</v>
      </c>
      <c r="F71" s="1" t="s">
        <v>25</v>
      </c>
      <c r="G71" s="1" t="s">
        <v>25</v>
      </c>
      <c r="H71" s="1" t="s">
        <v>25</v>
      </c>
      <c r="I71" s="1" t="s">
        <v>25</v>
      </c>
      <c r="J71" s="1" t="s">
        <v>25</v>
      </c>
      <c r="K71" s="1" t="s">
        <v>25</v>
      </c>
      <c r="L71" s="1" t="s">
        <v>25</v>
      </c>
      <c r="M71" s="1" t="s">
        <v>25</v>
      </c>
      <c r="N71" s="1" t="s">
        <v>25</v>
      </c>
      <c r="O71" s="1" t="s">
        <v>25</v>
      </c>
      <c r="P71" s="1" t="s">
        <v>25</v>
      </c>
      <c r="Q71" s="1" t="s">
        <v>25</v>
      </c>
      <c r="R71" s="1" t="s">
        <v>25</v>
      </c>
      <c r="S71" s="1" t="s">
        <v>25</v>
      </c>
      <c r="T71" s="1" t="s">
        <v>25</v>
      </c>
      <c r="AA71" t="str">
        <f t="shared" si="1"/>
        <v/>
      </c>
    </row>
    <row r="72" spans="1:27" x14ac:dyDescent="0.25">
      <c r="A72" s="1" t="s">
        <v>8</v>
      </c>
      <c r="B72" s="1" t="s">
        <v>25</v>
      </c>
      <c r="C72" s="1" t="s">
        <v>25</v>
      </c>
      <c r="D72" s="1" t="s">
        <v>25</v>
      </c>
      <c r="E72" s="1" t="s">
        <v>25</v>
      </c>
      <c r="F72" s="1" t="s">
        <v>25</v>
      </c>
      <c r="G72" s="1" t="s">
        <v>25</v>
      </c>
      <c r="H72" s="1" t="s">
        <v>25</v>
      </c>
      <c r="I72" s="1" t="s">
        <v>25</v>
      </c>
      <c r="J72" s="1" t="s">
        <v>25</v>
      </c>
      <c r="K72" s="1" t="s">
        <v>25</v>
      </c>
      <c r="L72" s="1" t="s">
        <v>25</v>
      </c>
      <c r="M72" s="1" t="s">
        <v>25</v>
      </c>
      <c r="N72" s="1" t="s">
        <v>25</v>
      </c>
      <c r="O72" s="1" t="s">
        <v>25</v>
      </c>
      <c r="P72" s="1" t="s">
        <v>25</v>
      </c>
      <c r="Q72" s="1" t="s">
        <v>25</v>
      </c>
      <c r="R72" s="1" t="s">
        <v>25</v>
      </c>
      <c r="S72" s="1" t="s">
        <v>25</v>
      </c>
      <c r="T72" s="1" t="s">
        <v>25</v>
      </c>
      <c r="AA72" t="str">
        <f t="shared" si="1"/>
        <v/>
      </c>
    </row>
    <row r="73" spans="1:27" x14ac:dyDescent="0.25">
      <c r="A73" s="1" t="s">
        <v>9</v>
      </c>
      <c r="B73" s="1" t="s">
        <v>1647</v>
      </c>
      <c r="C73" s="1" t="s">
        <v>25</v>
      </c>
      <c r="D73" s="1" t="s">
        <v>25</v>
      </c>
      <c r="E73" s="1" t="s">
        <v>25</v>
      </c>
      <c r="F73" s="1" t="s">
        <v>25</v>
      </c>
      <c r="G73" s="1" t="s">
        <v>25</v>
      </c>
      <c r="H73" s="1" t="s">
        <v>25</v>
      </c>
      <c r="I73" s="1" t="s">
        <v>25</v>
      </c>
      <c r="J73" s="1" t="s">
        <v>25</v>
      </c>
      <c r="K73" s="1" t="s">
        <v>25</v>
      </c>
      <c r="L73" s="1" t="s">
        <v>25</v>
      </c>
      <c r="M73" s="1" t="s">
        <v>25</v>
      </c>
      <c r="N73" s="1" t="s">
        <v>25</v>
      </c>
      <c r="O73" s="1" t="s">
        <v>25</v>
      </c>
      <c r="P73" s="1" t="s">
        <v>25</v>
      </c>
      <c r="Q73" s="1" t="s">
        <v>25</v>
      </c>
      <c r="R73" s="1" t="s">
        <v>25</v>
      </c>
      <c r="S73" s="1" t="s">
        <v>25</v>
      </c>
      <c r="T73" s="1" t="s">
        <v>25</v>
      </c>
      <c r="AA73" t="str">
        <f t="shared" si="1"/>
        <v/>
      </c>
    </row>
    <row r="74" spans="1:27" x14ac:dyDescent="0.25">
      <c r="A74" s="5" t="s">
        <v>1543</v>
      </c>
      <c r="B74" s="5" t="s">
        <v>21</v>
      </c>
      <c r="C74" s="5" t="s">
        <v>1648</v>
      </c>
      <c r="D74" s="5" t="s">
        <v>21</v>
      </c>
      <c r="E74" s="5" t="s">
        <v>24</v>
      </c>
      <c r="F74" s="5" t="s">
        <v>24</v>
      </c>
      <c r="G74" s="5" t="s">
        <v>21</v>
      </c>
      <c r="H74" s="5" t="s">
        <v>18</v>
      </c>
      <c r="I74" s="5" t="s">
        <v>18</v>
      </c>
      <c r="J74" s="5" t="s">
        <v>21</v>
      </c>
      <c r="K74" s="1" t="s">
        <v>21</v>
      </c>
      <c r="L74" s="1" t="s">
        <v>1649</v>
      </c>
      <c r="M74" s="1" t="s">
        <v>25</v>
      </c>
      <c r="N74" s="1" t="s">
        <v>18</v>
      </c>
      <c r="O74" s="1" t="s">
        <v>18</v>
      </c>
      <c r="P74" s="1" t="s">
        <v>25</v>
      </c>
      <c r="Q74" s="1" t="s">
        <v>18</v>
      </c>
      <c r="R74" s="1" t="s">
        <v>18</v>
      </c>
      <c r="S74" s="1" t="s">
        <v>25</v>
      </c>
      <c r="T74" s="1" t="s">
        <v>25</v>
      </c>
      <c r="AA74" t="str">
        <f t="shared" si="1"/>
        <v/>
      </c>
    </row>
    <row r="75" spans="1:27" x14ac:dyDescent="0.25">
      <c r="A75" s="1" t="s">
        <v>1544</v>
      </c>
      <c r="B75" s="1" t="s">
        <v>1650</v>
      </c>
      <c r="C75" s="1" t="s">
        <v>1536</v>
      </c>
      <c r="D75" s="1" t="s">
        <v>25</v>
      </c>
      <c r="E75" s="1" t="s">
        <v>25</v>
      </c>
      <c r="F75" s="1" t="s">
        <v>25</v>
      </c>
      <c r="G75" s="1" t="s">
        <v>25</v>
      </c>
      <c r="H75" s="1" t="s">
        <v>25</v>
      </c>
      <c r="I75" s="1" t="s">
        <v>25</v>
      </c>
      <c r="J75" s="1" t="s">
        <v>25</v>
      </c>
      <c r="K75" s="1" t="s">
        <v>25</v>
      </c>
      <c r="L75" s="1" t="s">
        <v>25</v>
      </c>
      <c r="M75" s="1" t="s">
        <v>25</v>
      </c>
      <c r="N75" s="1" t="s">
        <v>25</v>
      </c>
      <c r="O75" s="1" t="s">
        <v>25</v>
      </c>
      <c r="P75" s="1" t="s">
        <v>25</v>
      </c>
      <c r="Q75" s="1" t="s">
        <v>25</v>
      </c>
      <c r="R75" s="1" t="s">
        <v>25</v>
      </c>
      <c r="S75" s="1" t="s">
        <v>25</v>
      </c>
      <c r="T75" s="1" t="s">
        <v>25</v>
      </c>
      <c r="AA75" t="str">
        <f t="shared" si="1"/>
        <v/>
      </c>
    </row>
    <row r="76" spans="1:27" x14ac:dyDescent="0.25">
      <c r="A76" s="1" t="s">
        <v>1545</v>
      </c>
      <c r="B76" s="1" t="s">
        <v>1651</v>
      </c>
      <c r="C76" s="1" t="s">
        <v>1625</v>
      </c>
      <c r="D76" s="1" t="s">
        <v>1652</v>
      </c>
      <c r="E76" s="1" t="s">
        <v>1625</v>
      </c>
      <c r="F76" s="1" t="s">
        <v>22</v>
      </c>
      <c r="G76" s="1" t="s">
        <v>25</v>
      </c>
      <c r="H76" s="1" t="s">
        <v>25</v>
      </c>
      <c r="I76" s="1" t="s">
        <v>25</v>
      </c>
      <c r="J76" s="1" t="s">
        <v>1649</v>
      </c>
      <c r="K76" s="1" t="s">
        <v>25</v>
      </c>
      <c r="L76" s="1" t="s">
        <v>25</v>
      </c>
      <c r="M76" s="1" t="s">
        <v>25</v>
      </c>
      <c r="N76" s="1" t="s">
        <v>25</v>
      </c>
      <c r="O76" s="1" t="s">
        <v>25</v>
      </c>
      <c r="P76" s="1" t="s">
        <v>25</v>
      </c>
      <c r="Q76" s="1" t="s">
        <v>25</v>
      </c>
      <c r="R76" s="1" t="s">
        <v>25</v>
      </c>
      <c r="S76" s="1" t="s">
        <v>25</v>
      </c>
      <c r="T76" s="1" t="s">
        <v>25</v>
      </c>
      <c r="AA76" t="str">
        <f t="shared" si="1"/>
        <v/>
      </c>
    </row>
    <row r="77" spans="1:27" x14ac:dyDescent="0.25">
      <c r="A77" s="1" t="s">
        <v>1552</v>
      </c>
      <c r="B77" s="1" t="s">
        <v>1558</v>
      </c>
      <c r="C77" s="1" t="s">
        <v>1653</v>
      </c>
      <c r="D77" s="1" t="s">
        <v>1654</v>
      </c>
      <c r="E77" s="1" t="s">
        <v>25</v>
      </c>
      <c r="F77" s="1" t="s">
        <v>25</v>
      </c>
      <c r="G77" s="1" t="s">
        <v>25</v>
      </c>
      <c r="H77" s="1" t="s">
        <v>25</v>
      </c>
      <c r="I77" s="1" t="s">
        <v>25</v>
      </c>
      <c r="J77" s="1" t="s">
        <v>25</v>
      </c>
      <c r="K77" s="1" t="s">
        <v>25</v>
      </c>
      <c r="L77" s="1" t="s">
        <v>25</v>
      </c>
      <c r="M77" s="1" t="s">
        <v>25</v>
      </c>
      <c r="N77" s="1" t="s">
        <v>25</v>
      </c>
      <c r="O77" s="1" t="s">
        <v>25</v>
      </c>
      <c r="P77" s="1" t="s">
        <v>25</v>
      </c>
      <c r="Q77" s="1" t="s">
        <v>25</v>
      </c>
      <c r="R77" s="1" t="s">
        <v>25</v>
      </c>
      <c r="S77" s="1" t="s">
        <v>25</v>
      </c>
      <c r="T77" s="1" t="s">
        <v>25</v>
      </c>
      <c r="AA77" t="str">
        <f t="shared" si="1"/>
        <v/>
      </c>
    </row>
    <row r="78" spans="1:27" x14ac:dyDescent="0.25">
      <c r="A78" s="1" t="s">
        <v>1546</v>
      </c>
      <c r="B78" s="1" t="s">
        <v>1648</v>
      </c>
      <c r="C78" s="1" t="s">
        <v>25</v>
      </c>
      <c r="D78" s="1" t="s">
        <v>25</v>
      </c>
      <c r="E78" s="1" t="s">
        <v>25</v>
      </c>
      <c r="F78" s="1" t="s">
        <v>25</v>
      </c>
      <c r="G78" s="1" t="s">
        <v>25</v>
      </c>
      <c r="H78" s="1" t="s">
        <v>25</v>
      </c>
      <c r="I78" s="1" t="s">
        <v>25</v>
      </c>
      <c r="J78" s="1" t="s">
        <v>25</v>
      </c>
      <c r="K78" s="1" t="s">
        <v>25</v>
      </c>
      <c r="L78" s="1" t="s">
        <v>25</v>
      </c>
      <c r="M78" s="1" t="s">
        <v>25</v>
      </c>
      <c r="N78" s="1" t="s">
        <v>25</v>
      </c>
      <c r="O78" s="1" t="s">
        <v>25</v>
      </c>
      <c r="P78" s="1" t="s">
        <v>25</v>
      </c>
      <c r="Q78" s="1" t="s">
        <v>25</v>
      </c>
      <c r="R78" s="1" t="s">
        <v>25</v>
      </c>
      <c r="S78" s="1" t="s">
        <v>25</v>
      </c>
      <c r="T78" s="1" t="s">
        <v>25</v>
      </c>
      <c r="AA78" t="str">
        <f t="shared" si="1"/>
        <v/>
      </c>
    </row>
    <row r="79" spans="1:27" x14ac:dyDescent="0.25">
      <c r="A79" s="1" t="s">
        <v>1547</v>
      </c>
      <c r="B79" s="1" t="s">
        <v>21</v>
      </c>
      <c r="C79" s="1" t="s">
        <v>1650</v>
      </c>
      <c r="D79" s="1" t="s">
        <v>21</v>
      </c>
      <c r="E79" s="1" t="s">
        <v>1655</v>
      </c>
      <c r="F79" s="1" t="s">
        <v>1656</v>
      </c>
      <c r="G79" s="1" t="s">
        <v>1657</v>
      </c>
      <c r="H79" s="1" t="s">
        <v>23</v>
      </c>
      <c r="I79" s="1" t="s">
        <v>1571</v>
      </c>
      <c r="J79" s="1" t="s">
        <v>25</v>
      </c>
      <c r="K79" s="1" t="s">
        <v>25</v>
      </c>
      <c r="L79" s="1" t="s">
        <v>25</v>
      </c>
      <c r="M79" s="1" t="s">
        <v>25</v>
      </c>
      <c r="N79" s="1" t="s">
        <v>25</v>
      </c>
      <c r="O79" s="1" t="s">
        <v>25</v>
      </c>
      <c r="P79" s="1" t="s">
        <v>25</v>
      </c>
      <c r="Q79" s="1" t="s">
        <v>25</v>
      </c>
      <c r="R79" s="1" t="s">
        <v>25</v>
      </c>
      <c r="S79" s="1" t="s">
        <v>25</v>
      </c>
      <c r="T79" s="1" t="s">
        <v>25</v>
      </c>
      <c r="AA79" t="str">
        <f t="shared" si="1"/>
        <v/>
      </c>
    </row>
    <row r="80" spans="1:27" x14ac:dyDescent="0.25">
      <c r="A80" s="1" t="s">
        <v>1548</v>
      </c>
      <c r="B80" s="1" t="s">
        <v>1648</v>
      </c>
      <c r="C80" s="1" t="s">
        <v>21</v>
      </c>
      <c r="D80" s="1" t="s">
        <v>1656</v>
      </c>
      <c r="E80" s="1" t="s">
        <v>1656</v>
      </c>
      <c r="F80" s="1" t="s">
        <v>23</v>
      </c>
      <c r="G80" s="1" t="s">
        <v>23</v>
      </c>
      <c r="H80" s="1" t="s">
        <v>1571</v>
      </c>
      <c r="I80" s="1" t="s">
        <v>25</v>
      </c>
      <c r="J80" s="1" t="s">
        <v>25</v>
      </c>
      <c r="K80" s="1" t="s">
        <v>25</v>
      </c>
      <c r="L80" s="1" t="s">
        <v>25</v>
      </c>
      <c r="M80" s="1" t="s">
        <v>25</v>
      </c>
      <c r="N80" s="1" t="s">
        <v>25</v>
      </c>
      <c r="O80" s="1" t="s">
        <v>25</v>
      </c>
      <c r="P80" s="1" t="s">
        <v>25</v>
      </c>
      <c r="Q80" s="1" t="s">
        <v>25</v>
      </c>
      <c r="R80" s="1" t="s">
        <v>25</v>
      </c>
      <c r="S80" s="1" t="s">
        <v>25</v>
      </c>
      <c r="T80" s="1" t="s">
        <v>25</v>
      </c>
      <c r="AA80" t="str">
        <f t="shared" si="1"/>
        <v/>
      </c>
    </row>
    <row r="81" spans="1:27" x14ac:dyDescent="0.25">
      <c r="A81" s="1" t="s">
        <v>1549</v>
      </c>
      <c r="B81" s="1" t="s">
        <v>1658</v>
      </c>
      <c r="C81" s="1" t="s">
        <v>21</v>
      </c>
      <c r="D81" s="1" t="s">
        <v>1657</v>
      </c>
      <c r="E81" s="1" t="s">
        <v>23</v>
      </c>
      <c r="F81" s="1" t="s">
        <v>1657</v>
      </c>
      <c r="G81" s="1" t="s">
        <v>23</v>
      </c>
      <c r="H81" s="1" t="s">
        <v>1571</v>
      </c>
      <c r="I81" s="1" t="s">
        <v>1659</v>
      </c>
      <c r="J81" s="1" t="s">
        <v>1571</v>
      </c>
      <c r="K81" s="1" t="s">
        <v>25</v>
      </c>
      <c r="L81" s="1" t="s">
        <v>25</v>
      </c>
      <c r="M81" s="1" t="s">
        <v>25</v>
      </c>
      <c r="N81" s="1" t="s">
        <v>25</v>
      </c>
      <c r="O81" s="1" t="s">
        <v>25</v>
      </c>
      <c r="P81" s="1" t="s">
        <v>25</v>
      </c>
      <c r="Q81" s="1" t="s">
        <v>25</v>
      </c>
      <c r="R81" s="1" t="s">
        <v>25</v>
      </c>
      <c r="S81" s="1" t="s">
        <v>25</v>
      </c>
      <c r="T81" s="1" t="s">
        <v>25</v>
      </c>
      <c r="AA81" t="str">
        <f t="shared" si="1"/>
        <v/>
      </c>
    </row>
    <row r="82" spans="1:27" x14ac:dyDescent="0.25">
      <c r="A82" s="1" t="s">
        <v>1522</v>
      </c>
      <c r="B82" s="1" t="s">
        <v>1654</v>
      </c>
      <c r="C82" s="1" t="s">
        <v>1660</v>
      </c>
      <c r="D82" s="1" t="s">
        <v>1661</v>
      </c>
      <c r="E82" s="1" t="s">
        <v>1662</v>
      </c>
      <c r="F82" s="1" t="s">
        <v>25</v>
      </c>
      <c r="G82" s="1" t="s">
        <v>1772</v>
      </c>
      <c r="H82" s="1" t="s">
        <v>1663</v>
      </c>
      <c r="I82" s="1" t="s">
        <v>1664</v>
      </c>
      <c r="J82" s="1" t="s">
        <v>23</v>
      </c>
      <c r="K82" s="1" t="s">
        <v>16</v>
      </c>
      <c r="L82" s="1" t="s">
        <v>22</v>
      </c>
      <c r="M82" s="1" t="s">
        <v>1665</v>
      </c>
      <c r="N82" s="1" t="s">
        <v>25</v>
      </c>
      <c r="O82" s="1" t="s">
        <v>25</v>
      </c>
      <c r="P82" s="1" t="s">
        <v>25</v>
      </c>
      <c r="Q82" s="1" t="s">
        <v>25</v>
      </c>
      <c r="R82" s="1" t="s">
        <v>25</v>
      </c>
      <c r="S82" s="1" t="s">
        <v>25</v>
      </c>
      <c r="T82" s="1" t="s">
        <v>25</v>
      </c>
      <c r="AA82" t="str">
        <f t="shared" si="1"/>
        <v/>
      </c>
    </row>
    <row r="83" spans="1:27" x14ac:dyDescent="0.25">
      <c r="A83" s="1" t="s">
        <v>1550</v>
      </c>
      <c r="B83" s="1" t="s">
        <v>1666</v>
      </c>
      <c r="C83" s="1" t="s">
        <v>1571</v>
      </c>
      <c r="D83" s="1" t="s">
        <v>25</v>
      </c>
      <c r="E83" s="1" t="s">
        <v>25</v>
      </c>
      <c r="F83" s="1" t="s">
        <v>25</v>
      </c>
      <c r="G83" s="1" t="s">
        <v>25</v>
      </c>
      <c r="H83" s="1" t="s">
        <v>25</v>
      </c>
      <c r="I83" s="1" t="s">
        <v>25</v>
      </c>
      <c r="J83" s="1" t="s">
        <v>25</v>
      </c>
      <c r="K83" s="1" t="s">
        <v>25</v>
      </c>
      <c r="L83" s="1" t="s">
        <v>25</v>
      </c>
      <c r="M83" s="1" t="s">
        <v>25</v>
      </c>
      <c r="N83" s="1" t="s">
        <v>25</v>
      </c>
      <c r="O83" s="1" t="s">
        <v>25</v>
      </c>
      <c r="P83" s="1" t="s">
        <v>25</v>
      </c>
      <c r="Q83" s="1" t="s">
        <v>25</v>
      </c>
      <c r="R83" s="1" t="s">
        <v>25</v>
      </c>
      <c r="S83" s="1" t="s">
        <v>25</v>
      </c>
      <c r="T83" s="1" t="s">
        <v>25</v>
      </c>
      <c r="AA83" t="str">
        <f t="shared" si="1"/>
        <v/>
      </c>
    </row>
    <row r="84" spans="1:27" x14ac:dyDescent="0.25">
      <c r="A84" s="1" t="s">
        <v>10</v>
      </c>
      <c r="B84" s="1" t="s">
        <v>21</v>
      </c>
      <c r="C84" s="1" t="s">
        <v>1541</v>
      </c>
      <c r="D84" s="1" t="s">
        <v>25</v>
      </c>
      <c r="E84" s="1" t="s">
        <v>18</v>
      </c>
      <c r="F84" s="1" t="s">
        <v>25</v>
      </c>
      <c r="G84" s="1" t="s">
        <v>25</v>
      </c>
      <c r="H84" s="1" t="s">
        <v>25</v>
      </c>
      <c r="I84" s="1" t="s">
        <v>25</v>
      </c>
      <c r="J84" s="1" t="s">
        <v>25</v>
      </c>
      <c r="K84" s="1" t="s">
        <v>25</v>
      </c>
      <c r="L84" s="1" t="s">
        <v>25</v>
      </c>
      <c r="M84" s="1" t="s">
        <v>25</v>
      </c>
      <c r="N84" s="1" t="s">
        <v>25</v>
      </c>
      <c r="O84" s="1" t="s">
        <v>25</v>
      </c>
      <c r="P84" s="1" t="s">
        <v>25</v>
      </c>
      <c r="Q84" s="1" t="s">
        <v>25</v>
      </c>
      <c r="R84" s="1" t="s">
        <v>25</v>
      </c>
      <c r="S84" s="1" t="s">
        <v>25</v>
      </c>
      <c r="T84" s="1" t="s">
        <v>25</v>
      </c>
      <c r="AA84" t="str">
        <f t="shared" si="1"/>
        <v/>
      </c>
    </row>
    <row r="85" spans="1:27" x14ac:dyDescent="0.25">
      <c r="A85" s="5" t="s">
        <v>1553</v>
      </c>
      <c r="B85" s="5" t="s">
        <v>21</v>
      </c>
      <c r="C85" s="5" t="s">
        <v>24</v>
      </c>
      <c r="D85" s="5" t="s">
        <v>1647</v>
      </c>
      <c r="E85" s="5" t="s">
        <v>1648</v>
      </c>
      <c r="F85" s="5" t="s">
        <v>18</v>
      </c>
      <c r="G85" s="5" t="s">
        <v>18</v>
      </c>
      <c r="H85" s="5" t="s">
        <v>25</v>
      </c>
      <c r="I85" s="5" t="s">
        <v>25</v>
      </c>
      <c r="J85" s="5" t="s">
        <v>25</v>
      </c>
      <c r="K85" s="1" t="s">
        <v>25</v>
      </c>
      <c r="L85" s="1" t="s">
        <v>25</v>
      </c>
      <c r="M85" s="1" t="s">
        <v>25</v>
      </c>
      <c r="N85" s="1" t="s">
        <v>25</v>
      </c>
      <c r="O85" s="1" t="s">
        <v>25</v>
      </c>
      <c r="P85" s="1" t="s">
        <v>25</v>
      </c>
      <c r="Q85" s="1" t="s">
        <v>25</v>
      </c>
      <c r="R85" s="1" t="s">
        <v>25</v>
      </c>
      <c r="S85" s="1" t="s">
        <v>25</v>
      </c>
      <c r="T85" s="1" t="s">
        <v>25</v>
      </c>
      <c r="AA85" t="str">
        <f t="shared" si="1"/>
        <v/>
      </c>
    </row>
    <row r="86" spans="1:27" x14ac:dyDescent="0.25">
      <c r="A86" s="1" t="s">
        <v>0</v>
      </c>
      <c r="B86" s="1" t="s">
        <v>1559</v>
      </c>
      <c r="C86" s="1" t="s">
        <v>17</v>
      </c>
      <c r="D86" s="1" t="s">
        <v>1</v>
      </c>
      <c r="E86" s="1" t="s">
        <v>25</v>
      </c>
      <c r="F86" s="1" t="s">
        <v>1571</v>
      </c>
      <c r="G86" s="1" t="s">
        <v>25</v>
      </c>
      <c r="H86" s="1" t="s">
        <v>25</v>
      </c>
      <c r="I86" s="1" t="s">
        <v>25</v>
      </c>
      <c r="J86" s="1" t="s">
        <v>25</v>
      </c>
      <c r="K86" s="1" t="s">
        <v>25</v>
      </c>
      <c r="L86" s="1" t="s">
        <v>25</v>
      </c>
      <c r="M86" s="1" t="s">
        <v>25</v>
      </c>
      <c r="N86" s="1" t="s">
        <v>25</v>
      </c>
      <c r="O86" s="1" t="s">
        <v>25</v>
      </c>
      <c r="P86" s="1" t="s">
        <v>25</v>
      </c>
      <c r="Q86" s="1" t="s">
        <v>25</v>
      </c>
      <c r="R86" s="1" t="s">
        <v>25</v>
      </c>
      <c r="S86" s="1" t="s">
        <v>25</v>
      </c>
      <c r="T86" s="1" t="s">
        <v>25</v>
      </c>
      <c r="AA86" t="str">
        <f t="shared" si="1"/>
        <v/>
      </c>
    </row>
    <row r="87" spans="1:27" x14ac:dyDescent="0.25">
      <c r="A87" s="1" t="s">
        <v>2</v>
      </c>
      <c r="B87" s="1" t="s">
        <v>1667</v>
      </c>
      <c r="C87" s="1" t="s">
        <v>1564</v>
      </c>
      <c r="D87" s="1" t="s">
        <v>1668</v>
      </c>
      <c r="E87" s="1" t="s">
        <v>25</v>
      </c>
      <c r="F87" s="1" t="s">
        <v>25</v>
      </c>
      <c r="G87" s="1" t="s">
        <v>25</v>
      </c>
      <c r="H87" s="1" t="s">
        <v>25</v>
      </c>
      <c r="I87" s="1" t="s">
        <v>25</v>
      </c>
      <c r="J87" s="1" t="s">
        <v>25</v>
      </c>
      <c r="K87" s="1" t="s">
        <v>25</v>
      </c>
      <c r="L87" s="1" t="s">
        <v>25</v>
      </c>
      <c r="M87" s="1" t="s">
        <v>25</v>
      </c>
      <c r="N87" s="1" t="s">
        <v>25</v>
      </c>
      <c r="O87" s="1" t="s">
        <v>25</v>
      </c>
      <c r="P87" s="1" t="s">
        <v>25</v>
      </c>
      <c r="Q87" s="1" t="s">
        <v>25</v>
      </c>
      <c r="R87" s="1" t="s">
        <v>25</v>
      </c>
      <c r="S87" s="1" t="s">
        <v>25</v>
      </c>
      <c r="T87" s="1" t="s">
        <v>25</v>
      </c>
      <c r="AA87" t="str">
        <f t="shared" si="1"/>
        <v/>
      </c>
    </row>
    <row r="88" spans="1:27" x14ac:dyDescent="0.25">
      <c r="A88" s="1" t="s">
        <v>3</v>
      </c>
      <c r="B88" s="1" t="s">
        <v>18</v>
      </c>
      <c r="C88" s="1" t="s">
        <v>25</v>
      </c>
      <c r="D88" s="1" t="s">
        <v>25</v>
      </c>
      <c r="E88" s="1" t="s">
        <v>25</v>
      </c>
      <c r="F88" s="1" t="s">
        <v>25</v>
      </c>
      <c r="G88" s="1" t="s">
        <v>25</v>
      </c>
      <c r="H88" s="1" t="s">
        <v>25</v>
      </c>
      <c r="I88" s="1" t="s">
        <v>25</v>
      </c>
      <c r="J88" s="1" t="s">
        <v>25</v>
      </c>
      <c r="K88" s="1" t="s">
        <v>25</v>
      </c>
      <c r="L88" s="1" t="s">
        <v>25</v>
      </c>
      <c r="M88" s="1" t="s">
        <v>25</v>
      </c>
      <c r="N88" s="1" t="s">
        <v>25</v>
      </c>
      <c r="O88" s="1" t="s">
        <v>25</v>
      </c>
      <c r="P88" s="1" t="s">
        <v>25</v>
      </c>
      <c r="Q88" s="1" t="s">
        <v>25</v>
      </c>
      <c r="R88" s="1" t="s">
        <v>25</v>
      </c>
      <c r="S88" s="1" t="s">
        <v>25</v>
      </c>
      <c r="T88" s="1" t="s">
        <v>25</v>
      </c>
      <c r="AA88" t="str">
        <f t="shared" si="1"/>
        <v/>
      </c>
    </row>
    <row r="89" spans="1:27" x14ac:dyDescent="0.25">
      <c r="A89" s="1" t="s">
        <v>4</v>
      </c>
      <c r="B89" s="1" t="s">
        <v>1669</v>
      </c>
      <c r="C89" s="1" t="s">
        <v>19</v>
      </c>
      <c r="D89" s="1" t="s">
        <v>1670</v>
      </c>
      <c r="E89" s="1" t="s">
        <v>25</v>
      </c>
      <c r="F89" s="1" t="s">
        <v>25</v>
      </c>
      <c r="G89" s="1" t="s">
        <v>25</v>
      </c>
      <c r="H89" s="1" t="s">
        <v>25</v>
      </c>
      <c r="I89" s="1" t="s">
        <v>25</v>
      </c>
      <c r="J89" s="1" t="s">
        <v>25</v>
      </c>
      <c r="K89" s="1" t="s">
        <v>25</v>
      </c>
      <c r="L89" s="1" t="s">
        <v>25</v>
      </c>
      <c r="M89" s="1" t="s">
        <v>25</v>
      </c>
      <c r="N89" s="1" t="s">
        <v>25</v>
      </c>
      <c r="O89" s="1" t="s">
        <v>25</v>
      </c>
      <c r="P89" s="1" t="s">
        <v>25</v>
      </c>
      <c r="Q89" s="1" t="s">
        <v>25</v>
      </c>
      <c r="R89" s="1" t="s">
        <v>25</v>
      </c>
      <c r="S89" s="1" t="s">
        <v>25</v>
      </c>
      <c r="T89" s="1" t="s">
        <v>25</v>
      </c>
      <c r="AA89" t="str">
        <f t="shared" si="1"/>
        <v/>
      </c>
    </row>
    <row r="90" spans="1:27" x14ac:dyDescent="0.25">
      <c r="A90" s="1" t="s">
        <v>5</v>
      </c>
      <c r="B90" s="1" t="s">
        <v>19</v>
      </c>
      <c r="C90" s="1" t="s">
        <v>25</v>
      </c>
      <c r="D90" s="1" t="s">
        <v>20</v>
      </c>
      <c r="E90" s="1" t="s">
        <v>25</v>
      </c>
      <c r="F90" s="1" t="s">
        <v>1671</v>
      </c>
      <c r="G90" s="1" t="s">
        <v>1672</v>
      </c>
      <c r="H90" s="1" t="s">
        <v>1673</v>
      </c>
      <c r="I90" s="1" t="s">
        <v>1674</v>
      </c>
      <c r="J90" s="1" t="s">
        <v>1675</v>
      </c>
      <c r="K90" s="1" t="s">
        <v>25</v>
      </c>
      <c r="L90" s="1" t="s">
        <v>25</v>
      </c>
      <c r="M90" s="1" t="s">
        <v>25</v>
      </c>
      <c r="N90" s="1" t="s">
        <v>25</v>
      </c>
      <c r="O90" s="1" t="s">
        <v>25</v>
      </c>
      <c r="P90" s="1" t="s">
        <v>25</v>
      </c>
      <c r="Q90" s="1" t="s">
        <v>25</v>
      </c>
      <c r="R90" s="1" t="s">
        <v>25</v>
      </c>
      <c r="S90" s="1" t="s">
        <v>25</v>
      </c>
      <c r="T90" s="1" t="s">
        <v>25</v>
      </c>
      <c r="AA90" t="str">
        <f t="shared" si="1"/>
        <v/>
      </c>
    </row>
    <row r="91" spans="1:27" x14ac:dyDescent="0.25">
      <c r="A91" s="1" t="s">
        <v>6</v>
      </c>
      <c r="B91" s="1" t="s">
        <v>18</v>
      </c>
      <c r="C91" s="1" t="s">
        <v>25</v>
      </c>
      <c r="D91" s="1" t="s">
        <v>25</v>
      </c>
      <c r="E91" s="1" t="s">
        <v>25</v>
      </c>
      <c r="F91" s="1" t="s">
        <v>25</v>
      </c>
      <c r="G91" s="1" t="s">
        <v>25</v>
      </c>
      <c r="H91" s="1" t="s">
        <v>25</v>
      </c>
      <c r="I91" s="1" t="s">
        <v>25</v>
      </c>
      <c r="J91" s="1" t="s">
        <v>25</v>
      </c>
      <c r="K91" s="1" t="s">
        <v>25</v>
      </c>
      <c r="L91" s="1" t="s">
        <v>25</v>
      </c>
      <c r="M91" s="1" t="s">
        <v>25</v>
      </c>
      <c r="N91" s="1" t="s">
        <v>25</v>
      </c>
      <c r="O91" s="1" t="s">
        <v>25</v>
      </c>
      <c r="P91" s="1" t="s">
        <v>25</v>
      </c>
      <c r="Q91" s="1" t="s">
        <v>25</v>
      </c>
      <c r="R91" s="1" t="s">
        <v>25</v>
      </c>
      <c r="S91" s="1" t="s">
        <v>25</v>
      </c>
      <c r="T91" s="1" t="s">
        <v>25</v>
      </c>
      <c r="AA91" t="str">
        <f t="shared" si="1"/>
        <v/>
      </c>
    </row>
    <row r="92" spans="1:27" x14ac:dyDescent="0.25">
      <c r="A92" s="1" t="s">
        <v>7</v>
      </c>
      <c r="B92" s="1" t="s">
        <v>21</v>
      </c>
      <c r="C92" s="1" t="s">
        <v>1676</v>
      </c>
      <c r="D92" s="1" t="s">
        <v>25</v>
      </c>
      <c r="E92" s="1" t="s">
        <v>18</v>
      </c>
      <c r="F92" s="1" t="s">
        <v>25</v>
      </c>
      <c r="G92" s="1" t="s">
        <v>25</v>
      </c>
      <c r="H92" s="1" t="s">
        <v>25</v>
      </c>
      <c r="I92" s="1" t="s">
        <v>25</v>
      </c>
      <c r="J92" s="1" t="s">
        <v>25</v>
      </c>
      <c r="K92" s="1" t="s">
        <v>25</v>
      </c>
      <c r="L92" s="1" t="s">
        <v>25</v>
      </c>
      <c r="M92" s="1" t="s">
        <v>25</v>
      </c>
      <c r="N92" s="1" t="s">
        <v>25</v>
      </c>
      <c r="O92" s="1" t="s">
        <v>25</v>
      </c>
      <c r="P92" s="1" t="s">
        <v>25</v>
      </c>
      <c r="Q92" s="1" t="s">
        <v>25</v>
      </c>
      <c r="R92" s="1" t="s">
        <v>25</v>
      </c>
      <c r="S92" s="1" t="s">
        <v>25</v>
      </c>
      <c r="T92" s="1" t="s">
        <v>25</v>
      </c>
      <c r="AA92" t="str">
        <f t="shared" si="1"/>
        <v/>
      </c>
    </row>
    <row r="93" spans="1:27" x14ac:dyDescent="0.25">
      <c r="A93" s="1" t="s">
        <v>8</v>
      </c>
      <c r="B93" s="1" t="s">
        <v>25</v>
      </c>
      <c r="C93" s="1" t="s">
        <v>25</v>
      </c>
      <c r="D93" s="1" t="s">
        <v>25</v>
      </c>
      <c r="E93" s="1" t="s">
        <v>25</v>
      </c>
      <c r="F93" s="1" t="s">
        <v>25</v>
      </c>
      <c r="G93" s="1" t="s">
        <v>25</v>
      </c>
      <c r="H93" s="1" t="s">
        <v>25</v>
      </c>
      <c r="I93" s="1" t="s">
        <v>25</v>
      </c>
      <c r="J93" s="1" t="s">
        <v>25</v>
      </c>
      <c r="K93" s="1" t="s">
        <v>25</v>
      </c>
      <c r="L93" s="1" t="s">
        <v>25</v>
      </c>
      <c r="M93" s="1" t="s">
        <v>25</v>
      </c>
      <c r="N93" s="1" t="s">
        <v>25</v>
      </c>
      <c r="O93" s="1" t="s">
        <v>25</v>
      </c>
      <c r="P93" s="1" t="s">
        <v>25</v>
      </c>
      <c r="Q93" s="1" t="s">
        <v>25</v>
      </c>
      <c r="R93" s="1" t="s">
        <v>25</v>
      </c>
      <c r="S93" s="1" t="s">
        <v>25</v>
      </c>
      <c r="T93" s="1" t="s">
        <v>25</v>
      </c>
      <c r="AA93" t="str">
        <f t="shared" si="1"/>
        <v/>
      </c>
    </row>
    <row r="94" spans="1:27" x14ac:dyDescent="0.25">
      <c r="A94" s="1" t="s">
        <v>9</v>
      </c>
      <c r="B94" s="1" t="s">
        <v>1677</v>
      </c>
      <c r="C94" s="1" t="s">
        <v>25</v>
      </c>
      <c r="D94" s="1" t="s">
        <v>25</v>
      </c>
      <c r="E94" s="1" t="s">
        <v>25</v>
      </c>
      <c r="F94" s="1" t="s">
        <v>25</v>
      </c>
      <c r="G94" s="1" t="s">
        <v>25</v>
      </c>
      <c r="H94" s="1" t="s">
        <v>25</v>
      </c>
      <c r="I94" s="1" t="s">
        <v>25</v>
      </c>
      <c r="J94" s="1" t="s">
        <v>25</v>
      </c>
      <c r="K94" s="1" t="s">
        <v>25</v>
      </c>
      <c r="L94" s="1" t="s">
        <v>25</v>
      </c>
      <c r="M94" s="1" t="s">
        <v>25</v>
      </c>
      <c r="N94" s="1" t="s">
        <v>25</v>
      </c>
      <c r="O94" s="1" t="s">
        <v>25</v>
      </c>
      <c r="P94" s="1" t="s">
        <v>25</v>
      </c>
      <c r="Q94" s="1" t="s">
        <v>25</v>
      </c>
      <c r="R94" s="1" t="s">
        <v>25</v>
      </c>
      <c r="S94" s="1" t="s">
        <v>25</v>
      </c>
      <c r="T94" s="1" t="s">
        <v>25</v>
      </c>
      <c r="AA94" t="str">
        <f t="shared" si="1"/>
        <v/>
      </c>
    </row>
    <row r="95" spans="1:27" x14ac:dyDescent="0.25">
      <c r="A95" s="5" t="s">
        <v>1543</v>
      </c>
      <c r="B95" s="5" t="s">
        <v>21</v>
      </c>
      <c r="C95" s="5" t="s">
        <v>1678</v>
      </c>
      <c r="D95" s="5" t="s">
        <v>21</v>
      </c>
      <c r="E95" s="5" t="s">
        <v>24</v>
      </c>
      <c r="F95" s="5" t="s">
        <v>24</v>
      </c>
      <c r="G95" s="5" t="s">
        <v>21</v>
      </c>
      <c r="H95" s="5" t="s">
        <v>18</v>
      </c>
      <c r="I95" s="5" t="s">
        <v>18</v>
      </c>
      <c r="J95" s="5" t="s">
        <v>21</v>
      </c>
      <c r="K95" s="1" t="s">
        <v>21</v>
      </c>
      <c r="L95" s="1" t="s">
        <v>1625</v>
      </c>
      <c r="M95" s="1" t="s">
        <v>25</v>
      </c>
      <c r="N95" s="1" t="s">
        <v>18</v>
      </c>
      <c r="O95" s="1" t="s">
        <v>18</v>
      </c>
      <c r="P95" s="1" t="s">
        <v>25</v>
      </c>
      <c r="Q95" s="1" t="s">
        <v>18</v>
      </c>
      <c r="R95" s="1" t="s">
        <v>18</v>
      </c>
      <c r="S95" s="1" t="s">
        <v>25</v>
      </c>
      <c r="T95" s="1" t="s">
        <v>25</v>
      </c>
      <c r="AA95" t="str">
        <f t="shared" si="1"/>
        <v/>
      </c>
    </row>
    <row r="96" spans="1:27" x14ac:dyDescent="0.25">
      <c r="A96" s="1" t="s">
        <v>1544</v>
      </c>
      <c r="B96" s="1" t="s">
        <v>1557</v>
      </c>
      <c r="C96" s="1" t="s">
        <v>1536</v>
      </c>
      <c r="D96" s="1" t="s">
        <v>25</v>
      </c>
      <c r="E96" s="1" t="s">
        <v>25</v>
      </c>
      <c r="F96" s="1" t="s">
        <v>25</v>
      </c>
      <c r="G96" s="1" t="s">
        <v>25</v>
      </c>
      <c r="H96" s="1" t="s">
        <v>25</v>
      </c>
      <c r="I96" s="1" t="s">
        <v>25</v>
      </c>
      <c r="J96" s="1" t="s">
        <v>25</v>
      </c>
      <c r="K96" s="1" t="s">
        <v>25</v>
      </c>
      <c r="L96" s="1" t="s">
        <v>25</v>
      </c>
      <c r="M96" s="1" t="s">
        <v>25</v>
      </c>
      <c r="N96" s="1" t="s">
        <v>25</v>
      </c>
      <c r="O96" s="1" t="s">
        <v>25</v>
      </c>
      <c r="P96" s="1" t="s">
        <v>25</v>
      </c>
      <c r="Q96" s="1" t="s">
        <v>25</v>
      </c>
      <c r="R96" s="1" t="s">
        <v>25</v>
      </c>
      <c r="S96" s="1" t="s">
        <v>25</v>
      </c>
      <c r="T96" s="1" t="s">
        <v>25</v>
      </c>
      <c r="AA96" t="str">
        <f t="shared" si="1"/>
        <v/>
      </c>
    </row>
    <row r="97" spans="1:27" x14ac:dyDescent="0.25">
      <c r="A97" s="1" t="s">
        <v>1545</v>
      </c>
      <c r="B97" s="1" t="s">
        <v>1679</v>
      </c>
      <c r="C97" s="1" t="s">
        <v>1625</v>
      </c>
      <c r="D97" s="1" t="s">
        <v>1680</v>
      </c>
      <c r="E97" s="1" t="s">
        <v>1625</v>
      </c>
      <c r="F97" s="1" t="s">
        <v>22</v>
      </c>
      <c r="G97" s="1" t="s">
        <v>25</v>
      </c>
      <c r="H97" s="1" t="s">
        <v>25</v>
      </c>
      <c r="I97" s="1" t="s">
        <v>25</v>
      </c>
      <c r="J97" s="1" t="s">
        <v>1625</v>
      </c>
      <c r="K97" s="1" t="s">
        <v>25</v>
      </c>
      <c r="L97" s="1" t="s">
        <v>25</v>
      </c>
      <c r="M97" s="1" t="s">
        <v>25</v>
      </c>
      <c r="N97" s="1" t="s">
        <v>25</v>
      </c>
      <c r="O97" s="1" t="s">
        <v>25</v>
      </c>
      <c r="P97" s="1" t="s">
        <v>25</v>
      </c>
      <c r="Q97" s="1" t="s">
        <v>25</v>
      </c>
      <c r="R97" s="1" t="s">
        <v>25</v>
      </c>
      <c r="S97" s="1" t="s">
        <v>25</v>
      </c>
      <c r="T97" s="1" t="s">
        <v>25</v>
      </c>
      <c r="AA97" t="str">
        <f t="shared" si="1"/>
        <v/>
      </c>
    </row>
    <row r="98" spans="1:27" x14ac:dyDescent="0.25">
      <c r="A98" s="1" t="s">
        <v>1552</v>
      </c>
      <c r="B98" s="1" t="s">
        <v>1681</v>
      </c>
      <c r="C98" s="1" t="s">
        <v>1682</v>
      </c>
      <c r="D98" s="1" t="s">
        <v>26</v>
      </c>
      <c r="E98" s="1" t="s">
        <v>25</v>
      </c>
      <c r="F98" s="1" t="s">
        <v>25</v>
      </c>
      <c r="G98" s="1" t="s">
        <v>25</v>
      </c>
      <c r="H98" s="1" t="s">
        <v>25</v>
      </c>
      <c r="I98" s="1" t="s">
        <v>25</v>
      </c>
      <c r="J98" s="1" t="s">
        <v>25</v>
      </c>
      <c r="K98" s="1" t="s">
        <v>25</v>
      </c>
      <c r="L98" s="1" t="s">
        <v>25</v>
      </c>
      <c r="M98" s="1" t="s">
        <v>25</v>
      </c>
      <c r="N98" s="1" t="s">
        <v>25</v>
      </c>
      <c r="O98" s="1" t="s">
        <v>25</v>
      </c>
      <c r="P98" s="1" t="s">
        <v>25</v>
      </c>
      <c r="Q98" s="1" t="s">
        <v>25</v>
      </c>
      <c r="R98" s="1" t="s">
        <v>25</v>
      </c>
      <c r="S98" s="1" t="s">
        <v>25</v>
      </c>
      <c r="T98" s="1" t="s">
        <v>25</v>
      </c>
      <c r="AA98" t="str">
        <f t="shared" si="1"/>
        <v/>
      </c>
    </row>
    <row r="99" spans="1:27" x14ac:dyDescent="0.25">
      <c r="A99" s="1" t="s">
        <v>1546</v>
      </c>
      <c r="B99" s="1" t="s">
        <v>1678</v>
      </c>
      <c r="C99" s="1" t="s">
        <v>25</v>
      </c>
      <c r="D99" s="1" t="s">
        <v>25</v>
      </c>
      <c r="E99" s="1" t="s">
        <v>25</v>
      </c>
      <c r="F99" s="1" t="s">
        <v>25</v>
      </c>
      <c r="G99" s="1" t="s">
        <v>25</v>
      </c>
      <c r="H99" s="1" t="s">
        <v>25</v>
      </c>
      <c r="I99" s="1" t="s">
        <v>25</v>
      </c>
      <c r="J99" s="1" t="s">
        <v>25</v>
      </c>
      <c r="K99" s="1" t="s">
        <v>25</v>
      </c>
      <c r="L99" s="1" t="s">
        <v>25</v>
      </c>
      <c r="M99" s="1" t="s">
        <v>25</v>
      </c>
      <c r="N99" s="1" t="s">
        <v>25</v>
      </c>
      <c r="O99" s="1" t="s">
        <v>25</v>
      </c>
      <c r="P99" s="1" t="s">
        <v>25</v>
      </c>
      <c r="Q99" s="1" t="s">
        <v>25</v>
      </c>
      <c r="R99" s="1" t="s">
        <v>25</v>
      </c>
      <c r="S99" s="1" t="s">
        <v>25</v>
      </c>
      <c r="T99" s="1" t="s">
        <v>25</v>
      </c>
      <c r="AA99" t="str">
        <f t="shared" si="1"/>
        <v/>
      </c>
    </row>
    <row r="100" spans="1:27" x14ac:dyDescent="0.25">
      <c r="A100" s="1" t="s">
        <v>1547</v>
      </c>
      <c r="B100" s="1" t="s">
        <v>21</v>
      </c>
      <c r="C100" s="1" t="s">
        <v>1557</v>
      </c>
      <c r="D100" s="1" t="s">
        <v>21</v>
      </c>
      <c r="E100" s="1" t="s">
        <v>1683</v>
      </c>
      <c r="F100" s="1" t="s">
        <v>1684</v>
      </c>
      <c r="G100" s="1" t="s">
        <v>1685</v>
      </c>
      <c r="H100" s="1" t="s">
        <v>23</v>
      </c>
      <c r="I100" s="1" t="s">
        <v>1571</v>
      </c>
      <c r="J100" s="1" t="s">
        <v>25</v>
      </c>
      <c r="K100" s="1" t="s">
        <v>25</v>
      </c>
      <c r="L100" s="1" t="s">
        <v>25</v>
      </c>
      <c r="M100" s="1" t="s">
        <v>25</v>
      </c>
      <c r="N100" s="1" t="s">
        <v>25</v>
      </c>
      <c r="O100" s="1" t="s">
        <v>25</v>
      </c>
      <c r="P100" s="1" t="s">
        <v>25</v>
      </c>
      <c r="Q100" s="1" t="s">
        <v>25</v>
      </c>
      <c r="R100" s="1" t="s">
        <v>25</v>
      </c>
      <c r="S100" s="1" t="s">
        <v>25</v>
      </c>
      <c r="T100" s="1" t="s">
        <v>25</v>
      </c>
      <c r="AA100" t="str">
        <f t="shared" si="1"/>
        <v/>
      </c>
    </row>
    <row r="101" spans="1:27" x14ac:dyDescent="0.25">
      <c r="A101" s="1" t="s">
        <v>1548</v>
      </c>
      <c r="B101" s="1" t="s">
        <v>1678</v>
      </c>
      <c r="C101" s="1" t="s">
        <v>21</v>
      </c>
      <c r="D101" s="1" t="s">
        <v>1679</v>
      </c>
      <c r="E101" s="1" t="s">
        <v>1679</v>
      </c>
      <c r="F101" s="1" t="s">
        <v>23</v>
      </c>
      <c r="G101" s="1" t="s">
        <v>23</v>
      </c>
      <c r="H101" s="1" t="s">
        <v>1571</v>
      </c>
      <c r="I101" s="1" t="s">
        <v>25</v>
      </c>
      <c r="J101" s="1" t="s">
        <v>25</v>
      </c>
      <c r="K101" s="1" t="s">
        <v>25</v>
      </c>
      <c r="L101" s="1" t="s">
        <v>25</v>
      </c>
      <c r="M101" s="1" t="s">
        <v>25</v>
      </c>
      <c r="N101" s="1" t="s">
        <v>25</v>
      </c>
      <c r="O101" s="1" t="s">
        <v>25</v>
      </c>
      <c r="P101" s="1" t="s">
        <v>25</v>
      </c>
      <c r="Q101" s="1" t="s">
        <v>25</v>
      </c>
      <c r="R101" s="1" t="s">
        <v>25</v>
      </c>
      <c r="S101" s="1" t="s">
        <v>25</v>
      </c>
      <c r="T101" s="1" t="s">
        <v>25</v>
      </c>
      <c r="AA101" t="str">
        <f t="shared" si="1"/>
        <v/>
      </c>
    </row>
    <row r="102" spans="1:27" x14ac:dyDescent="0.25">
      <c r="A102" s="1" t="s">
        <v>1549</v>
      </c>
      <c r="B102" s="1" t="s">
        <v>1686</v>
      </c>
      <c r="C102" s="1" t="s">
        <v>21</v>
      </c>
      <c r="D102" s="1" t="s">
        <v>1687</v>
      </c>
      <c r="E102" s="1" t="s">
        <v>1688</v>
      </c>
      <c r="F102" s="1" t="s">
        <v>1685</v>
      </c>
      <c r="G102" s="1" t="s">
        <v>23</v>
      </c>
      <c r="H102" s="1" t="s">
        <v>1571</v>
      </c>
      <c r="I102" s="1" t="s">
        <v>1571</v>
      </c>
      <c r="J102" s="1" t="s">
        <v>1571</v>
      </c>
      <c r="K102" s="1" t="s">
        <v>25</v>
      </c>
      <c r="L102" s="1" t="s">
        <v>25</v>
      </c>
      <c r="M102" s="1" t="s">
        <v>25</v>
      </c>
      <c r="N102" s="1" t="s">
        <v>25</v>
      </c>
      <c r="O102" s="1" t="s">
        <v>25</v>
      </c>
      <c r="P102" s="1" t="s">
        <v>25</v>
      </c>
      <c r="Q102" s="1" t="s">
        <v>25</v>
      </c>
      <c r="R102" s="1" t="s">
        <v>25</v>
      </c>
      <c r="S102" s="1" t="s">
        <v>25</v>
      </c>
      <c r="T102" s="1" t="s">
        <v>25</v>
      </c>
      <c r="AA102" t="str">
        <f t="shared" si="1"/>
        <v/>
      </c>
    </row>
    <row r="103" spans="1:27" x14ac:dyDescent="0.25">
      <c r="A103" s="1" t="s">
        <v>1522</v>
      </c>
      <c r="B103" s="1" t="s">
        <v>25</v>
      </c>
      <c r="C103" s="1" t="s">
        <v>23</v>
      </c>
      <c r="D103" s="1" t="s">
        <v>25</v>
      </c>
      <c r="E103" s="1" t="s">
        <v>25</v>
      </c>
      <c r="F103" s="1" t="s">
        <v>25</v>
      </c>
      <c r="G103" s="1" t="s">
        <v>25</v>
      </c>
      <c r="H103" s="1" t="s">
        <v>25</v>
      </c>
      <c r="I103" s="1" t="s">
        <v>25</v>
      </c>
      <c r="J103" s="1" t="s">
        <v>25</v>
      </c>
      <c r="K103" s="1" t="s">
        <v>22</v>
      </c>
      <c r="L103" s="1" t="s">
        <v>22</v>
      </c>
      <c r="M103" s="1" t="s">
        <v>1689</v>
      </c>
      <c r="N103" s="1" t="s">
        <v>25</v>
      </c>
      <c r="O103" s="1" t="s">
        <v>25</v>
      </c>
      <c r="P103" s="1" t="s">
        <v>25</v>
      </c>
      <c r="Q103" s="1" t="s">
        <v>25</v>
      </c>
      <c r="R103" s="1" t="s">
        <v>25</v>
      </c>
      <c r="S103" s="1" t="s">
        <v>25</v>
      </c>
      <c r="T103" s="1" t="s">
        <v>25</v>
      </c>
      <c r="AA103" t="str">
        <f t="shared" si="1"/>
        <v/>
      </c>
    </row>
    <row r="104" spans="1:27" x14ac:dyDescent="0.25">
      <c r="A104" s="1" t="s">
        <v>1550</v>
      </c>
      <c r="B104" s="1" t="s">
        <v>1690</v>
      </c>
      <c r="C104" s="1" t="s">
        <v>1571</v>
      </c>
      <c r="D104" s="1" t="s">
        <v>25</v>
      </c>
      <c r="E104" s="1" t="s">
        <v>25</v>
      </c>
      <c r="F104" s="1" t="s">
        <v>25</v>
      </c>
      <c r="G104" s="1" t="s">
        <v>25</v>
      </c>
      <c r="H104" s="1" t="s">
        <v>25</v>
      </c>
      <c r="I104" s="1" t="s">
        <v>25</v>
      </c>
      <c r="J104" s="1" t="s">
        <v>25</v>
      </c>
      <c r="K104" s="1" t="s">
        <v>25</v>
      </c>
      <c r="L104" s="1" t="s">
        <v>25</v>
      </c>
      <c r="M104" s="1" t="s">
        <v>25</v>
      </c>
      <c r="N104" s="1" t="s">
        <v>25</v>
      </c>
      <c r="O104" s="1" t="s">
        <v>25</v>
      </c>
      <c r="P104" s="1" t="s">
        <v>25</v>
      </c>
      <c r="Q104" s="1" t="s">
        <v>25</v>
      </c>
      <c r="R104" s="1" t="s">
        <v>25</v>
      </c>
      <c r="S104" s="1" t="s">
        <v>25</v>
      </c>
      <c r="T104" s="1" t="s">
        <v>25</v>
      </c>
      <c r="AA104" t="str">
        <f t="shared" si="1"/>
        <v/>
      </c>
    </row>
    <row r="105" spans="1:27" x14ac:dyDescent="0.25">
      <c r="A105" s="1" t="s">
        <v>10</v>
      </c>
      <c r="B105" s="1" t="s">
        <v>21</v>
      </c>
      <c r="C105" s="1" t="s">
        <v>1566</v>
      </c>
      <c r="D105" s="1" t="s">
        <v>25</v>
      </c>
      <c r="E105" s="1" t="s">
        <v>18</v>
      </c>
      <c r="F105" s="1" t="s">
        <v>25</v>
      </c>
      <c r="G105" s="1" t="s">
        <v>25</v>
      </c>
      <c r="H105" s="1" t="s">
        <v>25</v>
      </c>
      <c r="I105" s="1" t="s">
        <v>25</v>
      </c>
      <c r="J105" s="1" t="s">
        <v>25</v>
      </c>
      <c r="K105" s="1" t="s">
        <v>25</v>
      </c>
      <c r="L105" s="1" t="s">
        <v>25</v>
      </c>
      <c r="M105" s="1" t="s">
        <v>25</v>
      </c>
      <c r="N105" s="1" t="s">
        <v>25</v>
      </c>
      <c r="O105" s="1" t="s">
        <v>25</v>
      </c>
      <c r="P105" s="1" t="s">
        <v>25</v>
      </c>
      <c r="Q105" s="1" t="s">
        <v>25</v>
      </c>
      <c r="R105" s="1" t="s">
        <v>25</v>
      </c>
      <c r="S105" s="1" t="s">
        <v>25</v>
      </c>
      <c r="T105" s="1" t="s">
        <v>25</v>
      </c>
      <c r="AA105" t="str">
        <f t="shared" si="1"/>
        <v/>
      </c>
    </row>
    <row r="106" spans="1:27" x14ac:dyDescent="0.25">
      <c r="A106" s="5" t="s">
        <v>1553</v>
      </c>
      <c r="B106" s="5" t="s">
        <v>21</v>
      </c>
      <c r="C106" s="5" t="s">
        <v>24</v>
      </c>
      <c r="D106" s="5" t="s">
        <v>1677</v>
      </c>
      <c r="E106" s="5" t="s">
        <v>1678</v>
      </c>
      <c r="F106" s="5" t="s">
        <v>21</v>
      </c>
      <c r="G106" s="5" t="s">
        <v>18</v>
      </c>
      <c r="H106" s="5" t="s">
        <v>25</v>
      </c>
      <c r="I106" s="5" t="s">
        <v>25</v>
      </c>
      <c r="J106" s="5" t="s">
        <v>25</v>
      </c>
      <c r="K106" s="1" t="s">
        <v>25</v>
      </c>
      <c r="L106" s="1" t="s">
        <v>25</v>
      </c>
      <c r="M106" s="1" t="s">
        <v>25</v>
      </c>
      <c r="N106" s="1" t="s">
        <v>25</v>
      </c>
      <c r="O106" s="1" t="s">
        <v>25</v>
      </c>
      <c r="P106" s="1" t="s">
        <v>25</v>
      </c>
      <c r="Q106" s="1" t="s">
        <v>25</v>
      </c>
      <c r="R106" s="1" t="s">
        <v>25</v>
      </c>
      <c r="S106" s="1" t="s">
        <v>25</v>
      </c>
      <c r="T106" s="1" t="s">
        <v>25</v>
      </c>
      <c r="AA106" t="str">
        <f t="shared" si="1"/>
        <v/>
      </c>
    </row>
    <row r="107" spans="1:27" x14ac:dyDescent="0.25">
      <c r="A107" s="1" t="s">
        <v>0</v>
      </c>
      <c r="B107" s="1" t="s">
        <v>1561</v>
      </c>
      <c r="C107" s="1" t="s">
        <v>17</v>
      </c>
      <c r="D107" s="1" t="s">
        <v>1</v>
      </c>
      <c r="E107" s="1" t="s">
        <v>25</v>
      </c>
      <c r="F107" s="1" t="s">
        <v>1571</v>
      </c>
      <c r="G107" s="1" t="s">
        <v>25</v>
      </c>
      <c r="H107" s="1" t="s">
        <v>25</v>
      </c>
      <c r="I107" s="1" t="s">
        <v>25</v>
      </c>
      <c r="J107" s="1" t="s">
        <v>25</v>
      </c>
      <c r="K107" s="1" t="s">
        <v>25</v>
      </c>
      <c r="L107" s="1" t="s">
        <v>25</v>
      </c>
      <c r="M107" s="1" t="s">
        <v>25</v>
      </c>
      <c r="N107" s="1" t="s">
        <v>25</v>
      </c>
      <c r="O107" s="1" t="s">
        <v>25</v>
      </c>
      <c r="P107" s="1" t="s">
        <v>25</v>
      </c>
      <c r="Q107" s="1" t="s">
        <v>25</v>
      </c>
      <c r="R107" s="1" t="s">
        <v>25</v>
      </c>
      <c r="S107" s="1" t="s">
        <v>25</v>
      </c>
      <c r="T107" s="1" t="s">
        <v>25</v>
      </c>
      <c r="AA107" t="str">
        <f t="shared" si="1"/>
        <v/>
      </c>
    </row>
    <row r="108" spans="1:27" x14ac:dyDescent="0.25">
      <c r="A108" s="1" t="s">
        <v>2</v>
      </c>
      <c r="B108" s="1" t="s">
        <v>1691</v>
      </c>
      <c r="C108" s="1" t="s">
        <v>1611</v>
      </c>
      <c r="D108" s="1" t="s">
        <v>1569</v>
      </c>
      <c r="E108" s="1" t="s">
        <v>25</v>
      </c>
      <c r="F108" s="1" t="s">
        <v>25</v>
      </c>
      <c r="G108" s="1" t="s">
        <v>25</v>
      </c>
      <c r="H108" s="1" t="s">
        <v>25</v>
      </c>
      <c r="I108" s="1" t="s">
        <v>25</v>
      </c>
      <c r="J108" s="1" t="s">
        <v>25</v>
      </c>
      <c r="K108" s="1" t="s">
        <v>25</v>
      </c>
      <c r="L108" s="1" t="s">
        <v>25</v>
      </c>
      <c r="M108" s="1" t="s">
        <v>25</v>
      </c>
      <c r="N108" s="1" t="s">
        <v>25</v>
      </c>
      <c r="O108" s="1" t="s">
        <v>25</v>
      </c>
      <c r="P108" s="1" t="s">
        <v>25</v>
      </c>
      <c r="Q108" s="1" t="s">
        <v>25</v>
      </c>
      <c r="R108" s="1" t="s">
        <v>25</v>
      </c>
      <c r="S108" s="1" t="s">
        <v>25</v>
      </c>
      <c r="T108" s="1" t="s">
        <v>25</v>
      </c>
      <c r="AA108" t="str">
        <f t="shared" si="1"/>
        <v/>
      </c>
    </row>
    <row r="109" spans="1:27" x14ac:dyDescent="0.25">
      <c r="A109" s="1" t="s">
        <v>3</v>
      </c>
      <c r="B109" s="1" t="s">
        <v>18</v>
      </c>
      <c r="C109" s="1" t="s">
        <v>25</v>
      </c>
      <c r="D109" s="1" t="s">
        <v>25</v>
      </c>
      <c r="E109" s="1" t="s">
        <v>25</v>
      </c>
      <c r="F109" s="1" t="s">
        <v>25</v>
      </c>
      <c r="G109" s="1" t="s">
        <v>25</v>
      </c>
      <c r="H109" s="1" t="s">
        <v>25</v>
      </c>
      <c r="I109" s="1" t="s">
        <v>25</v>
      </c>
      <c r="J109" s="1" t="s">
        <v>25</v>
      </c>
      <c r="K109" s="1" t="s">
        <v>25</v>
      </c>
      <c r="L109" s="1" t="s">
        <v>25</v>
      </c>
      <c r="M109" s="1" t="s">
        <v>25</v>
      </c>
      <c r="N109" s="1" t="s">
        <v>25</v>
      </c>
      <c r="O109" s="1" t="s">
        <v>25</v>
      </c>
      <c r="P109" s="1" t="s">
        <v>25</v>
      </c>
      <c r="Q109" s="1" t="s">
        <v>25</v>
      </c>
      <c r="R109" s="1" t="s">
        <v>25</v>
      </c>
      <c r="S109" s="1" t="s">
        <v>25</v>
      </c>
      <c r="T109" s="1" t="s">
        <v>25</v>
      </c>
      <c r="AA109" t="str">
        <f t="shared" si="1"/>
        <v/>
      </c>
    </row>
    <row r="110" spans="1:27" x14ac:dyDescent="0.25">
      <c r="A110" s="1" t="s">
        <v>4</v>
      </c>
      <c r="B110" s="1" t="s">
        <v>1692</v>
      </c>
      <c r="C110" s="1" t="s">
        <v>19</v>
      </c>
      <c r="D110" s="1" t="s">
        <v>1693</v>
      </c>
      <c r="E110" s="1" t="s">
        <v>25</v>
      </c>
      <c r="F110" s="1" t="s">
        <v>25</v>
      </c>
      <c r="G110" s="1" t="s">
        <v>25</v>
      </c>
      <c r="H110" s="1" t="s">
        <v>25</v>
      </c>
      <c r="I110" s="1" t="s">
        <v>25</v>
      </c>
      <c r="J110" s="1" t="s">
        <v>25</v>
      </c>
      <c r="K110" s="1" t="s">
        <v>25</v>
      </c>
      <c r="L110" s="1" t="s">
        <v>25</v>
      </c>
      <c r="M110" s="1" t="s">
        <v>25</v>
      </c>
      <c r="N110" s="1" t="s">
        <v>25</v>
      </c>
      <c r="O110" s="1" t="s">
        <v>25</v>
      </c>
      <c r="P110" s="1" t="s">
        <v>25</v>
      </c>
      <c r="Q110" s="1" t="s">
        <v>25</v>
      </c>
      <c r="R110" s="1" t="s">
        <v>25</v>
      </c>
      <c r="S110" s="1" t="s">
        <v>25</v>
      </c>
      <c r="T110" s="1" t="s">
        <v>25</v>
      </c>
      <c r="AA110" t="str">
        <f t="shared" si="1"/>
        <v/>
      </c>
    </row>
    <row r="111" spans="1:27" x14ac:dyDescent="0.25">
      <c r="A111" s="1" t="s">
        <v>5</v>
      </c>
      <c r="B111" s="1" t="s">
        <v>19</v>
      </c>
      <c r="C111" s="1" t="s">
        <v>25</v>
      </c>
      <c r="D111" s="1" t="s">
        <v>20</v>
      </c>
      <c r="E111" s="1" t="s">
        <v>25</v>
      </c>
      <c r="F111" s="1" t="s">
        <v>1694</v>
      </c>
      <c r="G111" s="1" t="s">
        <v>1695</v>
      </c>
      <c r="H111" s="1" t="s">
        <v>1560</v>
      </c>
      <c r="I111" s="1" t="s">
        <v>1696</v>
      </c>
      <c r="J111" s="1" t="s">
        <v>1697</v>
      </c>
      <c r="K111" s="1" t="s">
        <v>25</v>
      </c>
      <c r="L111" s="1" t="s">
        <v>25</v>
      </c>
      <c r="M111" s="1" t="s">
        <v>25</v>
      </c>
      <c r="N111" s="1" t="s">
        <v>25</v>
      </c>
      <c r="O111" s="1" t="s">
        <v>25</v>
      </c>
      <c r="P111" s="1" t="s">
        <v>25</v>
      </c>
      <c r="Q111" s="1" t="s">
        <v>25</v>
      </c>
      <c r="R111" s="1" t="s">
        <v>25</v>
      </c>
      <c r="S111" s="1" t="s">
        <v>25</v>
      </c>
      <c r="T111" s="1" t="s">
        <v>25</v>
      </c>
      <c r="AA111" t="str">
        <f t="shared" si="1"/>
        <v/>
      </c>
    </row>
    <row r="112" spans="1:27" x14ac:dyDescent="0.25">
      <c r="A112" s="1" t="s">
        <v>6</v>
      </c>
      <c r="B112" s="1" t="s">
        <v>18</v>
      </c>
      <c r="C112" s="1" t="s">
        <v>25</v>
      </c>
      <c r="D112" s="1" t="s">
        <v>25</v>
      </c>
      <c r="E112" s="1" t="s">
        <v>25</v>
      </c>
      <c r="F112" s="1" t="s">
        <v>25</v>
      </c>
      <c r="G112" s="1" t="s">
        <v>25</v>
      </c>
      <c r="H112" s="1" t="s">
        <v>25</v>
      </c>
      <c r="I112" s="1" t="s">
        <v>25</v>
      </c>
      <c r="J112" s="1" t="s">
        <v>25</v>
      </c>
      <c r="K112" s="1" t="s">
        <v>25</v>
      </c>
      <c r="L112" s="1" t="s">
        <v>25</v>
      </c>
      <c r="M112" s="1" t="s">
        <v>25</v>
      </c>
      <c r="N112" s="1" t="s">
        <v>25</v>
      </c>
      <c r="O112" s="1" t="s">
        <v>25</v>
      </c>
      <c r="P112" s="1" t="s">
        <v>25</v>
      </c>
      <c r="Q112" s="1" t="s">
        <v>25</v>
      </c>
      <c r="R112" s="1" t="s">
        <v>25</v>
      </c>
      <c r="S112" s="1" t="s">
        <v>25</v>
      </c>
      <c r="T112" s="1" t="s">
        <v>25</v>
      </c>
      <c r="AA112" t="str">
        <f t="shared" si="1"/>
        <v/>
      </c>
    </row>
    <row r="113" spans="1:27" x14ac:dyDescent="0.25">
      <c r="A113" s="1" t="s">
        <v>7</v>
      </c>
      <c r="B113" s="1" t="s">
        <v>21</v>
      </c>
      <c r="C113" s="1" t="s">
        <v>1698</v>
      </c>
      <c r="D113" s="1" t="s">
        <v>25</v>
      </c>
      <c r="E113" s="1" t="s">
        <v>18</v>
      </c>
      <c r="F113" s="1" t="s">
        <v>25</v>
      </c>
      <c r="G113" s="1" t="s">
        <v>25</v>
      </c>
      <c r="H113" s="1" t="s">
        <v>25</v>
      </c>
      <c r="I113" s="1" t="s">
        <v>25</v>
      </c>
      <c r="J113" s="1" t="s">
        <v>25</v>
      </c>
      <c r="K113" s="1" t="s">
        <v>25</v>
      </c>
      <c r="L113" s="1" t="s">
        <v>25</v>
      </c>
      <c r="M113" s="1" t="s">
        <v>25</v>
      </c>
      <c r="N113" s="1" t="s">
        <v>25</v>
      </c>
      <c r="O113" s="1" t="s">
        <v>25</v>
      </c>
      <c r="P113" s="1" t="s">
        <v>25</v>
      </c>
      <c r="Q113" s="1" t="s">
        <v>25</v>
      </c>
      <c r="R113" s="1" t="s">
        <v>25</v>
      </c>
      <c r="S113" s="1" t="s">
        <v>25</v>
      </c>
      <c r="T113" s="1" t="s">
        <v>25</v>
      </c>
      <c r="AA113" t="str">
        <f t="shared" si="1"/>
        <v/>
      </c>
    </row>
    <row r="114" spans="1:27" x14ac:dyDescent="0.25">
      <c r="A114" s="1" t="s">
        <v>8</v>
      </c>
      <c r="B114" s="1" t="s">
        <v>25</v>
      </c>
      <c r="C114" s="1" t="s">
        <v>25</v>
      </c>
      <c r="D114" s="1" t="s">
        <v>25</v>
      </c>
      <c r="E114" s="1" t="s">
        <v>25</v>
      </c>
      <c r="F114" s="1" t="s">
        <v>25</v>
      </c>
      <c r="G114" s="1" t="s">
        <v>25</v>
      </c>
      <c r="H114" s="1" t="s">
        <v>25</v>
      </c>
      <c r="I114" s="1" t="s">
        <v>25</v>
      </c>
      <c r="J114" s="1" t="s">
        <v>25</v>
      </c>
      <c r="K114" s="1" t="s">
        <v>25</v>
      </c>
      <c r="L114" s="1" t="s">
        <v>25</v>
      </c>
      <c r="M114" s="1" t="s">
        <v>25</v>
      </c>
      <c r="N114" s="1" t="s">
        <v>25</v>
      </c>
      <c r="O114" s="1" t="s">
        <v>25</v>
      </c>
      <c r="P114" s="1" t="s">
        <v>25</v>
      </c>
      <c r="Q114" s="1" t="s">
        <v>25</v>
      </c>
      <c r="R114" s="1" t="s">
        <v>25</v>
      </c>
      <c r="S114" s="1" t="s">
        <v>25</v>
      </c>
      <c r="T114" s="1" t="s">
        <v>25</v>
      </c>
      <c r="AA114" t="str">
        <f t="shared" si="1"/>
        <v/>
      </c>
    </row>
    <row r="115" spans="1:27" x14ac:dyDescent="0.25">
      <c r="A115" s="1" t="s">
        <v>9</v>
      </c>
      <c r="B115" s="1" t="s">
        <v>1699</v>
      </c>
      <c r="C115" s="1" t="s">
        <v>25</v>
      </c>
      <c r="D115" s="1" t="s">
        <v>25</v>
      </c>
      <c r="E115" s="1" t="s">
        <v>25</v>
      </c>
      <c r="F115" s="1" t="s">
        <v>25</v>
      </c>
      <c r="G115" s="1" t="s">
        <v>25</v>
      </c>
      <c r="H115" s="1" t="s">
        <v>25</v>
      </c>
      <c r="I115" s="1" t="s">
        <v>25</v>
      </c>
      <c r="J115" s="1" t="s">
        <v>25</v>
      </c>
      <c r="K115" s="1" t="s">
        <v>25</v>
      </c>
      <c r="L115" s="1" t="s">
        <v>25</v>
      </c>
      <c r="M115" s="1" t="s">
        <v>25</v>
      </c>
      <c r="N115" s="1" t="s">
        <v>25</v>
      </c>
      <c r="O115" s="1" t="s">
        <v>25</v>
      </c>
      <c r="P115" s="1" t="s">
        <v>25</v>
      </c>
      <c r="Q115" s="1" t="s">
        <v>25</v>
      </c>
      <c r="R115" s="1" t="s">
        <v>25</v>
      </c>
      <c r="S115" s="1" t="s">
        <v>25</v>
      </c>
      <c r="T115" s="1" t="s">
        <v>25</v>
      </c>
      <c r="AA115" t="str">
        <f t="shared" si="1"/>
        <v/>
      </c>
    </row>
    <row r="116" spans="1:27" x14ac:dyDescent="0.25">
      <c r="A116" s="5" t="s">
        <v>1543</v>
      </c>
      <c r="B116" s="5" t="s">
        <v>21</v>
      </c>
      <c r="C116" s="5" t="s">
        <v>1700</v>
      </c>
      <c r="D116" s="5" t="s">
        <v>21</v>
      </c>
      <c r="E116" s="5" t="s">
        <v>24</v>
      </c>
      <c r="F116" s="5" t="s">
        <v>24</v>
      </c>
      <c r="G116" s="5" t="s">
        <v>21</v>
      </c>
      <c r="H116" s="5" t="s">
        <v>18</v>
      </c>
      <c r="I116" s="5" t="s">
        <v>18</v>
      </c>
      <c r="J116" s="5" t="s">
        <v>21</v>
      </c>
      <c r="K116" s="1" t="s">
        <v>21</v>
      </c>
      <c r="L116" s="1" t="s">
        <v>1571</v>
      </c>
      <c r="M116" s="1" t="s">
        <v>25</v>
      </c>
      <c r="N116" s="1" t="s">
        <v>18</v>
      </c>
      <c r="O116" s="1" t="s">
        <v>18</v>
      </c>
      <c r="P116" s="1" t="s">
        <v>25</v>
      </c>
      <c r="Q116" s="1" t="s">
        <v>18</v>
      </c>
      <c r="R116" s="1" t="s">
        <v>18</v>
      </c>
      <c r="S116" s="1" t="s">
        <v>25</v>
      </c>
      <c r="T116" s="1" t="s">
        <v>25</v>
      </c>
      <c r="AA116" t="str">
        <f t="shared" si="1"/>
        <v/>
      </c>
    </row>
    <row r="117" spans="1:27" x14ac:dyDescent="0.25">
      <c r="A117" s="1" t="s">
        <v>1544</v>
      </c>
      <c r="B117" s="1" t="s">
        <v>1701</v>
      </c>
      <c r="C117" s="1" t="s">
        <v>1536</v>
      </c>
      <c r="D117" s="1" t="s">
        <v>25</v>
      </c>
      <c r="E117" s="1" t="s">
        <v>25</v>
      </c>
      <c r="F117" s="1" t="s">
        <v>25</v>
      </c>
      <c r="G117" s="1" t="s">
        <v>25</v>
      </c>
      <c r="H117" s="1" t="s">
        <v>25</v>
      </c>
      <c r="I117" s="1" t="s">
        <v>25</v>
      </c>
      <c r="J117" s="1" t="s">
        <v>25</v>
      </c>
      <c r="K117" s="1" t="s">
        <v>25</v>
      </c>
      <c r="L117" s="1" t="s">
        <v>25</v>
      </c>
      <c r="M117" s="1" t="s">
        <v>25</v>
      </c>
      <c r="N117" s="1" t="s">
        <v>25</v>
      </c>
      <c r="O117" s="1" t="s">
        <v>25</v>
      </c>
      <c r="P117" s="1" t="s">
        <v>25</v>
      </c>
      <c r="Q117" s="1" t="s">
        <v>25</v>
      </c>
      <c r="R117" s="1" t="s">
        <v>25</v>
      </c>
      <c r="S117" s="1" t="s">
        <v>25</v>
      </c>
      <c r="T117" s="1" t="s">
        <v>25</v>
      </c>
      <c r="AA117" t="str">
        <f t="shared" si="1"/>
        <v/>
      </c>
    </row>
    <row r="118" spans="1:27" x14ac:dyDescent="0.25">
      <c r="A118" s="1" t="s">
        <v>1545</v>
      </c>
      <c r="B118" s="1" t="s">
        <v>23</v>
      </c>
      <c r="C118" s="1" t="s">
        <v>25</v>
      </c>
      <c r="D118" s="1" t="s">
        <v>23</v>
      </c>
      <c r="E118" s="1" t="s">
        <v>25</v>
      </c>
      <c r="F118" s="1" t="s">
        <v>25</v>
      </c>
      <c r="G118" s="1" t="s">
        <v>25</v>
      </c>
      <c r="H118" s="1" t="s">
        <v>25</v>
      </c>
      <c r="I118" s="1" t="s">
        <v>25</v>
      </c>
      <c r="J118" s="1" t="s">
        <v>25</v>
      </c>
      <c r="K118" s="1" t="s">
        <v>25</v>
      </c>
      <c r="L118" s="1" t="s">
        <v>25</v>
      </c>
      <c r="M118" s="1" t="s">
        <v>25</v>
      </c>
      <c r="N118" s="1" t="s">
        <v>25</v>
      </c>
      <c r="O118" s="1" t="s">
        <v>25</v>
      </c>
      <c r="P118" s="1" t="s">
        <v>25</v>
      </c>
      <c r="Q118" s="1" t="s">
        <v>25</v>
      </c>
      <c r="R118" s="1" t="s">
        <v>25</v>
      </c>
      <c r="S118" s="1" t="s">
        <v>25</v>
      </c>
      <c r="T118" s="1" t="s">
        <v>25</v>
      </c>
      <c r="AA118" t="str">
        <f t="shared" si="1"/>
        <v/>
      </c>
    </row>
    <row r="119" spans="1:27" x14ac:dyDescent="0.25">
      <c r="A119" s="1" t="s">
        <v>1552</v>
      </c>
      <c r="B119" s="1" t="s">
        <v>1702</v>
      </c>
      <c r="C119" s="1" t="s">
        <v>1703</v>
      </c>
      <c r="D119" s="1" t="s">
        <v>26</v>
      </c>
      <c r="E119" s="1" t="s">
        <v>25</v>
      </c>
      <c r="F119" s="1" t="s">
        <v>25</v>
      </c>
      <c r="G119" s="1" t="s">
        <v>25</v>
      </c>
      <c r="H119" s="1" t="s">
        <v>25</v>
      </c>
      <c r="I119" s="1" t="s">
        <v>25</v>
      </c>
      <c r="J119" s="1" t="s">
        <v>25</v>
      </c>
      <c r="K119" s="1" t="s">
        <v>25</v>
      </c>
      <c r="L119" s="1" t="s">
        <v>25</v>
      </c>
      <c r="M119" s="1" t="s">
        <v>25</v>
      </c>
      <c r="N119" s="1" t="s">
        <v>25</v>
      </c>
      <c r="O119" s="1" t="s">
        <v>25</v>
      </c>
      <c r="P119" s="1" t="s">
        <v>25</v>
      </c>
      <c r="Q119" s="1" t="s">
        <v>25</v>
      </c>
      <c r="R119" s="1" t="s">
        <v>25</v>
      </c>
      <c r="S119" s="1" t="s">
        <v>25</v>
      </c>
      <c r="T119" s="1" t="s">
        <v>25</v>
      </c>
      <c r="AA119" t="str">
        <f t="shared" si="1"/>
        <v/>
      </c>
    </row>
    <row r="120" spans="1:27" x14ac:dyDescent="0.25">
      <c r="A120" s="1" t="s">
        <v>1546</v>
      </c>
      <c r="B120" s="1" t="s">
        <v>1700</v>
      </c>
      <c r="C120" s="1" t="s">
        <v>25</v>
      </c>
      <c r="D120" s="1" t="s">
        <v>25</v>
      </c>
      <c r="E120" s="1" t="s">
        <v>25</v>
      </c>
      <c r="F120" s="1" t="s">
        <v>25</v>
      </c>
      <c r="G120" s="1" t="s">
        <v>25</v>
      </c>
      <c r="H120" s="1" t="s">
        <v>25</v>
      </c>
      <c r="I120" s="1" t="s">
        <v>25</v>
      </c>
      <c r="J120" s="1" t="s">
        <v>25</v>
      </c>
      <c r="K120" s="1" t="s">
        <v>25</v>
      </c>
      <c r="L120" s="1" t="s">
        <v>25</v>
      </c>
      <c r="M120" s="1" t="s">
        <v>25</v>
      </c>
      <c r="N120" s="1" t="s">
        <v>25</v>
      </c>
      <c r="O120" s="1" t="s">
        <v>25</v>
      </c>
      <c r="P120" s="1" t="s">
        <v>25</v>
      </c>
      <c r="Q120" s="1" t="s">
        <v>25</v>
      </c>
      <c r="R120" s="1" t="s">
        <v>25</v>
      </c>
      <c r="S120" s="1" t="s">
        <v>25</v>
      </c>
      <c r="T120" s="1" t="s">
        <v>25</v>
      </c>
      <c r="AA120" t="str">
        <f t="shared" si="1"/>
        <v/>
      </c>
    </row>
    <row r="121" spans="1:27" x14ac:dyDescent="0.25">
      <c r="A121" s="1" t="s">
        <v>1547</v>
      </c>
      <c r="B121" s="1" t="s">
        <v>21</v>
      </c>
      <c r="C121" s="1" t="s">
        <v>1701</v>
      </c>
      <c r="D121" s="1" t="s">
        <v>21</v>
      </c>
      <c r="E121" s="1" t="s">
        <v>1704</v>
      </c>
      <c r="F121" s="1" t="s">
        <v>1705</v>
      </c>
      <c r="G121" s="1" t="s">
        <v>1706</v>
      </c>
      <c r="H121" s="1" t="s">
        <v>23</v>
      </c>
      <c r="I121" s="1" t="s">
        <v>1571</v>
      </c>
      <c r="J121" s="1" t="s">
        <v>25</v>
      </c>
      <c r="K121" s="1" t="s">
        <v>25</v>
      </c>
      <c r="L121" s="1" t="s">
        <v>25</v>
      </c>
      <c r="M121" s="1" t="s">
        <v>25</v>
      </c>
      <c r="N121" s="1" t="s">
        <v>25</v>
      </c>
      <c r="O121" s="1" t="s">
        <v>25</v>
      </c>
      <c r="P121" s="1" t="s">
        <v>25</v>
      </c>
      <c r="Q121" s="1" t="s">
        <v>25</v>
      </c>
      <c r="R121" s="1" t="s">
        <v>25</v>
      </c>
      <c r="S121" s="1" t="s">
        <v>25</v>
      </c>
      <c r="T121" s="1" t="s">
        <v>25</v>
      </c>
      <c r="AA121" t="str">
        <f t="shared" si="1"/>
        <v/>
      </c>
    </row>
    <row r="122" spans="1:27" x14ac:dyDescent="0.25">
      <c r="A122" s="1" t="s">
        <v>1548</v>
      </c>
      <c r="B122" s="1" t="s">
        <v>25</v>
      </c>
      <c r="C122" s="1" t="s">
        <v>25</v>
      </c>
      <c r="D122" s="1" t="s">
        <v>23</v>
      </c>
      <c r="E122" s="1" t="s">
        <v>25</v>
      </c>
      <c r="F122" s="1" t="s">
        <v>25</v>
      </c>
      <c r="G122" s="1" t="s">
        <v>25</v>
      </c>
      <c r="H122" s="1" t="s">
        <v>25</v>
      </c>
      <c r="I122" s="1" t="s">
        <v>25</v>
      </c>
      <c r="J122" s="1" t="s">
        <v>25</v>
      </c>
      <c r="K122" s="1" t="s">
        <v>25</v>
      </c>
      <c r="L122" s="1" t="s">
        <v>25</v>
      </c>
      <c r="M122" s="1" t="s">
        <v>25</v>
      </c>
      <c r="N122" s="1" t="s">
        <v>25</v>
      </c>
      <c r="O122" s="1" t="s">
        <v>25</v>
      </c>
      <c r="P122" s="1" t="s">
        <v>25</v>
      </c>
      <c r="Q122" s="1" t="s">
        <v>25</v>
      </c>
      <c r="R122" s="1" t="s">
        <v>25</v>
      </c>
      <c r="S122" s="1" t="s">
        <v>25</v>
      </c>
      <c r="T122" s="1" t="s">
        <v>25</v>
      </c>
      <c r="AA122" t="str">
        <f t="shared" si="1"/>
        <v/>
      </c>
    </row>
    <row r="123" spans="1:27" x14ac:dyDescent="0.25">
      <c r="A123" s="1" t="s">
        <v>1549</v>
      </c>
      <c r="B123" s="1" t="s">
        <v>1571</v>
      </c>
      <c r="C123" s="1" t="s">
        <v>21</v>
      </c>
      <c r="D123" s="1" t="s">
        <v>1704</v>
      </c>
      <c r="E123" s="1" t="s">
        <v>1705</v>
      </c>
      <c r="F123" s="1" t="s">
        <v>1706</v>
      </c>
      <c r="G123" s="1" t="s">
        <v>23</v>
      </c>
      <c r="H123" s="1" t="s">
        <v>1571</v>
      </c>
      <c r="I123" s="1" t="s">
        <v>1571</v>
      </c>
      <c r="J123" s="1" t="s">
        <v>1571</v>
      </c>
      <c r="K123" s="1" t="s">
        <v>25</v>
      </c>
      <c r="L123" s="1" t="s">
        <v>25</v>
      </c>
      <c r="M123" s="1" t="s">
        <v>25</v>
      </c>
      <c r="N123" s="1" t="s">
        <v>25</v>
      </c>
      <c r="O123" s="1" t="s">
        <v>25</v>
      </c>
      <c r="P123" s="1" t="s">
        <v>25</v>
      </c>
      <c r="Q123" s="1" t="s">
        <v>25</v>
      </c>
      <c r="R123" s="1" t="s">
        <v>25</v>
      </c>
      <c r="S123" s="1" t="s">
        <v>25</v>
      </c>
      <c r="T123" s="1" t="s">
        <v>25</v>
      </c>
      <c r="AA123" t="str">
        <f t="shared" si="1"/>
        <v/>
      </c>
    </row>
    <row r="124" spans="1:27" x14ac:dyDescent="0.25">
      <c r="A124" s="1" t="s">
        <v>1522</v>
      </c>
      <c r="B124" s="1" t="s">
        <v>1571</v>
      </c>
      <c r="C124" s="1" t="s">
        <v>1707</v>
      </c>
      <c r="D124" s="1" t="s">
        <v>25</v>
      </c>
      <c r="E124" s="1" t="s">
        <v>1707</v>
      </c>
      <c r="F124" s="1" t="s">
        <v>25</v>
      </c>
      <c r="G124" s="1" t="s">
        <v>1708</v>
      </c>
      <c r="H124" s="1" t="s">
        <v>1709</v>
      </c>
      <c r="I124" s="1" t="s">
        <v>1710</v>
      </c>
      <c r="J124" s="1" t="s">
        <v>23</v>
      </c>
      <c r="K124" s="1" t="s">
        <v>16</v>
      </c>
      <c r="L124" s="1" t="s">
        <v>22</v>
      </c>
      <c r="M124" s="1" t="s">
        <v>21</v>
      </c>
      <c r="N124" s="1" t="s">
        <v>25</v>
      </c>
      <c r="O124" s="1" t="s">
        <v>25</v>
      </c>
      <c r="P124" s="1" t="s">
        <v>25</v>
      </c>
      <c r="Q124" s="1" t="s">
        <v>25</v>
      </c>
      <c r="R124" s="1" t="s">
        <v>25</v>
      </c>
      <c r="S124" s="1" t="s">
        <v>25</v>
      </c>
      <c r="T124" s="1" t="s">
        <v>25</v>
      </c>
      <c r="AA124" t="str">
        <f t="shared" si="1"/>
        <v/>
      </c>
    </row>
    <row r="125" spans="1:27" x14ac:dyDescent="0.25">
      <c r="A125" s="1" t="s">
        <v>1550</v>
      </c>
      <c r="B125" s="1" t="s">
        <v>1711</v>
      </c>
      <c r="C125" s="1" t="s">
        <v>1571</v>
      </c>
      <c r="D125" s="1" t="s">
        <v>25</v>
      </c>
      <c r="E125" s="1" t="s">
        <v>25</v>
      </c>
      <c r="F125" s="1" t="s">
        <v>25</v>
      </c>
      <c r="G125" s="1" t="s">
        <v>25</v>
      </c>
      <c r="H125" s="1" t="s">
        <v>25</v>
      </c>
      <c r="I125" s="1" t="s">
        <v>25</v>
      </c>
      <c r="J125" s="1" t="s">
        <v>25</v>
      </c>
      <c r="K125" s="1" t="s">
        <v>25</v>
      </c>
      <c r="L125" s="1" t="s">
        <v>25</v>
      </c>
      <c r="M125" s="1" t="s">
        <v>25</v>
      </c>
      <c r="N125" s="1" t="s">
        <v>25</v>
      </c>
      <c r="O125" s="1" t="s">
        <v>25</v>
      </c>
      <c r="P125" s="1" t="s">
        <v>25</v>
      </c>
      <c r="Q125" s="1" t="s">
        <v>25</v>
      </c>
      <c r="R125" s="1" t="s">
        <v>25</v>
      </c>
      <c r="S125" s="1" t="s">
        <v>25</v>
      </c>
      <c r="T125" s="1" t="s">
        <v>25</v>
      </c>
      <c r="AA125" t="str">
        <f t="shared" si="1"/>
        <v/>
      </c>
    </row>
    <row r="126" spans="1:27" x14ac:dyDescent="0.25">
      <c r="A126" s="1" t="s">
        <v>10</v>
      </c>
      <c r="B126" s="1" t="s">
        <v>21</v>
      </c>
      <c r="C126" s="1" t="s">
        <v>1541</v>
      </c>
      <c r="D126" s="1" t="s">
        <v>25</v>
      </c>
      <c r="E126" s="1" t="s">
        <v>18</v>
      </c>
      <c r="F126" s="1" t="s">
        <v>25</v>
      </c>
      <c r="G126" s="1" t="s">
        <v>25</v>
      </c>
      <c r="H126" s="1" t="s">
        <v>25</v>
      </c>
      <c r="I126" s="1" t="s">
        <v>25</v>
      </c>
      <c r="J126" s="1" t="s">
        <v>25</v>
      </c>
      <c r="K126" s="1" t="s">
        <v>25</v>
      </c>
      <c r="L126" s="1" t="s">
        <v>25</v>
      </c>
      <c r="M126" s="1" t="s">
        <v>25</v>
      </c>
      <c r="N126" s="1" t="s">
        <v>25</v>
      </c>
      <c r="O126" s="1" t="s">
        <v>25</v>
      </c>
      <c r="P126" s="1" t="s">
        <v>25</v>
      </c>
      <c r="Q126" s="1" t="s">
        <v>25</v>
      </c>
      <c r="R126" s="1" t="s">
        <v>25</v>
      </c>
      <c r="S126" s="1" t="s">
        <v>25</v>
      </c>
      <c r="T126" s="1" t="s">
        <v>25</v>
      </c>
      <c r="AA126" t="str">
        <f t="shared" si="1"/>
        <v/>
      </c>
    </row>
    <row r="127" spans="1:27" x14ac:dyDescent="0.25">
      <c r="A127" s="5" t="s">
        <v>1553</v>
      </c>
      <c r="B127" s="5" t="s">
        <v>21</v>
      </c>
      <c r="C127" s="5" t="s">
        <v>24</v>
      </c>
      <c r="D127" s="5" t="s">
        <v>1699</v>
      </c>
      <c r="E127" s="5" t="s">
        <v>1700</v>
      </c>
      <c r="F127" s="5" t="s">
        <v>18</v>
      </c>
      <c r="G127" s="5" t="s">
        <v>18</v>
      </c>
      <c r="H127" s="5" t="s">
        <v>25</v>
      </c>
      <c r="I127" s="5" t="s">
        <v>25</v>
      </c>
      <c r="J127" s="5" t="s">
        <v>25</v>
      </c>
      <c r="K127" s="1" t="s">
        <v>25</v>
      </c>
      <c r="L127" s="1" t="s">
        <v>25</v>
      </c>
      <c r="M127" s="1" t="s">
        <v>25</v>
      </c>
      <c r="N127" s="1" t="s">
        <v>25</v>
      </c>
      <c r="O127" s="1" t="s">
        <v>25</v>
      </c>
      <c r="P127" s="1" t="s">
        <v>25</v>
      </c>
      <c r="Q127" s="1" t="s">
        <v>25</v>
      </c>
      <c r="R127" s="1" t="s">
        <v>25</v>
      </c>
      <c r="S127" s="1" t="s">
        <v>25</v>
      </c>
      <c r="T127" s="1" t="s">
        <v>25</v>
      </c>
      <c r="AA127" t="str">
        <f t="shared" si="1"/>
        <v/>
      </c>
    </row>
    <row r="128" spans="1:27" x14ac:dyDescent="0.25">
      <c r="A128" s="1" t="s">
        <v>0</v>
      </c>
      <c r="B128" s="1" t="s">
        <v>1563</v>
      </c>
      <c r="C128" s="1" t="s">
        <v>17</v>
      </c>
      <c r="D128" s="1" t="s">
        <v>1</v>
      </c>
      <c r="E128" s="1" t="s">
        <v>25</v>
      </c>
      <c r="F128" s="1" t="s">
        <v>1571</v>
      </c>
      <c r="G128" s="1" t="s">
        <v>25</v>
      </c>
      <c r="H128" s="1" t="s">
        <v>25</v>
      </c>
      <c r="I128" s="1" t="s">
        <v>25</v>
      </c>
      <c r="J128" s="1" t="s">
        <v>25</v>
      </c>
      <c r="K128" s="1" t="s">
        <v>25</v>
      </c>
      <c r="L128" s="1" t="s">
        <v>25</v>
      </c>
      <c r="M128" s="1" t="s">
        <v>25</v>
      </c>
      <c r="N128" s="1" t="s">
        <v>25</v>
      </c>
      <c r="O128" s="1" t="s">
        <v>25</v>
      </c>
      <c r="P128" s="1" t="s">
        <v>25</v>
      </c>
      <c r="Q128" s="1" t="s">
        <v>25</v>
      </c>
      <c r="R128" s="1" t="s">
        <v>25</v>
      </c>
      <c r="S128" s="1" t="s">
        <v>25</v>
      </c>
      <c r="T128" s="1" t="s">
        <v>25</v>
      </c>
      <c r="AA128" t="str">
        <f t="shared" si="1"/>
        <v/>
      </c>
    </row>
    <row r="129" spans="1:27" x14ac:dyDescent="0.25">
      <c r="A129" s="1" t="s">
        <v>2</v>
      </c>
      <c r="B129" s="1" t="s">
        <v>1712</v>
      </c>
      <c r="C129" s="1" t="s">
        <v>1713</v>
      </c>
      <c r="D129" s="1" t="s">
        <v>1714</v>
      </c>
      <c r="E129" s="1" t="s">
        <v>25</v>
      </c>
      <c r="F129" s="1" t="s">
        <v>25</v>
      </c>
      <c r="G129" s="1" t="s">
        <v>25</v>
      </c>
      <c r="H129" s="1" t="s">
        <v>25</v>
      </c>
      <c r="I129" s="1" t="s">
        <v>25</v>
      </c>
      <c r="J129" s="1" t="s">
        <v>25</v>
      </c>
      <c r="K129" s="1" t="s">
        <v>25</v>
      </c>
      <c r="L129" s="1" t="s">
        <v>25</v>
      </c>
      <c r="M129" s="1" t="s">
        <v>25</v>
      </c>
      <c r="N129" s="1" t="s">
        <v>25</v>
      </c>
      <c r="O129" s="1" t="s">
        <v>25</v>
      </c>
      <c r="P129" s="1" t="s">
        <v>25</v>
      </c>
      <c r="Q129" s="1" t="s">
        <v>25</v>
      </c>
      <c r="R129" s="1" t="s">
        <v>25</v>
      </c>
      <c r="S129" s="1" t="s">
        <v>25</v>
      </c>
      <c r="T129" s="1" t="s">
        <v>25</v>
      </c>
      <c r="AA129" t="str">
        <f t="shared" si="1"/>
        <v/>
      </c>
    </row>
    <row r="130" spans="1:27" x14ac:dyDescent="0.25">
      <c r="A130" s="1" t="s">
        <v>3</v>
      </c>
      <c r="B130" s="1" t="s">
        <v>18</v>
      </c>
      <c r="C130" s="1" t="s">
        <v>25</v>
      </c>
      <c r="D130" s="1" t="s">
        <v>25</v>
      </c>
      <c r="E130" s="1" t="s">
        <v>25</v>
      </c>
      <c r="F130" s="1" t="s">
        <v>25</v>
      </c>
      <c r="G130" s="1" t="s">
        <v>25</v>
      </c>
      <c r="H130" s="1" t="s">
        <v>25</v>
      </c>
      <c r="I130" s="1" t="s">
        <v>25</v>
      </c>
      <c r="J130" s="1" t="s">
        <v>25</v>
      </c>
      <c r="K130" s="1" t="s">
        <v>25</v>
      </c>
      <c r="L130" s="1" t="s">
        <v>25</v>
      </c>
      <c r="M130" s="1" t="s">
        <v>25</v>
      </c>
      <c r="N130" s="1" t="s">
        <v>25</v>
      </c>
      <c r="O130" s="1" t="s">
        <v>25</v>
      </c>
      <c r="P130" s="1" t="s">
        <v>25</v>
      </c>
      <c r="Q130" s="1" t="s">
        <v>25</v>
      </c>
      <c r="R130" s="1" t="s">
        <v>25</v>
      </c>
      <c r="S130" s="1" t="s">
        <v>25</v>
      </c>
      <c r="T130" s="1" t="s">
        <v>25</v>
      </c>
      <c r="AA130" t="str">
        <f t="shared" ref="AA130:AA170" si="2">IFERROR(IF(A130="C18_TRADE",IF(OR((B137-C130)&lt;=0,(L130-C130)&lt;=0),"FIX it",""),""),"")</f>
        <v/>
      </c>
    </row>
    <row r="131" spans="1:27" x14ac:dyDescent="0.25">
      <c r="A131" s="1" t="s">
        <v>4</v>
      </c>
      <c r="B131" s="1" t="s">
        <v>1715</v>
      </c>
      <c r="C131" s="1" t="s">
        <v>19</v>
      </c>
      <c r="D131" s="1" t="s">
        <v>1716</v>
      </c>
      <c r="E131" s="1" t="s">
        <v>25</v>
      </c>
      <c r="F131" s="1" t="s">
        <v>25</v>
      </c>
      <c r="G131" s="1" t="s">
        <v>25</v>
      </c>
      <c r="H131" s="1" t="s">
        <v>25</v>
      </c>
      <c r="I131" s="1" t="s">
        <v>25</v>
      </c>
      <c r="J131" s="1" t="s">
        <v>25</v>
      </c>
      <c r="K131" s="1" t="s">
        <v>25</v>
      </c>
      <c r="L131" s="1" t="s">
        <v>25</v>
      </c>
      <c r="M131" s="1" t="s">
        <v>25</v>
      </c>
      <c r="N131" s="1" t="s">
        <v>25</v>
      </c>
      <c r="O131" s="1" t="s">
        <v>25</v>
      </c>
      <c r="P131" s="1" t="s">
        <v>25</v>
      </c>
      <c r="Q131" s="1" t="s">
        <v>25</v>
      </c>
      <c r="R131" s="1" t="s">
        <v>25</v>
      </c>
      <c r="S131" s="1" t="s">
        <v>25</v>
      </c>
      <c r="T131" s="1" t="s">
        <v>25</v>
      </c>
      <c r="AA131" t="str">
        <f t="shared" si="2"/>
        <v/>
      </c>
    </row>
    <row r="132" spans="1:27" x14ac:dyDescent="0.25">
      <c r="A132" s="1" t="s">
        <v>5</v>
      </c>
      <c r="B132" s="1" t="s">
        <v>19</v>
      </c>
      <c r="C132" s="1" t="s">
        <v>25</v>
      </c>
      <c r="D132" s="1" t="s">
        <v>20</v>
      </c>
      <c r="E132" s="1" t="s">
        <v>25</v>
      </c>
      <c r="F132" s="1" t="s">
        <v>1717</v>
      </c>
      <c r="G132" s="1" t="s">
        <v>1718</v>
      </c>
      <c r="H132" s="1" t="s">
        <v>1719</v>
      </c>
      <c r="I132" s="1" t="s">
        <v>1720</v>
      </c>
      <c r="J132" s="1" t="s">
        <v>1721</v>
      </c>
      <c r="K132" s="1" t="s">
        <v>25</v>
      </c>
      <c r="L132" s="1" t="s">
        <v>25</v>
      </c>
      <c r="M132" s="1" t="s">
        <v>25</v>
      </c>
      <c r="N132" s="1" t="s">
        <v>25</v>
      </c>
      <c r="O132" s="1" t="s">
        <v>25</v>
      </c>
      <c r="P132" s="1" t="s">
        <v>25</v>
      </c>
      <c r="Q132" s="1" t="s">
        <v>25</v>
      </c>
      <c r="R132" s="1" t="s">
        <v>25</v>
      </c>
      <c r="S132" s="1" t="s">
        <v>25</v>
      </c>
      <c r="T132" s="1" t="s">
        <v>25</v>
      </c>
      <c r="AA132" t="str">
        <f t="shared" si="2"/>
        <v/>
      </c>
    </row>
    <row r="133" spans="1:27" x14ac:dyDescent="0.25">
      <c r="A133" s="1" t="s">
        <v>6</v>
      </c>
      <c r="B133" s="1" t="s">
        <v>18</v>
      </c>
      <c r="C133" s="1" t="s">
        <v>25</v>
      </c>
      <c r="D133" s="1" t="s">
        <v>25</v>
      </c>
      <c r="E133" s="1" t="s">
        <v>25</v>
      </c>
      <c r="F133" s="1" t="s">
        <v>25</v>
      </c>
      <c r="G133" s="1" t="s">
        <v>25</v>
      </c>
      <c r="H133" s="1" t="s">
        <v>25</v>
      </c>
      <c r="I133" s="1" t="s">
        <v>25</v>
      </c>
      <c r="J133" s="1" t="s">
        <v>25</v>
      </c>
      <c r="K133" s="1" t="s">
        <v>25</v>
      </c>
      <c r="L133" s="1" t="s">
        <v>25</v>
      </c>
      <c r="M133" s="1" t="s">
        <v>25</v>
      </c>
      <c r="N133" s="1" t="s">
        <v>25</v>
      </c>
      <c r="O133" s="1" t="s">
        <v>25</v>
      </c>
      <c r="P133" s="1" t="s">
        <v>25</v>
      </c>
      <c r="Q133" s="1" t="s">
        <v>25</v>
      </c>
      <c r="R133" s="1" t="s">
        <v>25</v>
      </c>
      <c r="S133" s="1" t="s">
        <v>25</v>
      </c>
      <c r="T133" s="1" t="s">
        <v>25</v>
      </c>
      <c r="AA133" t="str">
        <f t="shared" si="2"/>
        <v/>
      </c>
    </row>
    <row r="134" spans="1:27" x14ac:dyDescent="0.25">
      <c r="A134" s="1" t="s">
        <v>7</v>
      </c>
      <c r="B134" s="1" t="s">
        <v>21</v>
      </c>
      <c r="C134" s="1" t="s">
        <v>1722</v>
      </c>
      <c r="D134" s="1" t="s">
        <v>25</v>
      </c>
      <c r="E134" s="1" t="s">
        <v>18</v>
      </c>
      <c r="F134" s="1" t="s">
        <v>25</v>
      </c>
      <c r="G134" s="1" t="s">
        <v>25</v>
      </c>
      <c r="H134" s="1" t="s">
        <v>25</v>
      </c>
      <c r="I134" s="1" t="s">
        <v>25</v>
      </c>
      <c r="J134" s="1" t="s">
        <v>25</v>
      </c>
      <c r="K134" s="1" t="s">
        <v>25</v>
      </c>
      <c r="L134" s="1" t="s">
        <v>25</v>
      </c>
      <c r="M134" s="1" t="s">
        <v>25</v>
      </c>
      <c r="N134" s="1" t="s">
        <v>25</v>
      </c>
      <c r="O134" s="1" t="s">
        <v>25</v>
      </c>
      <c r="P134" s="1" t="s">
        <v>25</v>
      </c>
      <c r="Q134" s="1" t="s">
        <v>25</v>
      </c>
      <c r="R134" s="1" t="s">
        <v>25</v>
      </c>
      <c r="S134" s="1" t="s">
        <v>25</v>
      </c>
      <c r="T134" s="1" t="s">
        <v>25</v>
      </c>
      <c r="AA134" t="str">
        <f t="shared" si="2"/>
        <v/>
      </c>
    </row>
    <row r="135" spans="1:27" x14ac:dyDescent="0.25">
      <c r="A135" s="1" t="s">
        <v>8</v>
      </c>
      <c r="B135" s="1" t="s">
        <v>25</v>
      </c>
      <c r="C135" s="1" t="s">
        <v>25</v>
      </c>
      <c r="D135" s="1" t="s">
        <v>25</v>
      </c>
      <c r="E135" s="1" t="s">
        <v>25</v>
      </c>
      <c r="F135" s="1" t="s">
        <v>25</v>
      </c>
      <c r="G135" s="1" t="s">
        <v>25</v>
      </c>
      <c r="H135" s="1" t="s">
        <v>25</v>
      </c>
      <c r="I135" s="1" t="s">
        <v>25</v>
      </c>
      <c r="J135" s="1" t="s">
        <v>25</v>
      </c>
      <c r="K135" s="1" t="s">
        <v>25</v>
      </c>
      <c r="L135" s="1" t="s">
        <v>25</v>
      </c>
      <c r="M135" s="1" t="s">
        <v>25</v>
      </c>
      <c r="N135" s="1" t="s">
        <v>25</v>
      </c>
      <c r="O135" s="1" t="s">
        <v>25</v>
      </c>
      <c r="P135" s="1" t="s">
        <v>25</v>
      </c>
      <c r="Q135" s="1" t="s">
        <v>25</v>
      </c>
      <c r="R135" s="1" t="s">
        <v>25</v>
      </c>
      <c r="S135" s="1" t="s">
        <v>25</v>
      </c>
      <c r="T135" s="1" t="s">
        <v>25</v>
      </c>
      <c r="AA135" t="str">
        <f t="shared" si="2"/>
        <v/>
      </c>
    </row>
    <row r="136" spans="1:27" x14ac:dyDescent="0.25">
      <c r="A136" s="1" t="s">
        <v>9</v>
      </c>
      <c r="B136" s="1" t="s">
        <v>1723</v>
      </c>
      <c r="C136" s="1" t="s">
        <v>25</v>
      </c>
      <c r="D136" s="1" t="s">
        <v>25</v>
      </c>
      <c r="E136" s="1" t="s">
        <v>25</v>
      </c>
      <c r="F136" s="1" t="s">
        <v>25</v>
      </c>
      <c r="G136" s="1" t="s">
        <v>25</v>
      </c>
      <c r="H136" s="1" t="s">
        <v>25</v>
      </c>
      <c r="I136" s="1" t="s">
        <v>25</v>
      </c>
      <c r="J136" s="1" t="s">
        <v>25</v>
      </c>
      <c r="K136" s="1" t="s">
        <v>25</v>
      </c>
      <c r="L136" s="1" t="s">
        <v>25</v>
      </c>
      <c r="M136" s="1" t="s">
        <v>25</v>
      </c>
      <c r="N136" s="1" t="s">
        <v>25</v>
      </c>
      <c r="O136" s="1" t="s">
        <v>25</v>
      </c>
      <c r="P136" s="1" t="s">
        <v>25</v>
      </c>
      <c r="Q136" s="1" t="s">
        <v>25</v>
      </c>
      <c r="R136" s="1" t="s">
        <v>25</v>
      </c>
      <c r="S136" s="1" t="s">
        <v>25</v>
      </c>
      <c r="T136" s="1" t="s">
        <v>25</v>
      </c>
      <c r="AA136" t="str">
        <f t="shared" si="2"/>
        <v/>
      </c>
    </row>
    <row r="137" spans="1:27" x14ac:dyDescent="0.25">
      <c r="A137" s="5" t="s">
        <v>1543</v>
      </c>
      <c r="B137" s="5" t="s">
        <v>21</v>
      </c>
      <c r="C137" s="5" t="s">
        <v>1724</v>
      </c>
      <c r="D137" s="5" t="s">
        <v>21</v>
      </c>
      <c r="E137" s="5" t="s">
        <v>24</v>
      </c>
      <c r="F137" s="5" t="s">
        <v>24</v>
      </c>
      <c r="G137" s="5" t="s">
        <v>21</v>
      </c>
      <c r="H137" s="5" t="s">
        <v>18</v>
      </c>
      <c r="I137" s="5" t="s">
        <v>18</v>
      </c>
      <c r="J137" s="5" t="s">
        <v>21</v>
      </c>
      <c r="K137" s="1" t="s">
        <v>21</v>
      </c>
      <c r="L137" s="1" t="s">
        <v>1725</v>
      </c>
      <c r="M137" s="1" t="s">
        <v>25</v>
      </c>
      <c r="N137" s="1" t="s">
        <v>18</v>
      </c>
      <c r="O137" s="1" t="s">
        <v>18</v>
      </c>
      <c r="P137" s="1" t="s">
        <v>25</v>
      </c>
      <c r="Q137" s="1" t="s">
        <v>18</v>
      </c>
      <c r="R137" s="1" t="s">
        <v>18</v>
      </c>
      <c r="S137" s="1" t="s">
        <v>25</v>
      </c>
      <c r="T137" s="1" t="s">
        <v>25</v>
      </c>
      <c r="AA137" t="str">
        <f t="shared" si="2"/>
        <v/>
      </c>
    </row>
    <row r="138" spans="1:27" x14ac:dyDescent="0.25">
      <c r="A138" s="1" t="s">
        <v>1544</v>
      </c>
      <c r="B138" s="1" t="s">
        <v>1557</v>
      </c>
      <c r="C138" s="1" t="s">
        <v>1536</v>
      </c>
      <c r="D138" s="1" t="s">
        <v>25</v>
      </c>
      <c r="E138" s="1" t="s">
        <v>25</v>
      </c>
      <c r="F138" s="1" t="s">
        <v>25</v>
      </c>
      <c r="G138" s="1" t="s">
        <v>25</v>
      </c>
      <c r="H138" s="1" t="s">
        <v>25</v>
      </c>
      <c r="I138" s="1" t="s">
        <v>25</v>
      </c>
      <c r="J138" s="1" t="s">
        <v>25</v>
      </c>
      <c r="K138" s="1" t="s">
        <v>25</v>
      </c>
      <c r="L138" s="1" t="s">
        <v>25</v>
      </c>
      <c r="M138" s="1" t="s">
        <v>25</v>
      </c>
      <c r="N138" s="1" t="s">
        <v>25</v>
      </c>
      <c r="O138" s="1" t="s">
        <v>25</v>
      </c>
      <c r="P138" s="1" t="s">
        <v>25</v>
      </c>
      <c r="Q138" s="1" t="s">
        <v>25</v>
      </c>
      <c r="R138" s="1" t="s">
        <v>25</v>
      </c>
      <c r="S138" s="1" t="s">
        <v>25</v>
      </c>
      <c r="T138" s="1" t="s">
        <v>25</v>
      </c>
      <c r="AA138" t="str">
        <f t="shared" si="2"/>
        <v/>
      </c>
    </row>
    <row r="139" spans="1:27" x14ac:dyDescent="0.25">
      <c r="A139" s="1" t="s">
        <v>1545</v>
      </c>
      <c r="B139" s="1" t="s">
        <v>1726</v>
      </c>
      <c r="C139" s="1" t="s">
        <v>1625</v>
      </c>
      <c r="D139" s="1" t="s">
        <v>1727</v>
      </c>
      <c r="E139" s="1" t="s">
        <v>1625</v>
      </c>
      <c r="F139" s="1" t="s">
        <v>22</v>
      </c>
      <c r="G139" s="1" t="s">
        <v>25</v>
      </c>
      <c r="H139" s="1" t="s">
        <v>25</v>
      </c>
      <c r="I139" s="1" t="s">
        <v>25</v>
      </c>
      <c r="J139" s="1" t="s">
        <v>1725</v>
      </c>
      <c r="K139" s="1" t="s">
        <v>25</v>
      </c>
      <c r="L139" s="1" t="s">
        <v>25</v>
      </c>
      <c r="M139" s="1" t="s">
        <v>25</v>
      </c>
      <c r="N139" s="1" t="s">
        <v>25</v>
      </c>
      <c r="O139" s="1" t="s">
        <v>25</v>
      </c>
      <c r="P139" s="1" t="s">
        <v>25</v>
      </c>
      <c r="Q139" s="1" t="s">
        <v>25</v>
      </c>
      <c r="R139" s="1" t="s">
        <v>25</v>
      </c>
      <c r="S139" s="1" t="s">
        <v>25</v>
      </c>
      <c r="T139" s="1" t="s">
        <v>25</v>
      </c>
      <c r="AA139" t="str">
        <f t="shared" si="2"/>
        <v/>
      </c>
    </row>
    <row r="140" spans="1:27" x14ac:dyDescent="0.25">
      <c r="A140" s="1" t="s">
        <v>1552</v>
      </c>
      <c r="B140" s="1" t="s">
        <v>1728</v>
      </c>
      <c r="C140" s="1" t="s">
        <v>1729</v>
      </c>
      <c r="D140" s="1" t="s">
        <v>26</v>
      </c>
      <c r="E140" s="1" t="s">
        <v>25</v>
      </c>
      <c r="F140" s="1" t="s">
        <v>25</v>
      </c>
      <c r="G140" s="1" t="s">
        <v>25</v>
      </c>
      <c r="H140" s="1" t="s">
        <v>25</v>
      </c>
      <c r="I140" s="1" t="s">
        <v>25</v>
      </c>
      <c r="J140" s="1" t="s">
        <v>25</v>
      </c>
      <c r="K140" s="1" t="s">
        <v>25</v>
      </c>
      <c r="L140" s="1" t="s">
        <v>25</v>
      </c>
      <c r="M140" s="1" t="s">
        <v>25</v>
      </c>
      <c r="N140" s="1" t="s">
        <v>25</v>
      </c>
      <c r="O140" s="1" t="s">
        <v>25</v>
      </c>
      <c r="P140" s="1" t="s">
        <v>25</v>
      </c>
      <c r="Q140" s="1" t="s">
        <v>25</v>
      </c>
      <c r="R140" s="1" t="s">
        <v>25</v>
      </c>
      <c r="S140" s="1" t="s">
        <v>25</v>
      </c>
      <c r="T140" s="1" t="s">
        <v>25</v>
      </c>
      <c r="AA140" t="str">
        <f t="shared" si="2"/>
        <v/>
      </c>
    </row>
    <row r="141" spans="1:27" x14ac:dyDescent="0.25">
      <c r="A141" s="1" t="s">
        <v>1546</v>
      </c>
      <c r="B141" s="1" t="s">
        <v>1724</v>
      </c>
      <c r="C141" s="1" t="s">
        <v>25</v>
      </c>
      <c r="D141" s="1" t="s">
        <v>25</v>
      </c>
      <c r="E141" s="1" t="s">
        <v>25</v>
      </c>
      <c r="F141" s="1" t="s">
        <v>25</v>
      </c>
      <c r="G141" s="1" t="s">
        <v>25</v>
      </c>
      <c r="H141" s="1" t="s">
        <v>25</v>
      </c>
      <c r="I141" s="1" t="s">
        <v>25</v>
      </c>
      <c r="J141" s="1" t="s">
        <v>25</v>
      </c>
      <c r="K141" s="1" t="s">
        <v>25</v>
      </c>
      <c r="L141" s="1" t="s">
        <v>25</v>
      </c>
      <c r="M141" s="1" t="s">
        <v>25</v>
      </c>
      <c r="N141" s="1" t="s">
        <v>25</v>
      </c>
      <c r="O141" s="1" t="s">
        <v>25</v>
      </c>
      <c r="P141" s="1" t="s">
        <v>25</v>
      </c>
      <c r="Q141" s="1" t="s">
        <v>25</v>
      </c>
      <c r="R141" s="1" t="s">
        <v>25</v>
      </c>
      <c r="S141" s="1" t="s">
        <v>25</v>
      </c>
      <c r="T141" s="1" t="s">
        <v>25</v>
      </c>
      <c r="AA141" t="str">
        <f t="shared" si="2"/>
        <v/>
      </c>
    </row>
    <row r="142" spans="1:27" x14ac:dyDescent="0.25">
      <c r="A142" s="1" t="s">
        <v>1547</v>
      </c>
      <c r="B142" s="1" t="s">
        <v>21</v>
      </c>
      <c r="C142" s="1" t="s">
        <v>1557</v>
      </c>
      <c r="D142" s="1" t="s">
        <v>21</v>
      </c>
      <c r="E142" s="1" t="s">
        <v>1730</v>
      </c>
      <c r="F142" s="1" t="s">
        <v>1731</v>
      </c>
      <c r="G142" s="1" t="s">
        <v>1732</v>
      </c>
      <c r="H142" s="1" t="s">
        <v>23</v>
      </c>
      <c r="I142" s="1" t="s">
        <v>1571</v>
      </c>
      <c r="J142" s="1" t="s">
        <v>25</v>
      </c>
      <c r="K142" s="1" t="s">
        <v>25</v>
      </c>
      <c r="L142" s="1" t="s">
        <v>25</v>
      </c>
      <c r="M142" s="1" t="s">
        <v>25</v>
      </c>
      <c r="N142" s="1" t="s">
        <v>25</v>
      </c>
      <c r="O142" s="1" t="s">
        <v>25</v>
      </c>
      <c r="P142" s="1" t="s">
        <v>25</v>
      </c>
      <c r="Q142" s="1" t="s">
        <v>25</v>
      </c>
      <c r="R142" s="1" t="s">
        <v>25</v>
      </c>
      <c r="S142" s="1" t="s">
        <v>25</v>
      </c>
      <c r="T142" s="1" t="s">
        <v>25</v>
      </c>
      <c r="AA142" t="str">
        <f t="shared" si="2"/>
        <v/>
      </c>
    </row>
    <row r="143" spans="1:27" x14ac:dyDescent="0.25">
      <c r="A143" s="1" t="s">
        <v>1548</v>
      </c>
      <c r="B143" s="1" t="s">
        <v>1724</v>
      </c>
      <c r="C143" s="1" t="s">
        <v>21</v>
      </c>
      <c r="D143" s="1" t="s">
        <v>1733</v>
      </c>
      <c r="E143" s="1" t="s">
        <v>1733</v>
      </c>
      <c r="F143" s="1" t="s">
        <v>23</v>
      </c>
      <c r="G143" s="1" t="s">
        <v>23</v>
      </c>
      <c r="H143" s="1" t="s">
        <v>1571</v>
      </c>
      <c r="I143" s="1" t="s">
        <v>25</v>
      </c>
      <c r="J143" s="1" t="s">
        <v>25</v>
      </c>
      <c r="K143" s="1" t="s">
        <v>25</v>
      </c>
      <c r="L143" s="1" t="s">
        <v>25</v>
      </c>
      <c r="M143" s="1" t="s">
        <v>25</v>
      </c>
      <c r="N143" s="1" t="s">
        <v>25</v>
      </c>
      <c r="O143" s="1" t="s">
        <v>25</v>
      </c>
      <c r="P143" s="1" t="s">
        <v>25</v>
      </c>
      <c r="Q143" s="1" t="s">
        <v>25</v>
      </c>
      <c r="R143" s="1" t="s">
        <v>25</v>
      </c>
      <c r="S143" s="1" t="s">
        <v>25</v>
      </c>
      <c r="T143" s="1" t="s">
        <v>25</v>
      </c>
      <c r="AA143" t="str">
        <f t="shared" si="2"/>
        <v/>
      </c>
    </row>
    <row r="144" spans="1:27" x14ac:dyDescent="0.25">
      <c r="A144" s="1" t="s">
        <v>1549</v>
      </c>
      <c r="B144" s="1" t="s">
        <v>1734</v>
      </c>
      <c r="C144" s="1" t="s">
        <v>21</v>
      </c>
      <c r="D144" s="1" t="s">
        <v>1735</v>
      </c>
      <c r="E144" s="1" t="s">
        <v>1736</v>
      </c>
      <c r="F144" s="1" t="s">
        <v>1732</v>
      </c>
      <c r="G144" s="1" t="s">
        <v>23</v>
      </c>
      <c r="H144" s="1" t="s">
        <v>1571</v>
      </c>
      <c r="I144" s="1" t="s">
        <v>1571</v>
      </c>
      <c r="J144" s="1" t="s">
        <v>1571</v>
      </c>
      <c r="K144" s="1" t="s">
        <v>25</v>
      </c>
      <c r="L144" s="1" t="s">
        <v>25</v>
      </c>
      <c r="M144" s="1" t="s">
        <v>25</v>
      </c>
      <c r="N144" s="1" t="s">
        <v>25</v>
      </c>
      <c r="O144" s="1" t="s">
        <v>25</v>
      </c>
      <c r="P144" s="1" t="s">
        <v>25</v>
      </c>
      <c r="Q144" s="1" t="s">
        <v>25</v>
      </c>
      <c r="R144" s="1" t="s">
        <v>25</v>
      </c>
      <c r="S144" s="1" t="s">
        <v>25</v>
      </c>
      <c r="T144" s="1" t="s">
        <v>25</v>
      </c>
      <c r="AA144" t="str">
        <f t="shared" si="2"/>
        <v/>
      </c>
    </row>
    <row r="145" spans="1:27" x14ac:dyDescent="0.25">
      <c r="A145" s="1" t="s">
        <v>1522</v>
      </c>
      <c r="B145" s="1" t="s">
        <v>1737</v>
      </c>
      <c r="C145" s="1" t="s">
        <v>1738</v>
      </c>
      <c r="D145" s="1" t="s">
        <v>25</v>
      </c>
      <c r="E145" s="1" t="s">
        <v>1738</v>
      </c>
      <c r="F145" s="1" t="s">
        <v>25</v>
      </c>
      <c r="G145" s="1" t="s">
        <v>1739</v>
      </c>
      <c r="H145" s="1" t="s">
        <v>1740</v>
      </c>
      <c r="I145" s="1" t="s">
        <v>1741</v>
      </c>
      <c r="J145" s="1" t="s">
        <v>23</v>
      </c>
      <c r="K145" s="1" t="s">
        <v>16</v>
      </c>
      <c r="L145" s="1" t="s">
        <v>22</v>
      </c>
      <c r="M145" s="1" t="s">
        <v>1742</v>
      </c>
      <c r="N145" s="1" t="s">
        <v>25</v>
      </c>
      <c r="O145" s="1" t="s">
        <v>25</v>
      </c>
      <c r="P145" s="1" t="s">
        <v>25</v>
      </c>
      <c r="Q145" s="1" t="s">
        <v>25</v>
      </c>
      <c r="R145" s="1" t="s">
        <v>25</v>
      </c>
      <c r="S145" s="1" t="s">
        <v>25</v>
      </c>
      <c r="T145" s="1" t="s">
        <v>25</v>
      </c>
      <c r="AA145" t="str">
        <f t="shared" si="2"/>
        <v/>
      </c>
    </row>
    <row r="146" spans="1:27" x14ac:dyDescent="0.25">
      <c r="A146" s="1" t="s">
        <v>1550</v>
      </c>
      <c r="B146" s="1" t="s">
        <v>1743</v>
      </c>
      <c r="C146" s="1" t="s">
        <v>1571</v>
      </c>
      <c r="D146" s="1" t="s">
        <v>25</v>
      </c>
      <c r="E146" s="1" t="s">
        <v>25</v>
      </c>
      <c r="F146" s="1" t="s">
        <v>25</v>
      </c>
      <c r="G146" s="1" t="s">
        <v>25</v>
      </c>
      <c r="H146" s="1" t="s">
        <v>25</v>
      </c>
      <c r="I146" s="1" t="s">
        <v>25</v>
      </c>
      <c r="J146" s="1" t="s">
        <v>25</v>
      </c>
      <c r="K146" s="1" t="s">
        <v>25</v>
      </c>
      <c r="L146" s="1" t="s">
        <v>25</v>
      </c>
      <c r="M146" s="1" t="s">
        <v>25</v>
      </c>
      <c r="N146" s="1" t="s">
        <v>25</v>
      </c>
      <c r="O146" s="1" t="s">
        <v>25</v>
      </c>
      <c r="P146" s="1" t="s">
        <v>25</v>
      </c>
      <c r="Q146" s="1" t="s">
        <v>25</v>
      </c>
      <c r="R146" s="1" t="s">
        <v>25</v>
      </c>
      <c r="S146" s="1" t="s">
        <v>25</v>
      </c>
      <c r="T146" s="1" t="s">
        <v>25</v>
      </c>
      <c r="AA146" t="str">
        <f t="shared" si="2"/>
        <v/>
      </c>
    </row>
    <row r="147" spans="1:27" x14ac:dyDescent="0.25">
      <c r="A147" s="1" t="s">
        <v>10</v>
      </c>
      <c r="B147" s="1" t="s">
        <v>21</v>
      </c>
      <c r="C147" s="1" t="s">
        <v>1541</v>
      </c>
      <c r="D147" s="1" t="s">
        <v>25</v>
      </c>
      <c r="E147" s="1" t="s">
        <v>18</v>
      </c>
      <c r="F147" s="1" t="s">
        <v>25</v>
      </c>
      <c r="G147" s="1" t="s">
        <v>25</v>
      </c>
      <c r="H147" s="1" t="s">
        <v>25</v>
      </c>
      <c r="I147" s="1" t="s">
        <v>25</v>
      </c>
      <c r="J147" s="1" t="s">
        <v>25</v>
      </c>
      <c r="K147" s="1" t="s">
        <v>25</v>
      </c>
      <c r="L147" s="1" t="s">
        <v>25</v>
      </c>
      <c r="M147" s="1" t="s">
        <v>25</v>
      </c>
      <c r="N147" s="1" t="s">
        <v>25</v>
      </c>
      <c r="O147" s="1" t="s">
        <v>25</v>
      </c>
      <c r="P147" s="1" t="s">
        <v>25</v>
      </c>
      <c r="Q147" s="1" t="s">
        <v>25</v>
      </c>
      <c r="R147" s="1" t="s">
        <v>25</v>
      </c>
      <c r="S147" s="1" t="s">
        <v>25</v>
      </c>
      <c r="T147" s="1" t="s">
        <v>25</v>
      </c>
      <c r="AA147" t="str">
        <f t="shared" si="2"/>
        <v/>
      </c>
    </row>
    <row r="148" spans="1:27" x14ac:dyDescent="0.25">
      <c r="A148" s="5" t="s">
        <v>1553</v>
      </c>
      <c r="B148" s="5" t="s">
        <v>21</v>
      </c>
      <c r="C148" s="5" t="s">
        <v>24</v>
      </c>
      <c r="D148" s="5" t="s">
        <v>1723</v>
      </c>
      <c r="E148" s="5" t="s">
        <v>1724</v>
      </c>
      <c r="F148" s="5" t="s">
        <v>21</v>
      </c>
      <c r="G148" s="5" t="s">
        <v>18</v>
      </c>
      <c r="H148" s="5" t="s">
        <v>25</v>
      </c>
      <c r="I148" s="5" t="s">
        <v>25</v>
      </c>
      <c r="J148" s="5" t="s">
        <v>25</v>
      </c>
      <c r="K148" s="1" t="s">
        <v>25</v>
      </c>
      <c r="L148" s="1" t="s">
        <v>25</v>
      </c>
      <c r="M148" s="1" t="s">
        <v>25</v>
      </c>
      <c r="N148" s="1" t="s">
        <v>25</v>
      </c>
      <c r="O148" s="1" t="s">
        <v>25</v>
      </c>
      <c r="P148" s="1" t="s">
        <v>25</v>
      </c>
      <c r="Q148" s="1" t="s">
        <v>25</v>
      </c>
      <c r="R148" s="1" t="s">
        <v>25</v>
      </c>
      <c r="S148" s="1" t="s">
        <v>25</v>
      </c>
      <c r="T148" s="1" t="s">
        <v>25</v>
      </c>
      <c r="AA148" t="str">
        <f t="shared" si="2"/>
        <v/>
      </c>
    </row>
    <row r="149" spans="1:27" x14ac:dyDescent="0.25">
      <c r="A149" s="1" t="s">
        <v>0</v>
      </c>
      <c r="B149" s="1" t="s">
        <v>1565</v>
      </c>
      <c r="C149" s="1" t="s">
        <v>17</v>
      </c>
      <c r="D149" s="1" t="s">
        <v>1</v>
      </c>
      <c r="E149" s="1" t="s">
        <v>25</v>
      </c>
      <c r="F149" s="1" t="s">
        <v>1571</v>
      </c>
      <c r="G149" s="1" t="s">
        <v>25</v>
      </c>
      <c r="H149" s="1" t="s">
        <v>25</v>
      </c>
      <c r="I149" s="1" t="s">
        <v>25</v>
      </c>
      <c r="J149" s="1" t="s">
        <v>25</v>
      </c>
      <c r="K149" s="1" t="s">
        <v>25</v>
      </c>
      <c r="L149" s="1" t="s">
        <v>25</v>
      </c>
      <c r="M149" s="1" t="s">
        <v>25</v>
      </c>
      <c r="N149" s="1" t="s">
        <v>25</v>
      </c>
      <c r="O149" s="1" t="s">
        <v>25</v>
      </c>
      <c r="P149" s="1" t="s">
        <v>25</v>
      </c>
      <c r="Q149" s="1" t="s">
        <v>25</v>
      </c>
      <c r="R149" s="1" t="s">
        <v>25</v>
      </c>
      <c r="S149" s="1" t="s">
        <v>25</v>
      </c>
      <c r="T149" s="1" t="s">
        <v>25</v>
      </c>
      <c r="AA149" t="str">
        <f t="shared" si="2"/>
        <v/>
      </c>
    </row>
    <row r="150" spans="1:27" x14ac:dyDescent="0.25">
      <c r="A150" s="1" t="s">
        <v>2</v>
      </c>
      <c r="B150" s="1" t="s">
        <v>1744</v>
      </c>
      <c r="C150" s="1" t="s">
        <v>1745</v>
      </c>
      <c r="D150" s="1" t="s">
        <v>1746</v>
      </c>
      <c r="E150" s="1" t="s">
        <v>25</v>
      </c>
      <c r="F150" s="1" t="s">
        <v>25</v>
      </c>
      <c r="G150" s="1" t="s">
        <v>25</v>
      </c>
      <c r="H150" s="1" t="s">
        <v>25</v>
      </c>
      <c r="I150" s="1" t="s">
        <v>25</v>
      </c>
      <c r="J150" s="1" t="s">
        <v>25</v>
      </c>
      <c r="K150" s="1" t="s">
        <v>25</v>
      </c>
      <c r="L150" s="1" t="s">
        <v>25</v>
      </c>
      <c r="M150" s="1" t="s">
        <v>25</v>
      </c>
      <c r="N150" s="1" t="s">
        <v>25</v>
      </c>
      <c r="O150" s="1" t="s">
        <v>25</v>
      </c>
      <c r="P150" s="1" t="s">
        <v>25</v>
      </c>
      <c r="Q150" s="1" t="s">
        <v>25</v>
      </c>
      <c r="R150" s="1" t="s">
        <v>25</v>
      </c>
      <c r="S150" s="1" t="s">
        <v>25</v>
      </c>
      <c r="T150" s="1" t="s">
        <v>25</v>
      </c>
      <c r="AA150" t="str">
        <f t="shared" si="2"/>
        <v/>
      </c>
    </row>
    <row r="151" spans="1:27" x14ac:dyDescent="0.25">
      <c r="A151" s="1" t="s">
        <v>3</v>
      </c>
      <c r="B151" s="1" t="s">
        <v>18</v>
      </c>
      <c r="C151" s="1" t="s">
        <v>25</v>
      </c>
      <c r="D151" s="1" t="s">
        <v>25</v>
      </c>
      <c r="E151" s="1" t="s">
        <v>25</v>
      </c>
      <c r="F151" s="1" t="s">
        <v>25</v>
      </c>
      <c r="G151" s="1" t="s">
        <v>25</v>
      </c>
      <c r="H151" s="1" t="s">
        <v>25</v>
      </c>
      <c r="I151" s="1" t="s">
        <v>25</v>
      </c>
      <c r="J151" s="1" t="s">
        <v>25</v>
      </c>
      <c r="K151" s="1" t="s">
        <v>25</v>
      </c>
      <c r="L151" s="1" t="s">
        <v>25</v>
      </c>
      <c r="M151" s="1" t="s">
        <v>25</v>
      </c>
      <c r="N151" s="1" t="s">
        <v>25</v>
      </c>
      <c r="O151" s="1" t="s">
        <v>25</v>
      </c>
      <c r="P151" s="1" t="s">
        <v>25</v>
      </c>
      <c r="Q151" s="1" t="s">
        <v>25</v>
      </c>
      <c r="R151" s="1" t="s">
        <v>25</v>
      </c>
      <c r="S151" s="1" t="s">
        <v>25</v>
      </c>
      <c r="T151" s="1" t="s">
        <v>25</v>
      </c>
      <c r="AA151" t="str">
        <f t="shared" si="2"/>
        <v/>
      </c>
    </row>
    <row r="152" spans="1:27" x14ac:dyDescent="0.25">
      <c r="A152" s="1" t="s">
        <v>4</v>
      </c>
      <c r="B152" s="1" t="s">
        <v>1747</v>
      </c>
      <c r="C152" s="1" t="s">
        <v>19</v>
      </c>
      <c r="D152" s="1" t="s">
        <v>1748</v>
      </c>
      <c r="E152" s="1" t="s">
        <v>25</v>
      </c>
      <c r="F152" s="1" t="s">
        <v>25</v>
      </c>
      <c r="G152" s="1" t="s">
        <v>25</v>
      </c>
      <c r="H152" s="1" t="s">
        <v>25</v>
      </c>
      <c r="I152" s="1" t="s">
        <v>25</v>
      </c>
      <c r="J152" s="1" t="s">
        <v>25</v>
      </c>
      <c r="K152" s="1" t="s">
        <v>25</v>
      </c>
      <c r="L152" s="1" t="s">
        <v>25</v>
      </c>
      <c r="M152" s="1" t="s">
        <v>25</v>
      </c>
      <c r="N152" s="1" t="s">
        <v>25</v>
      </c>
      <c r="O152" s="1" t="s">
        <v>25</v>
      </c>
      <c r="P152" s="1" t="s">
        <v>25</v>
      </c>
      <c r="Q152" s="1" t="s">
        <v>25</v>
      </c>
      <c r="R152" s="1" t="s">
        <v>25</v>
      </c>
      <c r="S152" s="1" t="s">
        <v>25</v>
      </c>
      <c r="T152" s="1" t="s">
        <v>25</v>
      </c>
      <c r="AA152" t="str">
        <f t="shared" si="2"/>
        <v/>
      </c>
    </row>
    <row r="153" spans="1:27" x14ac:dyDescent="0.25">
      <c r="A153" s="1" t="s">
        <v>5</v>
      </c>
      <c r="B153" s="1" t="s">
        <v>19</v>
      </c>
      <c r="C153" s="1" t="s">
        <v>25</v>
      </c>
      <c r="D153" s="1" t="s">
        <v>20</v>
      </c>
      <c r="E153" s="1" t="s">
        <v>25</v>
      </c>
      <c r="F153" s="1" t="s">
        <v>1749</v>
      </c>
      <c r="G153" s="1" t="s">
        <v>1750</v>
      </c>
      <c r="H153" s="1" t="s">
        <v>1751</v>
      </c>
      <c r="I153" s="1" t="s">
        <v>1752</v>
      </c>
      <c r="J153" s="1" t="s">
        <v>1753</v>
      </c>
      <c r="K153" s="1" t="s">
        <v>25</v>
      </c>
      <c r="L153" s="1" t="s">
        <v>25</v>
      </c>
      <c r="M153" s="1" t="s">
        <v>25</v>
      </c>
      <c r="N153" s="1" t="s">
        <v>25</v>
      </c>
      <c r="O153" s="1" t="s">
        <v>25</v>
      </c>
      <c r="P153" s="1" t="s">
        <v>25</v>
      </c>
      <c r="Q153" s="1" t="s">
        <v>25</v>
      </c>
      <c r="R153" s="1" t="s">
        <v>25</v>
      </c>
      <c r="S153" s="1" t="s">
        <v>25</v>
      </c>
      <c r="T153" s="1" t="s">
        <v>25</v>
      </c>
      <c r="AA153" t="str">
        <f t="shared" si="2"/>
        <v/>
      </c>
    </row>
    <row r="154" spans="1:27" x14ac:dyDescent="0.25">
      <c r="A154" s="1" t="s">
        <v>6</v>
      </c>
      <c r="B154" s="1" t="s">
        <v>18</v>
      </c>
      <c r="C154" s="1" t="s">
        <v>25</v>
      </c>
      <c r="D154" s="1" t="s">
        <v>25</v>
      </c>
      <c r="E154" s="1" t="s">
        <v>25</v>
      </c>
      <c r="F154" s="1" t="s">
        <v>25</v>
      </c>
      <c r="G154" s="1" t="s">
        <v>25</v>
      </c>
      <c r="H154" s="1" t="s">
        <v>25</v>
      </c>
      <c r="I154" s="1" t="s">
        <v>25</v>
      </c>
      <c r="J154" s="1" t="s">
        <v>25</v>
      </c>
      <c r="K154" s="1" t="s">
        <v>25</v>
      </c>
      <c r="L154" s="1" t="s">
        <v>25</v>
      </c>
      <c r="M154" s="1" t="s">
        <v>25</v>
      </c>
      <c r="N154" s="1" t="s">
        <v>25</v>
      </c>
      <c r="O154" s="1" t="s">
        <v>25</v>
      </c>
      <c r="P154" s="1" t="s">
        <v>25</v>
      </c>
      <c r="Q154" s="1" t="s">
        <v>25</v>
      </c>
      <c r="R154" s="1" t="s">
        <v>25</v>
      </c>
      <c r="S154" s="1" t="s">
        <v>25</v>
      </c>
      <c r="T154" s="1" t="s">
        <v>25</v>
      </c>
      <c r="AA154" t="str">
        <f t="shared" si="2"/>
        <v/>
      </c>
    </row>
    <row r="155" spans="1:27" x14ac:dyDescent="0.25">
      <c r="A155" s="1" t="s">
        <v>7</v>
      </c>
      <c r="B155" s="1" t="s">
        <v>21</v>
      </c>
      <c r="C155" s="1" t="s">
        <v>1754</v>
      </c>
      <c r="D155" s="1" t="s">
        <v>25</v>
      </c>
      <c r="E155" s="1" t="s">
        <v>18</v>
      </c>
      <c r="F155" s="1" t="s">
        <v>25</v>
      </c>
      <c r="G155" s="1" t="s">
        <v>25</v>
      </c>
      <c r="H155" s="1" t="s">
        <v>25</v>
      </c>
      <c r="I155" s="1" t="s">
        <v>25</v>
      </c>
      <c r="J155" s="1" t="s">
        <v>25</v>
      </c>
      <c r="K155" s="1" t="s">
        <v>25</v>
      </c>
      <c r="L155" s="1" t="s">
        <v>25</v>
      </c>
      <c r="M155" s="1" t="s">
        <v>25</v>
      </c>
      <c r="N155" s="1" t="s">
        <v>25</v>
      </c>
      <c r="O155" s="1" t="s">
        <v>25</v>
      </c>
      <c r="P155" s="1" t="s">
        <v>25</v>
      </c>
      <c r="Q155" s="1" t="s">
        <v>25</v>
      </c>
      <c r="R155" s="1" t="s">
        <v>25</v>
      </c>
      <c r="S155" s="1" t="s">
        <v>25</v>
      </c>
      <c r="T155" s="1" t="s">
        <v>25</v>
      </c>
      <c r="AA155" t="str">
        <f t="shared" si="2"/>
        <v/>
      </c>
    </row>
    <row r="156" spans="1:27" x14ac:dyDescent="0.25">
      <c r="A156" s="1" t="s">
        <v>8</v>
      </c>
      <c r="B156" s="1" t="s">
        <v>25</v>
      </c>
      <c r="C156" s="1" t="s">
        <v>25</v>
      </c>
      <c r="D156" s="1" t="s">
        <v>25</v>
      </c>
      <c r="E156" s="1" t="s">
        <v>25</v>
      </c>
      <c r="F156" s="1" t="s">
        <v>25</v>
      </c>
      <c r="G156" s="1" t="s">
        <v>25</v>
      </c>
      <c r="H156" s="1" t="s">
        <v>25</v>
      </c>
      <c r="I156" s="1" t="s">
        <v>25</v>
      </c>
      <c r="J156" s="1" t="s">
        <v>25</v>
      </c>
      <c r="K156" s="1" t="s">
        <v>25</v>
      </c>
      <c r="L156" s="1" t="s">
        <v>25</v>
      </c>
      <c r="M156" s="1" t="s">
        <v>25</v>
      </c>
      <c r="N156" s="1" t="s">
        <v>25</v>
      </c>
      <c r="O156" s="1" t="s">
        <v>25</v>
      </c>
      <c r="P156" s="1" t="s">
        <v>25</v>
      </c>
      <c r="Q156" s="1" t="s">
        <v>25</v>
      </c>
      <c r="R156" s="1" t="s">
        <v>25</v>
      </c>
      <c r="S156" s="1" t="s">
        <v>25</v>
      </c>
      <c r="T156" s="1" t="s">
        <v>25</v>
      </c>
      <c r="AA156" t="str">
        <f t="shared" si="2"/>
        <v/>
      </c>
    </row>
    <row r="157" spans="1:27" x14ac:dyDescent="0.25">
      <c r="A157" s="1" t="s">
        <v>9</v>
      </c>
      <c r="B157" s="1" t="s">
        <v>1755</v>
      </c>
      <c r="C157" s="1" t="s">
        <v>25</v>
      </c>
      <c r="D157" s="1" t="s">
        <v>25</v>
      </c>
      <c r="E157" s="1" t="s">
        <v>25</v>
      </c>
      <c r="F157" s="1" t="s">
        <v>25</v>
      </c>
      <c r="G157" s="1" t="s">
        <v>25</v>
      </c>
      <c r="H157" s="1" t="s">
        <v>25</v>
      </c>
      <c r="I157" s="1" t="s">
        <v>25</v>
      </c>
      <c r="J157" s="1" t="s">
        <v>25</v>
      </c>
      <c r="K157" s="1" t="s">
        <v>25</v>
      </c>
      <c r="L157" s="1" t="s">
        <v>25</v>
      </c>
      <c r="M157" s="1" t="s">
        <v>25</v>
      </c>
      <c r="N157" s="1" t="s">
        <v>25</v>
      </c>
      <c r="O157" s="1" t="s">
        <v>25</v>
      </c>
      <c r="P157" s="1" t="s">
        <v>25</v>
      </c>
      <c r="Q157" s="1" t="s">
        <v>25</v>
      </c>
      <c r="R157" s="1" t="s">
        <v>25</v>
      </c>
      <c r="S157" s="1" t="s">
        <v>25</v>
      </c>
      <c r="T157" s="1" t="s">
        <v>25</v>
      </c>
      <c r="AA157" t="str">
        <f t="shared" si="2"/>
        <v/>
      </c>
    </row>
    <row r="158" spans="1:27" x14ac:dyDescent="0.25">
      <c r="A158" s="5" t="s">
        <v>1543</v>
      </c>
      <c r="B158" s="5" t="s">
        <v>21</v>
      </c>
      <c r="C158" s="5" t="s">
        <v>1756</v>
      </c>
      <c r="D158" s="5" t="s">
        <v>21</v>
      </c>
      <c r="E158" s="5" t="s">
        <v>24</v>
      </c>
      <c r="F158" s="5" t="s">
        <v>24</v>
      </c>
      <c r="G158" s="5" t="s">
        <v>21</v>
      </c>
      <c r="H158" s="5" t="s">
        <v>18</v>
      </c>
      <c r="I158" s="5" t="s">
        <v>18</v>
      </c>
      <c r="J158" s="5" t="s">
        <v>21</v>
      </c>
      <c r="K158" s="1" t="s">
        <v>21</v>
      </c>
      <c r="L158" s="1" t="s">
        <v>1757</v>
      </c>
      <c r="M158" s="1" t="s">
        <v>25</v>
      </c>
      <c r="N158" s="1" t="s">
        <v>18</v>
      </c>
      <c r="O158" s="1" t="s">
        <v>18</v>
      </c>
      <c r="P158" s="1" t="s">
        <v>25</v>
      </c>
      <c r="Q158" s="1" t="s">
        <v>18</v>
      </c>
      <c r="R158" s="1" t="s">
        <v>18</v>
      </c>
      <c r="S158" s="1" t="s">
        <v>25</v>
      </c>
      <c r="T158" s="1" t="s">
        <v>25</v>
      </c>
      <c r="AA158" t="str">
        <f t="shared" si="2"/>
        <v/>
      </c>
    </row>
    <row r="159" spans="1:27" x14ac:dyDescent="0.25">
      <c r="A159" s="1" t="s">
        <v>1544</v>
      </c>
      <c r="B159" s="1" t="s">
        <v>1557</v>
      </c>
      <c r="C159" s="1" t="s">
        <v>1536</v>
      </c>
      <c r="D159" s="1" t="s">
        <v>25</v>
      </c>
      <c r="E159" s="1" t="s">
        <v>25</v>
      </c>
      <c r="F159" s="1" t="s">
        <v>25</v>
      </c>
      <c r="G159" s="1" t="s">
        <v>25</v>
      </c>
      <c r="H159" s="1" t="s">
        <v>25</v>
      </c>
      <c r="I159" s="1" t="s">
        <v>25</v>
      </c>
      <c r="J159" s="1" t="s">
        <v>25</v>
      </c>
      <c r="K159" s="1" t="s">
        <v>25</v>
      </c>
      <c r="L159" s="1" t="s">
        <v>25</v>
      </c>
      <c r="M159" s="1" t="s">
        <v>25</v>
      </c>
      <c r="N159" s="1" t="s">
        <v>25</v>
      </c>
      <c r="O159" s="1" t="s">
        <v>25</v>
      </c>
      <c r="P159" s="1" t="s">
        <v>25</v>
      </c>
      <c r="Q159" s="1" t="s">
        <v>25</v>
      </c>
      <c r="R159" s="1" t="s">
        <v>25</v>
      </c>
      <c r="S159" s="1" t="s">
        <v>25</v>
      </c>
      <c r="T159" s="1" t="s">
        <v>25</v>
      </c>
      <c r="AA159" t="str">
        <f t="shared" si="2"/>
        <v/>
      </c>
    </row>
    <row r="160" spans="1:27" x14ac:dyDescent="0.25">
      <c r="A160" s="1" t="s">
        <v>1545</v>
      </c>
      <c r="B160" s="1" t="s">
        <v>1758</v>
      </c>
      <c r="C160" s="1" t="s">
        <v>1625</v>
      </c>
      <c r="D160" s="1" t="s">
        <v>1759</v>
      </c>
      <c r="E160" s="1" t="s">
        <v>1625</v>
      </c>
      <c r="F160" s="1" t="s">
        <v>22</v>
      </c>
      <c r="G160" s="1" t="s">
        <v>25</v>
      </c>
      <c r="H160" s="1" t="s">
        <v>25</v>
      </c>
      <c r="I160" s="1" t="s">
        <v>25</v>
      </c>
      <c r="J160" s="1" t="s">
        <v>1757</v>
      </c>
      <c r="K160" s="1" t="s">
        <v>25</v>
      </c>
      <c r="L160" s="1" t="s">
        <v>25</v>
      </c>
      <c r="M160" s="1" t="s">
        <v>25</v>
      </c>
      <c r="N160" s="1" t="s">
        <v>25</v>
      </c>
      <c r="O160" s="1" t="s">
        <v>25</v>
      </c>
      <c r="P160" s="1" t="s">
        <v>25</v>
      </c>
      <c r="Q160" s="1" t="s">
        <v>25</v>
      </c>
      <c r="R160" s="1" t="s">
        <v>25</v>
      </c>
      <c r="S160" s="1" t="s">
        <v>25</v>
      </c>
      <c r="T160" s="1" t="s">
        <v>25</v>
      </c>
      <c r="AA160" t="str">
        <f t="shared" si="2"/>
        <v/>
      </c>
    </row>
    <row r="161" spans="1:27" x14ac:dyDescent="0.25">
      <c r="A161" s="1" t="s">
        <v>1552</v>
      </c>
      <c r="B161" s="1" t="s">
        <v>1760</v>
      </c>
      <c r="C161" s="1" t="s">
        <v>1761</v>
      </c>
      <c r="D161" s="1" t="s">
        <v>26</v>
      </c>
      <c r="E161" s="1" t="s">
        <v>25</v>
      </c>
      <c r="F161" s="1" t="s">
        <v>25</v>
      </c>
      <c r="G161" s="1" t="s">
        <v>25</v>
      </c>
      <c r="H161" s="1" t="s">
        <v>25</v>
      </c>
      <c r="I161" s="1" t="s">
        <v>25</v>
      </c>
      <c r="J161" s="1" t="s">
        <v>25</v>
      </c>
      <c r="K161" s="1" t="s">
        <v>25</v>
      </c>
      <c r="L161" s="1" t="s">
        <v>25</v>
      </c>
      <c r="M161" s="1" t="s">
        <v>25</v>
      </c>
      <c r="N161" s="1" t="s">
        <v>25</v>
      </c>
      <c r="O161" s="1" t="s">
        <v>25</v>
      </c>
      <c r="P161" s="1" t="s">
        <v>25</v>
      </c>
      <c r="Q161" s="1" t="s">
        <v>25</v>
      </c>
      <c r="R161" s="1" t="s">
        <v>25</v>
      </c>
      <c r="S161" s="1" t="s">
        <v>25</v>
      </c>
      <c r="T161" s="1" t="s">
        <v>25</v>
      </c>
      <c r="AA161" t="str">
        <f t="shared" si="2"/>
        <v/>
      </c>
    </row>
    <row r="162" spans="1:27" x14ac:dyDescent="0.25">
      <c r="A162" s="1" t="s">
        <v>1546</v>
      </c>
      <c r="B162" s="1" t="s">
        <v>1756</v>
      </c>
      <c r="C162" s="1" t="s">
        <v>25</v>
      </c>
      <c r="D162" s="1" t="s">
        <v>25</v>
      </c>
      <c r="E162" s="1" t="s">
        <v>25</v>
      </c>
      <c r="F162" s="1" t="s">
        <v>25</v>
      </c>
      <c r="G162" s="1" t="s">
        <v>25</v>
      </c>
      <c r="H162" s="1" t="s">
        <v>25</v>
      </c>
      <c r="I162" s="1" t="s">
        <v>25</v>
      </c>
      <c r="J162" s="1" t="s">
        <v>25</v>
      </c>
      <c r="K162" s="1" t="s">
        <v>25</v>
      </c>
      <c r="L162" s="1" t="s">
        <v>25</v>
      </c>
      <c r="M162" s="1" t="s">
        <v>25</v>
      </c>
      <c r="N162" s="1" t="s">
        <v>25</v>
      </c>
      <c r="O162" s="1" t="s">
        <v>25</v>
      </c>
      <c r="P162" s="1" t="s">
        <v>25</v>
      </c>
      <c r="Q162" s="1" t="s">
        <v>25</v>
      </c>
      <c r="R162" s="1" t="s">
        <v>25</v>
      </c>
      <c r="S162" s="1" t="s">
        <v>25</v>
      </c>
      <c r="T162" s="1" t="s">
        <v>25</v>
      </c>
      <c r="AA162" t="str">
        <f t="shared" si="2"/>
        <v/>
      </c>
    </row>
    <row r="163" spans="1:27" x14ac:dyDescent="0.25">
      <c r="A163" s="1" t="s">
        <v>1547</v>
      </c>
      <c r="B163" s="1" t="s">
        <v>21</v>
      </c>
      <c r="C163" s="1" t="s">
        <v>1557</v>
      </c>
      <c r="D163" s="1" t="s">
        <v>21</v>
      </c>
      <c r="E163" s="1" t="s">
        <v>1762</v>
      </c>
      <c r="F163" s="1" t="s">
        <v>1762</v>
      </c>
      <c r="G163" s="1" t="s">
        <v>23</v>
      </c>
      <c r="H163" s="1" t="s">
        <v>23</v>
      </c>
      <c r="I163" s="1" t="s">
        <v>1571</v>
      </c>
      <c r="J163" s="1" t="s">
        <v>25</v>
      </c>
      <c r="K163" s="1" t="s">
        <v>25</v>
      </c>
      <c r="L163" s="1" t="s">
        <v>25</v>
      </c>
      <c r="M163" s="1" t="s">
        <v>25</v>
      </c>
      <c r="N163" s="1" t="s">
        <v>25</v>
      </c>
      <c r="O163" s="1" t="s">
        <v>25</v>
      </c>
      <c r="P163" s="1" t="s">
        <v>25</v>
      </c>
      <c r="Q163" s="1" t="s">
        <v>25</v>
      </c>
      <c r="R163" s="1" t="s">
        <v>25</v>
      </c>
      <c r="S163" s="1" t="s">
        <v>25</v>
      </c>
      <c r="T163" s="1" t="s">
        <v>25</v>
      </c>
      <c r="AA163" t="str">
        <f t="shared" si="2"/>
        <v/>
      </c>
    </row>
    <row r="164" spans="1:27" x14ac:dyDescent="0.25">
      <c r="A164" s="1" t="s">
        <v>1548</v>
      </c>
      <c r="B164" s="1" t="s">
        <v>1756</v>
      </c>
      <c r="C164" s="1" t="s">
        <v>21</v>
      </c>
      <c r="D164" s="1" t="s">
        <v>1762</v>
      </c>
      <c r="E164" s="1" t="s">
        <v>1762</v>
      </c>
      <c r="F164" s="1" t="s">
        <v>23</v>
      </c>
      <c r="G164" s="1" t="s">
        <v>23</v>
      </c>
      <c r="H164" s="1" t="s">
        <v>1571</v>
      </c>
      <c r="I164" s="1" t="s">
        <v>25</v>
      </c>
      <c r="J164" s="1" t="s">
        <v>25</v>
      </c>
      <c r="K164" s="1" t="s">
        <v>25</v>
      </c>
      <c r="L164" s="1" t="s">
        <v>25</v>
      </c>
      <c r="M164" s="1" t="s">
        <v>25</v>
      </c>
      <c r="N164" s="1" t="s">
        <v>25</v>
      </c>
      <c r="O164" s="1" t="s">
        <v>25</v>
      </c>
      <c r="P164" s="1" t="s">
        <v>25</v>
      </c>
      <c r="Q164" s="1" t="s">
        <v>25</v>
      </c>
      <c r="R164" s="1" t="s">
        <v>25</v>
      </c>
      <c r="S164" s="1" t="s">
        <v>25</v>
      </c>
      <c r="T164" s="1" t="s">
        <v>25</v>
      </c>
      <c r="AA164" t="str">
        <f t="shared" si="2"/>
        <v/>
      </c>
    </row>
    <row r="165" spans="1:27" x14ac:dyDescent="0.25">
      <c r="A165" s="1" t="s">
        <v>1549</v>
      </c>
      <c r="B165" s="1" t="s">
        <v>1630</v>
      </c>
      <c r="C165" s="1" t="s">
        <v>25</v>
      </c>
      <c r="D165" s="1" t="s">
        <v>23</v>
      </c>
      <c r="E165" s="1" t="s">
        <v>25</v>
      </c>
      <c r="F165" s="1" t="s">
        <v>25</v>
      </c>
      <c r="G165" s="1" t="s">
        <v>25</v>
      </c>
      <c r="H165" s="1" t="s">
        <v>1571</v>
      </c>
      <c r="I165" s="1" t="s">
        <v>25</v>
      </c>
      <c r="J165" s="1" t="s">
        <v>25</v>
      </c>
      <c r="K165" s="1" t="s">
        <v>25</v>
      </c>
      <c r="L165" s="1" t="s">
        <v>25</v>
      </c>
      <c r="M165" s="1" t="s">
        <v>25</v>
      </c>
      <c r="N165" s="1" t="s">
        <v>25</v>
      </c>
      <c r="O165" s="1" t="s">
        <v>25</v>
      </c>
      <c r="P165" s="1" t="s">
        <v>25</v>
      </c>
      <c r="Q165" s="1" t="s">
        <v>25</v>
      </c>
      <c r="R165" s="1" t="s">
        <v>25</v>
      </c>
      <c r="S165" s="1" t="s">
        <v>25</v>
      </c>
      <c r="T165" s="1" t="s">
        <v>25</v>
      </c>
      <c r="AA165" t="str">
        <f t="shared" si="2"/>
        <v/>
      </c>
    </row>
    <row r="166" spans="1:27" x14ac:dyDescent="0.25">
      <c r="A166" s="1" t="s">
        <v>1522</v>
      </c>
      <c r="B166" s="1" t="s">
        <v>1571</v>
      </c>
      <c r="C166" s="1" t="s">
        <v>1763</v>
      </c>
      <c r="D166" s="1" t="s">
        <v>1764</v>
      </c>
      <c r="E166" s="1" t="s">
        <v>1765</v>
      </c>
      <c r="F166" s="1" t="s">
        <v>25</v>
      </c>
      <c r="G166" s="1" t="s">
        <v>1766</v>
      </c>
      <c r="H166" s="1" t="s">
        <v>1767</v>
      </c>
      <c r="I166" s="1" t="s">
        <v>1768</v>
      </c>
      <c r="J166" s="1" t="s">
        <v>23</v>
      </c>
      <c r="K166" s="1" t="s">
        <v>21</v>
      </c>
      <c r="L166" s="1" t="s">
        <v>16</v>
      </c>
      <c r="M166" s="1" t="s">
        <v>18</v>
      </c>
      <c r="N166" s="1" t="s">
        <v>25</v>
      </c>
      <c r="O166" s="1" t="s">
        <v>25</v>
      </c>
      <c r="P166" s="1" t="s">
        <v>25</v>
      </c>
      <c r="Q166" s="1" t="s">
        <v>25</v>
      </c>
      <c r="R166" s="1" t="s">
        <v>25</v>
      </c>
      <c r="S166" s="1" t="s">
        <v>25</v>
      </c>
      <c r="T166" s="1" t="s">
        <v>25</v>
      </c>
      <c r="AA166" t="str">
        <f t="shared" si="2"/>
        <v/>
      </c>
    </row>
    <row r="167" spans="1:27" x14ac:dyDescent="0.25">
      <c r="A167" s="1" t="s">
        <v>1550</v>
      </c>
      <c r="B167" s="1" t="s">
        <v>1769</v>
      </c>
      <c r="C167" s="1" t="s">
        <v>1571</v>
      </c>
      <c r="D167" s="1" t="s">
        <v>25</v>
      </c>
      <c r="E167" s="1" t="s">
        <v>25</v>
      </c>
      <c r="F167" s="1" t="s">
        <v>25</v>
      </c>
      <c r="G167" s="1" t="s">
        <v>25</v>
      </c>
      <c r="H167" s="1" t="s">
        <v>25</v>
      </c>
      <c r="I167" s="1" t="s">
        <v>25</v>
      </c>
      <c r="J167" s="1" t="s">
        <v>25</v>
      </c>
      <c r="K167" s="1" t="s">
        <v>25</v>
      </c>
      <c r="L167" s="1" t="s">
        <v>25</v>
      </c>
      <c r="M167" s="1" t="s">
        <v>25</v>
      </c>
      <c r="N167" s="1" t="s">
        <v>25</v>
      </c>
      <c r="O167" s="1" t="s">
        <v>25</v>
      </c>
      <c r="P167" s="1" t="s">
        <v>25</v>
      </c>
      <c r="Q167" s="1" t="s">
        <v>25</v>
      </c>
      <c r="R167" s="1" t="s">
        <v>25</v>
      </c>
      <c r="S167" s="1" t="s">
        <v>25</v>
      </c>
      <c r="T167" s="1" t="s">
        <v>25</v>
      </c>
      <c r="AA167" t="str">
        <f t="shared" si="2"/>
        <v/>
      </c>
    </row>
    <row r="168" spans="1:27" x14ac:dyDescent="0.25">
      <c r="A168" s="1" t="s">
        <v>10</v>
      </c>
      <c r="B168" s="1" t="s">
        <v>21</v>
      </c>
      <c r="C168" s="1" t="s">
        <v>1770</v>
      </c>
      <c r="D168" s="1" t="s">
        <v>25</v>
      </c>
      <c r="E168" s="1" t="s">
        <v>18</v>
      </c>
      <c r="F168" s="1" t="s">
        <v>25</v>
      </c>
      <c r="G168" s="1" t="s">
        <v>25</v>
      </c>
      <c r="H168" s="1" t="s">
        <v>25</v>
      </c>
      <c r="I168" s="1" t="s">
        <v>25</v>
      </c>
      <c r="J168" s="1" t="s">
        <v>25</v>
      </c>
      <c r="K168" s="1" t="s">
        <v>25</v>
      </c>
      <c r="L168" s="1" t="s">
        <v>25</v>
      </c>
      <c r="M168" s="1" t="s">
        <v>25</v>
      </c>
      <c r="N168" s="1" t="s">
        <v>25</v>
      </c>
      <c r="O168" s="1" t="s">
        <v>25</v>
      </c>
      <c r="P168" s="1" t="s">
        <v>25</v>
      </c>
      <c r="Q168" s="1" t="s">
        <v>25</v>
      </c>
      <c r="R168" s="1" t="s">
        <v>25</v>
      </c>
      <c r="S168" s="1" t="s">
        <v>25</v>
      </c>
      <c r="T168" s="1" t="s">
        <v>25</v>
      </c>
      <c r="AA168" t="str">
        <f t="shared" si="2"/>
        <v/>
      </c>
    </row>
    <row r="169" spans="1:27" x14ac:dyDescent="0.25">
      <c r="A169" s="5" t="s">
        <v>1553</v>
      </c>
      <c r="B169" s="5" t="s">
        <v>21</v>
      </c>
      <c r="C169" s="5" t="s">
        <v>24</v>
      </c>
      <c r="D169" s="5" t="s">
        <v>1755</v>
      </c>
      <c r="E169" s="5" t="s">
        <v>1756</v>
      </c>
      <c r="F169" s="5" t="s">
        <v>18</v>
      </c>
      <c r="G169" s="5" t="s">
        <v>18</v>
      </c>
      <c r="H169" s="5" t="s">
        <v>25</v>
      </c>
      <c r="I169" s="5" t="s">
        <v>25</v>
      </c>
      <c r="J169" s="5" t="s">
        <v>25</v>
      </c>
      <c r="K169" s="1" t="s">
        <v>25</v>
      </c>
      <c r="L169" s="1" t="s">
        <v>25</v>
      </c>
      <c r="M169" s="1" t="s">
        <v>25</v>
      </c>
      <c r="N169" s="1" t="s">
        <v>25</v>
      </c>
      <c r="O169" s="1" t="s">
        <v>25</v>
      </c>
      <c r="P169" s="1" t="s">
        <v>25</v>
      </c>
      <c r="Q169" s="1" t="s">
        <v>25</v>
      </c>
      <c r="R169" s="1" t="s">
        <v>25</v>
      </c>
      <c r="S169" s="1" t="s">
        <v>25</v>
      </c>
      <c r="T169" s="1" t="s">
        <v>25</v>
      </c>
      <c r="AA169" t="str">
        <f t="shared" si="2"/>
        <v/>
      </c>
    </row>
    <row r="170" spans="1:27" x14ac:dyDescent="0.25">
      <c r="A170" s="1" t="s">
        <v>11</v>
      </c>
      <c r="B170" s="1" t="s">
        <v>1565</v>
      </c>
      <c r="C170" s="1" t="s">
        <v>1565</v>
      </c>
      <c r="D170" s="1" t="s">
        <v>25</v>
      </c>
      <c r="E170" s="1" t="s">
        <v>25</v>
      </c>
      <c r="F170" s="1" t="s">
        <v>25</v>
      </c>
      <c r="G170" s="1" t="s">
        <v>25</v>
      </c>
      <c r="H170" s="1" t="s">
        <v>25</v>
      </c>
      <c r="I170" s="1" t="s">
        <v>25</v>
      </c>
      <c r="J170" s="1" t="s">
        <v>25</v>
      </c>
      <c r="K170" s="1" t="s">
        <v>25</v>
      </c>
      <c r="L170" s="1" t="s">
        <v>25</v>
      </c>
      <c r="M170" s="1" t="s">
        <v>25</v>
      </c>
      <c r="N170" s="1" t="s">
        <v>25</v>
      </c>
      <c r="O170" s="1" t="s">
        <v>25</v>
      </c>
      <c r="P170" s="1" t="s">
        <v>25</v>
      </c>
      <c r="Q170" s="1" t="s">
        <v>25</v>
      </c>
      <c r="R170" s="1" t="s">
        <v>25</v>
      </c>
      <c r="S170" s="1" t="s">
        <v>25</v>
      </c>
      <c r="T170" s="1" t="s">
        <v>25</v>
      </c>
      <c r="AA170" t="str">
        <f t="shared" si="2"/>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2E22D-9E40-4F6D-BE70-11367B900844}">
  <sheetPr codeName="Лист1"/>
  <dimension ref="A1:O714"/>
  <sheetViews>
    <sheetView topLeftCell="A580" workbookViewId="0">
      <selection activeCell="J6" sqref="J6:J711"/>
    </sheetView>
  </sheetViews>
  <sheetFormatPr defaultRowHeight="15" x14ac:dyDescent="0.25"/>
  <cols>
    <col min="1" max="7" width="9.140625" style="1"/>
    <col min="8" max="8" width="64.7109375" bestFit="1" customWidth="1"/>
    <col min="9" max="9" width="13.140625" bestFit="1" customWidth="1"/>
    <col min="10" max="10" width="33" bestFit="1" customWidth="1"/>
    <col min="11" max="11" width="9.140625" style="1"/>
    <col min="12" max="12" width="10.28515625" bestFit="1" customWidth="1"/>
    <col min="13" max="13" width="10.140625" bestFit="1" customWidth="1"/>
  </cols>
  <sheetData>
    <row r="1" spans="1:13" x14ac:dyDescent="0.25">
      <c r="A1" s="1" t="s">
        <v>28</v>
      </c>
      <c r="B1" s="1" t="s">
        <v>29</v>
      </c>
      <c r="C1" s="1" t="s">
        <v>30</v>
      </c>
      <c r="D1" s="1" t="s">
        <v>31</v>
      </c>
      <c r="E1" s="1" t="s">
        <v>33</v>
      </c>
      <c r="H1" s="2" t="s">
        <v>1450</v>
      </c>
      <c r="I1" s="2" t="s">
        <v>1451</v>
      </c>
      <c r="J1" s="2" t="s">
        <v>1454</v>
      </c>
      <c r="K1" s="3"/>
      <c r="L1" s="4" t="s">
        <v>1452</v>
      </c>
      <c r="M1" s="4" t="s">
        <v>1453</v>
      </c>
    </row>
    <row r="2" spans="1:13" x14ac:dyDescent="0.25">
      <c r="D2" s="1" t="s">
        <v>32</v>
      </c>
      <c r="L2" t="str">
        <f>IFERROR(IF(LEN(A2)&lt;=5,TRIM(LEFT(A2,SEARCH(".",A2)-1)),""),"")</f>
        <v/>
      </c>
      <c r="M2" t="str">
        <f t="shared" ref="M2:M65" si="0">IF(AND(LEN(A2)&lt;6,A2&lt;&gt;""),1,"")</f>
        <v/>
      </c>
    </row>
    <row r="3" spans="1:13" x14ac:dyDescent="0.25">
      <c r="A3" s="1" t="s">
        <v>34</v>
      </c>
      <c r="L3" t="str">
        <f t="shared" ref="L3:L66" si="1">IFERROR(IF(LEN(A3)&lt;=5,TRIM(LEFT(A3,SEARCH(".",A3)-1)),""),"")</f>
        <v/>
      </c>
      <c r="M3" t="str">
        <f t="shared" si="0"/>
        <v/>
      </c>
    </row>
    <row r="4" spans="1:13" x14ac:dyDescent="0.25">
      <c r="A4" s="1" t="s">
        <v>35</v>
      </c>
      <c r="L4" t="str">
        <f t="shared" si="1"/>
        <v/>
      </c>
      <c r="M4" t="str">
        <f t="shared" si="0"/>
        <v/>
      </c>
    </row>
    <row r="5" spans="1:13" x14ac:dyDescent="0.25">
      <c r="A5" s="1" t="s">
        <v>36</v>
      </c>
      <c r="L5" t="str">
        <f t="shared" si="1"/>
        <v/>
      </c>
      <c r="M5" t="str">
        <f t="shared" si="0"/>
        <v/>
      </c>
    </row>
    <row r="6" spans="1:13" x14ac:dyDescent="0.25">
      <c r="A6" s="1" t="s">
        <v>37</v>
      </c>
      <c r="D6" s="1" t="s">
        <v>39</v>
      </c>
      <c r="E6" s="1" t="s">
        <v>40</v>
      </c>
      <c r="H6" t="str">
        <f>IFERROR(TRIM(IF(SEARCH("Блок ",A6),IF(SEARCH("B",A6),RIGHT(A6,LEN(A6)-SEARCH("B",A6)+1)),"")),"")</f>
        <v>B1_NAME</v>
      </c>
      <c r="I6">
        <f ca="1">IFERROR(IF(H6&lt;&gt;"",SUMIF(L:M,TRIM(MID(A6,SEARCH(" ",A6),SEARCH(". ",A6)-5)),M:M),""),"")</f>
        <v>5</v>
      </c>
      <c r="J6" t="str">
        <f ca="1">CLEAN(TRIM(IF(H6&lt;&gt;"",""""&amp;H6&amp;""""&amp;", "&amp;I6,"")))</f>
        <v>"B1_NAME", 5</v>
      </c>
      <c r="L6" t="str">
        <f t="shared" si="1"/>
        <v/>
      </c>
      <c r="M6" t="str">
        <f>IF(AND(LEN(A6)&lt;6,A6&lt;&gt;""),1,"")</f>
        <v/>
      </c>
    </row>
    <row r="7" spans="1:13" x14ac:dyDescent="0.25">
      <c r="A7" s="1" t="s">
        <v>38</v>
      </c>
      <c r="H7" t="str">
        <f t="shared" ref="H7:H70" si="2">IFERROR(TRIM(IF(SEARCH("Блок ",A7),IF(SEARCH("B",A7),RIGHT(A7,LEN(A7)-SEARCH("B",A7)+1)),"")),"")</f>
        <v/>
      </c>
      <c r="I7" t="str">
        <f t="shared" ref="I7:I70" si="3">IFERROR(IF(H7&lt;&gt;"",SUMIF(L:M,TRIM(MID(A7,SEARCH(" ",A7),SEARCH(". ",A7)-5)),M:M),""),"")</f>
        <v/>
      </c>
      <c r="J7" t="str">
        <f t="shared" ref="J7:J70" si="4">CLEAN(TRIM(IF(H7&lt;&gt;"",""""&amp;H7&amp;""""&amp;", "&amp;I7,"")))</f>
        <v/>
      </c>
      <c r="L7" t="str">
        <f t="shared" si="1"/>
        <v/>
      </c>
      <c r="M7" t="str">
        <f t="shared" si="0"/>
        <v/>
      </c>
    </row>
    <row r="8" spans="1:13" x14ac:dyDescent="0.25">
      <c r="A8" s="1" t="s">
        <v>1252</v>
      </c>
      <c r="B8" s="1" t="s">
        <v>41</v>
      </c>
      <c r="C8" s="1" t="s">
        <v>42</v>
      </c>
      <c r="D8" s="1" t="s">
        <v>21</v>
      </c>
      <c r="E8" s="1" t="s">
        <v>43</v>
      </c>
      <c r="H8" t="str">
        <f t="shared" si="2"/>
        <v/>
      </c>
      <c r="I8" t="str">
        <f t="shared" si="3"/>
        <v/>
      </c>
      <c r="J8" t="str">
        <f t="shared" si="4"/>
        <v/>
      </c>
      <c r="L8" t="str">
        <f t="shared" si="1"/>
        <v>1</v>
      </c>
      <c r="M8">
        <f t="shared" si="0"/>
        <v>1</v>
      </c>
    </row>
    <row r="9" spans="1:13" x14ac:dyDescent="0.25">
      <c r="A9" s="1" t="s">
        <v>1253</v>
      </c>
      <c r="B9" s="1" t="s">
        <v>44</v>
      </c>
      <c r="C9" s="1" t="s">
        <v>45</v>
      </c>
      <c r="E9" s="1" t="s">
        <v>46</v>
      </c>
      <c r="H9" t="str">
        <f t="shared" si="2"/>
        <v/>
      </c>
      <c r="I9" t="str">
        <f t="shared" si="3"/>
        <v/>
      </c>
      <c r="J9" t="str">
        <f t="shared" si="4"/>
        <v/>
      </c>
      <c r="L9" t="str">
        <f t="shared" si="1"/>
        <v>1</v>
      </c>
      <c r="M9">
        <f t="shared" si="0"/>
        <v>1</v>
      </c>
    </row>
    <row r="10" spans="1:13" x14ac:dyDescent="0.25">
      <c r="A10" s="1" t="s">
        <v>1254</v>
      </c>
      <c r="B10" s="1" t="s">
        <v>47</v>
      </c>
      <c r="C10" s="1" t="s">
        <v>48</v>
      </c>
      <c r="E10" s="1" t="s">
        <v>50</v>
      </c>
      <c r="H10" t="str">
        <f t="shared" si="2"/>
        <v/>
      </c>
      <c r="I10" t="str">
        <f t="shared" si="3"/>
        <v/>
      </c>
      <c r="J10" t="str">
        <f t="shared" si="4"/>
        <v/>
      </c>
      <c r="L10" t="str">
        <f t="shared" si="1"/>
        <v>1</v>
      </c>
      <c r="M10">
        <f t="shared" si="0"/>
        <v>1</v>
      </c>
    </row>
    <row r="11" spans="1:13" x14ac:dyDescent="0.25">
      <c r="C11" s="1" t="s">
        <v>49</v>
      </c>
      <c r="H11" t="str">
        <f t="shared" si="2"/>
        <v/>
      </c>
      <c r="I11" t="str">
        <f t="shared" si="3"/>
        <v/>
      </c>
      <c r="J11" t="str">
        <f t="shared" si="4"/>
        <v/>
      </c>
      <c r="L11" t="str">
        <f t="shared" si="1"/>
        <v/>
      </c>
      <c r="M11" t="str">
        <f t="shared" si="0"/>
        <v/>
      </c>
    </row>
    <row r="12" spans="1:13" x14ac:dyDescent="0.25">
      <c r="A12" s="1" t="s">
        <v>1255</v>
      </c>
      <c r="B12" s="1" t="s">
        <v>51</v>
      </c>
      <c r="C12" s="1" t="s">
        <v>52</v>
      </c>
      <c r="E12" s="1" t="s">
        <v>56</v>
      </c>
      <c r="H12" t="str">
        <f t="shared" si="2"/>
        <v/>
      </c>
      <c r="I12" t="str">
        <f t="shared" si="3"/>
        <v/>
      </c>
      <c r="J12" t="str">
        <f t="shared" si="4"/>
        <v/>
      </c>
      <c r="L12" t="str">
        <f t="shared" si="1"/>
        <v>1</v>
      </c>
      <c r="M12">
        <f t="shared" si="0"/>
        <v>1</v>
      </c>
    </row>
    <row r="13" spans="1:13" x14ac:dyDescent="0.25">
      <c r="C13" s="1" t="s">
        <v>53</v>
      </c>
      <c r="H13" t="str">
        <f t="shared" si="2"/>
        <v/>
      </c>
      <c r="I13" t="str">
        <f t="shared" si="3"/>
        <v/>
      </c>
      <c r="J13" t="str">
        <f t="shared" si="4"/>
        <v/>
      </c>
      <c r="L13" t="str">
        <f t="shared" si="1"/>
        <v/>
      </c>
      <c r="M13" t="str">
        <f t="shared" si="0"/>
        <v/>
      </c>
    </row>
    <row r="14" spans="1:13" x14ac:dyDescent="0.25">
      <c r="C14" s="1" t="s">
        <v>54</v>
      </c>
      <c r="H14" t="str">
        <f t="shared" si="2"/>
        <v/>
      </c>
      <c r="I14" t="str">
        <f t="shared" si="3"/>
        <v/>
      </c>
      <c r="J14" t="str">
        <f t="shared" si="4"/>
        <v/>
      </c>
      <c r="L14" t="str">
        <f t="shared" si="1"/>
        <v/>
      </c>
      <c r="M14" t="str">
        <f t="shared" si="0"/>
        <v/>
      </c>
    </row>
    <row r="15" spans="1:13" x14ac:dyDescent="0.25">
      <c r="C15" s="1" t="s">
        <v>55</v>
      </c>
      <c r="H15" t="str">
        <f t="shared" si="2"/>
        <v/>
      </c>
      <c r="I15" t="str">
        <f t="shared" si="3"/>
        <v/>
      </c>
      <c r="J15" t="str">
        <f t="shared" si="4"/>
        <v/>
      </c>
      <c r="L15" t="str">
        <f t="shared" si="1"/>
        <v/>
      </c>
      <c r="M15" t="str">
        <f t="shared" si="0"/>
        <v/>
      </c>
    </row>
    <row r="16" spans="1:13" x14ac:dyDescent="0.25">
      <c r="A16" s="1" t="s">
        <v>1256</v>
      </c>
      <c r="B16" s="1" t="s">
        <v>57</v>
      </c>
      <c r="C16" s="1" t="s">
        <v>52</v>
      </c>
      <c r="E16" s="1" t="s">
        <v>59</v>
      </c>
      <c r="H16" t="str">
        <f t="shared" si="2"/>
        <v/>
      </c>
      <c r="I16" t="str">
        <f t="shared" si="3"/>
        <v/>
      </c>
      <c r="J16" t="str">
        <f t="shared" si="4"/>
        <v/>
      </c>
      <c r="L16" t="str">
        <f t="shared" si="1"/>
        <v>1</v>
      </c>
      <c r="M16">
        <f t="shared" si="0"/>
        <v>1</v>
      </c>
    </row>
    <row r="17" spans="1:13" x14ac:dyDescent="0.25">
      <c r="C17" s="1" t="s">
        <v>58</v>
      </c>
      <c r="H17" t="str">
        <f t="shared" si="2"/>
        <v/>
      </c>
      <c r="I17" t="str">
        <f t="shared" si="3"/>
        <v/>
      </c>
      <c r="J17" t="str">
        <f t="shared" si="4"/>
        <v/>
      </c>
      <c r="L17" t="str">
        <f t="shared" si="1"/>
        <v/>
      </c>
      <c r="M17" t="str">
        <f t="shared" si="0"/>
        <v/>
      </c>
    </row>
    <row r="18" spans="1:13" x14ac:dyDescent="0.25">
      <c r="A18" s="1" t="s">
        <v>60</v>
      </c>
      <c r="D18" s="1" t="s">
        <v>39</v>
      </c>
      <c r="E18" s="1" t="s">
        <v>61</v>
      </c>
      <c r="H18" t="str">
        <f t="shared" si="2"/>
        <v>B2_ADDR</v>
      </c>
      <c r="I18">
        <f t="shared" ca="1" si="3"/>
        <v>14</v>
      </c>
      <c r="J18" t="str">
        <f t="shared" ca="1" si="4"/>
        <v>"B2_ADDR", 14</v>
      </c>
      <c r="L18" t="str">
        <f t="shared" si="1"/>
        <v/>
      </c>
      <c r="M18" t="str">
        <f t="shared" si="0"/>
        <v/>
      </c>
    </row>
    <row r="19" spans="1:13" x14ac:dyDescent="0.25">
      <c r="A19" s="1" t="s">
        <v>38</v>
      </c>
      <c r="H19" t="str">
        <f t="shared" si="2"/>
        <v/>
      </c>
      <c r="I19" t="str">
        <f t="shared" si="3"/>
        <v/>
      </c>
      <c r="J19" t="str">
        <f t="shared" si="4"/>
        <v/>
      </c>
      <c r="L19" t="str">
        <f t="shared" si="1"/>
        <v/>
      </c>
      <c r="M19" t="str">
        <f t="shared" si="0"/>
        <v/>
      </c>
    </row>
    <row r="20" spans="1:13" x14ac:dyDescent="0.25">
      <c r="A20" s="1" t="s">
        <v>1257</v>
      </c>
      <c r="B20" s="1" t="s">
        <v>62</v>
      </c>
      <c r="C20" s="1" t="s">
        <v>63</v>
      </c>
      <c r="D20" s="1" t="s">
        <v>21</v>
      </c>
      <c r="E20" s="1" t="s">
        <v>65</v>
      </c>
      <c r="H20" t="str">
        <f t="shared" si="2"/>
        <v/>
      </c>
      <c r="I20" t="str">
        <f t="shared" si="3"/>
        <v/>
      </c>
      <c r="J20" t="str">
        <f t="shared" si="4"/>
        <v/>
      </c>
      <c r="L20" t="str">
        <f t="shared" si="1"/>
        <v>2</v>
      </c>
      <c r="M20">
        <f t="shared" si="0"/>
        <v>1</v>
      </c>
    </row>
    <row r="21" spans="1:13" x14ac:dyDescent="0.25">
      <c r="C21" s="1" t="s">
        <v>64</v>
      </c>
      <c r="H21" t="str">
        <f t="shared" si="2"/>
        <v/>
      </c>
      <c r="I21" t="str">
        <f t="shared" si="3"/>
        <v/>
      </c>
      <c r="J21" t="str">
        <f t="shared" si="4"/>
        <v/>
      </c>
      <c r="L21" t="str">
        <f t="shared" si="1"/>
        <v/>
      </c>
      <c r="M21" t="str">
        <f t="shared" si="0"/>
        <v/>
      </c>
    </row>
    <row r="22" spans="1:13" x14ac:dyDescent="0.25">
      <c r="A22" s="1" t="s">
        <v>1258</v>
      </c>
      <c r="B22" s="1" t="s">
        <v>66</v>
      </c>
      <c r="D22" s="1" t="s">
        <v>21</v>
      </c>
      <c r="E22" s="1" t="s">
        <v>67</v>
      </c>
      <c r="H22" t="str">
        <f t="shared" si="2"/>
        <v/>
      </c>
      <c r="I22" t="str">
        <f t="shared" si="3"/>
        <v/>
      </c>
      <c r="J22" t="str">
        <f t="shared" si="4"/>
        <v/>
      </c>
      <c r="L22" t="str">
        <f t="shared" si="1"/>
        <v>2</v>
      </c>
      <c r="M22">
        <f t="shared" si="0"/>
        <v>1</v>
      </c>
    </row>
    <row r="23" spans="1:13" x14ac:dyDescent="0.25">
      <c r="A23" s="1" t="s">
        <v>17</v>
      </c>
      <c r="B23" s="1" t="s">
        <v>68</v>
      </c>
      <c r="C23" s="1" t="s">
        <v>69</v>
      </c>
      <c r="D23" s="1" t="s">
        <v>21</v>
      </c>
      <c r="E23" s="1" t="s">
        <v>71</v>
      </c>
      <c r="H23" t="str">
        <f t="shared" si="2"/>
        <v/>
      </c>
      <c r="I23" t="str">
        <f t="shared" si="3"/>
        <v/>
      </c>
      <c r="J23" t="str">
        <f t="shared" si="4"/>
        <v/>
      </c>
      <c r="L23" t="str">
        <f t="shared" si="1"/>
        <v>2</v>
      </c>
      <c r="M23">
        <f t="shared" si="0"/>
        <v>1</v>
      </c>
    </row>
    <row r="24" spans="1:13" x14ac:dyDescent="0.25">
      <c r="C24" s="1" t="s">
        <v>70</v>
      </c>
      <c r="H24" t="str">
        <f t="shared" si="2"/>
        <v/>
      </c>
      <c r="I24" t="str">
        <f t="shared" si="3"/>
        <v/>
      </c>
      <c r="J24" t="str">
        <f t="shared" si="4"/>
        <v/>
      </c>
      <c r="L24" t="str">
        <f t="shared" si="1"/>
        <v/>
      </c>
      <c r="M24" t="str">
        <f t="shared" si="0"/>
        <v/>
      </c>
    </row>
    <row r="25" spans="1:13" x14ac:dyDescent="0.25">
      <c r="A25" s="1" t="s">
        <v>1259</v>
      </c>
      <c r="B25" s="1" t="s">
        <v>72</v>
      </c>
      <c r="C25" s="1" t="s">
        <v>73</v>
      </c>
      <c r="D25" s="1" t="s">
        <v>21</v>
      </c>
      <c r="E25" s="1" t="s">
        <v>75</v>
      </c>
      <c r="H25" t="str">
        <f t="shared" si="2"/>
        <v/>
      </c>
      <c r="I25" t="str">
        <f t="shared" si="3"/>
        <v/>
      </c>
      <c r="J25" t="str">
        <f t="shared" si="4"/>
        <v/>
      </c>
      <c r="L25" t="str">
        <f t="shared" si="1"/>
        <v>2</v>
      </c>
      <c r="M25">
        <f t="shared" si="0"/>
        <v>1</v>
      </c>
    </row>
    <row r="26" spans="1:13" x14ac:dyDescent="0.25">
      <c r="C26" s="1" t="s">
        <v>74</v>
      </c>
      <c r="H26" t="str">
        <f t="shared" si="2"/>
        <v/>
      </c>
      <c r="I26" t="str">
        <f t="shared" si="3"/>
        <v/>
      </c>
      <c r="J26" t="str">
        <f t="shared" si="4"/>
        <v/>
      </c>
      <c r="L26" t="str">
        <f t="shared" si="1"/>
        <v/>
      </c>
      <c r="M26" t="str">
        <f t="shared" si="0"/>
        <v/>
      </c>
    </row>
    <row r="27" spans="1:13" x14ac:dyDescent="0.25">
      <c r="A27" s="1" t="s">
        <v>1260</v>
      </c>
      <c r="B27" s="1" t="s">
        <v>76</v>
      </c>
      <c r="C27" s="1" t="s">
        <v>77</v>
      </c>
      <c r="D27" s="1" t="s">
        <v>21</v>
      </c>
      <c r="E27" s="1" t="s">
        <v>79</v>
      </c>
      <c r="H27" t="str">
        <f t="shared" si="2"/>
        <v/>
      </c>
      <c r="I27" t="str">
        <f t="shared" si="3"/>
        <v/>
      </c>
      <c r="J27" t="str">
        <f t="shared" si="4"/>
        <v/>
      </c>
      <c r="L27" t="str">
        <f t="shared" si="1"/>
        <v>2</v>
      </c>
      <c r="M27">
        <f t="shared" si="0"/>
        <v>1</v>
      </c>
    </row>
    <row r="28" spans="1:13" x14ac:dyDescent="0.25">
      <c r="C28" s="1" t="s">
        <v>78</v>
      </c>
      <c r="H28" t="str">
        <f t="shared" si="2"/>
        <v/>
      </c>
      <c r="I28" t="str">
        <f t="shared" si="3"/>
        <v/>
      </c>
      <c r="J28" t="str">
        <f t="shared" si="4"/>
        <v/>
      </c>
      <c r="L28" t="str">
        <f t="shared" si="1"/>
        <v/>
      </c>
      <c r="M28" t="str">
        <f t="shared" si="0"/>
        <v/>
      </c>
    </row>
    <row r="29" spans="1:13" x14ac:dyDescent="0.25">
      <c r="A29" s="1" t="s">
        <v>1261</v>
      </c>
      <c r="B29" s="1" t="s">
        <v>80</v>
      </c>
      <c r="D29" s="1" t="s">
        <v>21</v>
      </c>
      <c r="E29" s="1" t="s">
        <v>81</v>
      </c>
      <c r="H29" t="str">
        <f t="shared" si="2"/>
        <v/>
      </c>
      <c r="I29" t="str">
        <f t="shared" si="3"/>
        <v/>
      </c>
      <c r="J29" t="str">
        <f t="shared" si="4"/>
        <v/>
      </c>
      <c r="L29" t="str">
        <f t="shared" si="1"/>
        <v>2</v>
      </c>
      <c r="M29">
        <f t="shared" si="0"/>
        <v>1</v>
      </c>
    </row>
    <row r="30" spans="1:13" x14ac:dyDescent="0.25">
      <c r="A30" s="1" t="s">
        <v>1262</v>
      </c>
      <c r="B30" s="1" t="s">
        <v>82</v>
      </c>
      <c r="D30" s="1" t="s">
        <v>21</v>
      </c>
      <c r="E30" s="1" t="s">
        <v>83</v>
      </c>
      <c r="H30" t="str">
        <f t="shared" si="2"/>
        <v/>
      </c>
      <c r="I30" t="str">
        <f t="shared" si="3"/>
        <v/>
      </c>
      <c r="J30" t="str">
        <f t="shared" si="4"/>
        <v/>
      </c>
      <c r="L30" t="str">
        <f t="shared" si="1"/>
        <v>2</v>
      </c>
      <c r="M30">
        <f t="shared" si="0"/>
        <v>1</v>
      </c>
    </row>
    <row r="31" spans="1:13" x14ac:dyDescent="0.25">
      <c r="A31" s="1" t="s">
        <v>1263</v>
      </c>
      <c r="B31" s="1" t="s">
        <v>84</v>
      </c>
      <c r="D31" s="1" t="s">
        <v>21</v>
      </c>
      <c r="E31" s="1" t="s">
        <v>85</v>
      </c>
      <c r="H31" t="str">
        <f t="shared" si="2"/>
        <v/>
      </c>
      <c r="I31" t="str">
        <f t="shared" si="3"/>
        <v/>
      </c>
      <c r="J31" t="str">
        <f t="shared" si="4"/>
        <v/>
      </c>
      <c r="L31" t="str">
        <f t="shared" si="1"/>
        <v>2</v>
      </c>
      <c r="M31">
        <f t="shared" si="0"/>
        <v>1</v>
      </c>
    </row>
    <row r="32" spans="1:13" x14ac:dyDescent="0.25">
      <c r="A32" s="1" t="s">
        <v>1264</v>
      </c>
      <c r="B32" s="1" t="s">
        <v>86</v>
      </c>
      <c r="D32" s="1" t="s">
        <v>21</v>
      </c>
      <c r="E32" s="1" t="s">
        <v>87</v>
      </c>
      <c r="H32" t="str">
        <f t="shared" si="2"/>
        <v/>
      </c>
      <c r="I32" t="str">
        <f t="shared" si="3"/>
        <v/>
      </c>
      <c r="J32" t="str">
        <f t="shared" si="4"/>
        <v/>
      </c>
      <c r="L32" t="str">
        <f t="shared" si="1"/>
        <v>2</v>
      </c>
      <c r="M32">
        <f t="shared" si="0"/>
        <v>1</v>
      </c>
    </row>
    <row r="33" spans="1:13" x14ac:dyDescent="0.25">
      <c r="A33" s="1" t="s">
        <v>1265</v>
      </c>
      <c r="B33" s="1" t="s">
        <v>88</v>
      </c>
      <c r="D33" s="1" t="s">
        <v>21</v>
      </c>
      <c r="E33" s="1" t="s">
        <v>89</v>
      </c>
      <c r="H33" t="str">
        <f t="shared" si="2"/>
        <v/>
      </c>
      <c r="I33" t="str">
        <f t="shared" si="3"/>
        <v/>
      </c>
      <c r="J33" t="str">
        <f t="shared" si="4"/>
        <v/>
      </c>
      <c r="L33" t="str">
        <f t="shared" si="1"/>
        <v>2</v>
      </c>
      <c r="M33">
        <f t="shared" si="0"/>
        <v>1</v>
      </c>
    </row>
    <row r="34" spans="1:13" x14ac:dyDescent="0.25">
      <c r="A34" s="1" t="s">
        <v>1266</v>
      </c>
      <c r="B34" s="1" t="s">
        <v>90</v>
      </c>
      <c r="C34" s="1" t="s">
        <v>91</v>
      </c>
      <c r="D34" s="1" t="s">
        <v>21</v>
      </c>
      <c r="E34" s="1" t="s">
        <v>92</v>
      </c>
      <c r="H34" t="str">
        <f t="shared" si="2"/>
        <v/>
      </c>
      <c r="I34" t="str">
        <f t="shared" si="3"/>
        <v/>
      </c>
      <c r="J34" t="str">
        <f t="shared" si="4"/>
        <v/>
      </c>
      <c r="L34" t="str">
        <f t="shared" si="1"/>
        <v>2</v>
      </c>
      <c r="M34">
        <f t="shared" si="0"/>
        <v>1</v>
      </c>
    </row>
    <row r="35" spans="1:13" x14ac:dyDescent="0.25">
      <c r="A35" s="1" t="s">
        <v>1267</v>
      </c>
      <c r="B35" s="1" t="s">
        <v>93</v>
      </c>
      <c r="C35" s="1" t="s">
        <v>94</v>
      </c>
      <c r="D35" s="1" t="s">
        <v>21</v>
      </c>
      <c r="E35" s="1" t="s">
        <v>96</v>
      </c>
      <c r="H35" t="str">
        <f t="shared" si="2"/>
        <v/>
      </c>
      <c r="I35" t="str">
        <f t="shared" si="3"/>
        <v/>
      </c>
      <c r="J35" t="str">
        <f t="shared" si="4"/>
        <v/>
      </c>
      <c r="L35" t="str">
        <f t="shared" si="1"/>
        <v>2</v>
      </c>
      <c r="M35">
        <f t="shared" si="0"/>
        <v>1</v>
      </c>
    </row>
    <row r="36" spans="1:13" x14ac:dyDescent="0.25">
      <c r="C36" s="1" t="s">
        <v>95</v>
      </c>
      <c r="H36" t="str">
        <f t="shared" si="2"/>
        <v/>
      </c>
      <c r="I36" t="str">
        <f t="shared" si="3"/>
        <v/>
      </c>
      <c r="J36" t="str">
        <f t="shared" si="4"/>
        <v/>
      </c>
      <c r="L36" t="str">
        <f t="shared" si="1"/>
        <v/>
      </c>
      <c r="M36" t="str">
        <f t="shared" si="0"/>
        <v/>
      </c>
    </row>
    <row r="37" spans="1:13" x14ac:dyDescent="0.25">
      <c r="A37" s="1" t="s">
        <v>1268</v>
      </c>
      <c r="B37" s="1" t="s">
        <v>97</v>
      </c>
      <c r="C37" s="1" t="s">
        <v>98</v>
      </c>
      <c r="E37" s="1" t="s">
        <v>99</v>
      </c>
      <c r="H37" t="str">
        <f t="shared" si="2"/>
        <v/>
      </c>
      <c r="I37" t="str">
        <f t="shared" si="3"/>
        <v/>
      </c>
      <c r="J37" t="str">
        <f t="shared" si="4"/>
        <v/>
      </c>
      <c r="L37" t="str">
        <f t="shared" si="1"/>
        <v>2</v>
      </c>
      <c r="M37">
        <f t="shared" si="0"/>
        <v>1</v>
      </c>
    </row>
    <row r="38" spans="1:13" x14ac:dyDescent="0.25">
      <c r="C38" s="1" t="s">
        <v>95</v>
      </c>
      <c r="H38" t="str">
        <f t="shared" si="2"/>
        <v/>
      </c>
      <c r="I38" t="str">
        <f t="shared" si="3"/>
        <v/>
      </c>
      <c r="J38" t="str">
        <f t="shared" si="4"/>
        <v/>
      </c>
      <c r="L38" t="str">
        <f t="shared" si="1"/>
        <v/>
      </c>
      <c r="M38" t="str">
        <f t="shared" si="0"/>
        <v/>
      </c>
    </row>
    <row r="39" spans="1:13" x14ac:dyDescent="0.25">
      <c r="A39" s="1" t="s">
        <v>1269</v>
      </c>
      <c r="B39" s="1" t="s">
        <v>100</v>
      </c>
      <c r="C39" s="1" t="s">
        <v>95</v>
      </c>
      <c r="D39" s="1" t="s">
        <v>21</v>
      </c>
      <c r="E39" s="1" t="s">
        <v>101</v>
      </c>
      <c r="H39" t="str">
        <f t="shared" si="2"/>
        <v/>
      </c>
      <c r="I39" t="str">
        <f t="shared" si="3"/>
        <v/>
      </c>
      <c r="J39" t="str">
        <f t="shared" si="4"/>
        <v/>
      </c>
      <c r="L39" t="str">
        <f t="shared" si="1"/>
        <v>2</v>
      </c>
      <c r="M39">
        <f t="shared" si="0"/>
        <v>1</v>
      </c>
    </row>
    <row r="40" spans="1:13" x14ac:dyDescent="0.25">
      <c r="A40" s="1" t="s">
        <v>102</v>
      </c>
      <c r="D40" s="1" t="s">
        <v>39</v>
      </c>
      <c r="E40" s="1" t="s">
        <v>103</v>
      </c>
      <c r="H40" t="str">
        <f t="shared" si="2"/>
        <v>B3_REGNUM</v>
      </c>
      <c r="I40">
        <f t="shared" ca="1" si="3"/>
        <v>2</v>
      </c>
      <c r="J40" t="str">
        <f t="shared" ca="1" si="4"/>
        <v>"B3_REGNUM", 2</v>
      </c>
      <c r="L40" t="str">
        <f t="shared" si="1"/>
        <v/>
      </c>
      <c r="M40" t="str">
        <f t="shared" si="0"/>
        <v/>
      </c>
    </row>
    <row r="41" spans="1:13" x14ac:dyDescent="0.25">
      <c r="A41" s="1" t="s">
        <v>1270</v>
      </c>
      <c r="B41" s="1" t="s">
        <v>104</v>
      </c>
      <c r="C41" s="1" t="s">
        <v>105</v>
      </c>
      <c r="D41" s="1" t="s">
        <v>21</v>
      </c>
      <c r="E41" s="1" t="s">
        <v>108</v>
      </c>
      <c r="H41" t="str">
        <f t="shared" si="2"/>
        <v/>
      </c>
      <c r="I41" t="str">
        <f t="shared" si="3"/>
        <v/>
      </c>
      <c r="J41" t="str">
        <f t="shared" si="4"/>
        <v/>
      </c>
      <c r="L41" t="str">
        <f t="shared" si="1"/>
        <v>3</v>
      </c>
      <c r="M41">
        <f t="shared" si="0"/>
        <v>1</v>
      </c>
    </row>
    <row r="42" spans="1:13" x14ac:dyDescent="0.25">
      <c r="C42" s="1" t="s">
        <v>106</v>
      </c>
      <c r="H42" t="str">
        <f t="shared" si="2"/>
        <v/>
      </c>
      <c r="I42" t="str">
        <f t="shared" si="3"/>
        <v/>
      </c>
      <c r="J42" t="str">
        <f t="shared" si="4"/>
        <v/>
      </c>
      <c r="L42" t="str">
        <f t="shared" si="1"/>
        <v/>
      </c>
      <c r="M42" t="str">
        <f t="shared" si="0"/>
        <v/>
      </c>
    </row>
    <row r="43" spans="1:13" x14ac:dyDescent="0.25">
      <c r="C43" s="1" t="s">
        <v>107</v>
      </c>
      <c r="H43" t="str">
        <f t="shared" si="2"/>
        <v/>
      </c>
      <c r="I43" t="str">
        <f t="shared" si="3"/>
        <v/>
      </c>
      <c r="J43" t="str">
        <f t="shared" si="4"/>
        <v/>
      </c>
      <c r="L43" t="str">
        <f t="shared" si="1"/>
        <v/>
      </c>
      <c r="M43" t="str">
        <f t="shared" si="0"/>
        <v/>
      </c>
    </row>
    <row r="44" spans="1:13" x14ac:dyDescent="0.25">
      <c r="A44" s="1" t="s">
        <v>1271</v>
      </c>
      <c r="B44" s="1" t="s">
        <v>109</v>
      </c>
      <c r="C44" s="1" t="s">
        <v>110</v>
      </c>
      <c r="D44" s="1" t="s">
        <v>21</v>
      </c>
      <c r="E44" s="1" t="s">
        <v>111</v>
      </c>
      <c r="H44" t="str">
        <f t="shared" si="2"/>
        <v/>
      </c>
      <c r="I44" t="str">
        <f t="shared" si="3"/>
        <v/>
      </c>
      <c r="J44" t="str">
        <f t="shared" si="4"/>
        <v/>
      </c>
      <c r="L44" t="str">
        <f t="shared" si="1"/>
        <v>3</v>
      </c>
      <c r="M44">
        <f t="shared" si="0"/>
        <v>1</v>
      </c>
    </row>
    <row r="45" spans="1:13" x14ac:dyDescent="0.25">
      <c r="A45" s="1" t="s">
        <v>112</v>
      </c>
      <c r="D45" s="1" t="s">
        <v>39</v>
      </c>
      <c r="E45" s="1" t="s">
        <v>113</v>
      </c>
      <c r="H45" t="str">
        <f t="shared" si="2"/>
        <v>B4_TAXPAYERID</v>
      </c>
      <c r="I45">
        <f t="shared" ca="1" si="3"/>
        <v>2</v>
      </c>
      <c r="J45" t="str">
        <f t="shared" ca="1" si="4"/>
        <v>"B4_TAXPAYERID", 2</v>
      </c>
      <c r="L45" t="str">
        <f t="shared" si="1"/>
        <v/>
      </c>
      <c r="M45" t="str">
        <f t="shared" si="0"/>
        <v/>
      </c>
    </row>
    <row r="46" spans="1:13" x14ac:dyDescent="0.25">
      <c r="A46" s="1" t="s">
        <v>1272</v>
      </c>
      <c r="B46" s="1" t="s">
        <v>114</v>
      </c>
      <c r="C46" s="1" t="s">
        <v>115</v>
      </c>
      <c r="D46" s="1" t="s">
        <v>21</v>
      </c>
      <c r="E46" s="1" t="s">
        <v>116</v>
      </c>
      <c r="H46" t="str">
        <f t="shared" si="2"/>
        <v/>
      </c>
      <c r="I46" t="str">
        <f t="shared" si="3"/>
        <v/>
      </c>
      <c r="J46" t="str">
        <f t="shared" si="4"/>
        <v/>
      </c>
      <c r="L46" t="str">
        <f t="shared" si="1"/>
        <v>4</v>
      </c>
      <c r="M46">
        <f t="shared" si="0"/>
        <v>1</v>
      </c>
    </row>
    <row r="47" spans="1:13" x14ac:dyDescent="0.25">
      <c r="A47" s="1" t="s">
        <v>1273</v>
      </c>
      <c r="B47" s="1" t="s">
        <v>117</v>
      </c>
      <c r="C47" s="1" t="s">
        <v>118</v>
      </c>
      <c r="D47" s="1" t="s">
        <v>21</v>
      </c>
      <c r="E47" s="1" t="s">
        <v>120</v>
      </c>
      <c r="H47" t="str">
        <f t="shared" si="2"/>
        <v/>
      </c>
      <c r="I47" t="str">
        <f t="shared" si="3"/>
        <v/>
      </c>
      <c r="J47" t="str">
        <f t="shared" si="4"/>
        <v/>
      </c>
      <c r="L47" t="str">
        <f t="shared" si="1"/>
        <v>4</v>
      </c>
      <c r="M47">
        <f t="shared" si="0"/>
        <v>1</v>
      </c>
    </row>
    <row r="48" spans="1:13" x14ac:dyDescent="0.25">
      <c r="C48" s="1" t="s">
        <v>119</v>
      </c>
      <c r="H48" t="str">
        <f t="shared" si="2"/>
        <v/>
      </c>
      <c r="I48" t="str">
        <f t="shared" si="3"/>
        <v/>
      </c>
      <c r="J48" t="str">
        <f t="shared" si="4"/>
        <v/>
      </c>
      <c r="L48" t="str">
        <f t="shared" si="1"/>
        <v/>
      </c>
      <c r="M48" t="str">
        <f t="shared" si="0"/>
        <v/>
      </c>
    </row>
    <row r="49" spans="1:13" x14ac:dyDescent="0.25">
      <c r="C49" s="1" t="s">
        <v>107</v>
      </c>
      <c r="H49" t="str">
        <f t="shared" si="2"/>
        <v/>
      </c>
      <c r="I49" t="str">
        <f t="shared" si="3"/>
        <v/>
      </c>
      <c r="J49" t="str">
        <f t="shared" si="4"/>
        <v/>
      </c>
      <c r="L49" t="str">
        <f t="shared" si="1"/>
        <v/>
      </c>
      <c r="M49" t="str">
        <f t="shared" si="0"/>
        <v/>
      </c>
    </row>
    <row r="50" spans="1:13" x14ac:dyDescent="0.25">
      <c r="A50" s="1" t="s">
        <v>121</v>
      </c>
      <c r="D50" s="1" t="s">
        <v>39</v>
      </c>
      <c r="E50" s="1" t="s">
        <v>122</v>
      </c>
      <c r="H50" t="str">
        <f t="shared" si="2"/>
        <v>B5_REORG</v>
      </c>
      <c r="I50">
        <f t="shared" ca="1" si="3"/>
        <v>6</v>
      </c>
      <c r="J50" t="str">
        <f t="shared" ca="1" si="4"/>
        <v>"B5_REORG", 6</v>
      </c>
      <c r="L50" t="str">
        <f t="shared" si="1"/>
        <v/>
      </c>
      <c r="M50" t="str">
        <f t="shared" si="0"/>
        <v/>
      </c>
    </row>
    <row r="51" spans="1:13" x14ac:dyDescent="0.25">
      <c r="A51" s="1" t="s">
        <v>123</v>
      </c>
      <c r="H51" t="str">
        <f t="shared" si="2"/>
        <v/>
      </c>
      <c r="I51" t="str">
        <f t="shared" si="3"/>
        <v/>
      </c>
      <c r="J51" t="str">
        <f t="shared" si="4"/>
        <v/>
      </c>
      <c r="L51" t="str">
        <f t="shared" si="1"/>
        <v/>
      </c>
      <c r="M51" t="str">
        <f t="shared" si="0"/>
        <v/>
      </c>
    </row>
    <row r="52" spans="1:13" x14ac:dyDescent="0.25">
      <c r="A52" s="1" t="s">
        <v>1274</v>
      </c>
      <c r="B52" s="1" t="s">
        <v>51</v>
      </c>
      <c r="C52" s="1" t="s">
        <v>124</v>
      </c>
      <c r="E52" s="1" t="s">
        <v>125</v>
      </c>
      <c r="H52" t="str">
        <f t="shared" si="2"/>
        <v/>
      </c>
      <c r="I52" t="str">
        <f t="shared" si="3"/>
        <v/>
      </c>
      <c r="J52" t="str">
        <f t="shared" si="4"/>
        <v/>
      </c>
      <c r="L52" t="str">
        <f t="shared" si="1"/>
        <v>5</v>
      </c>
      <c r="M52">
        <f t="shared" si="0"/>
        <v>1</v>
      </c>
    </row>
    <row r="53" spans="1:13" x14ac:dyDescent="0.25">
      <c r="A53" s="1" t="s">
        <v>1275</v>
      </c>
      <c r="B53" s="1" t="s">
        <v>126</v>
      </c>
      <c r="C53" s="1" t="s">
        <v>127</v>
      </c>
      <c r="E53" s="1" t="s">
        <v>130</v>
      </c>
      <c r="H53" t="str">
        <f t="shared" si="2"/>
        <v/>
      </c>
      <c r="I53" t="str">
        <f t="shared" si="3"/>
        <v/>
      </c>
      <c r="J53" t="str">
        <f t="shared" si="4"/>
        <v/>
      </c>
      <c r="L53" t="str">
        <f t="shared" si="1"/>
        <v>5</v>
      </c>
      <c r="M53">
        <f t="shared" si="0"/>
        <v>1</v>
      </c>
    </row>
    <row r="54" spans="1:13" x14ac:dyDescent="0.25">
      <c r="C54" s="1" t="s">
        <v>128</v>
      </c>
      <c r="H54" t="str">
        <f t="shared" si="2"/>
        <v/>
      </c>
      <c r="I54" t="str">
        <f t="shared" si="3"/>
        <v/>
      </c>
      <c r="J54" t="str">
        <f t="shared" si="4"/>
        <v/>
      </c>
      <c r="L54" t="str">
        <f t="shared" si="1"/>
        <v/>
      </c>
      <c r="M54" t="str">
        <f t="shared" si="0"/>
        <v/>
      </c>
    </row>
    <row r="55" spans="1:13" x14ac:dyDescent="0.25">
      <c r="C55" s="1" t="s">
        <v>129</v>
      </c>
      <c r="H55" t="str">
        <f t="shared" si="2"/>
        <v/>
      </c>
      <c r="I55" t="str">
        <f t="shared" si="3"/>
        <v/>
      </c>
      <c r="J55" t="str">
        <f t="shared" si="4"/>
        <v/>
      </c>
      <c r="L55" t="str">
        <f t="shared" si="1"/>
        <v/>
      </c>
      <c r="M55" t="str">
        <f t="shared" si="0"/>
        <v/>
      </c>
    </row>
    <row r="56" spans="1:13" x14ac:dyDescent="0.25">
      <c r="A56" s="1" t="s">
        <v>1276</v>
      </c>
      <c r="B56" s="1" t="s">
        <v>131</v>
      </c>
      <c r="D56" s="1" t="s">
        <v>21</v>
      </c>
      <c r="E56" s="1" t="s">
        <v>132</v>
      </c>
      <c r="H56" t="str">
        <f t="shared" si="2"/>
        <v/>
      </c>
      <c r="I56" t="str">
        <f t="shared" si="3"/>
        <v/>
      </c>
      <c r="J56" t="str">
        <f t="shared" si="4"/>
        <v/>
      </c>
      <c r="L56" t="str">
        <f t="shared" si="1"/>
        <v>5</v>
      </c>
      <c r="M56">
        <f t="shared" si="0"/>
        <v>1</v>
      </c>
    </row>
    <row r="57" spans="1:13" x14ac:dyDescent="0.25">
      <c r="A57" s="1" t="s">
        <v>1277</v>
      </c>
      <c r="B57" s="1" t="s">
        <v>133</v>
      </c>
      <c r="E57" s="1" t="s">
        <v>134</v>
      </c>
      <c r="H57" t="str">
        <f t="shared" si="2"/>
        <v/>
      </c>
      <c r="I57" t="str">
        <f t="shared" si="3"/>
        <v/>
      </c>
      <c r="J57" t="str">
        <f t="shared" si="4"/>
        <v/>
      </c>
      <c r="L57" t="str">
        <f t="shared" si="1"/>
        <v>5</v>
      </c>
      <c r="M57">
        <f t="shared" si="0"/>
        <v>1</v>
      </c>
    </row>
    <row r="58" spans="1:13" x14ac:dyDescent="0.25">
      <c r="A58" s="1" t="s">
        <v>1278</v>
      </c>
      <c r="B58" s="1" t="s">
        <v>135</v>
      </c>
      <c r="C58" s="1" t="s">
        <v>107</v>
      </c>
      <c r="D58" s="1" t="s">
        <v>21</v>
      </c>
      <c r="E58" s="1" t="s">
        <v>136</v>
      </c>
      <c r="H58" t="str">
        <f t="shared" si="2"/>
        <v/>
      </c>
      <c r="I58" t="str">
        <f t="shared" si="3"/>
        <v/>
      </c>
      <c r="J58" t="str">
        <f t="shared" si="4"/>
        <v/>
      </c>
      <c r="L58" t="str">
        <f t="shared" si="1"/>
        <v>5</v>
      </c>
      <c r="M58">
        <f t="shared" si="0"/>
        <v>1</v>
      </c>
    </row>
    <row r="59" spans="1:13" x14ac:dyDescent="0.25">
      <c r="A59" s="1" t="s">
        <v>1279</v>
      </c>
      <c r="B59" s="1" t="s">
        <v>137</v>
      </c>
      <c r="D59" s="1" t="s">
        <v>21</v>
      </c>
      <c r="E59" s="1" t="s">
        <v>138</v>
      </c>
      <c r="H59" t="str">
        <f t="shared" si="2"/>
        <v/>
      </c>
      <c r="I59" t="str">
        <f t="shared" si="3"/>
        <v/>
      </c>
      <c r="J59" t="str">
        <f t="shared" si="4"/>
        <v/>
      </c>
      <c r="L59" t="str">
        <f t="shared" si="1"/>
        <v>5</v>
      </c>
      <c r="M59">
        <f t="shared" si="0"/>
        <v>1</v>
      </c>
    </row>
    <row r="60" spans="1:13" x14ac:dyDescent="0.25">
      <c r="A60" s="1" t="s">
        <v>139</v>
      </c>
      <c r="H60" t="str">
        <f t="shared" si="2"/>
        <v/>
      </c>
      <c r="I60" t="str">
        <f t="shared" si="3"/>
        <v/>
      </c>
      <c r="J60" t="str">
        <f t="shared" si="4"/>
        <v/>
      </c>
      <c r="L60" t="str">
        <f t="shared" si="1"/>
        <v/>
      </c>
      <c r="M60" t="str">
        <f t="shared" si="0"/>
        <v/>
      </c>
    </row>
    <row r="61" spans="1:13" x14ac:dyDescent="0.25">
      <c r="A61" s="1" t="s">
        <v>140</v>
      </c>
      <c r="H61" t="str">
        <f t="shared" si="2"/>
        <v/>
      </c>
      <c r="I61" t="str">
        <f t="shared" si="3"/>
        <v/>
      </c>
      <c r="J61" t="str">
        <f t="shared" si="4"/>
        <v/>
      </c>
      <c r="L61" t="str">
        <f t="shared" si="1"/>
        <v/>
      </c>
      <c r="M61" t="str">
        <f t="shared" si="0"/>
        <v/>
      </c>
    </row>
    <row r="62" spans="1:13" x14ac:dyDescent="0.25">
      <c r="A62" s="1" t="s">
        <v>141</v>
      </c>
      <c r="D62" s="1" t="s">
        <v>39</v>
      </c>
      <c r="E62" s="1" t="s">
        <v>142</v>
      </c>
      <c r="H62" t="str">
        <f t="shared" si="2"/>
        <v>B6_BANKRUPTCY</v>
      </c>
      <c r="I62">
        <f t="shared" ca="1" si="3"/>
        <v>9</v>
      </c>
      <c r="J62" t="str">
        <f t="shared" ca="1" si="4"/>
        <v>"B6_BANKRUPTCY", 9</v>
      </c>
      <c r="L62" t="str">
        <f t="shared" si="1"/>
        <v/>
      </c>
      <c r="M62" t="str">
        <f t="shared" si="0"/>
        <v/>
      </c>
    </row>
    <row r="63" spans="1:13" x14ac:dyDescent="0.25">
      <c r="A63" s="1" t="s">
        <v>38</v>
      </c>
      <c r="H63" t="str">
        <f t="shared" si="2"/>
        <v/>
      </c>
      <c r="I63" t="str">
        <f t="shared" si="3"/>
        <v/>
      </c>
      <c r="J63" t="str">
        <f t="shared" si="4"/>
        <v/>
      </c>
      <c r="L63" t="str">
        <f t="shared" si="1"/>
        <v/>
      </c>
      <c r="M63" t="str">
        <f t="shared" si="0"/>
        <v/>
      </c>
    </row>
    <row r="64" spans="1:13" x14ac:dyDescent="0.25">
      <c r="A64" s="1" t="s">
        <v>143</v>
      </c>
      <c r="H64" t="str">
        <f t="shared" si="2"/>
        <v/>
      </c>
      <c r="I64" t="str">
        <f t="shared" si="3"/>
        <v/>
      </c>
      <c r="J64" t="str">
        <f t="shared" si="4"/>
        <v/>
      </c>
      <c r="L64" t="str">
        <f t="shared" si="1"/>
        <v/>
      </c>
      <c r="M64" t="str">
        <f t="shared" si="0"/>
        <v/>
      </c>
    </row>
    <row r="65" spans="1:13" x14ac:dyDescent="0.25">
      <c r="A65" s="1" t="s">
        <v>144</v>
      </c>
      <c r="H65" t="str">
        <f t="shared" si="2"/>
        <v/>
      </c>
      <c r="I65" t="str">
        <f t="shared" si="3"/>
        <v/>
      </c>
      <c r="J65" t="str">
        <f t="shared" si="4"/>
        <v/>
      </c>
      <c r="L65" t="str">
        <f t="shared" si="1"/>
        <v/>
      </c>
      <c r="M65" t="str">
        <f t="shared" si="0"/>
        <v/>
      </c>
    </row>
    <row r="66" spans="1:13" x14ac:dyDescent="0.25">
      <c r="A66" s="1" t="s">
        <v>145</v>
      </c>
      <c r="H66" t="str">
        <f t="shared" si="2"/>
        <v/>
      </c>
      <c r="I66" t="str">
        <f t="shared" si="3"/>
        <v/>
      </c>
      <c r="J66" t="str">
        <f t="shared" si="4"/>
        <v/>
      </c>
      <c r="L66" t="str">
        <f t="shared" si="1"/>
        <v/>
      </c>
      <c r="M66" t="str">
        <f t="shared" ref="M66:M129" si="5">IF(AND(LEN(A66)&lt;6,A66&lt;&gt;""),1,"")</f>
        <v/>
      </c>
    </row>
    <row r="67" spans="1:13" x14ac:dyDescent="0.25">
      <c r="A67" s="1" t="s">
        <v>1280</v>
      </c>
      <c r="B67" s="1" t="s">
        <v>146</v>
      </c>
      <c r="C67" s="1" t="s">
        <v>147</v>
      </c>
      <c r="H67" t="str">
        <f t="shared" si="2"/>
        <v/>
      </c>
      <c r="I67" t="str">
        <f t="shared" si="3"/>
        <v/>
      </c>
      <c r="J67" t="str">
        <f t="shared" si="4"/>
        <v/>
      </c>
      <c r="L67" t="str">
        <f t="shared" ref="L67:L130" si="6">IFERROR(IF(LEN(A67)&lt;=5,TRIM(LEFT(A67,SEARCH(".",A67)-1)),""),"")</f>
        <v>6</v>
      </c>
      <c r="M67">
        <f t="shared" si="5"/>
        <v>1</v>
      </c>
    </row>
    <row r="68" spans="1:13" x14ac:dyDescent="0.25">
      <c r="C68" s="1" t="s">
        <v>128</v>
      </c>
      <c r="H68" t="str">
        <f t="shared" si="2"/>
        <v/>
      </c>
      <c r="I68" t="str">
        <f t="shared" si="3"/>
        <v/>
      </c>
      <c r="J68" t="str">
        <f t="shared" si="4"/>
        <v/>
      </c>
      <c r="L68" t="str">
        <f t="shared" si="6"/>
        <v/>
      </c>
      <c r="M68" t="str">
        <f t="shared" si="5"/>
        <v/>
      </c>
    </row>
    <row r="69" spans="1:13" x14ac:dyDescent="0.25">
      <c r="C69" s="1" t="s">
        <v>148</v>
      </c>
      <c r="H69" t="str">
        <f t="shared" si="2"/>
        <v/>
      </c>
      <c r="I69" t="str">
        <f t="shared" si="3"/>
        <v/>
      </c>
      <c r="J69" t="str">
        <f t="shared" si="4"/>
        <v/>
      </c>
      <c r="L69" t="str">
        <f t="shared" si="6"/>
        <v/>
      </c>
      <c r="M69" t="str">
        <f t="shared" si="5"/>
        <v/>
      </c>
    </row>
    <row r="70" spans="1:13" x14ac:dyDescent="0.25">
      <c r="A70" s="1" t="s">
        <v>1281</v>
      </c>
      <c r="B70" s="1" t="s">
        <v>149</v>
      </c>
      <c r="C70" s="1" t="s">
        <v>150</v>
      </c>
      <c r="D70" s="1" t="s">
        <v>152</v>
      </c>
      <c r="E70" s="1" t="s">
        <v>153</v>
      </c>
      <c r="H70" t="str">
        <f t="shared" si="2"/>
        <v/>
      </c>
      <c r="I70" t="str">
        <f t="shared" si="3"/>
        <v/>
      </c>
      <c r="J70" t="str">
        <f t="shared" si="4"/>
        <v/>
      </c>
      <c r="L70" t="str">
        <f t="shared" si="6"/>
        <v>6</v>
      </c>
      <c r="M70">
        <f t="shared" si="5"/>
        <v>1</v>
      </c>
    </row>
    <row r="71" spans="1:13" x14ac:dyDescent="0.25">
      <c r="C71" s="1" t="s">
        <v>151</v>
      </c>
      <c r="H71" t="str">
        <f t="shared" ref="H71:H134" si="7">IFERROR(TRIM(IF(SEARCH("Блок ",A71),IF(SEARCH("B",A71),RIGHT(A71,LEN(A71)-SEARCH("B",A71)+1)),"")),"")</f>
        <v/>
      </c>
      <c r="I71" t="str">
        <f t="shared" ref="I71:I134" si="8">IFERROR(IF(H71&lt;&gt;"",SUMIF(L:M,TRIM(MID(A71,SEARCH(" ",A71),SEARCH(". ",A71)-5)),M:M),""),"")</f>
        <v/>
      </c>
      <c r="J71" t="str">
        <f t="shared" ref="J71:J134" si="9">CLEAN(TRIM(IF(H71&lt;&gt;"",""""&amp;H71&amp;""""&amp;", "&amp;I71,"")))</f>
        <v/>
      </c>
      <c r="L71" t="str">
        <f t="shared" si="6"/>
        <v/>
      </c>
      <c r="M71" t="str">
        <f t="shared" si="5"/>
        <v/>
      </c>
    </row>
    <row r="72" spans="1:13" x14ac:dyDescent="0.25">
      <c r="A72" s="1" t="s">
        <v>1282</v>
      </c>
      <c r="B72" s="1" t="s">
        <v>154</v>
      </c>
      <c r="C72" s="1" t="s">
        <v>155</v>
      </c>
      <c r="D72" s="1" t="s">
        <v>152</v>
      </c>
      <c r="E72" s="1" t="s">
        <v>156</v>
      </c>
      <c r="H72" t="str">
        <f t="shared" si="7"/>
        <v/>
      </c>
      <c r="I72" t="str">
        <f t="shared" si="8"/>
        <v/>
      </c>
      <c r="J72" t="str">
        <f t="shared" si="9"/>
        <v/>
      </c>
      <c r="L72" t="str">
        <f t="shared" si="6"/>
        <v>6</v>
      </c>
      <c r="M72">
        <f t="shared" si="5"/>
        <v>1</v>
      </c>
    </row>
    <row r="73" spans="1:13" x14ac:dyDescent="0.25">
      <c r="A73" s="1" t="s">
        <v>1283</v>
      </c>
      <c r="B73" s="1" t="s">
        <v>157</v>
      </c>
      <c r="C73" s="1" t="s">
        <v>158</v>
      </c>
      <c r="D73" s="1" t="s">
        <v>152</v>
      </c>
      <c r="E73" s="1" t="s">
        <v>159</v>
      </c>
      <c r="H73" t="str">
        <f t="shared" si="7"/>
        <v/>
      </c>
      <c r="I73" t="str">
        <f t="shared" si="8"/>
        <v/>
      </c>
      <c r="J73" t="str">
        <f t="shared" si="9"/>
        <v/>
      </c>
      <c r="L73" t="str">
        <f t="shared" si="6"/>
        <v>6</v>
      </c>
      <c r="M73">
        <f t="shared" si="5"/>
        <v>1</v>
      </c>
    </row>
    <row r="74" spans="1:13" x14ac:dyDescent="0.25">
      <c r="A74" s="1" t="s">
        <v>1284</v>
      </c>
      <c r="B74" s="1" t="s">
        <v>160</v>
      </c>
      <c r="C74" s="1" t="s">
        <v>161</v>
      </c>
      <c r="D74" s="1" t="s">
        <v>152</v>
      </c>
      <c r="E74" s="1" t="s">
        <v>162</v>
      </c>
      <c r="H74" t="str">
        <f t="shared" si="7"/>
        <v/>
      </c>
      <c r="I74" t="str">
        <f t="shared" si="8"/>
        <v/>
      </c>
      <c r="J74" t="str">
        <f t="shared" si="9"/>
        <v/>
      </c>
      <c r="L74" t="str">
        <f t="shared" si="6"/>
        <v>6</v>
      </c>
      <c r="M74">
        <f t="shared" si="5"/>
        <v>1</v>
      </c>
    </row>
    <row r="75" spans="1:13" x14ac:dyDescent="0.25">
      <c r="C75" s="1" t="s">
        <v>128</v>
      </c>
      <c r="H75" t="str">
        <f t="shared" si="7"/>
        <v/>
      </c>
      <c r="I75" t="str">
        <f t="shared" si="8"/>
        <v/>
      </c>
      <c r="J75" t="str">
        <f t="shared" si="9"/>
        <v/>
      </c>
      <c r="L75" t="str">
        <f t="shared" si="6"/>
        <v/>
      </c>
      <c r="M75" t="str">
        <f t="shared" si="5"/>
        <v/>
      </c>
    </row>
    <row r="76" spans="1:13" x14ac:dyDescent="0.25">
      <c r="A76" s="1" t="s">
        <v>1285</v>
      </c>
      <c r="B76" s="1" t="s">
        <v>163</v>
      </c>
      <c r="D76" s="1" t="s">
        <v>152</v>
      </c>
      <c r="E76" s="1" t="s">
        <v>164</v>
      </c>
      <c r="H76" t="str">
        <f t="shared" si="7"/>
        <v/>
      </c>
      <c r="I76" t="str">
        <f t="shared" si="8"/>
        <v/>
      </c>
      <c r="J76" t="str">
        <f t="shared" si="9"/>
        <v/>
      </c>
      <c r="L76" t="str">
        <f t="shared" si="6"/>
        <v>6</v>
      </c>
      <c r="M76">
        <f t="shared" si="5"/>
        <v>1</v>
      </c>
    </row>
    <row r="77" spans="1:13" x14ac:dyDescent="0.25">
      <c r="A77" s="1" t="s">
        <v>1286</v>
      </c>
      <c r="B77" s="1" t="s">
        <v>165</v>
      </c>
      <c r="C77" s="1" t="s">
        <v>166</v>
      </c>
      <c r="D77" s="1" t="s">
        <v>152</v>
      </c>
      <c r="E77" s="1" t="s">
        <v>167</v>
      </c>
      <c r="H77" t="str">
        <f t="shared" si="7"/>
        <v/>
      </c>
      <c r="I77" t="str">
        <f t="shared" si="8"/>
        <v/>
      </c>
      <c r="J77" t="str">
        <f t="shared" si="9"/>
        <v/>
      </c>
      <c r="L77" t="str">
        <f t="shared" si="6"/>
        <v>6</v>
      </c>
      <c r="M77">
        <f t="shared" si="5"/>
        <v>1</v>
      </c>
    </row>
    <row r="78" spans="1:13" x14ac:dyDescent="0.25">
      <c r="C78" s="1" t="s">
        <v>128</v>
      </c>
      <c r="H78" t="str">
        <f t="shared" si="7"/>
        <v/>
      </c>
      <c r="I78" t="str">
        <f t="shared" si="8"/>
        <v/>
      </c>
      <c r="J78" t="str">
        <f t="shared" si="9"/>
        <v/>
      </c>
      <c r="L78" t="str">
        <f t="shared" si="6"/>
        <v/>
      </c>
      <c r="M78" t="str">
        <f t="shared" si="5"/>
        <v/>
      </c>
    </row>
    <row r="79" spans="1:13" x14ac:dyDescent="0.25">
      <c r="A79" s="1" t="s">
        <v>1287</v>
      </c>
      <c r="B79" s="1" t="s">
        <v>168</v>
      </c>
      <c r="D79" s="1" t="s">
        <v>152</v>
      </c>
      <c r="E79" s="1" t="s">
        <v>169</v>
      </c>
      <c r="H79" t="str">
        <f t="shared" si="7"/>
        <v/>
      </c>
      <c r="I79" t="str">
        <f t="shared" si="8"/>
        <v/>
      </c>
      <c r="J79" t="str">
        <f t="shared" si="9"/>
        <v/>
      </c>
      <c r="L79" t="str">
        <f t="shared" si="6"/>
        <v>6</v>
      </c>
      <c r="M79">
        <f t="shared" si="5"/>
        <v>1</v>
      </c>
    </row>
    <row r="80" spans="1:13" x14ac:dyDescent="0.25">
      <c r="A80" s="1" t="s">
        <v>1288</v>
      </c>
      <c r="B80" s="1" t="s">
        <v>170</v>
      </c>
      <c r="C80" s="1" t="s">
        <v>171</v>
      </c>
      <c r="D80" s="1" t="s">
        <v>152</v>
      </c>
      <c r="E80" s="1" t="s">
        <v>172</v>
      </c>
      <c r="H80" t="str">
        <f t="shared" si="7"/>
        <v/>
      </c>
      <c r="I80" t="str">
        <f t="shared" si="8"/>
        <v/>
      </c>
      <c r="J80" t="str">
        <f t="shared" si="9"/>
        <v/>
      </c>
      <c r="L80" t="str">
        <f t="shared" si="6"/>
        <v>6</v>
      </c>
      <c r="M80">
        <f t="shared" si="5"/>
        <v>1</v>
      </c>
    </row>
    <row r="81" spans="1:13" x14ac:dyDescent="0.25">
      <c r="A81" s="1" t="s">
        <v>173</v>
      </c>
      <c r="D81" s="1" t="s">
        <v>39</v>
      </c>
      <c r="E81" s="1" t="s">
        <v>174</v>
      </c>
      <c r="H81" t="str">
        <f t="shared" si="7"/>
        <v>B7_SETTLED</v>
      </c>
      <c r="I81">
        <f t="shared" ca="1" si="8"/>
        <v>2</v>
      </c>
      <c r="J81" t="str">
        <f t="shared" ca="1" si="9"/>
        <v>"B7_SETTLED", 2</v>
      </c>
      <c r="L81" t="str">
        <f t="shared" si="6"/>
        <v/>
      </c>
      <c r="M81" t="str">
        <f t="shared" si="5"/>
        <v/>
      </c>
    </row>
    <row r="82" spans="1:13" x14ac:dyDescent="0.25">
      <c r="A82" s="1" t="s">
        <v>145</v>
      </c>
      <c r="H82" t="str">
        <f t="shared" si="7"/>
        <v/>
      </c>
      <c r="I82" t="str">
        <f t="shared" si="8"/>
        <v/>
      </c>
      <c r="J82" t="str">
        <f t="shared" si="9"/>
        <v/>
      </c>
      <c r="L82" t="str">
        <f t="shared" si="6"/>
        <v/>
      </c>
      <c r="M82" t="str">
        <f t="shared" si="5"/>
        <v/>
      </c>
    </row>
    <row r="83" spans="1:13" x14ac:dyDescent="0.25">
      <c r="A83" s="1" t="s">
        <v>1289</v>
      </c>
      <c r="B83" s="1" t="s">
        <v>175</v>
      </c>
      <c r="C83" s="1" t="s">
        <v>176</v>
      </c>
      <c r="E83" s="1" t="s">
        <v>178</v>
      </c>
      <c r="H83" t="str">
        <f t="shared" si="7"/>
        <v/>
      </c>
      <c r="I83" t="str">
        <f t="shared" si="8"/>
        <v/>
      </c>
      <c r="J83" t="str">
        <f t="shared" si="9"/>
        <v/>
      </c>
      <c r="L83" t="str">
        <f t="shared" si="6"/>
        <v>7</v>
      </c>
      <c r="M83">
        <f t="shared" si="5"/>
        <v>1</v>
      </c>
    </row>
    <row r="84" spans="1:13" x14ac:dyDescent="0.25">
      <c r="C84" s="1" t="s">
        <v>128</v>
      </c>
      <c r="H84" t="str">
        <f t="shared" si="7"/>
        <v/>
      </c>
      <c r="I84" t="str">
        <f t="shared" si="8"/>
        <v/>
      </c>
      <c r="J84" t="str">
        <f t="shared" si="9"/>
        <v/>
      </c>
      <c r="L84" t="str">
        <f t="shared" si="6"/>
        <v/>
      </c>
      <c r="M84" t="str">
        <f t="shared" si="5"/>
        <v/>
      </c>
    </row>
    <row r="85" spans="1:13" x14ac:dyDescent="0.25">
      <c r="C85" s="1" t="s">
        <v>177</v>
      </c>
      <c r="H85" t="str">
        <f t="shared" si="7"/>
        <v/>
      </c>
      <c r="I85" t="str">
        <f t="shared" si="8"/>
        <v/>
      </c>
      <c r="J85" t="str">
        <f t="shared" si="9"/>
        <v/>
      </c>
      <c r="L85" t="str">
        <f t="shared" si="6"/>
        <v/>
      </c>
      <c r="M85" t="str">
        <f t="shared" si="5"/>
        <v/>
      </c>
    </row>
    <row r="86" spans="1:13" x14ac:dyDescent="0.25">
      <c r="A86" s="1" t="s">
        <v>1290</v>
      </c>
      <c r="B86" s="1" t="s">
        <v>179</v>
      </c>
      <c r="D86" s="1" t="s">
        <v>21</v>
      </c>
      <c r="E86" s="1" t="s">
        <v>180</v>
      </c>
      <c r="H86" t="str">
        <f t="shared" si="7"/>
        <v/>
      </c>
      <c r="I86" t="str">
        <f t="shared" si="8"/>
        <v/>
      </c>
      <c r="J86" t="str">
        <f t="shared" si="9"/>
        <v/>
      </c>
      <c r="L86" t="str">
        <f t="shared" si="6"/>
        <v>7</v>
      </c>
      <c r="M86">
        <f t="shared" si="5"/>
        <v>1</v>
      </c>
    </row>
    <row r="87" spans="1:13" x14ac:dyDescent="0.25">
      <c r="A87" s="1" t="s">
        <v>181</v>
      </c>
      <c r="D87" s="1" t="s">
        <v>39</v>
      </c>
      <c r="E87" s="1" t="s">
        <v>183</v>
      </c>
      <c r="H87" t="str">
        <f t="shared" si="7"/>
        <v>B8_PREVCRED</v>
      </c>
      <c r="I87">
        <f t="shared" ca="1" si="8"/>
        <v>4</v>
      </c>
      <c r="J87" t="str">
        <f t="shared" ca="1" si="9"/>
        <v>"B8_PREVCRED", 4</v>
      </c>
      <c r="L87" t="str">
        <f t="shared" si="6"/>
        <v/>
      </c>
      <c r="M87" t="str">
        <f t="shared" si="5"/>
        <v/>
      </c>
    </row>
    <row r="88" spans="1:13" x14ac:dyDescent="0.25">
      <c r="A88" s="1" t="s">
        <v>182</v>
      </c>
      <c r="H88" t="str">
        <f t="shared" si="7"/>
        <v/>
      </c>
      <c r="I88" t="str">
        <f t="shared" si="8"/>
        <v/>
      </c>
      <c r="J88" t="str">
        <f t="shared" si="9"/>
        <v/>
      </c>
      <c r="L88" t="str">
        <f t="shared" si="6"/>
        <v/>
      </c>
      <c r="M88" t="str">
        <f t="shared" si="5"/>
        <v/>
      </c>
    </row>
    <row r="89" spans="1:13" x14ac:dyDescent="0.25">
      <c r="A89" s="1" t="s">
        <v>1291</v>
      </c>
      <c r="B89" s="1" t="s">
        <v>184</v>
      </c>
      <c r="C89" s="1" t="s">
        <v>185</v>
      </c>
      <c r="H89" t="str">
        <f t="shared" si="7"/>
        <v/>
      </c>
      <c r="I89" t="str">
        <f t="shared" si="8"/>
        <v/>
      </c>
      <c r="J89" t="str">
        <f t="shared" si="9"/>
        <v/>
      </c>
      <c r="L89" t="str">
        <f t="shared" si="6"/>
        <v>8</v>
      </c>
      <c r="M89">
        <f t="shared" si="5"/>
        <v>1</v>
      </c>
    </row>
    <row r="90" spans="1:13" x14ac:dyDescent="0.25">
      <c r="C90" s="1" t="s">
        <v>186</v>
      </c>
      <c r="H90" t="str">
        <f t="shared" si="7"/>
        <v/>
      </c>
      <c r="I90" t="str">
        <f t="shared" si="8"/>
        <v/>
      </c>
      <c r="J90" t="str">
        <f t="shared" si="9"/>
        <v/>
      </c>
      <c r="L90" t="str">
        <f t="shared" si="6"/>
        <v/>
      </c>
      <c r="M90" t="str">
        <f t="shared" si="5"/>
        <v/>
      </c>
    </row>
    <row r="91" spans="1:13" x14ac:dyDescent="0.25">
      <c r="A91" s="1" t="s">
        <v>1292</v>
      </c>
      <c r="B91" s="1" t="s">
        <v>187</v>
      </c>
      <c r="C91" s="1" t="s">
        <v>188</v>
      </c>
      <c r="E91" s="1" t="s">
        <v>189</v>
      </c>
      <c r="H91" t="str">
        <f t="shared" si="7"/>
        <v/>
      </c>
      <c r="I91" t="str">
        <f t="shared" si="8"/>
        <v/>
      </c>
      <c r="J91" t="str">
        <f t="shared" si="9"/>
        <v/>
      </c>
      <c r="L91" t="str">
        <f t="shared" si="6"/>
        <v>8</v>
      </c>
      <c r="M91">
        <f t="shared" si="5"/>
        <v>1</v>
      </c>
    </row>
    <row r="92" spans="1:13" x14ac:dyDescent="0.25">
      <c r="A92" s="1" t="s">
        <v>1293</v>
      </c>
      <c r="B92" s="1" t="s">
        <v>190</v>
      </c>
      <c r="C92" s="1" t="s">
        <v>191</v>
      </c>
      <c r="E92" s="1" t="s">
        <v>192</v>
      </c>
      <c r="H92" t="str">
        <f t="shared" si="7"/>
        <v/>
      </c>
      <c r="I92" t="str">
        <f t="shared" si="8"/>
        <v/>
      </c>
      <c r="J92" t="str">
        <f t="shared" si="9"/>
        <v/>
      </c>
      <c r="L92" t="str">
        <f t="shared" si="6"/>
        <v>8</v>
      </c>
      <c r="M92">
        <f t="shared" si="5"/>
        <v>1</v>
      </c>
    </row>
    <row r="93" spans="1:13" x14ac:dyDescent="0.25">
      <c r="A93" s="1" t="s">
        <v>1294</v>
      </c>
      <c r="B93" s="1" t="s">
        <v>135</v>
      </c>
      <c r="C93" s="1" t="s">
        <v>191</v>
      </c>
      <c r="D93" s="1" t="s">
        <v>21</v>
      </c>
      <c r="E93" s="1" t="s">
        <v>193</v>
      </c>
      <c r="H93" t="str">
        <f t="shared" si="7"/>
        <v/>
      </c>
      <c r="I93" t="str">
        <f t="shared" si="8"/>
        <v/>
      </c>
      <c r="J93" t="str">
        <f t="shared" si="9"/>
        <v/>
      </c>
      <c r="L93" t="str">
        <f t="shared" si="6"/>
        <v>8</v>
      </c>
      <c r="M93">
        <f t="shared" si="5"/>
        <v>1</v>
      </c>
    </row>
    <row r="94" spans="1:13" x14ac:dyDescent="0.25">
      <c r="A94" s="1" t="s">
        <v>194</v>
      </c>
      <c r="E94" s="1" t="s">
        <v>195</v>
      </c>
      <c r="H94" t="str">
        <f t="shared" si="7"/>
        <v>B9_SCORE</v>
      </c>
      <c r="I94">
        <f t="shared" ca="1" si="8"/>
        <v>2</v>
      </c>
      <c r="J94" t="str">
        <f t="shared" ca="1" si="9"/>
        <v>"B9_SCORE", 2</v>
      </c>
      <c r="L94" t="str">
        <f t="shared" si="6"/>
        <v/>
      </c>
      <c r="M94" t="str">
        <f t="shared" si="5"/>
        <v/>
      </c>
    </row>
    <row r="95" spans="1:13" x14ac:dyDescent="0.25">
      <c r="A95" s="1" t="s">
        <v>196</v>
      </c>
      <c r="H95" t="str">
        <f t="shared" si="7"/>
        <v/>
      </c>
      <c r="I95" t="str">
        <f t="shared" si="8"/>
        <v/>
      </c>
      <c r="J95" t="str">
        <f t="shared" si="9"/>
        <v/>
      </c>
      <c r="L95" t="str">
        <f t="shared" si="6"/>
        <v/>
      </c>
      <c r="M95" t="str">
        <f t="shared" si="5"/>
        <v/>
      </c>
    </row>
    <row r="96" spans="1:13" x14ac:dyDescent="0.25">
      <c r="A96" s="1" t="s">
        <v>1295</v>
      </c>
      <c r="B96" s="1" t="s">
        <v>197</v>
      </c>
      <c r="E96" s="1" t="s">
        <v>198</v>
      </c>
      <c r="H96" t="str">
        <f t="shared" si="7"/>
        <v/>
      </c>
      <c r="I96" t="str">
        <f t="shared" si="8"/>
        <v/>
      </c>
      <c r="J96" t="str">
        <f t="shared" si="9"/>
        <v/>
      </c>
      <c r="L96" t="str">
        <f t="shared" si="6"/>
        <v>9</v>
      </c>
      <c r="M96">
        <f t="shared" si="5"/>
        <v>1</v>
      </c>
    </row>
    <row r="97" spans="1:13" x14ac:dyDescent="0.25">
      <c r="A97" s="1" t="s">
        <v>1296</v>
      </c>
      <c r="B97" s="1" t="s">
        <v>199</v>
      </c>
      <c r="E97" s="1" t="s">
        <v>200</v>
      </c>
      <c r="H97" t="str">
        <f t="shared" si="7"/>
        <v/>
      </c>
      <c r="I97" t="str">
        <f t="shared" si="8"/>
        <v/>
      </c>
      <c r="J97" t="str">
        <f t="shared" si="9"/>
        <v/>
      </c>
      <c r="L97" t="str">
        <f t="shared" si="6"/>
        <v>9</v>
      </c>
      <c r="M97">
        <f t="shared" si="5"/>
        <v>1</v>
      </c>
    </row>
    <row r="98" spans="1:13" x14ac:dyDescent="0.25">
      <c r="A98" s="1" t="s">
        <v>201</v>
      </c>
      <c r="H98" t="str">
        <f t="shared" si="7"/>
        <v/>
      </c>
      <c r="I98" t="str">
        <f t="shared" si="8"/>
        <v/>
      </c>
      <c r="J98" t="str">
        <f t="shared" si="9"/>
        <v/>
      </c>
      <c r="L98" t="str">
        <f t="shared" si="6"/>
        <v/>
      </c>
      <c r="M98" t="str">
        <f t="shared" si="5"/>
        <v/>
      </c>
    </row>
    <row r="99" spans="1:13" x14ac:dyDescent="0.25">
      <c r="A99" s="1" t="s">
        <v>202</v>
      </c>
      <c r="H99" t="str">
        <f t="shared" si="7"/>
        <v/>
      </c>
      <c r="I99" t="str">
        <f t="shared" si="8"/>
        <v/>
      </c>
      <c r="J99" t="str">
        <f t="shared" si="9"/>
        <v/>
      </c>
      <c r="L99" t="str">
        <f t="shared" si="6"/>
        <v/>
      </c>
      <c r="M99" t="str">
        <f t="shared" si="5"/>
        <v/>
      </c>
    </row>
    <row r="100" spans="1:13" x14ac:dyDescent="0.25">
      <c r="A100" s="1" t="s">
        <v>203</v>
      </c>
      <c r="D100" s="1" t="s">
        <v>39</v>
      </c>
      <c r="E100" s="1" t="s">
        <v>204</v>
      </c>
      <c r="H100" t="str">
        <f t="shared" si="7"/>
        <v>B10_UID</v>
      </c>
      <c r="I100">
        <f t="shared" ca="1" si="8"/>
        <v>2</v>
      </c>
      <c r="J100" t="str">
        <f t="shared" ca="1" si="9"/>
        <v>"B10_UID", 2</v>
      </c>
      <c r="L100" t="str">
        <f t="shared" si="6"/>
        <v/>
      </c>
      <c r="M100" t="str">
        <f t="shared" si="5"/>
        <v/>
      </c>
    </row>
    <row r="101" spans="1:13" x14ac:dyDescent="0.25">
      <c r="A101" s="1" t="s">
        <v>38</v>
      </c>
      <c r="H101" t="str">
        <f t="shared" si="7"/>
        <v/>
      </c>
      <c r="I101" t="str">
        <f t="shared" si="8"/>
        <v/>
      </c>
      <c r="J101" t="str">
        <f t="shared" si="9"/>
        <v/>
      </c>
      <c r="L101" t="str">
        <f t="shared" si="6"/>
        <v/>
      </c>
      <c r="M101" t="str">
        <f t="shared" si="5"/>
        <v/>
      </c>
    </row>
    <row r="102" spans="1:13" x14ac:dyDescent="0.25">
      <c r="A102" s="1" t="s">
        <v>1297</v>
      </c>
      <c r="B102" s="1" t="s">
        <v>205</v>
      </c>
      <c r="C102" s="1" t="s">
        <v>206</v>
      </c>
      <c r="D102" s="1" t="s">
        <v>21</v>
      </c>
      <c r="E102" s="1" t="s">
        <v>209</v>
      </c>
      <c r="H102" t="str">
        <f t="shared" si="7"/>
        <v/>
      </c>
      <c r="I102" t="str">
        <f t="shared" si="8"/>
        <v/>
      </c>
      <c r="J102" t="str">
        <f t="shared" si="9"/>
        <v/>
      </c>
      <c r="L102" t="str">
        <f t="shared" si="6"/>
        <v>10</v>
      </c>
      <c r="M102">
        <f t="shared" si="5"/>
        <v>1</v>
      </c>
    </row>
    <row r="103" spans="1:13" x14ac:dyDescent="0.25">
      <c r="C103" s="1" t="s">
        <v>207</v>
      </c>
      <c r="H103" t="str">
        <f t="shared" si="7"/>
        <v/>
      </c>
      <c r="I103" t="str">
        <f t="shared" si="8"/>
        <v/>
      </c>
      <c r="J103" t="str">
        <f t="shared" si="9"/>
        <v/>
      </c>
      <c r="L103" t="str">
        <f t="shared" si="6"/>
        <v/>
      </c>
      <c r="M103" t="str">
        <f t="shared" si="5"/>
        <v/>
      </c>
    </row>
    <row r="104" spans="1:13" x14ac:dyDescent="0.25">
      <c r="C104" s="1" t="s">
        <v>208</v>
      </c>
      <c r="H104" t="str">
        <f t="shared" si="7"/>
        <v/>
      </c>
      <c r="I104" t="str">
        <f t="shared" si="8"/>
        <v/>
      </c>
      <c r="J104" t="str">
        <f t="shared" si="9"/>
        <v/>
      </c>
      <c r="L104" t="str">
        <f t="shared" si="6"/>
        <v/>
      </c>
      <c r="M104" t="str">
        <f t="shared" si="5"/>
        <v/>
      </c>
    </row>
    <row r="105" spans="1:13" x14ac:dyDescent="0.25">
      <c r="C105" s="1" t="s">
        <v>107</v>
      </c>
      <c r="H105" t="str">
        <f t="shared" si="7"/>
        <v/>
      </c>
      <c r="I105" t="str">
        <f t="shared" si="8"/>
        <v/>
      </c>
      <c r="J105" t="str">
        <f t="shared" si="9"/>
        <v/>
      </c>
      <c r="L105" t="str">
        <f t="shared" si="6"/>
        <v/>
      </c>
      <c r="M105" t="str">
        <f t="shared" si="5"/>
        <v/>
      </c>
    </row>
    <row r="106" spans="1:13" x14ac:dyDescent="0.25">
      <c r="A106" s="1" t="s">
        <v>1298</v>
      </c>
      <c r="B106" s="1" t="s">
        <v>210</v>
      </c>
      <c r="C106" s="1" t="s">
        <v>211</v>
      </c>
      <c r="D106" s="1" t="s">
        <v>213</v>
      </c>
      <c r="E106" s="1" t="s">
        <v>214</v>
      </c>
      <c r="H106" t="str">
        <f t="shared" si="7"/>
        <v/>
      </c>
      <c r="I106" t="str">
        <f t="shared" si="8"/>
        <v/>
      </c>
      <c r="J106" t="str">
        <f t="shared" si="9"/>
        <v/>
      </c>
      <c r="L106" t="str">
        <f t="shared" si="6"/>
        <v>10</v>
      </c>
      <c r="M106">
        <f t="shared" si="5"/>
        <v>1</v>
      </c>
    </row>
    <row r="107" spans="1:13" x14ac:dyDescent="0.25">
      <c r="C107" s="1" t="s">
        <v>212</v>
      </c>
      <c r="H107" t="str">
        <f t="shared" si="7"/>
        <v/>
      </c>
      <c r="I107" t="str">
        <f t="shared" si="8"/>
        <v/>
      </c>
      <c r="J107" t="str">
        <f t="shared" si="9"/>
        <v/>
      </c>
      <c r="L107" t="str">
        <f t="shared" si="6"/>
        <v/>
      </c>
      <c r="M107" t="str">
        <f t="shared" si="5"/>
        <v/>
      </c>
    </row>
    <row r="108" spans="1:13" x14ac:dyDescent="0.25">
      <c r="A108" s="1" t="s">
        <v>215</v>
      </c>
      <c r="D108" s="1" t="s">
        <v>216</v>
      </c>
      <c r="E108" s="1" t="s">
        <v>217</v>
      </c>
      <c r="H108" t="str">
        <f t="shared" si="7"/>
        <v>B11_TRADE</v>
      </c>
      <c r="I108">
        <f t="shared" ca="1" si="8"/>
        <v>17</v>
      </c>
      <c r="J108" t="str">
        <f t="shared" ca="1" si="9"/>
        <v>"B11_TRADE", 17</v>
      </c>
      <c r="L108" t="str">
        <f t="shared" si="6"/>
        <v/>
      </c>
      <c r="M108" t="str">
        <f t="shared" si="5"/>
        <v/>
      </c>
    </row>
    <row r="109" spans="1:13" x14ac:dyDescent="0.25">
      <c r="A109" s="1" t="s">
        <v>38</v>
      </c>
      <c r="H109" t="str">
        <f t="shared" si="7"/>
        <v/>
      </c>
      <c r="I109" t="str">
        <f t="shared" si="8"/>
        <v/>
      </c>
      <c r="J109" t="str">
        <f t="shared" si="9"/>
        <v/>
      </c>
      <c r="L109" t="str">
        <f t="shared" si="6"/>
        <v/>
      </c>
      <c r="M109" t="str">
        <f t="shared" si="5"/>
        <v/>
      </c>
    </row>
    <row r="110" spans="1:13" x14ac:dyDescent="0.25">
      <c r="A110" s="1" t="s">
        <v>1299</v>
      </c>
      <c r="B110" s="1" t="s">
        <v>218</v>
      </c>
      <c r="C110" s="1" t="s">
        <v>219</v>
      </c>
      <c r="D110" s="1" t="s">
        <v>16</v>
      </c>
      <c r="E110" s="1" t="s">
        <v>220</v>
      </c>
      <c r="H110" t="str">
        <f t="shared" si="7"/>
        <v/>
      </c>
      <c r="I110" t="str">
        <f t="shared" si="8"/>
        <v/>
      </c>
      <c r="J110" t="str">
        <f t="shared" si="9"/>
        <v/>
      </c>
      <c r="L110" t="str">
        <f t="shared" si="6"/>
        <v>11</v>
      </c>
      <c r="M110">
        <f t="shared" si="5"/>
        <v>1</v>
      </c>
    </row>
    <row r="111" spans="1:13" x14ac:dyDescent="0.25">
      <c r="A111" s="1" t="s">
        <v>1300</v>
      </c>
      <c r="B111" s="1" t="s">
        <v>221</v>
      </c>
      <c r="C111" s="1" t="s">
        <v>222</v>
      </c>
      <c r="D111" s="1" t="s">
        <v>16</v>
      </c>
      <c r="E111" s="1" t="s">
        <v>223</v>
      </c>
      <c r="H111" t="str">
        <f t="shared" si="7"/>
        <v/>
      </c>
      <c r="I111" t="str">
        <f t="shared" si="8"/>
        <v/>
      </c>
      <c r="J111" t="str">
        <f t="shared" si="9"/>
        <v/>
      </c>
      <c r="L111" t="str">
        <f t="shared" si="6"/>
        <v>11</v>
      </c>
      <c r="M111">
        <f t="shared" si="5"/>
        <v>1</v>
      </c>
    </row>
    <row r="112" spans="1:13" x14ac:dyDescent="0.25">
      <c r="A112" s="1" t="s">
        <v>1301</v>
      </c>
      <c r="B112" s="1" t="s">
        <v>224</v>
      </c>
      <c r="C112" s="1" t="s">
        <v>225</v>
      </c>
      <c r="D112" s="1" t="s">
        <v>16</v>
      </c>
      <c r="E112" s="1" t="s">
        <v>226</v>
      </c>
      <c r="H112" t="str">
        <f t="shared" si="7"/>
        <v/>
      </c>
      <c r="I112" t="str">
        <f t="shared" si="8"/>
        <v/>
      </c>
      <c r="J112" t="str">
        <f t="shared" si="9"/>
        <v/>
      </c>
      <c r="L112" t="str">
        <f t="shared" si="6"/>
        <v>11</v>
      </c>
      <c r="M112">
        <f t="shared" si="5"/>
        <v>1</v>
      </c>
    </row>
    <row r="113" spans="1:15" x14ac:dyDescent="0.25">
      <c r="A113" s="1" t="s">
        <v>1302</v>
      </c>
      <c r="B113" s="1" t="s">
        <v>227</v>
      </c>
      <c r="C113" s="1" t="s">
        <v>228</v>
      </c>
      <c r="D113" s="1" t="s">
        <v>16</v>
      </c>
      <c r="E113" s="1" t="s">
        <v>229</v>
      </c>
      <c r="H113" t="str">
        <f t="shared" si="7"/>
        <v/>
      </c>
      <c r="I113" t="str">
        <f t="shared" si="8"/>
        <v/>
      </c>
      <c r="J113" t="str">
        <f t="shared" si="9"/>
        <v/>
      </c>
      <c r="L113" t="str">
        <f t="shared" si="6"/>
        <v>11</v>
      </c>
      <c r="M113">
        <f t="shared" si="5"/>
        <v>1</v>
      </c>
    </row>
    <row r="114" spans="1:15" x14ac:dyDescent="0.25">
      <c r="A114" s="1" t="s">
        <v>1303</v>
      </c>
      <c r="B114" s="1" t="s">
        <v>230</v>
      </c>
      <c r="C114" s="1" t="s">
        <v>231</v>
      </c>
      <c r="D114" s="1" t="s">
        <v>16</v>
      </c>
      <c r="E114" s="1" t="s">
        <v>232</v>
      </c>
      <c r="H114" t="str">
        <f t="shared" si="7"/>
        <v/>
      </c>
      <c r="I114" t="str">
        <f t="shared" si="8"/>
        <v/>
      </c>
      <c r="J114" t="str">
        <f t="shared" si="9"/>
        <v/>
      </c>
      <c r="L114" t="str">
        <f t="shared" si="6"/>
        <v>11</v>
      </c>
      <c r="M114">
        <f t="shared" si="5"/>
        <v>1</v>
      </c>
    </row>
    <row r="115" spans="1:15" x14ac:dyDescent="0.25">
      <c r="H115" t="str">
        <f t="shared" si="7"/>
        <v/>
      </c>
      <c r="I115" t="str">
        <f t="shared" si="8"/>
        <v/>
      </c>
      <c r="J115" t="str">
        <f t="shared" si="9"/>
        <v/>
      </c>
      <c r="L115" t="str">
        <f t="shared" si="6"/>
        <v/>
      </c>
      <c r="M115" t="str">
        <f t="shared" si="5"/>
        <v/>
      </c>
    </row>
    <row r="116" spans="1:15" x14ac:dyDescent="0.25">
      <c r="A116" s="1" t="s">
        <v>1304</v>
      </c>
      <c r="B116" s="1" t="s">
        <v>233</v>
      </c>
      <c r="C116" s="1" t="s">
        <v>234</v>
      </c>
      <c r="D116" s="1" t="s">
        <v>16</v>
      </c>
      <c r="E116" s="1" t="s">
        <v>235</v>
      </c>
      <c r="H116" t="str">
        <f t="shared" si="7"/>
        <v/>
      </c>
      <c r="I116" t="str">
        <f t="shared" si="8"/>
        <v/>
      </c>
      <c r="J116" t="str">
        <f t="shared" si="9"/>
        <v/>
      </c>
      <c r="L116" t="str">
        <f t="shared" si="6"/>
        <v>11</v>
      </c>
      <c r="M116">
        <f t="shared" si="5"/>
        <v>1</v>
      </c>
    </row>
    <row r="117" spans="1:15" x14ac:dyDescent="0.25">
      <c r="C117" s="1" t="s">
        <v>128</v>
      </c>
      <c r="H117" t="str">
        <f t="shared" si="7"/>
        <v/>
      </c>
      <c r="I117" t="str">
        <f t="shared" si="8"/>
        <v/>
      </c>
      <c r="J117" t="str">
        <f t="shared" si="9"/>
        <v/>
      </c>
      <c r="L117" t="str">
        <f t="shared" si="6"/>
        <v/>
      </c>
      <c r="M117" t="str">
        <f t="shared" si="5"/>
        <v/>
      </c>
    </row>
    <row r="118" spans="1:15" x14ac:dyDescent="0.25">
      <c r="A118" s="1" t="s">
        <v>1305</v>
      </c>
      <c r="B118" s="1" t="s">
        <v>236</v>
      </c>
      <c r="C118" s="1" t="s">
        <v>237</v>
      </c>
      <c r="D118" s="1" t="s">
        <v>16</v>
      </c>
      <c r="E118" s="1" t="s">
        <v>238</v>
      </c>
      <c r="H118" t="str">
        <f t="shared" si="7"/>
        <v/>
      </c>
      <c r="I118" t="str">
        <f t="shared" si="8"/>
        <v/>
      </c>
      <c r="J118" t="str">
        <f t="shared" si="9"/>
        <v/>
      </c>
      <c r="L118" t="str">
        <f t="shared" si="6"/>
        <v>11</v>
      </c>
      <c r="M118">
        <f t="shared" si="5"/>
        <v>1</v>
      </c>
    </row>
    <row r="119" spans="1:15" x14ac:dyDescent="0.25">
      <c r="C119" s="1" t="s">
        <v>128</v>
      </c>
      <c r="H119" t="str">
        <f t="shared" si="7"/>
        <v/>
      </c>
      <c r="I119" t="str">
        <f t="shared" si="8"/>
        <v/>
      </c>
      <c r="J119" t="str">
        <f t="shared" si="9"/>
        <v/>
      </c>
      <c r="L119" t="str">
        <f t="shared" si="6"/>
        <v/>
      </c>
      <c r="M119" t="str">
        <f t="shared" si="5"/>
        <v/>
      </c>
    </row>
    <row r="120" spans="1:15" x14ac:dyDescent="0.25">
      <c r="A120" s="1" t="s">
        <v>1306</v>
      </c>
      <c r="B120" s="1" t="s">
        <v>239</v>
      </c>
      <c r="C120" s="1" t="s">
        <v>240</v>
      </c>
      <c r="D120" s="1" t="s">
        <v>16</v>
      </c>
      <c r="E120" s="1" t="s">
        <v>242</v>
      </c>
      <c r="H120" t="str">
        <f t="shared" si="7"/>
        <v/>
      </c>
      <c r="I120" t="str">
        <f t="shared" si="8"/>
        <v/>
      </c>
      <c r="J120" t="str">
        <f t="shared" si="9"/>
        <v/>
      </c>
      <c r="L120" t="str">
        <f t="shared" si="6"/>
        <v>11</v>
      </c>
      <c r="M120">
        <f t="shared" si="5"/>
        <v>1</v>
      </c>
    </row>
    <row r="121" spans="1:15" x14ac:dyDescent="0.25">
      <c r="C121" s="1" t="s">
        <v>241</v>
      </c>
      <c r="H121" t="str">
        <f t="shared" si="7"/>
        <v/>
      </c>
      <c r="I121" t="str">
        <f t="shared" si="8"/>
        <v/>
      </c>
      <c r="J121" t="str">
        <f t="shared" si="9"/>
        <v/>
      </c>
      <c r="L121" t="str">
        <f t="shared" si="6"/>
        <v/>
      </c>
      <c r="M121" t="str">
        <f t="shared" si="5"/>
        <v/>
      </c>
    </row>
    <row r="122" spans="1:15" x14ac:dyDescent="0.25">
      <c r="A122" s="1" t="s">
        <v>1307</v>
      </c>
      <c r="B122" s="1" t="s">
        <v>243</v>
      </c>
      <c r="C122" s="1" t="s">
        <v>244</v>
      </c>
      <c r="D122" s="1" t="s">
        <v>16</v>
      </c>
      <c r="E122" s="1" t="s">
        <v>246</v>
      </c>
      <c r="H122" t="str">
        <f t="shared" si="7"/>
        <v/>
      </c>
      <c r="I122" t="str">
        <f t="shared" si="8"/>
        <v/>
      </c>
      <c r="J122" t="str">
        <f t="shared" si="9"/>
        <v/>
      </c>
      <c r="L122" t="str">
        <f t="shared" si="6"/>
        <v>11</v>
      </c>
      <c r="M122">
        <f t="shared" si="5"/>
        <v>1</v>
      </c>
    </row>
    <row r="123" spans="1:15" x14ac:dyDescent="0.25">
      <c r="C123" s="1" t="s">
        <v>245</v>
      </c>
      <c r="H123" t="str">
        <f t="shared" si="7"/>
        <v/>
      </c>
      <c r="I123" t="str">
        <f t="shared" si="8"/>
        <v/>
      </c>
      <c r="J123" t="str">
        <f t="shared" si="9"/>
        <v/>
      </c>
      <c r="L123" t="str">
        <f t="shared" si="6"/>
        <v/>
      </c>
      <c r="M123" t="str">
        <f t="shared" si="5"/>
        <v/>
      </c>
    </row>
    <row r="124" spans="1:15" x14ac:dyDescent="0.25">
      <c r="A124" s="1" t="s">
        <v>1308</v>
      </c>
      <c r="B124" s="1" t="s">
        <v>247</v>
      </c>
      <c r="C124" s="1" t="s">
        <v>248</v>
      </c>
      <c r="D124" s="1" t="s">
        <v>16</v>
      </c>
      <c r="E124" s="1" t="s">
        <v>180</v>
      </c>
      <c r="H124" t="str">
        <f t="shared" si="7"/>
        <v/>
      </c>
      <c r="I124" t="str">
        <f t="shared" si="8"/>
        <v/>
      </c>
      <c r="J124" t="str">
        <f t="shared" si="9"/>
        <v/>
      </c>
      <c r="L124" t="str">
        <f t="shared" si="6"/>
        <v>11</v>
      </c>
      <c r="M124">
        <f t="shared" si="5"/>
        <v>1</v>
      </c>
      <c r="N124" t="str">
        <f>TRIM(A124)</f>
        <v>11.10</v>
      </c>
      <c r="O124">
        <f>LEN(N124)</f>
        <v>5</v>
      </c>
    </row>
    <row r="125" spans="1:15" x14ac:dyDescent="0.25">
      <c r="C125" s="1" t="s">
        <v>249</v>
      </c>
      <c r="H125" t="str">
        <f t="shared" si="7"/>
        <v/>
      </c>
      <c r="I125" t="str">
        <f t="shared" si="8"/>
        <v/>
      </c>
      <c r="J125" t="str">
        <f t="shared" si="9"/>
        <v/>
      </c>
      <c r="L125" t="str">
        <f t="shared" si="6"/>
        <v/>
      </c>
      <c r="M125" t="str">
        <f t="shared" si="5"/>
        <v/>
      </c>
    </row>
    <row r="126" spans="1:15" x14ac:dyDescent="0.25">
      <c r="A126" s="1" t="s">
        <v>1309</v>
      </c>
      <c r="B126" s="1" t="s">
        <v>250</v>
      </c>
      <c r="C126" s="1" t="s">
        <v>251</v>
      </c>
      <c r="E126" s="1" t="s">
        <v>255</v>
      </c>
      <c r="H126" t="str">
        <f t="shared" si="7"/>
        <v/>
      </c>
      <c r="I126" t="str">
        <f t="shared" si="8"/>
        <v/>
      </c>
      <c r="J126" t="str">
        <f t="shared" si="9"/>
        <v/>
      </c>
      <c r="L126" t="str">
        <f t="shared" si="6"/>
        <v>11</v>
      </c>
      <c r="M126">
        <f t="shared" si="5"/>
        <v>1</v>
      </c>
    </row>
    <row r="127" spans="1:15" x14ac:dyDescent="0.25">
      <c r="C127" s="1" t="s">
        <v>252</v>
      </c>
      <c r="H127" t="str">
        <f t="shared" si="7"/>
        <v/>
      </c>
      <c r="I127" t="str">
        <f t="shared" si="8"/>
        <v/>
      </c>
      <c r="J127" t="str">
        <f t="shared" si="9"/>
        <v/>
      </c>
      <c r="L127" t="str">
        <f t="shared" si="6"/>
        <v/>
      </c>
      <c r="M127" t="str">
        <f t="shared" si="5"/>
        <v/>
      </c>
    </row>
    <row r="128" spans="1:15" x14ac:dyDescent="0.25">
      <c r="C128" s="1" t="s">
        <v>253</v>
      </c>
      <c r="H128" t="str">
        <f t="shared" si="7"/>
        <v/>
      </c>
      <c r="I128" t="str">
        <f t="shared" si="8"/>
        <v/>
      </c>
      <c r="J128" t="str">
        <f t="shared" si="9"/>
        <v/>
      </c>
      <c r="L128" t="str">
        <f t="shared" si="6"/>
        <v/>
      </c>
      <c r="M128" t="str">
        <f t="shared" si="5"/>
        <v/>
      </c>
    </row>
    <row r="129" spans="1:13" x14ac:dyDescent="0.25">
      <c r="C129" s="1" t="s">
        <v>254</v>
      </c>
      <c r="H129" t="str">
        <f t="shared" si="7"/>
        <v/>
      </c>
      <c r="I129" t="str">
        <f t="shared" si="8"/>
        <v/>
      </c>
      <c r="J129" t="str">
        <f t="shared" si="9"/>
        <v/>
      </c>
      <c r="L129" t="str">
        <f t="shared" si="6"/>
        <v/>
      </c>
      <c r="M129" t="str">
        <f t="shared" si="5"/>
        <v/>
      </c>
    </row>
    <row r="130" spans="1:13" x14ac:dyDescent="0.25">
      <c r="A130" s="1" t="s">
        <v>1310</v>
      </c>
      <c r="B130" s="1" t="s">
        <v>256</v>
      </c>
      <c r="C130" s="1" t="s">
        <v>257</v>
      </c>
      <c r="E130" s="1" t="s">
        <v>258</v>
      </c>
      <c r="H130" t="str">
        <f t="shared" si="7"/>
        <v/>
      </c>
      <c r="I130" t="str">
        <f t="shared" si="8"/>
        <v/>
      </c>
      <c r="J130" t="str">
        <f t="shared" si="9"/>
        <v/>
      </c>
      <c r="L130" t="str">
        <f t="shared" si="6"/>
        <v>11</v>
      </c>
      <c r="M130">
        <f t="shared" ref="M130:M193" si="10">IF(AND(LEN(A130)&lt;6,A130&lt;&gt;""),1,"")</f>
        <v>1</v>
      </c>
    </row>
    <row r="131" spans="1:13" x14ac:dyDescent="0.25">
      <c r="C131" s="1" t="s">
        <v>54</v>
      </c>
      <c r="H131" t="str">
        <f t="shared" si="7"/>
        <v/>
      </c>
      <c r="I131" t="str">
        <f t="shared" si="8"/>
        <v/>
      </c>
      <c r="J131" t="str">
        <f t="shared" si="9"/>
        <v/>
      </c>
      <c r="L131" t="str">
        <f t="shared" ref="L131:L194" si="11">IFERROR(IF(LEN(A131)&lt;=5,TRIM(LEFT(A131,SEARCH(".",A131)-1)),""),"")</f>
        <v/>
      </c>
      <c r="M131" t="str">
        <f t="shared" si="10"/>
        <v/>
      </c>
    </row>
    <row r="132" spans="1:13" x14ac:dyDescent="0.25">
      <c r="A132" s="1" t="s">
        <v>1311</v>
      </c>
      <c r="B132" s="1" t="s">
        <v>259</v>
      </c>
      <c r="C132" s="1" t="s">
        <v>260</v>
      </c>
      <c r="D132" s="1" t="s">
        <v>16</v>
      </c>
      <c r="E132" s="1" t="s">
        <v>261</v>
      </c>
      <c r="H132" t="str">
        <f t="shared" si="7"/>
        <v/>
      </c>
      <c r="I132" t="str">
        <f t="shared" si="8"/>
        <v/>
      </c>
      <c r="J132" t="str">
        <f t="shared" si="9"/>
        <v/>
      </c>
      <c r="L132" t="str">
        <f t="shared" si="11"/>
        <v>11</v>
      </c>
      <c r="M132">
        <f t="shared" si="10"/>
        <v>1</v>
      </c>
    </row>
    <row r="133" spans="1:13" x14ac:dyDescent="0.25">
      <c r="A133" s="1" t="s">
        <v>1312</v>
      </c>
      <c r="B133" s="1" t="s">
        <v>262</v>
      </c>
      <c r="C133" s="1" t="s">
        <v>263</v>
      </c>
      <c r="D133" s="1" t="s">
        <v>16</v>
      </c>
      <c r="E133" s="1" t="s">
        <v>264</v>
      </c>
      <c r="H133" t="str">
        <f t="shared" si="7"/>
        <v/>
      </c>
      <c r="I133" t="str">
        <f t="shared" si="8"/>
        <v/>
      </c>
      <c r="J133" t="str">
        <f t="shared" si="9"/>
        <v/>
      </c>
      <c r="L133" t="str">
        <f t="shared" si="11"/>
        <v>11</v>
      </c>
      <c r="M133">
        <f t="shared" si="10"/>
        <v>1</v>
      </c>
    </row>
    <row r="134" spans="1:13" x14ac:dyDescent="0.25">
      <c r="C134" s="1" t="s">
        <v>54</v>
      </c>
      <c r="H134" t="str">
        <f t="shared" si="7"/>
        <v/>
      </c>
      <c r="I134" t="str">
        <f t="shared" si="8"/>
        <v/>
      </c>
      <c r="J134" t="str">
        <f t="shared" si="9"/>
        <v/>
      </c>
      <c r="L134" t="str">
        <f t="shared" si="11"/>
        <v/>
      </c>
      <c r="M134" t="str">
        <f t="shared" si="10"/>
        <v/>
      </c>
    </row>
    <row r="135" spans="1:13" x14ac:dyDescent="0.25">
      <c r="A135" s="1" t="s">
        <v>1313</v>
      </c>
      <c r="B135" s="1" t="s">
        <v>265</v>
      </c>
      <c r="C135" s="1" t="s">
        <v>266</v>
      </c>
      <c r="D135" s="1" t="s">
        <v>16</v>
      </c>
      <c r="E135" s="1" t="s">
        <v>268</v>
      </c>
      <c r="H135" t="str">
        <f t="shared" ref="H135:H198" si="12">IFERROR(TRIM(IF(SEARCH("Блок ",A135),IF(SEARCH("B",A135),RIGHT(A135,LEN(A135)-SEARCH("B",A135)+1)),"")),"")</f>
        <v/>
      </c>
      <c r="I135" t="str">
        <f t="shared" ref="I135:I198" si="13">IFERROR(IF(H135&lt;&gt;"",SUMIF(L:M,TRIM(MID(A135,SEARCH(" ",A135),SEARCH(". ",A135)-5)),M:M),""),"")</f>
        <v/>
      </c>
      <c r="J135" t="str">
        <f t="shared" ref="J135:J198" si="14">CLEAN(TRIM(IF(H135&lt;&gt;"",""""&amp;H135&amp;""""&amp;", "&amp;I135,"")))</f>
        <v/>
      </c>
      <c r="L135" t="str">
        <f t="shared" si="11"/>
        <v>11</v>
      </c>
      <c r="M135">
        <f t="shared" si="10"/>
        <v>1</v>
      </c>
    </row>
    <row r="136" spans="1:13" x14ac:dyDescent="0.25">
      <c r="C136" s="1" t="s">
        <v>267</v>
      </c>
      <c r="H136" t="str">
        <f t="shared" si="12"/>
        <v/>
      </c>
      <c r="I136" t="str">
        <f t="shared" si="13"/>
        <v/>
      </c>
      <c r="J136" t="str">
        <f t="shared" si="14"/>
        <v/>
      </c>
      <c r="L136" t="str">
        <f t="shared" si="11"/>
        <v/>
      </c>
      <c r="M136" t="str">
        <f t="shared" si="10"/>
        <v/>
      </c>
    </row>
    <row r="137" spans="1:13" x14ac:dyDescent="0.25">
      <c r="C137" s="1" t="s">
        <v>54</v>
      </c>
      <c r="H137" t="str">
        <f t="shared" si="12"/>
        <v/>
      </c>
      <c r="I137" t="str">
        <f t="shared" si="13"/>
        <v/>
      </c>
      <c r="J137" t="str">
        <f t="shared" si="14"/>
        <v/>
      </c>
      <c r="L137" t="str">
        <f t="shared" si="11"/>
        <v/>
      </c>
      <c r="M137" t="str">
        <f t="shared" si="10"/>
        <v/>
      </c>
    </row>
    <row r="138" spans="1:13" x14ac:dyDescent="0.25">
      <c r="A138" s="1" t="s">
        <v>1314</v>
      </c>
      <c r="B138" s="1" t="s">
        <v>269</v>
      </c>
      <c r="E138" s="1" t="s">
        <v>270</v>
      </c>
      <c r="H138" t="str">
        <f t="shared" si="12"/>
        <v/>
      </c>
      <c r="I138" t="str">
        <f t="shared" si="13"/>
        <v/>
      </c>
      <c r="J138" t="str">
        <f t="shared" si="14"/>
        <v/>
      </c>
      <c r="L138" t="str">
        <f t="shared" si="11"/>
        <v>11</v>
      </c>
      <c r="M138">
        <f t="shared" si="10"/>
        <v>1</v>
      </c>
    </row>
    <row r="139" spans="1:13" x14ac:dyDescent="0.25">
      <c r="A139" s="1" t="s">
        <v>1315</v>
      </c>
      <c r="B139" s="1" t="s">
        <v>271</v>
      </c>
      <c r="C139" s="1" t="s">
        <v>272</v>
      </c>
      <c r="E139" s="1" t="s">
        <v>273</v>
      </c>
      <c r="H139" t="str">
        <f t="shared" si="12"/>
        <v/>
      </c>
      <c r="I139" t="str">
        <f t="shared" si="13"/>
        <v/>
      </c>
      <c r="J139" t="str">
        <f t="shared" si="14"/>
        <v/>
      </c>
      <c r="L139" t="str">
        <f t="shared" si="11"/>
        <v>11</v>
      </c>
      <c r="M139">
        <f t="shared" si="10"/>
        <v>1</v>
      </c>
    </row>
    <row r="140" spans="1:13" x14ac:dyDescent="0.25">
      <c r="A140" s="1" t="s">
        <v>274</v>
      </c>
      <c r="D140" s="1" t="s">
        <v>216</v>
      </c>
      <c r="E140" s="1" t="s">
        <v>275</v>
      </c>
      <c r="H140" t="str">
        <f t="shared" si="12"/>
        <v>B12_ACCOUNTAMT</v>
      </c>
      <c r="I140">
        <f t="shared" ca="1" si="13"/>
        <v>7</v>
      </c>
      <c r="J140" t="str">
        <f t="shared" ca="1" si="14"/>
        <v>"B12_ACCOUNTAMT", 7</v>
      </c>
      <c r="L140" t="str">
        <f t="shared" si="11"/>
        <v/>
      </c>
      <c r="M140" t="str">
        <f t="shared" si="10"/>
        <v/>
      </c>
    </row>
    <row r="141" spans="1:13" x14ac:dyDescent="0.25">
      <c r="A141" s="1" t="s">
        <v>276</v>
      </c>
      <c r="H141" t="str">
        <f t="shared" si="12"/>
        <v/>
      </c>
      <c r="I141" t="str">
        <f t="shared" si="13"/>
        <v/>
      </c>
      <c r="J141" t="str">
        <f t="shared" si="14"/>
        <v/>
      </c>
      <c r="L141" t="str">
        <f t="shared" si="11"/>
        <v/>
      </c>
      <c r="M141" t="str">
        <f t="shared" si="10"/>
        <v/>
      </c>
    </row>
    <row r="142" spans="1:13" x14ac:dyDescent="0.25">
      <c r="A142" s="1" t="s">
        <v>1316</v>
      </c>
      <c r="B142" s="1" t="s">
        <v>277</v>
      </c>
      <c r="C142" s="1" t="s">
        <v>278</v>
      </c>
      <c r="D142" s="1" t="s">
        <v>16</v>
      </c>
      <c r="E142" s="1" t="s">
        <v>285</v>
      </c>
      <c r="H142" t="str">
        <f t="shared" si="12"/>
        <v/>
      </c>
      <c r="I142" t="str">
        <f t="shared" si="13"/>
        <v/>
      </c>
      <c r="J142" t="str">
        <f t="shared" si="14"/>
        <v/>
      </c>
      <c r="L142" t="str">
        <f t="shared" si="11"/>
        <v>12</v>
      </c>
      <c r="M142">
        <f t="shared" si="10"/>
        <v>1</v>
      </c>
    </row>
    <row r="143" spans="1:13" x14ac:dyDescent="0.25">
      <c r="C143" s="1" t="s">
        <v>279</v>
      </c>
      <c r="H143" t="str">
        <f t="shared" si="12"/>
        <v/>
      </c>
      <c r="I143" t="str">
        <f t="shared" si="13"/>
        <v/>
      </c>
      <c r="J143" t="str">
        <f t="shared" si="14"/>
        <v/>
      </c>
      <c r="L143" t="str">
        <f t="shared" si="11"/>
        <v/>
      </c>
      <c r="M143" t="str">
        <f t="shared" si="10"/>
        <v/>
      </c>
    </row>
    <row r="144" spans="1:13" x14ac:dyDescent="0.25">
      <c r="C144" s="1" t="s">
        <v>280</v>
      </c>
      <c r="H144" t="str">
        <f t="shared" si="12"/>
        <v/>
      </c>
      <c r="I144" t="str">
        <f t="shared" si="13"/>
        <v/>
      </c>
      <c r="J144" t="str">
        <f t="shared" si="14"/>
        <v/>
      </c>
      <c r="L144" t="str">
        <f t="shared" si="11"/>
        <v/>
      </c>
      <c r="M144" t="str">
        <f t="shared" si="10"/>
        <v/>
      </c>
    </row>
    <row r="145" spans="1:13" x14ac:dyDescent="0.25">
      <c r="C145" s="1" t="s">
        <v>281</v>
      </c>
      <c r="H145" t="str">
        <f t="shared" si="12"/>
        <v/>
      </c>
      <c r="I145" t="str">
        <f t="shared" si="13"/>
        <v/>
      </c>
      <c r="J145" t="str">
        <f t="shared" si="14"/>
        <v/>
      </c>
      <c r="L145" t="str">
        <f t="shared" si="11"/>
        <v/>
      </c>
      <c r="M145" t="str">
        <f t="shared" si="10"/>
        <v/>
      </c>
    </row>
    <row r="146" spans="1:13" x14ac:dyDescent="0.25">
      <c r="C146" s="1" t="s">
        <v>282</v>
      </c>
      <c r="H146" t="str">
        <f t="shared" si="12"/>
        <v/>
      </c>
      <c r="I146" t="str">
        <f t="shared" si="13"/>
        <v/>
      </c>
      <c r="J146" t="str">
        <f t="shared" si="14"/>
        <v/>
      </c>
      <c r="L146" t="str">
        <f t="shared" si="11"/>
        <v/>
      </c>
      <c r="M146" t="str">
        <f t="shared" si="10"/>
        <v/>
      </c>
    </row>
    <row r="147" spans="1:13" x14ac:dyDescent="0.25">
      <c r="C147" s="1" t="s">
        <v>283</v>
      </c>
      <c r="H147" t="str">
        <f t="shared" si="12"/>
        <v/>
      </c>
      <c r="I147" t="str">
        <f t="shared" si="13"/>
        <v/>
      </c>
      <c r="J147" t="str">
        <f t="shared" si="14"/>
        <v/>
      </c>
      <c r="L147" t="str">
        <f t="shared" si="11"/>
        <v/>
      </c>
      <c r="M147" t="str">
        <f t="shared" si="10"/>
        <v/>
      </c>
    </row>
    <row r="148" spans="1:13" x14ac:dyDescent="0.25">
      <c r="C148" s="1" t="s">
        <v>284</v>
      </c>
      <c r="H148" t="str">
        <f t="shared" si="12"/>
        <v/>
      </c>
      <c r="I148" t="str">
        <f t="shared" si="13"/>
        <v/>
      </c>
      <c r="J148" t="str">
        <f t="shared" si="14"/>
        <v/>
      </c>
      <c r="L148" t="str">
        <f t="shared" si="11"/>
        <v/>
      </c>
      <c r="M148" t="str">
        <f t="shared" si="10"/>
        <v/>
      </c>
    </row>
    <row r="149" spans="1:13" x14ac:dyDescent="0.25">
      <c r="A149" s="1" t="s">
        <v>1317</v>
      </c>
      <c r="B149" s="1" t="s">
        <v>286</v>
      </c>
      <c r="C149" s="1" t="s">
        <v>278</v>
      </c>
      <c r="D149" s="1" t="s">
        <v>16</v>
      </c>
      <c r="E149" s="1" t="s">
        <v>287</v>
      </c>
      <c r="H149" t="str">
        <f t="shared" si="12"/>
        <v/>
      </c>
      <c r="I149" t="str">
        <f t="shared" si="13"/>
        <v/>
      </c>
      <c r="J149" t="str">
        <f t="shared" si="14"/>
        <v/>
      </c>
      <c r="L149" t="str">
        <f t="shared" si="11"/>
        <v>12</v>
      </c>
      <c r="M149">
        <f t="shared" si="10"/>
        <v>1</v>
      </c>
    </row>
    <row r="150" spans="1:13" x14ac:dyDescent="0.25">
      <c r="A150" s="1" t="s">
        <v>1318</v>
      </c>
      <c r="B150" s="1" t="s">
        <v>288</v>
      </c>
      <c r="C150" s="1" t="s">
        <v>289</v>
      </c>
      <c r="D150" s="1" t="s">
        <v>16</v>
      </c>
      <c r="E150" s="1" t="s">
        <v>291</v>
      </c>
      <c r="H150" t="str">
        <f t="shared" si="12"/>
        <v/>
      </c>
      <c r="I150" t="str">
        <f t="shared" si="13"/>
        <v/>
      </c>
      <c r="J150" t="str">
        <f t="shared" si="14"/>
        <v/>
      </c>
      <c r="L150" t="str">
        <f t="shared" si="11"/>
        <v>12</v>
      </c>
      <c r="M150">
        <f t="shared" si="10"/>
        <v>1</v>
      </c>
    </row>
    <row r="151" spans="1:13" x14ac:dyDescent="0.25">
      <c r="C151" s="1" t="s">
        <v>290</v>
      </c>
      <c r="H151" t="str">
        <f t="shared" si="12"/>
        <v/>
      </c>
      <c r="I151" t="str">
        <f t="shared" si="13"/>
        <v/>
      </c>
      <c r="J151" t="str">
        <f t="shared" si="14"/>
        <v/>
      </c>
      <c r="L151" t="str">
        <f t="shared" si="11"/>
        <v/>
      </c>
      <c r="M151" t="str">
        <f t="shared" si="10"/>
        <v/>
      </c>
    </row>
    <row r="152" spans="1:13" x14ac:dyDescent="0.25">
      <c r="A152" s="1" t="s">
        <v>1319</v>
      </c>
      <c r="B152" s="1" t="s">
        <v>292</v>
      </c>
      <c r="C152" s="1" t="s">
        <v>278</v>
      </c>
      <c r="E152" s="1" t="s">
        <v>293</v>
      </c>
      <c r="H152" t="str">
        <f t="shared" si="12"/>
        <v/>
      </c>
      <c r="I152" t="str">
        <f t="shared" si="13"/>
        <v/>
      </c>
      <c r="J152" t="str">
        <f t="shared" si="14"/>
        <v/>
      </c>
      <c r="L152" t="str">
        <f t="shared" si="11"/>
        <v>12</v>
      </c>
      <c r="M152">
        <f t="shared" si="10"/>
        <v>1</v>
      </c>
    </row>
    <row r="153" spans="1:13" x14ac:dyDescent="0.25">
      <c r="A153" s="1" t="s">
        <v>1320</v>
      </c>
      <c r="B153" s="1" t="s">
        <v>294</v>
      </c>
      <c r="C153" s="1" t="s">
        <v>295</v>
      </c>
      <c r="E153" s="1" t="s">
        <v>296</v>
      </c>
      <c r="H153" t="str">
        <f t="shared" si="12"/>
        <v/>
      </c>
      <c r="I153" t="str">
        <f t="shared" si="13"/>
        <v/>
      </c>
      <c r="J153" t="str">
        <f t="shared" si="14"/>
        <v/>
      </c>
      <c r="L153" t="str">
        <f t="shared" si="11"/>
        <v>12</v>
      </c>
      <c r="M153">
        <f t="shared" si="10"/>
        <v>1</v>
      </c>
    </row>
    <row r="154" spans="1:13" x14ac:dyDescent="0.25">
      <c r="A154" s="1" t="s">
        <v>1321</v>
      </c>
      <c r="B154" s="1" t="s">
        <v>297</v>
      </c>
      <c r="C154" s="1" t="s">
        <v>298</v>
      </c>
      <c r="D154" s="1" t="s">
        <v>16</v>
      </c>
      <c r="E154" s="1" t="s">
        <v>299</v>
      </c>
      <c r="H154" t="str">
        <f t="shared" si="12"/>
        <v/>
      </c>
      <c r="I154" t="str">
        <f t="shared" si="13"/>
        <v/>
      </c>
      <c r="J154" t="str">
        <f t="shared" si="14"/>
        <v/>
      </c>
      <c r="L154" t="str">
        <f t="shared" si="11"/>
        <v>12</v>
      </c>
      <c r="M154">
        <f t="shared" si="10"/>
        <v>1</v>
      </c>
    </row>
    <row r="155" spans="1:13" x14ac:dyDescent="0.25">
      <c r="A155" s="1" t="s">
        <v>1322</v>
      </c>
      <c r="B155" s="1" t="s">
        <v>300</v>
      </c>
      <c r="C155" s="1" t="s">
        <v>301</v>
      </c>
      <c r="D155" s="1" t="s">
        <v>16</v>
      </c>
      <c r="E155" s="1" t="s">
        <v>302</v>
      </c>
      <c r="H155" t="str">
        <f t="shared" si="12"/>
        <v/>
      </c>
      <c r="I155" t="str">
        <f t="shared" si="13"/>
        <v/>
      </c>
      <c r="J155" t="str">
        <f t="shared" si="14"/>
        <v/>
      </c>
      <c r="L155" t="str">
        <f t="shared" si="11"/>
        <v>12</v>
      </c>
      <c r="M155">
        <f t="shared" si="10"/>
        <v>1</v>
      </c>
    </row>
    <row r="156" spans="1:13" x14ac:dyDescent="0.25">
      <c r="A156" s="1" t="s">
        <v>303</v>
      </c>
      <c r="D156" s="1" t="s">
        <v>216</v>
      </c>
      <c r="E156" s="1" t="s">
        <v>304</v>
      </c>
      <c r="H156" t="str">
        <f t="shared" si="12"/>
        <v>B13_COBORROWER</v>
      </c>
      <c r="I156">
        <f t="shared" ca="1" si="13"/>
        <v>2</v>
      </c>
      <c r="J156" t="str">
        <f t="shared" ca="1" si="14"/>
        <v>"B13_COBORROWER", 2</v>
      </c>
      <c r="L156" t="str">
        <f t="shared" si="11"/>
        <v/>
      </c>
      <c r="M156" t="str">
        <f t="shared" si="10"/>
        <v/>
      </c>
    </row>
    <row r="157" spans="1:13" x14ac:dyDescent="0.25">
      <c r="A157" s="1" t="s">
        <v>38</v>
      </c>
      <c r="H157" t="str">
        <f t="shared" si="12"/>
        <v/>
      </c>
      <c r="I157" t="str">
        <f t="shared" si="13"/>
        <v/>
      </c>
      <c r="J157" t="str">
        <f t="shared" si="14"/>
        <v/>
      </c>
      <c r="L157" t="str">
        <f t="shared" si="11"/>
        <v/>
      </c>
      <c r="M157" t="str">
        <f t="shared" si="10"/>
        <v/>
      </c>
    </row>
    <row r="158" spans="1:13" x14ac:dyDescent="0.25">
      <c r="A158" s="1" t="s">
        <v>1323</v>
      </c>
      <c r="B158" s="1" t="s">
        <v>305</v>
      </c>
      <c r="C158" s="1" t="s">
        <v>306</v>
      </c>
      <c r="H158" t="str">
        <f t="shared" si="12"/>
        <v/>
      </c>
      <c r="I158" t="str">
        <f t="shared" si="13"/>
        <v/>
      </c>
      <c r="J158" t="str">
        <f t="shared" si="14"/>
        <v/>
      </c>
      <c r="L158" t="str">
        <f t="shared" si="11"/>
        <v>13</v>
      </c>
      <c r="M158">
        <f t="shared" si="10"/>
        <v>1</v>
      </c>
    </row>
    <row r="159" spans="1:13" x14ac:dyDescent="0.25">
      <c r="C159" s="1" t="s">
        <v>128</v>
      </c>
      <c r="H159" t="str">
        <f t="shared" si="12"/>
        <v/>
      </c>
      <c r="I159" t="str">
        <f t="shared" si="13"/>
        <v/>
      </c>
      <c r="J159" t="str">
        <f t="shared" si="14"/>
        <v/>
      </c>
      <c r="L159" t="str">
        <f t="shared" si="11"/>
        <v/>
      </c>
      <c r="M159" t="str">
        <f t="shared" si="10"/>
        <v/>
      </c>
    </row>
    <row r="160" spans="1:13" x14ac:dyDescent="0.25">
      <c r="C160" s="1" t="s">
        <v>307</v>
      </c>
      <c r="H160" t="str">
        <f t="shared" si="12"/>
        <v/>
      </c>
      <c r="I160" t="str">
        <f t="shared" si="13"/>
        <v/>
      </c>
      <c r="J160" t="str">
        <f t="shared" si="14"/>
        <v/>
      </c>
      <c r="L160" t="str">
        <f t="shared" si="11"/>
        <v/>
      </c>
      <c r="M160" t="str">
        <f t="shared" si="10"/>
        <v/>
      </c>
    </row>
    <row r="161" spans="1:13" x14ac:dyDescent="0.25">
      <c r="A161" s="1" t="s">
        <v>1324</v>
      </c>
      <c r="B161" s="1" t="s">
        <v>308</v>
      </c>
      <c r="D161" s="1" t="s">
        <v>16</v>
      </c>
      <c r="E161" s="1" t="s">
        <v>309</v>
      </c>
      <c r="H161" t="str">
        <f t="shared" si="12"/>
        <v/>
      </c>
      <c r="I161" t="str">
        <f t="shared" si="13"/>
        <v/>
      </c>
      <c r="J161" t="str">
        <f t="shared" si="14"/>
        <v/>
      </c>
      <c r="L161" t="str">
        <f t="shared" si="11"/>
        <v>13</v>
      </c>
      <c r="M161">
        <f t="shared" si="10"/>
        <v>1</v>
      </c>
    </row>
    <row r="162" spans="1:13" x14ac:dyDescent="0.25">
      <c r="A162" s="1" t="s">
        <v>310</v>
      </c>
      <c r="D162" s="1" t="s">
        <v>216</v>
      </c>
      <c r="E162" s="1" t="s">
        <v>311</v>
      </c>
      <c r="H162" t="str">
        <f t="shared" si="12"/>
        <v>B14_PAYMTCONDITION</v>
      </c>
      <c r="I162">
        <f t="shared" ca="1" si="13"/>
        <v>9</v>
      </c>
      <c r="J162" t="str">
        <f t="shared" ca="1" si="14"/>
        <v>"B14_PAYMTCONDITION", 9</v>
      </c>
      <c r="L162" t="str">
        <f t="shared" si="11"/>
        <v/>
      </c>
      <c r="M162" t="str">
        <f t="shared" si="10"/>
        <v/>
      </c>
    </row>
    <row r="163" spans="1:13" x14ac:dyDescent="0.25">
      <c r="A163" s="1" t="s">
        <v>38</v>
      </c>
      <c r="H163" t="str">
        <f t="shared" si="12"/>
        <v/>
      </c>
      <c r="I163" t="str">
        <f t="shared" si="13"/>
        <v/>
      </c>
      <c r="J163" t="str">
        <f t="shared" si="14"/>
        <v/>
      </c>
      <c r="L163" t="str">
        <f t="shared" si="11"/>
        <v/>
      </c>
      <c r="M163" t="str">
        <f t="shared" si="10"/>
        <v/>
      </c>
    </row>
    <row r="164" spans="1:13" x14ac:dyDescent="0.25">
      <c r="A164" s="1" t="s">
        <v>312</v>
      </c>
      <c r="H164" t="str">
        <f t="shared" si="12"/>
        <v/>
      </c>
      <c r="I164" t="str">
        <f t="shared" si="13"/>
        <v/>
      </c>
      <c r="J164" t="str">
        <f t="shared" si="14"/>
        <v/>
      </c>
      <c r="L164" t="str">
        <f t="shared" si="11"/>
        <v/>
      </c>
      <c r="M164" t="str">
        <f t="shared" si="10"/>
        <v/>
      </c>
    </row>
    <row r="165" spans="1:13" x14ac:dyDescent="0.25">
      <c r="A165" s="1" t="s">
        <v>1325</v>
      </c>
      <c r="B165" s="1" t="s">
        <v>313</v>
      </c>
      <c r="C165" s="1" t="s">
        <v>314</v>
      </c>
      <c r="D165" s="1" t="s">
        <v>16</v>
      </c>
      <c r="E165" s="1" t="s">
        <v>316</v>
      </c>
      <c r="H165" t="str">
        <f t="shared" si="12"/>
        <v/>
      </c>
      <c r="I165" t="str">
        <f t="shared" si="13"/>
        <v/>
      </c>
      <c r="J165" t="str">
        <f t="shared" si="14"/>
        <v/>
      </c>
      <c r="L165" t="str">
        <f t="shared" si="11"/>
        <v>14</v>
      </c>
      <c r="M165">
        <f t="shared" si="10"/>
        <v>1</v>
      </c>
    </row>
    <row r="166" spans="1:13" x14ac:dyDescent="0.25">
      <c r="C166" s="1" t="s">
        <v>315</v>
      </c>
      <c r="H166" t="str">
        <f t="shared" si="12"/>
        <v/>
      </c>
      <c r="I166" t="str">
        <f t="shared" si="13"/>
        <v/>
      </c>
      <c r="J166" t="str">
        <f t="shared" si="14"/>
        <v/>
      </c>
      <c r="L166" t="str">
        <f t="shared" si="11"/>
        <v/>
      </c>
      <c r="M166" t="str">
        <f t="shared" si="10"/>
        <v/>
      </c>
    </row>
    <row r="167" spans="1:13" x14ac:dyDescent="0.25">
      <c r="A167" s="1" t="s">
        <v>1326</v>
      </c>
      <c r="B167" s="1" t="s">
        <v>317</v>
      </c>
      <c r="D167" s="1" t="s">
        <v>16</v>
      </c>
      <c r="E167" s="1" t="s">
        <v>318</v>
      </c>
      <c r="H167" t="str">
        <f t="shared" si="12"/>
        <v/>
      </c>
      <c r="I167" t="str">
        <f t="shared" si="13"/>
        <v/>
      </c>
      <c r="J167" t="str">
        <f t="shared" si="14"/>
        <v/>
      </c>
      <c r="L167" t="str">
        <f t="shared" si="11"/>
        <v>14</v>
      </c>
      <c r="M167">
        <f t="shared" si="10"/>
        <v>1</v>
      </c>
    </row>
    <row r="168" spans="1:13" x14ac:dyDescent="0.25">
      <c r="A168" s="1" t="s">
        <v>1327</v>
      </c>
      <c r="B168" s="1" t="s">
        <v>319</v>
      </c>
      <c r="C168" s="1" t="s">
        <v>314</v>
      </c>
      <c r="D168" s="1" t="s">
        <v>16</v>
      </c>
      <c r="E168" s="1" t="s">
        <v>320</v>
      </c>
      <c r="H168" t="str">
        <f t="shared" si="12"/>
        <v/>
      </c>
      <c r="I168" t="str">
        <f t="shared" si="13"/>
        <v/>
      </c>
      <c r="J168" t="str">
        <f t="shared" si="14"/>
        <v/>
      </c>
      <c r="L168" t="str">
        <f t="shared" si="11"/>
        <v>14</v>
      </c>
      <c r="M168">
        <f t="shared" si="10"/>
        <v>1</v>
      </c>
    </row>
    <row r="169" spans="1:13" x14ac:dyDescent="0.25">
      <c r="A169" s="1" t="s">
        <v>1328</v>
      </c>
      <c r="B169" s="1" t="s">
        <v>321</v>
      </c>
      <c r="D169" s="1" t="s">
        <v>16</v>
      </c>
      <c r="E169" s="1" t="s">
        <v>322</v>
      </c>
      <c r="H169" t="str">
        <f t="shared" si="12"/>
        <v/>
      </c>
      <c r="I169" t="str">
        <f t="shared" si="13"/>
        <v/>
      </c>
      <c r="J169" t="str">
        <f t="shared" si="14"/>
        <v/>
      </c>
      <c r="L169" t="str">
        <f t="shared" si="11"/>
        <v>14</v>
      </c>
      <c r="M169">
        <f t="shared" si="10"/>
        <v>1</v>
      </c>
    </row>
    <row r="170" spans="1:13" x14ac:dyDescent="0.25">
      <c r="A170" s="1" t="s">
        <v>1329</v>
      </c>
      <c r="B170" s="1" t="s">
        <v>323</v>
      </c>
      <c r="C170" s="1" t="s">
        <v>324</v>
      </c>
      <c r="D170" s="1" t="s">
        <v>16</v>
      </c>
      <c r="E170" s="1" t="s">
        <v>326</v>
      </c>
      <c r="H170" t="str">
        <f t="shared" si="12"/>
        <v/>
      </c>
      <c r="I170" t="str">
        <f t="shared" si="13"/>
        <v/>
      </c>
      <c r="J170" t="str">
        <f t="shared" si="14"/>
        <v/>
      </c>
      <c r="L170" t="str">
        <f t="shared" si="11"/>
        <v>14</v>
      </c>
      <c r="M170">
        <f t="shared" si="10"/>
        <v>1</v>
      </c>
    </row>
    <row r="171" spans="1:13" x14ac:dyDescent="0.25">
      <c r="C171" s="1" t="s">
        <v>325</v>
      </c>
      <c r="H171" t="str">
        <f t="shared" si="12"/>
        <v/>
      </c>
      <c r="I171" t="str">
        <f t="shared" si="13"/>
        <v/>
      </c>
      <c r="J171" t="str">
        <f t="shared" si="14"/>
        <v/>
      </c>
      <c r="L171" t="str">
        <f t="shared" si="11"/>
        <v/>
      </c>
      <c r="M171" t="str">
        <f t="shared" si="10"/>
        <v/>
      </c>
    </row>
    <row r="172" spans="1:13" x14ac:dyDescent="0.25">
      <c r="A172" s="1" t="s">
        <v>1330</v>
      </c>
      <c r="B172" s="1" t="s">
        <v>327</v>
      </c>
      <c r="C172" s="1" t="s">
        <v>328</v>
      </c>
      <c r="D172" s="1" t="s">
        <v>16</v>
      </c>
      <c r="E172" s="1" t="s">
        <v>329</v>
      </c>
      <c r="H172" t="str">
        <f t="shared" si="12"/>
        <v/>
      </c>
      <c r="I172" t="str">
        <f t="shared" si="13"/>
        <v/>
      </c>
      <c r="J172" t="str">
        <f t="shared" si="14"/>
        <v/>
      </c>
      <c r="L172" t="str">
        <f t="shared" si="11"/>
        <v>14</v>
      </c>
      <c r="M172">
        <f t="shared" si="10"/>
        <v>1</v>
      </c>
    </row>
    <row r="173" spans="1:13" x14ac:dyDescent="0.25">
      <c r="A173" s="1" t="s">
        <v>1331</v>
      </c>
      <c r="B173" s="1" t="s">
        <v>330</v>
      </c>
      <c r="C173" s="1" t="s">
        <v>331</v>
      </c>
      <c r="D173" s="1" t="s">
        <v>16</v>
      </c>
      <c r="E173" s="1" t="s">
        <v>332</v>
      </c>
      <c r="H173" t="str">
        <f t="shared" si="12"/>
        <v/>
      </c>
      <c r="I173" t="str">
        <f t="shared" si="13"/>
        <v/>
      </c>
      <c r="J173" t="str">
        <f t="shared" si="14"/>
        <v/>
      </c>
      <c r="L173" t="str">
        <f t="shared" si="11"/>
        <v>14</v>
      </c>
      <c r="M173">
        <f t="shared" si="10"/>
        <v>1</v>
      </c>
    </row>
    <row r="174" spans="1:13" x14ac:dyDescent="0.25">
      <c r="A174" s="1" t="s">
        <v>1332</v>
      </c>
      <c r="B174" s="1" t="s">
        <v>333</v>
      </c>
      <c r="C174" s="1" t="s">
        <v>331</v>
      </c>
      <c r="D174" s="1" t="s">
        <v>16</v>
      </c>
      <c r="E174" s="1" t="s">
        <v>335</v>
      </c>
      <c r="H174" t="str">
        <f t="shared" si="12"/>
        <v/>
      </c>
      <c r="I174" t="str">
        <f t="shared" si="13"/>
        <v/>
      </c>
      <c r="J174" t="str">
        <f t="shared" si="14"/>
        <v/>
      </c>
      <c r="L174" t="str">
        <f t="shared" si="11"/>
        <v>14</v>
      </c>
      <c r="M174">
        <f t="shared" si="10"/>
        <v>1</v>
      </c>
    </row>
    <row r="175" spans="1:13" x14ac:dyDescent="0.25">
      <c r="C175" s="1" t="s">
        <v>334</v>
      </c>
      <c r="H175" t="str">
        <f t="shared" si="12"/>
        <v/>
      </c>
      <c r="I175" t="str">
        <f t="shared" si="13"/>
        <v/>
      </c>
      <c r="J175" t="str">
        <f t="shared" si="14"/>
        <v/>
      </c>
      <c r="L175" t="str">
        <f t="shared" si="11"/>
        <v/>
      </c>
      <c r="M175" t="str">
        <f t="shared" si="10"/>
        <v/>
      </c>
    </row>
    <row r="176" spans="1:13" x14ac:dyDescent="0.25">
      <c r="A176" s="1" t="s">
        <v>1333</v>
      </c>
      <c r="B176" s="1" t="s">
        <v>336</v>
      </c>
      <c r="C176" s="1" t="s">
        <v>337</v>
      </c>
      <c r="D176" s="1" t="s">
        <v>16</v>
      </c>
      <c r="E176" s="1" t="s">
        <v>338</v>
      </c>
      <c r="H176" t="str">
        <f t="shared" si="12"/>
        <v/>
      </c>
      <c r="I176" t="str">
        <f t="shared" si="13"/>
        <v/>
      </c>
      <c r="J176" t="str">
        <f t="shared" si="14"/>
        <v/>
      </c>
      <c r="L176" t="str">
        <f t="shared" si="11"/>
        <v>14</v>
      </c>
      <c r="M176">
        <f t="shared" si="10"/>
        <v>1</v>
      </c>
    </row>
    <row r="177" spans="1:13" x14ac:dyDescent="0.25">
      <c r="A177" s="1" t="s">
        <v>339</v>
      </c>
      <c r="D177" s="1" t="s">
        <v>216</v>
      </c>
      <c r="E177" s="1" t="s">
        <v>340</v>
      </c>
      <c r="H177" t="str">
        <f t="shared" si="12"/>
        <v>B15_AMENDMENT</v>
      </c>
      <c r="I177">
        <f t="shared" ca="1" si="13"/>
        <v>10</v>
      </c>
      <c r="J177" t="str">
        <f t="shared" ca="1" si="14"/>
        <v>"B15_AMENDMENT", 10</v>
      </c>
      <c r="L177" t="str">
        <f t="shared" si="11"/>
        <v/>
      </c>
      <c r="M177" t="str">
        <f t="shared" si="10"/>
        <v/>
      </c>
    </row>
    <row r="178" spans="1:13" x14ac:dyDescent="0.25">
      <c r="A178" s="1" t="s">
        <v>1334</v>
      </c>
      <c r="B178" s="1" t="s">
        <v>341</v>
      </c>
      <c r="C178" s="1" t="s">
        <v>342</v>
      </c>
      <c r="H178" t="str">
        <f t="shared" si="12"/>
        <v/>
      </c>
      <c r="I178" t="str">
        <f t="shared" si="13"/>
        <v/>
      </c>
      <c r="J178" t="str">
        <f t="shared" si="14"/>
        <v/>
      </c>
      <c r="L178" t="str">
        <f t="shared" si="11"/>
        <v>15</v>
      </c>
      <c r="M178">
        <f t="shared" si="10"/>
        <v>1</v>
      </c>
    </row>
    <row r="179" spans="1:13" x14ac:dyDescent="0.25">
      <c r="C179" s="1" t="s">
        <v>128</v>
      </c>
      <c r="H179" t="str">
        <f t="shared" si="12"/>
        <v/>
      </c>
      <c r="I179" t="str">
        <f t="shared" si="13"/>
        <v/>
      </c>
      <c r="J179" t="str">
        <f t="shared" si="14"/>
        <v/>
      </c>
      <c r="L179" t="str">
        <f t="shared" si="11"/>
        <v/>
      </c>
      <c r="M179" t="str">
        <f t="shared" si="10"/>
        <v/>
      </c>
    </row>
    <row r="180" spans="1:13" x14ac:dyDescent="0.25">
      <c r="C180" s="1" t="s">
        <v>343</v>
      </c>
      <c r="H180" t="str">
        <f t="shared" si="12"/>
        <v/>
      </c>
      <c r="I180" t="str">
        <f t="shared" si="13"/>
        <v/>
      </c>
      <c r="J180" t="str">
        <f t="shared" si="14"/>
        <v/>
      </c>
      <c r="L180" t="str">
        <f t="shared" si="11"/>
        <v/>
      </c>
      <c r="M180" t="str">
        <f t="shared" si="10"/>
        <v/>
      </c>
    </row>
    <row r="181" spans="1:13" x14ac:dyDescent="0.25">
      <c r="A181" s="1" t="s">
        <v>1335</v>
      </c>
      <c r="B181" s="1" t="s">
        <v>344</v>
      </c>
      <c r="D181" s="1" t="s">
        <v>16</v>
      </c>
      <c r="E181" s="1" t="s">
        <v>345</v>
      </c>
      <c r="H181" t="str">
        <f t="shared" si="12"/>
        <v/>
      </c>
      <c r="I181" t="str">
        <f t="shared" si="13"/>
        <v/>
      </c>
      <c r="J181" t="str">
        <f t="shared" si="14"/>
        <v/>
      </c>
      <c r="L181" t="str">
        <f t="shared" si="11"/>
        <v>15</v>
      </c>
      <c r="M181">
        <f t="shared" si="10"/>
        <v>1</v>
      </c>
    </row>
    <row r="182" spans="1:13" x14ac:dyDescent="0.25">
      <c r="A182" s="1" t="s">
        <v>1336</v>
      </c>
      <c r="B182" s="1" t="s">
        <v>346</v>
      </c>
      <c r="C182" s="1" t="s">
        <v>347</v>
      </c>
      <c r="D182" s="1" t="s">
        <v>16</v>
      </c>
      <c r="E182" s="1" t="s">
        <v>348</v>
      </c>
      <c r="H182" t="str">
        <f t="shared" si="12"/>
        <v/>
      </c>
      <c r="I182" t="str">
        <f t="shared" si="13"/>
        <v/>
      </c>
      <c r="J182" t="str">
        <f t="shared" si="14"/>
        <v/>
      </c>
      <c r="L182" t="str">
        <f t="shared" si="11"/>
        <v>15</v>
      </c>
      <c r="M182">
        <f t="shared" si="10"/>
        <v>1</v>
      </c>
    </row>
    <row r="183" spans="1:13" x14ac:dyDescent="0.25">
      <c r="A183" s="1" t="s">
        <v>1337</v>
      </c>
      <c r="B183" s="1" t="s">
        <v>349</v>
      </c>
      <c r="C183" s="1" t="s">
        <v>350</v>
      </c>
      <c r="D183" s="1" t="s">
        <v>16</v>
      </c>
      <c r="E183" s="1" t="s">
        <v>354</v>
      </c>
      <c r="H183" t="str">
        <f t="shared" si="12"/>
        <v/>
      </c>
      <c r="I183" t="str">
        <f t="shared" si="13"/>
        <v/>
      </c>
      <c r="J183" t="str">
        <f t="shared" si="14"/>
        <v/>
      </c>
      <c r="L183" t="str">
        <f t="shared" si="11"/>
        <v>15</v>
      </c>
      <c r="M183">
        <f t="shared" si="10"/>
        <v>1</v>
      </c>
    </row>
    <row r="184" spans="1:13" x14ac:dyDescent="0.25">
      <c r="C184" s="1" t="s">
        <v>351</v>
      </c>
      <c r="H184" t="str">
        <f t="shared" si="12"/>
        <v/>
      </c>
      <c r="I184" t="str">
        <f t="shared" si="13"/>
        <v/>
      </c>
      <c r="J184" t="str">
        <f t="shared" si="14"/>
        <v/>
      </c>
      <c r="L184" t="str">
        <f t="shared" si="11"/>
        <v/>
      </c>
      <c r="M184" t="str">
        <f t="shared" si="10"/>
        <v/>
      </c>
    </row>
    <row r="185" spans="1:13" x14ac:dyDescent="0.25">
      <c r="C185" s="1" t="s">
        <v>352</v>
      </c>
      <c r="H185" t="str">
        <f t="shared" si="12"/>
        <v/>
      </c>
      <c r="I185" t="str">
        <f t="shared" si="13"/>
        <v/>
      </c>
      <c r="J185" t="str">
        <f t="shared" si="14"/>
        <v/>
      </c>
      <c r="L185" t="str">
        <f t="shared" si="11"/>
        <v/>
      </c>
      <c r="M185" t="str">
        <f t="shared" si="10"/>
        <v/>
      </c>
    </row>
    <row r="186" spans="1:13" x14ac:dyDescent="0.25">
      <c r="C186" s="1" t="s">
        <v>353</v>
      </c>
      <c r="H186" t="str">
        <f t="shared" si="12"/>
        <v/>
      </c>
      <c r="I186" t="str">
        <f t="shared" si="13"/>
        <v/>
      </c>
      <c r="J186" t="str">
        <f t="shared" si="14"/>
        <v/>
      </c>
      <c r="L186" t="str">
        <f t="shared" si="11"/>
        <v/>
      </c>
      <c r="M186" t="str">
        <f t="shared" si="10"/>
        <v/>
      </c>
    </row>
    <row r="187" spans="1:13" x14ac:dyDescent="0.25">
      <c r="A187" s="1" t="s">
        <v>1338</v>
      </c>
      <c r="B187" s="1" t="s">
        <v>355</v>
      </c>
      <c r="C187" s="1" t="s">
        <v>356</v>
      </c>
      <c r="D187" s="1" t="s">
        <v>16</v>
      </c>
      <c r="E187" s="1" t="s">
        <v>358</v>
      </c>
      <c r="H187" t="str">
        <f t="shared" si="12"/>
        <v/>
      </c>
      <c r="I187" t="str">
        <f t="shared" si="13"/>
        <v/>
      </c>
      <c r="J187" t="str">
        <f t="shared" si="14"/>
        <v/>
      </c>
      <c r="L187" t="str">
        <f t="shared" si="11"/>
        <v>15</v>
      </c>
      <c r="M187">
        <f t="shared" si="10"/>
        <v>1</v>
      </c>
    </row>
    <row r="188" spans="1:13" x14ac:dyDescent="0.25">
      <c r="C188" s="1" t="s">
        <v>357</v>
      </c>
      <c r="H188" t="str">
        <f t="shared" si="12"/>
        <v/>
      </c>
      <c r="I188" t="str">
        <f t="shared" si="13"/>
        <v/>
      </c>
      <c r="J188" t="str">
        <f t="shared" si="14"/>
        <v/>
      </c>
      <c r="L188" t="str">
        <f t="shared" si="11"/>
        <v/>
      </c>
      <c r="M188" t="str">
        <f t="shared" si="10"/>
        <v/>
      </c>
    </row>
    <row r="189" spans="1:13" x14ac:dyDescent="0.25">
      <c r="A189" s="1" t="s">
        <v>1339</v>
      </c>
      <c r="B189" s="1" t="s">
        <v>359</v>
      </c>
      <c r="E189" s="1" t="s">
        <v>360</v>
      </c>
      <c r="H189" t="str">
        <f t="shared" si="12"/>
        <v/>
      </c>
      <c r="I189" t="str">
        <f t="shared" si="13"/>
        <v/>
      </c>
      <c r="J189" t="str">
        <f t="shared" si="14"/>
        <v/>
      </c>
      <c r="L189" t="str">
        <f t="shared" si="11"/>
        <v>15</v>
      </c>
      <c r="M189">
        <f t="shared" si="10"/>
        <v>1</v>
      </c>
    </row>
    <row r="190" spans="1:13" x14ac:dyDescent="0.25">
      <c r="A190" s="1" t="s">
        <v>1340</v>
      </c>
      <c r="B190" s="1" t="s">
        <v>361</v>
      </c>
      <c r="E190" s="1" t="s">
        <v>362</v>
      </c>
      <c r="H190" t="str">
        <f t="shared" si="12"/>
        <v/>
      </c>
      <c r="I190" t="str">
        <f t="shared" si="13"/>
        <v/>
      </c>
      <c r="J190" t="str">
        <f t="shared" si="14"/>
        <v/>
      </c>
      <c r="L190" t="str">
        <f t="shared" si="11"/>
        <v>15</v>
      </c>
      <c r="M190">
        <f t="shared" si="10"/>
        <v>1</v>
      </c>
    </row>
    <row r="191" spans="1:13" x14ac:dyDescent="0.25">
      <c r="A191" s="1" t="s">
        <v>1341</v>
      </c>
      <c r="B191" s="1" t="s">
        <v>363</v>
      </c>
      <c r="E191" s="1" t="s">
        <v>364</v>
      </c>
      <c r="H191" t="str">
        <f t="shared" si="12"/>
        <v/>
      </c>
      <c r="I191" t="str">
        <f t="shared" si="13"/>
        <v/>
      </c>
      <c r="J191" t="str">
        <f t="shared" si="14"/>
        <v/>
      </c>
      <c r="L191" t="str">
        <f t="shared" si="11"/>
        <v>15</v>
      </c>
      <c r="M191">
        <f t="shared" si="10"/>
        <v>1</v>
      </c>
    </row>
    <row r="192" spans="1:13" x14ac:dyDescent="0.25">
      <c r="A192" s="1" t="s">
        <v>1342</v>
      </c>
      <c r="B192" s="1" t="s">
        <v>365</v>
      </c>
      <c r="C192" s="1" t="s">
        <v>366</v>
      </c>
      <c r="E192" s="1" t="s">
        <v>367</v>
      </c>
      <c r="H192" t="str">
        <f t="shared" si="12"/>
        <v/>
      </c>
      <c r="I192" t="str">
        <f t="shared" si="13"/>
        <v/>
      </c>
      <c r="J192" t="str">
        <f t="shared" si="14"/>
        <v/>
      </c>
      <c r="L192" t="str">
        <f t="shared" si="11"/>
        <v>15</v>
      </c>
      <c r="M192">
        <f t="shared" si="10"/>
        <v>1</v>
      </c>
    </row>
    <row r="193" spans="1:13" x14ac:dyDescent="0.25">
      <c r="A193" s="1" t="s">
        <v>1343</v>
      </c>
      <c r="B193" s="1" t="s">
        <v>368</v>
      </c>
      <c r="C193" s="1" t="s">
        <v>369</v>
      </c>
      <c r="E193" s="1" t="s">
        <v>370</v>
      </c>
      <c r="H193" t="str">
        <f t="shared" si="12"/>
        <v/>
      </c>
      <c r="I193" t="str">
        <f t="shared" si="13"/>
        <v/>
      </c>
      <c r="J193" t="str">
        <f t="shared" si="14"/>
        <v/>
      </c>
      <c r="L193" t="str">
        <f t="shared" si="11"/>
        <v>15</v>
      </c>
      <c r="M193">
        <f t="shared" si="10"/>
        <v>1</v>
      </c>
    </row>
    <row r="194" spans="1:13" x14ac:dyDescent="0.25">
      <c r="A194" s="1" t="s">
        <v>371</v>
      </c>
      <c r="H194" t="str">
        <f t="shared" si="12"/>
        <v/>
      </c>
      <c r="I194" t="str">
        <f t="shared" si="13"/>
        <v/>
      </c>
      <c r="J194" t="str">
        <f t="shared" si="14"/>
        <v/>
      </c>
      <c r="L194" t="str">
        <f t="shared" si="11"/>
        <v/>
      </c>
      <c r="M194" t="str">
        <f t="shared" ref="M194:M257" si="15">IF(AND(LEN(A194)&lt;6,A194&lt;&gt;""),1,"")</f>
        <v/>
      </c>
    </row>
    <row r="195" spans="1:13" x14ac:dyDescent="0.25">
      <c r="A195" s="1" t="s">
        <v>372</v>
      </c>
      <c r="D195" s="1" t="s">
        <v>216</v>
      </c>
      <c r="E195" s="1" t="s">
        <v>204</v>
      </c>
      <c r="H195" t="str">
        <f t="shared" si="12"/>
        <v>B16_FUNDDATE</v>
      </c>
      <c r="I195">
        <f t="shared" ca="1" si="13"/>
        <v>2</v>
      </c>
      <c r="J195" t="str">
        <f t="shared" ca="1" si="14"/>
        <v>"B16_FUNDDATE", 2</v>
      </c>
      <c r="L195" t="str">
        <f t="shared" ref="L195:L258" si="16">IFERROR(IF(LEN(A195)&lt;=5,TRIM(LEFT(A195,SEARCH(".",A195)-1)),""),"")</f>
        <v/>
      </c>
      <c r="M195" t="str">
        <f t="shared" si="15"/>
        <v/>
      </c>
    </row>
    <row r="196" spans="1:13" x14ac:dyDescent="0.25">
      <c r="A196" s="1" t="s">
        <v>1344</v>
      </c>
      <c r="B196" s="1" t="s">
        <v>373</v>
      </c>
      <c r="C196" s="1" t="s">
        <v>374</v>
      </c>
      <c r="D196" s="1" t="s">
        <v>16</v>
      </c>
      <c r="E196" s="1" t="s">
        <v>376</v>
      </c>
      <c r="H196" t="str">
        <f t="shared" si="12"/>
        <v/>
      </c>
      <c r="I196" t="str">
        <f t="shared" si="13"/>
        <v/>
      </c>
      <c r="J196" t="str">
        <f t="shared" si="14"/>
        <v/>
      </c>
      <c r="L196" t="str">
        <f t="shared" si="16"/>
        <v>16</v>
      </c>
      <c r="M196">
        <f t="shared" si="15"/>
        <v>1</v>
      </c>
    </row>
    <row r="197" spans="1:13" x14ac:dyDescent="0.25">
      <c r="C197" s="1" t="s">
        <v>375</v>
      </c>
      <c r="H197" t="str">
        <f t="shared" si="12"/>
        <v/>
      </c>
      <c r="I197" t="str">
        <f t="shared" si="13"/>
        <v/>
      </c>
      <c r="J197" t="str">
        <f t="shared" si="14"/>
        <v/>
      </c>
      <c r="L197" t="str">
        <f t="shared" si="16"/>
        <v/>
      </c>
      <c r="M197" t="str">
        <f t="shared" si="15"/>
        <v/>
      </c>
    </row>
    <row r="198" spans="1:13" x14ac:dyDescent="0.25">
      <c r="A198" s="1" t="s">
        <v>1345</v>
      </c>
      <c r="B198" s="1" t="s">
        <v>377</v>
      </c>
      <c r="C198" s="1" t="s">
        <v>378</v>
      </c>
      <c r="D198" s="1" t="s">
        <v>16</v>
      </c>
      <c r="E198" s="1" t="s">
        <v>379</v>
      </c>
      <c r="H198" t="str">
        <f t="shared" si="12"/>
        <v/>
      </c>
      <c r="I198" t="str">
        <f t="shared" si="13"/>
        <v/>
      </c>
      <c r="J198" t="str">
        <f t="shared" si="14"/>
        <v/>
      </c>
      <c r="L198" t="str">
        <f t="shared" si="16"/>
        <v>16</v>
      </c>
      <c r="M198">
        <f t="shared" si="15"/>
        <v>1</v>
      </c>
    </row>
    <row r="199" spans="1:13" x14ac:dyDescent="0.25">
      <c r="A199" s="1" t="s">
        <v>380</v>
      </c>
      <c r="D199" s="1" t="s">
        <v>216</v>
      </c>
      <c r="E199" s="1" t="s">
        <v>381</v>
      </c>
      <c r="H199" t="str">
        <f t="shared" ref="H199:H262" si="17">IFERROR(TRIM(IF(SEARCH("Блок ",A199),IF(SEARCH("B",A199),RIGHT(A199,LEN(A199)-SEARCH("B",A199)+1)),"")),"")</f>
        <v>B17_ARREAR</v>
      </c>
      <c r="I199">
        <f t="shared" ref="I199:I262" ca="1" si="18">IFERROR(IF(H199&lt;&gt;"",SUMIF(L:M,TRIM(MID(A199,SEARCH(" ",A199),SEARCH(". ",A199)-5)),M:M),""),"")</f>
        <v>8</v>
      </c>
      <c r="J199" t="str">
        <f t="shared" ref="J199:J262" ca="1" si="19">CLEAN(TRIM(IF(H199&lt;&gt;"",""""&amp;H199&amp;""""&amp;", "&amp;I199,"")))</f>
        <v>"B17_ARREAR", 8</v>
      </c>
      <c r="L199" t="str">
        <f t="shared" si="16"/>
        <v/>
      </c>
      <c r="M199" t="str">
        <f t="shared" si="15"/>
        <v/>
      </c>
    </row>
    <row r="200" spans="1:13" x14ac:dyDescent="0.25">
      <c r="A200" s="1" t="s">
        <v>382</v>
      </c>
      <c r="H200" t="str">
        <f t="shared" si="17"/>
        <v/>
      </c>
      <c r="I200" t="str">
        <f t="shared" si="18"/>
        <v/>
      </c>
      <c r="J200" t="str">
        <f t="shared" si="19"/>
        <v/>
      </c>
      <c r="L200" t="str">
        <f t="shared" si="16"/>
        <v/>
      </c>
      <c r="M200" t="str">
        <f t="shared" si="15"/>
        <v/>
      </c>
    </row>
    <row r="201" spans="1:13" x14ac:dyDescent="0.25">
      <c r="A201" s="1" t="s">
        <v>383</v>
      </c>
      <c r="H201" t="str">
        <f t="shared" si="17"/>
        <v/>
      </c>
      <c r="I201" t="str">
        <f t="shared" si="18"/>
        <v/>
      </c>
      <c r="J201" t="str">
        <f t="shared" si="19"/>
        <v/>
      </c>
      <c r="L201" t="str">
        <f t="shared" si="16"/>
        <v/>
      </c>
      <c r="M201" t="str">
        <f t="shared" si="15"/>
        <v/>
      </c>
    </row>
    <row r="202" spans="1:13" x14ac:dyDescent="0.25">
      <c r="A202" s="1" t="s">
        <v>1346</v>
      </c>
      <c r="B202" s="1" t="s">
        <v>384</v>
      </c>
      <c r="C202" s="1" t="s">
        <v>385</v>
      </c>
      <c r="H202" t="str">
        <f t="shared" si="17"/>
        <v/>
      </c>
      <c r="I202" t="str">
        <f t="shared" si="18"/>
        <v/>
      </c>
      <c r="J202" t="str">
        <f t="shared" si="19"/>
        <v/>
      </c>
      <c r="L202" t="str">
        <f t="shared" si="16"/>
        <v>17</v>
      </c>
      <c r="M202">
        <f t="shared" si="15"/>
        <v>1</v>
      </c>
    </row>
    <row r="203" spans="1:13" x14ac:dyDescent="0.25">
      <c r="C203" s="1" t="s">
        <v>386</v>
      </c>
      <c r="H203" t="str">
        <f t="shared" si="17"/>
        <v/>
      </c>
      <c r="I203" t="str">
        <f t="shared" si="18"/>
        <v/>
      </c>
      <c r="J203" t="str">
        <f t="shared" si="19"/>
        <v/>
      </c>
      <c r="L203" t="str">
        <f t="shared" si="16"/>
        <v/>
      </c>
      <c r="M203" t="str">
        <f t="shared" si="15"/>
        <v/>
      </c>
    </row>
    <row r="204" spans="1:13" x14ac:dyDescent="0.25">
      <c r="C204" s="1" t="s">
        <v>387</v>
      </c>
      <c r="H204" t="str">
        <f t="shared" si="17"/>
        <v/>
      </c>
      <c r="I204" t="str">
        <f t="shared" si="18"/>
        <v/>
      </c>
      <c r="J204" t="str">
        <f t="shared" si="19"/>
        <v/>
      </c>
      <c r="L204" t="str">
        <f t="shared" si="16"/>
        <v/>
      </c>
      <c r="M204" t="str">
        <f t="shared" si="15"/>
        <v/>
      </c>
    </row>
    <row r="205" spans="1:13" x14ac:dyDescent="0.25">
      <c r="A205" s="1" t="s">
        <v>1347</v>
      </c>
      <c r="B205" s="1" t="s">
        <v>388</v>
      </c>
      <c r="C205" s="1" t="s">
        <v>389</v>
      </c>
      <c r="E205" s="1" t="s">
        <v>395</v>
      </c>
      <c r="H205" t="str">
        <f t="shared" si="17"/>
        <v/>
      </c>
      <c r="I205" t="str">
        <f t="shared" si="18"/>
        <v/>
      </c>
      <c r="J205" t="str">
        <f t="shared" si="19"/>
        <v/>
      </c>
      <c r="L205" t="str">
        <f t="shared" si="16"/>
        <v>17</v>
      </c>
      <c r="M205">
        <f t="shared" si="15"/>
        <v>1</v>
      </c>
    </row>
    <row r="206" spans="1:13" x14ac:dyDescent="0.25">
      <c r="C206" s="1" t="s">
        <v>390</v>
      </c>
      <c r="H206" t="str">
        <f t="shared" si="17"/>
        <v/>
      </c>
      <c r="I206" t="str">
        <f t="shared" si="18"/>
        <v/>
      </c>
      <c r="J206" t="str">
        <f t="shared" si="19"/>
        <v/>
      </c>
      <c r="L206" t="str">
        <f t="shared" si="16"/>
        <v/>
      </c>
      <c r="M206" t="str">
        <f t="shared" si="15"/>
        <v/>
      </c>
    </row>
    <row r="207" spans="1:13" x14ac:dyDescent="0.25">
      <c r="C207" s="1" t="s">
        <v>391</v>
      </c>
      <c r="H207" t="str">
        <f t="shared" si="17"/>
        <v/>
      </c>
      <c r="I207" t="str">
        <f t="shared" si="18"/>
        <v/>
      </c>
      <c r="J207" t="str">
        <f t="shared" si="19"/>
        <v/>
      </c>
      <c r="L207" t="str">
        <f t="shared" si="16"/>
        <v/>
      </c>
      <c r="M207" t="str">
        <f t="shared" si="15"/>
        <v/>
      </c>
    </row>
    <row r="208" spans="1:13" x14ac:dyDescent="0.25">
      <c r="C208" s="1" t="s">
        <v>392</v>
      </c>
      <c r="H208" t="str">
        <f t="shared" si="17"/>
        <v/>
      </c>
      <c r="I208" t="str">
        <f t="shared" si="18"/>
        <v/>
      </c>
      <c r="J208" t="str">
        <f t="shared" si="19"/>
        <v/>
      </c>
      <c r="L208" t="str">
        <f t="shared" si="16"/>
        <v/>
      </c>
      <c r="M208" t="str">
        <f t="shared" si="15"/>
        <v/>
      </c>
    </row>
    <row r="209" spans="1:13" x14ac:dyDescent="0.25">
      <c r="C209" s="1" t="s">
        <v>393</v>
      </c>
      <c r="H209" t="str">
        <f t="shared" si="17"/>
        <v/>
      </c>
      <c r="I209" t="str">
        <f t="shared" si="18"/>
        <v/>
      </c>
      <c r="J209" t="str">
        <f t="shared" si="19"/>
        <v/>
      </c>
      <c r="L209" t="str">
        <f t="shared" si="16"/>
        <v/>
      </c>
      <c r="M209" t="str">
        <f t="shared" si="15"/>
        <v/>
      </c>
    </row>
    <row r="210" spans="1:13" x14ac:dyDescent="0.25">
      <c r="C210" s="1" t="s">
        <v>394</v>
      </c>
      <c r="H210" t="str">
        <f t="shared" si="17"/>
        <v/>
      </c>
      <c r="I210" t="str">
        <f t="shared" si="18"/>
        <v/>
      </c>
      <c r="J210" t="str">
        <f t="shared" si="19"/>
        <v/>
      </c>
      <c r="L210" t="str">
        <f t="shared" si="16"/>
        <v/>
      </c>
      <c r="M210" t="str">
        <f t="shared" si="15"/>
        <v/>
      </c>
    </row>
    <row r="211" spans="1:13" x14ac:dyDescent="0.25">
      <c r="A211" s="1" t="s">
        <v>1348</v>
      </c>
      <c r="B211" s="1" t="s">
        <v>396</v>
      </c>
      <c r="C211" s="1" t="s">
        <v>397</v>
      </c>
      <c r="E211" s="1" t="s">
        <v>401</v>
      </c>
      <c r="H211" t="str">
        <f t="shared" si="17"/>
        <v/>
      </c>
      <c r="I211" t="str">
        <f t="shared" si="18"/>
        <v/>
      </c>
      <c r="J211" t="str">
        <f t="shared" si="19"/>
        <v/>
      </c>
      <c r="L211" t="str">
        <f t="shared" si="16"/>
        <v>17</v>
      </c>
      <c r="M211">
        <f t="shared" si="15"/>
        <v>1</v>
      </c>
    </row>
    <row r="212" spans="1:13" x14ac:dyDescent="0.25">
      <c r="C212" s="1" t="s">
        <v>398</v>
      </c>
      <c r="H212" t="str">
        <f t="shared" si="17"/>
        <v/>
      </c>
      <c r="I212" t="str">
        <f t="shared" si="18"/>
        <v/>
      </c>
      <c r="J212" t="str">
        <f t="shared" si="19"/>
        <v/>
      </c>
      <c r="L212" t="str">
        <f t="shared" si="16"/>
        <v/>
      </c>
      <c r="M212" t="str">
        <f t="shared" si="15"/>
        <v/>
      </c>
    </row>
    <row r="213" spans="1:13" x14ac:dyDescent="0.25">
      <c r="C213" s="1" t="s">
        <v>399</v>
      </c>
      <c r="H213" t="str">
        <f t="shared" si="17"/>
        <v/>
      </c>
      <c r="I213" t="str">
        <f t="shared" si="18"/>
        <v/>
      </c>
      <c r="J213" t="str">
        <f t="shared" si="19"/>
        <v/>
      </c>
      <c r="L213" t="str">
        <f t="shared" si="16"/>
        <v/>
      </c>
      <c r="M213" t="str">
        <f t="shared" si="15"/>
        <v/>
      </c>
    </row>
    <row r="214" spans="1:13" x14ac:dyDescent="0.25">
      <c r="C214" s="1" t="s">
        <v>400</v>
      </c>
      <c r="H214" t="str">
        <f t="shared" si="17"/>
        <v/>
      </c>
      <c r="I214" t="str">
        <f t="shared" si="18"/>
        <v/>
      </c>
      <c r="J214" t="str">
        <f t="shared" si="19"/>
        <v/>
      </c>
      <c r="L214" t="str">
        <f t="shared" si="16"/>
        <v/>
      </c>
      <c r="M214" t="str">
        <f t="shared" si="15"/>
        <v/>
      </c>
    </row>
    <row r="215" spans="1:13" x14ac:dyDescent="0.25">
      <c r="A215" s="1" t="s">
        <v>1349</v>
      </c>
      <c r="B215" s="1" t="s">
        <v>402</v>
      </c>
      <c r="C215" s="1" t="s">
        <v>403</v>
      </c>
      <c r="E215" s="1" t="s">
        <v>405</v>
      </c>
      <c r="H215" t="str">
        <f t="shared" si="17"/>
        <v/>
      </c>
      <c r="I215" t="str">
        <f t="shared" si="18"/>
        <v/>
      </c>
      <c r="J215" t="str">
        <f t="shared" si="19"/>
        <v/>
      </c>
      <c r="L215" t="str">
        <f t="shared" si="16"/>
        <v>17</v>
      </c>
      <c r="M215">
        <f t="shared" si="15"/>
        <v>1</v>
      </c>
    </row>
    <row r="216" spans="1:13" x14ac:dyDescent="0.25">
      <c r="C216" s="1" t="s">
        <v>404</v>
      </c>
      <c r="H216" t="str">
        <f t="shared" si="17"/>
        <v/>
      </c>
      <c r="I216" t="str">
        <f t="shared" si="18"/>
        <v/>
      </c>
      <c r="J216" t="str">
        <f t="shared" si="19"/>
        <v/>
      </c>
      <c r="L216" t="str">
        <f t="shared" si="16"/>
        <v/>
      </c>
      <c r="M216" t="str">
        <f t="shared" si="15"/>
        <v/>
      </c>
    </row>
    <row r="217" spans="1:13" x14ac:dyDescent="0.25">
      <c r="C217" s="1" t="s">
        <v>394</v>
      </c>
      <c r="H217" t="str">
        <f t="shared" si="17"/>
        <v/>
      </c>
      <c r="I217" t="str">
        <f t="shared" si="18"/>
        <v/>
      </c>
      <c r="J217" t="str">
        <f t="shared" si="19"/>
        <v/>
      </c>
      <c r="L217" t="str">
        <f t="shared" si="16"/>
        <v/>
      </c>
      <c r="M217" t="str">
        <f t="shared" si="15"/>
        <v/>
      </c>
    </row>
    <row r="218" spans="1:13" x14ac:dyDescent="0.25">
      <c r="A218" s="1" t="s">
        <v>1350</v>
      </c>
      <c r="B218" s="1" t="s">
        <v>406</v>
      </c>
      <c r="C218" s="1" t="s">
        <v>403</v>
      </c>
      <c r="E218" s="1" t="s">
        <v>407</v>
      </c>
      <c r="H218" t="str">
        <f t="shared" si="17"/>
        <v/>
      </c>
      <c r="I218" t="str">
        <f t="shared" si="18"/>
        <v/>
      </c>
      <c r="J218" t="str">
        <f t="shared" si="19"/>
        <v/>
      </c>
      <c r="L218" t="str">
        <f t="shared" si="16"/>
        <v>17</v>
      </c>
      <c r="M218">
        <f t="shared" si="15"/>
        <v>1</v>
      </c>
    </row>
    <row r="219" spans="1:13" x14ac:dyDescent="0.25">
      <c r="C219" s="1" t="s">
        <v>404</v>
      </c>
      <c r="H219" t="str">
        <f t="shared" si="17"/>
        <v/>
      </c>
      <c r="I219" t="str">
        <f t="shared" si="18"/>
        <v/>
      </c>
      <c r="J219" t="str">
        <f t="shared" si="19"/>
        <v/>
      </c>
      <c r="L219" t="str">
        <f t="shared" si="16"/>
        <v/>
      </c>
      <c r="M219" t="str">
        <f t="shared" si="15"/>
        <v/>
      </c>
    </row>
    <row r="220" spans="1:13" x14ac:dyDescent="0.25">
      <c r="C220" s="1" t="s">
        <v>394</v>
      </c>
      <c r="H220" t="str">
        <f t="shared" si="17"/>
        <v/>
      </c>
      <c r="I220" t="str">
        <f t="shared" si="18"/>
        <v/>
      </c>
      <c r="J220" t="str">
        <f t="shared" si="19"/>
        <v/>
      </c>
      <c r="L220" t="str">
        <f t="shared" si="16"/>
        <v/>
      </c>
      <c r="M220" t="str">
        <f t="shared" si="15"/>
        <v/>
      </c>
    </row>
    <row r="221" spans="1:13" x14ac:dyDescent="0.25">
      <c r="A221" s="1" t="s">
        <v>1351</v>
      </c>
      <c r="B221" s="1" t="s">
        <v>408</v>
      </c>
      <c r="C221" s="1" t="s">
        <v>403</v>
      </c>
      <c r="E221" s="1" t="s">
        <v>409</v>
      </c>
      <c r="H221" t="str">
        <f t="shared" si="17"/>
        <v/>
      </c>
      <c r="I221" t="str">
        <f t="shared" si="18"/>
        <v/>
      </c>
      <c r="J221" t="str">
        <f t="shared" si="19"/>
        <v/>
      </c>
      <c r="L221" t="str">
        <f t="shared" si="16"/>
        <v>17</v>
      </c>
      <c r="M221">
        <f t="shared" si="15"/>
        <v>1</v>
      </c>
    </row>
    <row r="222" spans="1:13" x14ac:dyDescent="0.25">
      <c r="C222" s="1" t="s">
        <v>404</v>
      </c>
      <c r="H222" t="str">
        <f t="shared" si="17"/>
        <v/>
      </c>
      <c r="I222" t="str">
        <f t="shared" si="18"/>
        <v/>
      </c>
      <c r="J222" t="str">
        <f t="shared" si="19"/>
        <v/>
      </c>
      <c r="L222" t="str">
        <f t="shared" si="16"/>
        <v/>
      </c>
      <c r="M222" t="str">
        <f t="shared" si="15"/>
        <v/>
      </c>
    </row>
    <row r="223" spans="1:13" x14ac:dyDescent="0.25">
      <c r="C223" s="1" t="s">
        <v>394</v>
      </c>
      <c r="H223" t="str">
        <f t="shared" si="17"/>
        <v/>
      </c>
      <c r="I223" t="str">
        <f t="shared" si="18"/>
        <v/>
      </c>
      <c r="J223" t="str">
        <f t="shared" si="19"/>
        <v/>
      </c>
      <c r="L223" t="str">
        <f t="shared" si="16"/>
        <v/>
      </c>
      <c r="M223" t="str">
        <f t="shared" si="15"/>
        <v/>
      </c>
    </row>
    <row r="224" spans="1:13" x14ac:dyDescent="0.25">
      <c r="A224" s="1" t="s">
        <v>1352</v>
      </c>
      <c r="B224" s="1" t="s">
        <v>410</v>
      </c>
      <c r="C224" s="1" t="s">
        <v>403</v>
      </c>
      <c r="E224" s="1" t="s">
        <v>411</v>
      </c>
      <c r="H224" t="str">
        <f t="shared" si="17"/>
        <v/>
      </c>
      <c r="I224" t="str">
        <f t="shared" si="18"/>
        <v/>
      </c>
      <c r="J224" t="str">
        <f t="shared" si="19"/>
        <v/>
      </c>
      <c r="L224" t="str">
        <f t="shared" si="16"/>
        <v>17</v>
      </c>
      <c r="M224">
        <f t="shared" si="15"/>
        <v>1</v>
      </c>
    </row>
    <row r="225" spans="1:13" x14ac:dyDescent="0.25">
      <c r="C225" s="1" t="s">
        <v>404</v>
      </c>
      <c r="H225" t="str">
        <f t="shared" si="17"/>
        <v/>
      </c>
      <c r="I225" t="str">
        <f t="shared" si="18"/>
        <v/>
      </c>
      <c r="J225" t="str">
        <f t="shared" si="19"/>
        <v/>
      </c>
      <c r="L225" t="str">
        <f t="shared" si="16"/>
        <v/>
      </c>
      <c r="M225" t="str">
        <f t="shared" si="15"/>
        <v/>
      </c>
    </row>
    <row r="226" spans="1:13" x14ac:dyDescent="0.25">
      <c r="C226" s="1" t="s">
        <v>394</v>
      </c>
      <c r="H226" t="str">
        <f t="shared" si="17"/>
        <v/>
      </c>
      <c r="I226" t="str">
        <f t="shared" si="18"/>
        <v/>
      </c>
      <c r="J226" t="str">
        <f t="shared" si="19"/>
        <v/>
      </c>
      <c r="L226" t="str">
        <f t="shared" si="16"/>
        <v/>
      </c>
      <c r="M226" t="str">
        <f t="shared" si="15"/>
        <v/>
      </c>
    </row>
    <row r="227" spans="1:13" x14ac:dyDescent="0.25">
      <c r="A227" s="1" t="s">
        <v>1353</v>
      </c>
      <c r="B227" s="1" t="s">
        <v>297</v>
      </c>
      <c r="C227" s="1" t="s">
        <v>412</v>
      </c>
      <c r="D227" s="1" t="s">
        <v>16</v>
      </c>
      <c r="E227" s="1" t="s">
        <v>413</v>
      </c>
      <c r="H227" t="str">
        <f t="shared" si="17"/>
        <v/>
      </c>
      <c r="I227" t="str">
        <f t="shared" si="18"/>
        <v/>
      </c>
      <c r="J227" t="str">
        <f t="shared" si="19"/>
        <v/>
      </c>
      <c r="L227" t="str">
        <f t="shared" si="16"/>
        <v>17</v>
      </c>
      <c r="M227">
        <f t="shared" si="15"/>
        <v>1</v>
      </c>
    </row>
    <row r="228" spans="1:13" x14ac:dyDescent="0.25">
      <c r="A228" s="1" t="s">
        <v>414</v>
      </c>
      <c r="D228" s="1" t="s">
        <v>216</v>
      </c>
      <c r="E228" s="1" t="s">
        <v>415</v>
      </c>
      <c r="H228" t="str">
        <f t="shared" si="17"/>
        <v>B18_DUEARREAR</v>
      </c>
      <c r="I228">
        <f t="shared" ca="1" si="18"/>
        <v>7</v>
      </c>
      <c r="J228" t="str">
        <f t="shared" ca="1" si="19"/>
        <v>"B18_DUEARREAR", 7</v>
      </c>
      <c r="L228" t="str">
        <f t="shared" si="16"/>
        <v/>
      </c>
      <c r="M228" t="str">
        <f t="shared" si="15"/>
        <v/>
      </c>
    </row>
    <row r="229" spans="1:13" x14ac:dyDescent="0.25">
      <c r="A229" s="1" t="s">
        <v>416</v>
      </c>
      <c r="H229" t="str">
        <f t="shared" si="17"/>
        <v/>
      </c>
      <c r="I229" t="str">
        <f t="shared" si="18"/>
        <v/>
      </c>
      <c r="J229" t="str">
        <f t="shared" si="19"/>
        <v/>
      </c>
      <c r="L229" t="str">
        <f t="shared" si="16"/>
        <v/>
      </c>
      <c r="M229" t="str">
        <f t="shared" si="15"/>
        <v/>
      </c>
    </row>
    <row r="230" spans="1:13" x14ac:dyDescent="0.25">
      <c r="A230" s="1" t="s">
        <v>417</v>
      </c>
      <c r="H230" t="str">
        <f t="shared" si="17"/>
        <v/>
      </c>
      <c r="I230" t="str">
        <f t="shared" si="18"/>
        <v/>
      </c>
      <c r="J230" t="str">
        <f t="shared" si="19"/>
        <v/>
      </c>
      <c r="L230" t="str">
        <f t="shared" si="16"/>
        <v/>
      </c>
      <c r="M230" t="str">
        <f t="shared" si="15"/>
        <v/>
      </c>
    </row>
    <row r="231" spans="1:13" x14ac:dyDescent="0.25">
      <c r="H231" t="str">
        <f t="shared" si="17"/>
        <v/>
      </c>
      <c r="I231" t="str">
        <f t="shared" si="18"/>
        <v/>
      </c>
      <c r="J231" t="str">
        <f t="shared" si="19"/>
        <v/>
      </c>
      <c r="L231" t="str">
        <f t="shared" si="16"/>
        <v/>
      </c>
      <c r="M231" t="str">
        <f t="shared" si="15"/>
        <v/>
      </c>
    </row>
    <row r="232" spans="1:13" x14ac:dyDescent="0.25">
      <c r="A232" s="1" t="s">
        <v>1354</v>
      </c>
      <c r="B232" s="1" t="s">
        <v>418</v>
      </c>
      <c r="C232" s="1" t="s">
        <v>419</v>
      </c>
      <c r="E232" s="1" t="s">
        <v>360</v>
      </c>
      <c r="H232" t="str">
        <f t="shared" si="17"/>
        <v/>
      </c>
      <c r="I232" t="str">
        <f t="shared" si="18"/>
        <v/>
      </c>
      <c r="J232" t="str">
        <f t="shared" si="19"/>
        <v/>
      </c>
      <c r="L232" t="str">
        <f t="shared" si="16"/>
        <v>18</v>
      </c>
      <c r="M232">
        <f t="shared" si="15"/>
        <v>1</v>
      </c>
    </row>
    <row r="233" spans="1:13" x14ac:dyDescent="0.25">
      <c r="C233" s="1" t="s">
        <v>420</v>
      </c>
      <c r="H233" t="str">
        <f t="shared" si="17"/>
        <v/>
      </c>
      <c r="I233" t="str">
        <f t="shared" si="18"/>
        <v/>
      </c>
      <c r="J233" t="str">
        <f t="shared" si="19"/>
        <v/>
      </c>
      <c r="L233" t="str">
        <f t="shared" si="16"/>
        <v/>
      </c>
      <c r="M233" t="str">
        <f t="shared" si="15"/>
        <v/>
      </c>
    </row>
    <row r="234" spans="1:13" x14ac:dyDescent="0.25">
      <c r="A234" s="1" t="s">
        <v>1355</v>
      </c>
      <c r="B234" s="1" t="s">
        <v>396</v>
      </c>
      <c r="C234" s="1" t="s">
        <v>421</v>
      </c>
      <c r="E234" s="1" t="s">
        <v>401</v>
      </c>
      <c r="H234" t="str">
        <f t="shared" si="17"/>
        <v/>
      </c>
      <c r="I234" t="str">
        <f t="shared" si="18"/>
        <v/>
      </c>
      <c r="J234" t="str">
        <f t="shared" si="19"/>
        <v/>
      </c>
      <c r="L234" t="str">
        <f t="shared" si="16"/>
        <v>18</v>
      </c>
      <c r="M234">
        <f t="shared" si="15"/>
        <v>1</v>
      </c>
    </row>
    <row r="235" spans="1:13" x14ac:dyDescent="0.25">
      <c r="C235" s="1" t="s">
        <v>398</v>
      </c>
      <c r="H235" t="str">
        <f t="shared" si="17"/>
        <v/>
      </c>
      <c r="I235" t="str">
        <f t="shared" si="18"/>
        <v/>
      </c>
      <c r="J235" t="str">
        <f t="shared" si="19"/>
        <v/>
      </c>
      <c r="L235" t="str">
        <f t="shared" si="16"/>
        <v/>
      </c>
      <c r="M235" t="str">
        <f t="shared" si="15"/>
        <v/>
      </c>
    </row>
    <row r="236" spans="1:13" x14ac:dyDescent="0.25">
      <c r="C236" s="1" t="s">
        <v>422</v>
      </c>
      <c r="H236" t="str">
        <f t="shared" si="17"/>
        <v/>
      </c>
      <c r="I236" t="str">
        <f t="shared" si="18"/>
        <v/>
      </c>
      <c r="J236" t="str">
        <f t="shared" si="19"/>
        <v/>
      </c>
      <c r="L236" t="str">
        <f t="shared" si="16"/>
        <v/>
      </c>
      <c r="M236" t="str">
        <f t="shared" si="15"/>
        <v/>
      </c>
    </row>
    <row r="237" spans="1:13" x14ac:dyDescent="0.25">
      <c r="C237" s="1" t="s">
        <v>423</v>
      </c>
      <c r="H237" t="str">
        <f t="shared" si="17"/>
        <v/>
      </c>
      <c r="I237" t="str">
        <f t="shared" si="18"/>
        <v/>
      </c>
      <c r="J237" t="str">
        <f t="shared" si="19"/>
        <v/>
      </c>
      <c r="L237" t="str">
        <f t="shared" si="16"/>
        <v/>
      </c>
      <c r="M237" t="str">
        <f t="shared" si="15"/>
        <v/>
      </c>
    </row>
    <row r="238" spans="1:13" x14ac:dyDescent="0.25">
      <c r="A238" s="1" t="s">
        <v>1356</v>
      </c>
      <c r="B238" s="1" t="s">
        <v>424</v>
      </c>
      <c r="C238" s="1" t="s">
        <v>425</v>
      </c>
      <c r="E238" s="1" t="s">
        <v>405</v>
      </c>
      <c r="H238" t="str">
        <f t="shared" si="17"/>
        <v/>
      </c>
      <c r="I238" t="str">
        <f t="shared" si="18"/>
        <v/>
      </c>
      <c r="J238" t="str">
        <f t="shared" si="19"/>
        <v/>
      </c>
      <c r="L238" t="str">
        <f t="shared" si="16"/>
        <v>18</v>
      </c>
      <c r="M238">
        <f t="shared" si="15"/>
        <v>1</v>
      </c>
    </row>
    <row r="239" spans="1:13" x14ac:dyDescent="0.25">
      <c r="C239" s="1" t="s">
        <v>426</v>
      </c>
      <c r="H239" t="str">
        <f t="shared" si="17"/>
        <v/>
      </c>
      <c r="I239" t="str">
        <f t="shared" si="18"/>
        <v/>
      </c>
      <c r="J239" t="str">
        <f t="shared" si="19"/>
        <v/>
      </c>
      <c r="L239" t="str">
        <f t="shared" si="16"/>
        <v/>
      </c>
      <c r="M239" t="str">
        <f t="shared" si="15"/>
        <v/>
      </c>
    </row>
    <row r="240" spans="1:13" x14ac:dyDescent="0.25">
      <c r="C240" s="1" t="s">
        <v>427</v>
      </c>
      <c r="H240" t="str">
        <f t="shared" si="17"/>
        <v/>
      </c>
      <c r="I240" t="str">
        <f t="shared" si="18"/>
        <v/>
      </c>
      <c r="J240" t="str">
        <f t="shared" si="19"/>
        <v/>
      </c>
      <c r="L240" t="str">
        <f t="shared" si="16"/>
        <v/>
      </c>
      <c r="M240" t="str">
        <f t="shared" si="15"/>
        <v/>
      </c>
    </row>
    <row r="241" spans="1:13" x14ac:dyDescent="0.25">
      <c r="C241" s="1" t="s">
        <v>394</v>
      </c>
      <c r="H241" t="str">
        <f t="shared" si="17"/>
        <v/>
      </c>
      <c r="I241" t="str">
        <f t="shared" si="18"/>
        <v/>
      </c>
      <c r="J241" t="str">
        <f t="shared" si="19"/>
        <v/>
      </c>
      <c r="L241" t="str">
        <f t="shared" si="16"/>
        <v/>
      </c>
      <c r="M241" t="str">
        <f t="shared" si="15"/>
        <v/>
      </c>
    </row>
    <row r="242" spans="1:13" x14ac:dyDescent="0.25">
      <c r="A242" s="1" t="s">
        <v>1357</v>
      </c>
      <c r="B242" s="1" t="s">
        <v>428</v>
      </c>
      <c r="C242" s="1" t="s">
        <v>425</v>
      </c>
      <c r="E242" s="1" t="s">
        <v>407</v>
      </c>
      <c r="H242" t="str">
        <f t="shared" si="17"/>
        <v/>
      </c>
      <c r="I242" t="str">
        <f t="shared" si="18"/>
        <v/>
      </c>
      <c r="J242" t="str">
        <f t="shared" si="19"/>
        <v/>
      </c>
      <c r="L242" t="str">
        <f t="shared" si="16"/>
        <v>18</v>
      </c>
      <c r="M242">
        <f t="shared" si="15"/>
        <v>1</v>
      </c>
    </row>
    <row r="243" spans="1:13" x14ac:dyDescent="0.25">
      <c r="C243" s="1" t="s">
        <v>427</v>
      </c>
      <c r="H243" t="str">
        <f t="shared" si="17"/>
        <v/>
      </c>
      <c r="I243" t="str">
        <f t="shared" si="18"/>
        <v/>
      </c>
      <c r="J243" t="str">
        <f t="shared" si="19"/>
        <v/>
      </c>
      <c r="L243" t="str">
        <f t="shared" si="16"/>
        <v/>
      </c>
      <c r="M243" t="str">
        <f t="shared" si="15"/>
        <v/>
      </c>
    </row>
    <row r="244" spans="1:13" x14ac:dyDescent="0.25">
      <c r="C244" s="1" t="s">
        <v>394</v>
      </c>
      <c r="H244" t="str">
        <f t="shared" si="17"/>
        <v/>
      </c>
      <c r="I244" t="str">
        <f t="shared" si="18"/>
        <v/>
      </c>
      <c r="J244" t="str">
        <f t="shared" si="19"/>
        <v/>
      </c>
      <c r="L244" t="str">
        <f t="shared" si="16"/>
        <v/>
      </c>
      <c r="M244" t="str">
        <f t="shared" si="15"/>
        <v/>
      </c>
    </row>
    <row r="245" spans="1:13" x14ac:dyDescent="0.25">
      <c r="A245" s="1" t="s">
        <v>1358</v>
      </c>
      <c r="B245" s="1" t="s">
        <v>429</v>
      </c>
      <c r="C245" s="1" t="s">
        <v>425</v>
      </c>
      <c r="E245" s="1" t="s">
        <v>409</v>
      </c>
      <c r="H245" t="str">
        <f t="shared" si="17"/>
        <v/>
      </c>
      <c r="I245" t="str">
        <f t="shared" si="18"/>
        <v/>
      </c>
      <c r="J245" t="str">
        <f t="shared" si="19"/>
        <v/>
      </c>
      <c r="L245" t="str">
        <f t="shared" si="16"/>
        <v>18</v>
      </c>
      <c r="M245">
        <f t="shared" si="15"/>
        <v>1</v>
      </c>
    </row>
    <row r="246" spans="1:13" x14ac:dyDescent="0.25">
      <c r="C246" s="1" t="s">
        <v>427</v>
      </c>
      <c r="H246" t="str">
        <f t="shared" si="17"/>
        <v/>
      </c>
      <c r="I246" t="str">
        <f t="shared" si="18"/>
        <v/>
      </c>
      <c r="J246" t="str">
        <f t="shared" si="19"/>
        <v/>
      </c>
      <c r="L246" t="str">
        <f t="shared" si="16"/>
        <v/>
      </c>
      <c r="M246" t="str">
        <f t="shared" si="15"/>
        <v/>
      </c>
    </row>
    <row r="247" spans="1:13" x14ac:dyDescent="0.25">
      <c r="C247" s="1" t="s">
        <v>394</v>
      </c>
      <c r="H247" t="str">
        <f t="shared" si="17"/>
        <v/>
      </c>
      <c r="I247" t="str">
        <f t="shared" si="18"/>
        <v/>
      </c>
      <c r="J247" t="str">
        <f t="shared" si="19"/>
        <v/>
      </c>
      <c r="L247" t="str">
        <f t="shared" si="16"/>
        <v/>
      </c>
      <c r="M247" t="str">
        <f t="shared" si="15"/>
        <v/>
      </c>
    </row>
    <row r="248" spans="1:13" x14ac:dyDescent="0.25">
      <c r="A248" s="1" t="s">
        <v>1359</v>
      </c>
      <c r="B248" s="1" t="s">
        <v>430</v>
      </c>
      <c r="C248" s="1" t="s">
        <v>425</v>
      </c>
      <c r="E248" s="1" t="s">
        <v>411</v>
      </c>
      <c r="H248" t="str">
        <f t="shared" si="17"/>
        <v/>
      </c>
      <c r="I248" t="str">
        <f t="shared" si="18"/>
        <v/>
      </c>
      <c r="J248" t="str">
        <f t="shared" si="19"/>
        <v/>
      </c>
      <c r="L248" t="str">
        <f t="shared" si="16"/>
        <v>18</v>
      </c>
      <c r="M248">
        <f t="shared" si="15"/>
        <v>1</v>
      </c>
    </row>
    <row r="249" spans="1:13" x14ac:dyDescent="0.25">
      <c r="C249" s="1" t="s">
        <v>427</v>
      </c>
      <c r="H249" t="str">
        <f t="shared" si="17"/>
        <v/>
      </c>
      <c r="I249" t="str">
        <f t="shared" si="18"/>
        <v/>
      </c>
      <c r="J249" t="str">
        <f t="shared" si="19"/>
        <v/>
      </c>
      <c r="L249" t="str">
        <f t="shared" si="16"/>
        <v/>
      </c>
      <c r="M249" t="str">
        <f t="shared" si="15"/>
        <v/>
      </c>
    </row>
    <row r="250" spans="1:13" x14ac:dyDescent="0.25">
      <c r="C250" s="1" t="s">
        <v>394</v>
      </c>
      <c r="H250" t="str">
        <f t="shared" si="17"/>
        <v/>
      </c>
      <c r="I250" t="str">
        <f t="shared" si="18"/>
        <v/>
      </c>
      <c r="J250" t="str">
        <f t="shared" si="19"/>
        <v/>
      </c>
      <c r="L250" t="str">
        <f t="shared" si="16"/>
        <v/>
      </c>
      <c r="M250" t="str">
        <f t="shared" si="15"/>
        <v/>
      </c>
    </row>
    <row r="251" spans="1:13" x14ac:dyDescent="0.25">
      <c r="A251" s="1" t="s">
        <v>1360</v>
      </c>
      <c r="B251" s="1" t="s">
        <v>297</v>
      </c>
      <c r="C251" s="1" t="s">
        <v>431</v>
      </c>
      <c r="D251" s="1" t="s">
        <v>16</v>
      </c>
      <c r="E251" s="1" t="s">
        <v>413</v>
      </c>
      <c r="H251" t="str">
        <f t="shared" si="17"/>
        <v/>
      </c>
      <c r="I251" t="str">
        <f t="shared" si="18"/>
        <v/>
      </c>
      <c r="J251" t="str">
        <f t="shared" si="19"/>
        <v/>
      </c>
      <c r="L251" t="str">
        <f t="shared" si="16"/>
        <v>18</v>
      </c>
      <c r="M251">
        <f t="shared" si="15"/>
        <v>1</v>
      </c>
    </row>
    <row r="252" spans="1:13" x14ac:dyDescent="0.25">
      <c r="A252" s="1" t="s">
        <v>432</v>
      </c>
      <c r="D252" s="1" t="s">
        <v>216</v>
      </c>
      <c r="E252" s="1" t="s">
        <v>433</v>
      </c>
      <c r="H252" t="str">
        <f t="shared" si="17"/>
        <v>B19_PASTDUEARREAR</v>
      </c>
      <c r="I252">
        <f t="shared" ca="1" si="18"/>
        <v>9</v>
      </c>
      <c r="J252" t="str">
        <f t="shared" ca="1" si="19"/>
        <v>"B19_PASTDUEARREAR", 9</v>
      </c>
      <c r="L252" t="str">
        <f t="shared" si="16"/>
        <v/>
      </c>
      <c r="M252" t="str">
        <f t="shared" si="15"/>
        <v/>
      </c>
    </row>
    <row r="253" spans="1:13" x14ac:dyDescent="0.25">
      <c r="A253" s="1" t="s">
        <v>434</v>
      </c>
      <c r="H253" t="str">
        <f t="shared" si="17"/>
        <v/>
      </c>
      <c r="I253" t="str">
        <f t="shared" si="18"/>
        <v/>
      </c>
      <c r="J253" t="str">
        <f t="shared" si="19"/>
        <v/>
      </c>
      <c r="L253" t="str">
        <f t="shared" si="16"/>
        <v/>
      </c>
      <c r="M253" t="str">
        <f t="shared" si="15"/>
        <v/>
      </c>
    </row>
    <row r="254" spans="1:13" x14ac:dyDescent="0.25">
      <c r="A254" s="1" t="s">
        <v>435</v>
      </c>
      <c r="H254" t="str">
        <f t="shared" si="17"/>
        <v/>
      </c>
      <c r="I254" t="str">
        <f t="shared" si="18"/>
        <v/>
      </c>
      <c r="J254" t="str">
        <f t="shared" si="19"/>
        <v/>
      </c>
      <c r="L254" t="str">
        <f t="shared" si="16"/>
        <v/>
      </c>
      <c r="M254" t="str">
        <f t="shared" si="15"/>
        <v/>
      </c>
    </row>
    <row r="255" spans="1:13" x14ac:dyDescent="0.25">
      <c r="A255" s="1" t="s">
        <v>1361</v>
      </c>
      <c r="B255" s="1" t="s">
        <v>436</v>
      </c>
      <c r="E255" s="1" t="s">
        <v>437</v>
      </c>
      <c r="H255" t="str">
        <f t="shared" si="17"/>
        <v/>
      </c>
      <c r="I255" t="str">
        <f t="shared" si="18"/>
        <v/>
      </c>
      <c r="J255" t="str">
        <f t="shared" si="19"/>
        <v/>
      </c>
      <c r="L255" t="str">
        <f t="shared" si="16"/>
        <v>19</v>
      </c>
      <c r="M255">
        <f t="shared" si="15"/>
        <v>1</v>
      </c>
    </row>
    <row r="256" spans="1:13" x14ac:dyDescent="0.25">
      <c r="A256" s="1" t="s">
        <v>1362</v>
      </c>
      <c r="B256" s="1" t="s">
        <v>396</v>
      </c>
      <c r="C256" s="1" t="s">
        <v>438</v>
      </c>
      <c r="E256" s="1" t="s">
        <v>401</v>
      </c>
      <c r="H256" t="str">
        <f t="shared" si="17"/>
        <v/>
      </c>
      <c r="I256" t="str">
        <f t="shared" si="18"/>
        <v/>
      </c>
      <c r="J256" t="str">
        <f t="shared" si="19"/>
        <v/>
      </c>
      <c r="L256" t="str">
        <f t="shared" si="16"/>
        <v>19</v>
      </c>
      <c r="M256">
        <f t="shared" si="15"/>
        <v>1</v>
      </c>
    </row>
    <row r="257" spans="1:13" x14ac:dyDescent="0.25">
      <c r="C257" s="1" t="s">
        <v>398</v>
      </c>
      <c r="H257" t="str">
        <f t="shared" si="17"/>
        <v/>
      </c>
      <c r="I257" t="str">
        <f t="shared" si="18"/>
        <v/>
      </c>
      <c r="J257" t="str">
        <f t="shared" si="19"/>
        <v/>
      </c>
      <c r="L257" t="str">
        <f t="shared" si="16"/>
        <v/>
      </c>
      <c r="M257" t="str">
        <f t="shared" si="15"/>
        <v/>
      </c>
    </row>
    <row r="258" spans="1:13" x14ac:dyDescent="0.25">
      <c r="C258" s="1" t="s">
        <v>439</v>
      </c>
      <c r="H258" t="str">
        <f t="shared" si="17"/>
        <v/>
      </c>
      <c r="I258" t="str">
        <f t="shared" si="18"/>
        <v/>
      </c>
      <c r="J258" t="str">
        <f t="shared" si="19"/>
        <v/>
      </c>
      <c r="L258" t="str">
        <f t="shared" si="16"/>
        <v/>
      </c>
      <c r="M258" t="str">
        <f t="shared" ref="M258:M321" si="20">IF(AND(LEN(A258)&lt;6,A258&lt;&gt;""),1,"")</f>
        <v/>
      </c>
    </row>
    <row r="259" spans="1:13" x14ac:dyDescent="0.25">
      <c r="C259" s="1" t="s">
        <v>423</v>
      </c>
      <c r="H259" t="str">
        <f t="shared" si="17"/>
        <v/>
      </c>
      <c r="I259" t="str">
        <f t="shared" si="18"/>
        <v/>
      </c>
      <c r="J259" t="str">
        <f t="shared" si="19"/>
        <v/>
      </c>
      <c r="L259" t="str">
        <f t="shared" ref="L259:L322" si="21">IFERROR(IF(LEN(A259)&lt;=5,TRIM(LEFT(A259,SEARCH(".",A259)-1)),""),"")</f>
        <v/>
      </c>
      <c r="M259" t="str">
        <f t="shared" si="20"/>
        <v/>
      </c>
    </row>
    <row r="260" spans="1:13" x14ac:dyDescent="0.25">
      <c r="A260" s="1" t="s">
        <v>1363</v>
      </c>
      <c r="B260" s="1" t="s">
        <v>440</v>
      </c>
      <c r="C260" s="1" t="s">
        <v>441</v>
      </c>
      <c r="E260" s="1" t="s">
        <v>445</v>
      </c>
      <c r="H260" t="str">
        <f t="shared" si="17"/>
        <v/>
      </c>
      <c r="I260" t="str">
        <f t="shared" si="18"/>
        <v/>
      </c>
      <c r="J260" t="str">
        <f t="shared" si="19"/>
        <v/>
      </c>
      <c r="L260" t="str">
        <f t="shared" si="21"/>
        <v>19</v>
      </c>
      <c r="M260">
        <f t="shared" si="20"/>
        <v>1</v>
      </c>
    </row>
    <row r="261" spans="1:13" x14ac:dyDescent="0.25">
      <c r="C261" s="1" t="s">
        <v>442</v>
      </c>
      <c r="H261" t="str">
        <f t="shared" si="17"/>
        <v/>
      </c>
      <c r="I261" t="str">
        <f t="shared" si="18"/>
        <v/>
      </c>
      <c r="J261" t="str">
        <f t="shared" si="19"/>
        <v/>
      </c>
      <c r="L261" t="str">
        <f t="shared" si="21"/>
        <v/>
      </c>
      <c r="M261" t="str">
        <f t="shared" si="20"/>
        <v/>
      </c>
    </row>
    <row r="262" spans="1:13" x14ac:dyDescent="0.25">
      <c r="C262" s="1" t="s">
        <v>443</v>
      </c>
      <c r="H262" t="str">
        <f t="shared" si="17"/>
        <v/>
      </c>
      <c r="I262" t="str">
        <f t="shared" si="18"/>
        <v/>
      </c>
      <c r="J262" t="str">
        <f t="shared" si="19"/>
        <v/>
      </c>
      <c r="L262" t="str">
        <f t="shared" si="21"/>
        <v/>
      </c>
      <c r="M262" t="str">
        <f t="shared" si="20"/>
        <v/>
      </c>
    </row>
    <row r="263" spans="1:13" x14ac:dyDescent="0.25">
      <c r="C263" s="1" t="s">
        <v>444</v>
      </c>
      <c r="H263" t="str">
        <f t="shared" ref="H263:H326" si="22">IFERROR(TRIM(IF(SEARCH("Блок ",A263),IF(SEARCH("B",A263),RIGHT(A263,LEN(A263)-SEARCH("B",A263)+1)),"")),"")</f>
        <v/>
      </c>
      <c r="I263" t="str">
        <f t="shared" ref="I263:I326" si="23">IFERROR(IF(H263&lt;&gt;"",SUMIF(L:M,TRIM(MID(A263,SEARCH(" ",A263),SEARCH(". ",A263)-5)),M:M),""),"")</f>
        <v/>
      </c>
      <c r="J263" t="str">
        <f t="shared" ref="J263:J326" si="24">CLEAN(TRIM(IF(H263&lt;&gt;"",""""&amp;H263&amp;""""&amp;", "&amp;I263,"")))</f>
        <v/>
      </c>
      <c r="L263" t="str">
        <f t="shared" si="21"/>
        <v/>
      </c>
      <c r="M263" t="str">
        <f t="shared" si="20"/>
        <v/>
      </c>
    </row>
    <row r="264" spans="1:13" x14ac:dyDescent="0.25">
      <c r="C264" s="1" t="s">
        <v>394</v>
      </c>
      <c r="H264" t="str">
        <f t="shared" si="22"/>
        <v/>
      </c>
      <c r="I264" t="str">
        <f t="shared" si="23"/>
        <v/>
      </c>
      <c r="J264" t="str">
        <f t="shared" si="24"/>
        <v/>
      </c>
      <c r="L264" t="str">
        <f t="shared" si="21"/>
        <v/>
      </c>
      <c r="M264" t="str">
        <f t="shared" si="20"/>
        <v/>
      </c>
    </row>
    <row r="265" spans="1:13" x14ac:dyDescent="0.25">
      <c r="A265" s="1" t="s">
        <v>1364</v>
      </c>
      <c r="B265" s="1" t="s">
        <v>446</v>
      </c>
      <c r="C265" s="1" t="s">
        <v>447</v>
      </c>
      <c r="E265" s="1" t="s">
        <v>448</v>
      </c>
      <c r="H265" t="str">
        <f t="shared" si="22"/>
        <v/>
      </c>
      <c r="I265" t="str">
        <f t="shared" si="23"/>
        <v/>
      </c>
      <c r="J265" t="str">
        <f t="shared" si="24"/>
        <v/>
      </c>
      <c r="L265" t="str">
        <f t="shared" si="21"/>
        <v>19</v>
      </c>
      <c r="M265">
        <f t="shared" si="20"/>
        <v>1</v>
      </c>
    </row>
    <row r="266" spans="1:13" x14ac:dyDescent="0.25">
      <c r="C266" s="1" t="s">
        <v>444</v>
      </c>
      <c r="H266" t="str">
        <f t="shared" si="22"/>
        <v/>
      </c>
      <c r="I266" t="str">
        <f t="shared" si="23"/>
        <v/>
      </c>
      <c r="J266" t="str">
        <f t="shared" si="24"/>
        <v/>
      </c>
      <c r="L266" t="str">
        <f t="shared" si="21"/>
        <v/>
      </c>
      <c r="M266" t="str">
        <f t="shared" si="20"/>
        <v/>
      </c>
    </row>
    <row r="267" spans="1:13" x14ac:dyDescent="0.25">
      <c r="C267" s="1" t="s">
        <v>394</v>
      </c>
      <c r="H267" t="str">
        <f t="shared" si="22"/>
        <v/>
      </c>
      <c r="I267" t="str">
        <f t="shared" si="23"/>
        <v/>
      </c>
      <c r="J267" t="str">
        <f t="shared" si="24"/>
        <v/>
      </c>
      <c r="L267" t="str">
        <f t="shared" si="21"/>
        <v/>
      </c>
      <c r="M267" t="str">
        <f t="shared" si="20"/>
        <v/>
      </c>
    </row>
    <row r="268" spans="1:13" x14ac:dyDescent="0.25">
      <c r="A268" s="1" t="s">
        <v>1365</v>
      </c>
      <c r="B268" s="1" t="s">
        <v>449</v>
      </c>
      <c r="C268" s="1" t="s">
        <v>447</v>
      </c>
      <c r="E268" s="1" t="s">
        <v>450</v>
      </c>
      <c r="H268" t="str">
        <f t="shared" si="22"/>
        <v/>
      </c>
      <c r="I268" t="str">
        <f t="shared" si="23"/>
        <v/>
      </c>
      <c r="J268" t="str">
        <f t="shared" si="24"/>
        <v/>
      </c>
      <c r="L268" t="str">
        <f t="shared" si="21"/>
        <v>19</v>
      </c>
      <c r="M268">
        <f t="shared" si="20"/>
        <v>1</v>
      </c>
    </row>
    <row r="269" spans="1:13" x14ac:dyDescent="0.25">
      <c r="C269" s="1" t="s">
        <v>444</v>
      </c>
      <c r="H269" t="str">
        <f t="shared" si="22"/>
        <v/>
      </c>
      <c r="I269" t="str">
        <f t="shared" si="23"/>
        <v/>
      </c>
      <c r="J269" t="str">
        <f t="shared" si="24"/>
        <v/>
      </c>
      <c r="L269" t="str">
        <f t="shared" si="21"/>
        <v/>
      </c>
      <c r="M269" t="str">
        <f t="shared" si="20"/>
        <v/>
      </c>
    </row>
    <row r="270" spans="1:13" x14ac:dyDescent="0.25">
      <c r="C270" s="1" t="s">
        <v>394</v>
      </c>
      <c r="H270" t="str">
        <f t="shared" si="22"/>
        <v/>
      </c>
      <c r="I270" t="str">
        <f t="shared" si="23"/>
        <v/>
      </c>
      <c r="J270" t="str">
        <f t="shared" si="24"/>
        <v/>
      </c>
      <c r="L270" t="str">
        <f t="shared" si="21"/>
        <v/>
      </c>
      <c r="M270" t="str">
        <f t="shared" si="20"/>
        <v/>
      </c>
    </row>
    <row r="271" spans="1:13" x14ac:dyDescent="0.25">
      <c r="A271" s="1" t="s">
        <v>1366</v>
      </c>
      <c r="B271" s="1" t="s">
        <v>451</v>
      </c>
      <c r="C271" s="1" t="s">
        <v>447</v>
      </c>
      <c r="E271" s="1" t="s">
        <v>452</v>
      </c>
      <c r="H271" t="str">
        <f t="shared" si="22"/>
        <v/>
      </c>
      <c r="I271" t="str">
        <f t="shared" si="23"/>
        <v/>
      </c>
      <c r="J271" t="str">
        <f t="shared" si="24"/>
        <v/>
      </c>
      <c r="L271" t="str">
        <f t="shared" si="21"/>
        <v>19</v>
      </c>
      <c r="M271">
        <f t="shared" si="20"/>
        <v>1</v>
      </c>
    </row>
    <row r="272" spans="1:13" x14ac:dyDescent="0.25">
      <c r="C272" s="1" t="s">
        <v>444</v>
      </c>
      <c r="H272" t="str">
        <f t="shared" si="22"/>
        <v/>
      </c>
      <c r="I272" t="str">
        <f t="shared" si="23"/>
        <v/>
      </c>
      <c r="J272" t="str">
        <f t="shared" si="24"/>
        <v/>
      </c>
      <c r="L272" t="str">
        <f t="shared" si="21"/>
        <v/>
      </c>
      <c r="M272" t="str">
        <f t="shared" si="20"/>
        <v/>
      </c>
    </row>
    <row r="273" spans="1:13" x14ac:dyDescent="0.25">
      <c r="C273" s="1" t="s">
        <v>394</v>
      </c>
      <c r="H273" t="str">
        <f t="shared" si="22"/>
        <v/>
      </c>
      <c r="I273" t="str">
        <f t="shared" si="23"/>
        <v/>
      </c>
      <c r="J273" t="str">
        <f t="shared" si="24"/>
        <v/>
      </c>
      <c r="L273" t="str">
        <f t="shared" si="21"/>
        <v/>
      </c>
      <c r="M273" t="str">
        <f t="shared" si="20"/>
        <v/>
      </c>
    </row>
    <row r="274" spans="1:13" x14ac:dyDescent="0.25">
      <c r="A274" s="1" t="s">
        <v>1367</v>
      </c>
      <c r="B274" s="1" t="s">
        <v>297</v>
      </c>
      <c r="C274" s="1" t="s">
        <v>453</v>
      </c>
      <c r="D274" s="1" t="s">
        <v>16</v>
      </c>
      <c r="E274" s="1" t="s">
        <v>413</v>
      </c>
      <c r="H274" t="str">
        <f t="shared" si="22"/>
        <v/>
      </c>
      <c r="I274" t="str">
        <f t="shared" si="23"/>
        <v/>
      </c>
      <c r="J274" t="str">
        <f t="shared" si="24"/>
        <v/>
      </c>
      <c r="L274" t="str">
        <f t="shared" si="21"/>
        <v>19</v>
      </c>
      <c r="M274">
        <f t="shared" si="20"/>
        <v>1</v>
      </c>
    </row>
    <row r="275" spans="1:13" x14ac:dyDescent="0.25">
      <c r="A275" s="1" t="s">
        <v>1368</v>
      </c>
      <c r="B275" s="1" t="s">
        <v>454</v>
      </c>
      <c r="C275" s="1" t="s">
        <v>455</v>
      </c>
      <c r="E275" s="1" t="s">
        <v>456</v>
      </c>
      <c r="H275" t="str">
        <f t="shared" si="22"/>
        <v/>
      </c>
      <c r="I275" t="str">
        <f t="shared" si="23"/>
        <v/>
      </c>
      <c r="J275" t="str">
        <f t="shared" si="24"/>
        <v/>
      </c>
      <c r="L275" t="str">
        <f t="shared" si="21"/>
        <v>19</v>
      </c>
      <c r="M275">
        <f t="shared" si="20"/>
        <v>1</v>
      </c>
    </row>
    <row r="276" spans="1:13" x14ac:dyDescent="0.25">
      <c r="A276" s="1" t="s">
        <v>1369</v>
      </c>
      <c r="B276" s="1" t="s">
        <v>457</v>
      </c>
      <c r="C276" s="1" t="s">
        <v>455</v>
      </c>
      <c r="E276" s="1" t="s">
        <v>458</v>
      </c>
      <c r="H276" t="str">
        <f t="shared" si="22"/>
        <v/>
      </c>
      <c r="I276" t="str">
        <f t="shared" si="23"/>
        <v/>
      </c>
      <c r="J276" t="str">
        <f t="shared" si="24"/>
        <v/>
      </c>
      <c r="L276" t="str">
        <f t="shared" si="21"/>
        <v>19</v>
      </c>
      <c r="M276">
        <f t="shared" si="20"/>
        <v>1</v>
      </c>
    </row>
    <row r="277" spans="1:13" x14ac:dyDescent="0.25">
      <c r="A277" s="1" t="s">
        <v>459</v>
      </c>
      <c r="D277" s="1" t="s">
        <v>216</v>
      </c>
      <c r="E277" s="1" t="s">
        <v>460</v>
      </c>
      <c r="H277" t="str">
        <f t="shared" si="22"/>
        <v>B20_PAYMT</v>
      </c>
      <c r="I277">
        <f t="shared" ca="1" si="23"/>
        <v>12</v>
      </c>
      <c r="J277" t="str">
        <f t="shared" ca="1" si="24"/>
        <v>"B20_PAYMT", 12</v>
      </c>
      <c r="L277" t="str">
        <f t="shared" si="21"/>
        <v/>
      </c>
      <c r="M277" t="str">
        <f t="shared" si="20"/>
        <v/>
      </c>
    </row>
    <row r="278" spans="1:13" x14ac:dyDescent="0.25">
      <c r="A278" s="1" t="s">
        <v>461</v>
      </c>
      <c r="H278" t="str">
        <f t="shared" si="22"/>
        <v/>
      </c>
      <c r="I278" t="str">
        <f t="shared" si="23"/>
        <v/>
      </c>
      <c r="J278" t="str">
        <f t="shared" si="24"/>
        <v/>
      </c>
      <c r="L278" t="str">
        <f t="shared" si="21"/>
        <v/>
      </c>
      <c r="M278" t="str">
        <f t="shared" si="20"/>
        <v/>
      </c>
    </row>
    <row r="279" spans="1:13" x14ac:dyDescent="0.25">
      <c r="A279" s="1" t="s">
        <v>462</v>
      </c>
      <c r="H279" t="str">
        <f t="shared" si="22"/>
        <v/>
      </c>
      <c r="I279" t="str">
        <f t="shared" si="23"/>
        <v/>
      </c>
      <c r="J279" t="str">
        <f t="shared" si="24"/>
        <v/>
      </c>
      <c r="L279" t="str">
        <f t="shared" si="21"/>
        <v/>
      </c>
      <c r="M279" t="str">
        <f t="shared" si="20"/>
        <v/>
      </c>
    </row>
    <row r="280" spans="1:13" x14ac:dyDescent="0.25">
      <c r="A280" s="1" t="s">
        <v>463</v>
      </c>
      <c r="H280" t="str">
        <f t="shared" si="22"/>
        <v/>
      </c>
      <c r="I280" t="str">
        <f t="shared" si="23"/>
        <v/>
      </c>
      <c r="J280" t="str">
        <f t="shared" si="24"/>
        <v/>
      </c>
      <c r="L280" t="str">
        <f t="shared" si="21"/>
        <v/>
      </c>
      <c r="M280" t="str">
        <f t="shared" si="20"/>
        <v/>
      </c>
    </row>
    <row r="281" spans="1:13" x14ac:dyDescent="0.25">
      <c r="A281" s="1" t="s">
        <v>464</v>
      </c>
      <c r="H281" t="str">
        <f t="shared" si="22"/>
        <v/>
      </c>
      <c r="I281" t="str">
        <f t="shared" si="23"/>
        <v/>
      </c>
      <c r="J281" t="str">
        <f t="shared" si="24"/>
        <v/>
      </c>
      <c r="L281" t="str">
        <f t="shared" si="21"/>
        <v/>
      </c>
      <c r="M281" t="str">
        <f t="shared" si="20"/>
        <v/>
      </c>
    </row>
    <row r="282" spans="1:13" x14ac:dyDescent="0.25">
      <c r="A282" s="1" t="s">
        <v>1370</v>
      </c>
      <c r="B282" s="1" t="s">
        <v>465</v>
      </c>
      <c r="D282" s="1" t="s">
        <v>16</v>
      </c>
      <c r="E282" s="1" t="s">
        <v>466</v>
      </c>
      <c r="H282" t="str">
        <f t="shared" si="22"/>
        <v/>
      </c>
      <c r="I282" t="str">
        <f t="shared" si="23"/>
        <v/>
      </c>
      <c r="J282" t="str">
        <f t="shared" si="24"/>
        <v/>
      </c>
      <c r="L282" t="str">
        <f t="shared" si="21"/>
        <v>20</v>
      </c>
      <c r="M282">
        <f t="shared" si="20"/>
        <v>1</v>
      </c>
    </row>
    <row r="283" spans="1:13" x14ac:dyDescent="0.25">
      <c r="A283" s="1" t="s">
        <v>1371</v>
      </c>
      <c r="B283" s="1" t="s">
        <v>467</v>
      </c>
      <c r="C283" s="1" t="s">
        <v>468</v>
      </c>
      <c r="E283" s="1" t="s">
        <v>469</v>
      </c>
      <c r="H283" t="str">
        <f t="shared" si="22"/>
        <v/>
      </c>
      <c r="I283" t="str">
        <f t="shared" si="23"/>
        <v/>
      </c>
      <c r="J283" t="str">
        <f t="shared" si="24"/>
        <v/>
      </c>
      <c r="L283" t="str">
        <f t="shared" si="21"/>
        <v>20</v>
      </c>
      <c r="M283">
        <f t="shared" si="20"/>
        <v>1</v>
      </c>
    </row>
    <row r="284" spans="1:13" x14ac:dyDescent="0.25">
      <c r="C284" s="1" t="s">
        <v>394</v>
      </c>
      <c r="H284" t="str">
        <f t="shared" si="22"/>
        <v/>
      </c>
      <c r="I284" t="str">
        <f t="shared" si="23"/>
        <v/>
      </c>
      <c r="J284" t="str">
        <f t="shared" si="24"/>
        <v/>
      </c>
      <c r="L284" t="str">
        <f t="shared" si="21"/>
        <v/>
      </c>
      <c r="M284" t="str">
        <f t="shared" si="20"/>
        <v/>
      </c>
    </row>
    <row r="285" spans="1:13" x14ac:dyDescent="0.25">
      <c r="A285" s="1" t="s">
        <v>1372</v>
      </c>
      <c r="B285" s="1" t="s">
        <v>470</v>
      </c>
      <c r="C285" s="1" t="s">
        <v>394</v>
      </c>
      <c r="E285" s="1" t="s">
        <v>471</v>
      </c>
      <c r="H285" t="str">
        <f t="shared" si="22"/>
        <v/>
      </c>
      <c r="I285" t="str">
        <f t="shared" si="23"/>
        <v/>
      </c>
      <c r="J285" t="str">
        <f t="shared" si="24"/>
        <v/>
      </c>
      <c r="L285" t="str">
        <f t="shared" si="21"/>
        <v>20</v>
      </c>
      <c r="M285">
        <f t="shared" si="20"/>
        <v>1</v>
      </c>
    </row>
    <row r="286" spans="1:13" x14ac:dyDescent="0.25">
      <c r="A286" s="1" t="s">
        <v>1373</v>
      </c>
      <c r="B286" s="1" t="s">
        <v>472</v>
      </c>
      <c r="C286" s="1" t="s">
        <v>394</v>
      </c>
      <c r="E286" s="1" t="s">
        <v>473</v>
      </c>
      <c r="H286" t="str">
        <f t="shared" si="22"/>
        <v/>
      </c>
      <c r="I286" t="str">
        <f t="shared" si="23"/>
        <v/>
      </c>
      <c r="J286" t="str">
        <f t="shared" si="24"/>
        <v/>
      </c>
      <c r="L286" t="str">
        <f t="shared" si="21"/>
        <v>20</v>
      </c>
      <c r="M286">
        <f t="shared" si="20"/>
        <v>1</v>
      </c>
    </row>
    <row r="287" spans="1:13" x14ac:dyDescent="0.25">
      <c r="A287" s="1" t="s">
        <v>1374</v>
      </c>
      <c r="B287" s="1" t="s">
        <v>474</v>
      </c>
      <c r="C287" s="1" t="s">
        <v>394</v>
      </c>
      <c r="E287" s="1" t="s">
        <v>475</v>
      </c>
      <c r="H287" t="str">
        <f t="shared" si="22"/>
        <v/>
      </c>
      <c r="I287" t="str">
        <f t="shared" si="23"/>
        <v/>
      </c>
      <c r="J287" t="str">
        <f t="shared" si="24"/>
        <v/>
      </c>
      <c r="L287" t="str">
        <f t="shared" si="21"/>
        <v>20</v>
      </c>
      <c r="M287">
        <f t="shared" si="20"/>
        <v>1</v>
      </c>
    </row>
    <row r="288" spans="1:13" x14ac:dyDescent="0.25">
      <c r="A288" s="1" t="s">
        <v>1375</v>
      </c>
      <c r="B288" s="1" t="s">
        <v>476</v>
      </c>
      <c r="C288" s="1" t="s">
        <v>394</v>
      </c>
      <c r="D288" s="1" t="s">
        <v>16</v>
      </c>
      <c r="E288" s="1" t="s">
        <v>477</v>
      </c>
      <c r="H288" t="str">
        <f t="shared" si="22"/>
        <v/>
      </c>
      <c r="I288" t="str">
        <f t="shared" si="23"/>
        <v/>
      </c>
      <c r="J288" t="str">
        <f t="shared" si="24"/>
        <v/>
      </c>
      <c r="L288" t="str">
        <f t="shared" si="21"/>
        <v>20</v>
      </c>
      <c r="M288">
        <f t="shared" si="20"/>
        <v>1</v>
      </c>
    </row>
    <row r="289" spans="1:13" x14ac:dyDescent="0.25">
      <c r="A289" s="1" t="s">
        <v>1376</v>
      </c>
      <c r="B289" s="1" t="s">
        <v>478</v>
      </c>
      <c r="C289" s="1" t="s">
        <v>394</v>
      </c>
      <c r="E289" s="1" t="s">
        <v>479</v>
      </c>
      <c r="H289" t="str">
        <f t="shared" si="22"/>
        <v/>
      </c>
      <c r="I289" t="str">
        <f t="shared" si="23"/>
        <v/>
      </c>
      <c r="J289" t="str">
        <f t="shared" si="24"/>
        <v/>
      </c>
      <c r="L289" t="str">
        <f t="shared" si="21"/>
        <v>20</v>
      </c>
      <c r="M289">
        <f t="shared" si="20"/>
        <v>1</v>
      </c>
    </row>
    <row r="290" spans="1:13" x14ac:dyDescent="0.25">
      <c r="A290" s="1" t="s">
        <v>1377</v>
      </c>
      <c r="B290" s="1" t="s">
        <v>480</v>
      </c>
      <c r="C290" s="1" t="s">
        <v>394</v>
      </c>
      <c r="E290" s="1" t="s">
        <v>481</v>
      </c>
      <c r="H290" t="str">
        <f t="shared" si="22"/>
        <v/>
      </c>
      <c r="I290" t="str">
        <f t="shared" si="23"/>
        <v/>
      </c>
      <c r="J290" t="str">
        <f t="shared" si="24"/>
        <v/>
      </c>
      <c r="L290" t="str">
        <f t="shared" si="21"/>
        <v>20</v>
      </c>
      <c r="M290">
        <f t="shared" si="20"/>
        <v>1</v>
      </c>
    </row>
    <row r="291" spans="1:13" x14ac:dyDescent="0.25">
      <c r="A291" s="1" t="s">
        <v>1378</v>
      </c>
      <c r="B291" s="1" t="s">
        <v>482</v>
      </c>
      <c r="C291" s="1" t="s">
        <v>394</v>
      </c>
      <c r="E291" s="1" t="s">
        <v>484</v>
      </c>
      <c r="H291" t="str">
        <f t="shared" si="22"/>
        <v/>
      </c>
      <c r="I291" t="str">
        <f t="shared" si="23"/>
        <v/>
      </c>
      <c r="J291" t="str">
        <f t="shared" si="24"/>
        <v/>
      </c>
      <c r="L291" t="str">
        <f t="shared" si="21"/>
        <v>20</v>
      </c>
      <c r="M291">
        <f t="shared" si="20"/>
        <v>1</v>
      </c>
    </row>
    <row r="292" spans="1:13" x14ac:dyDescent="0.25">
      <c r="B292" s="1" t="s">
        <v>483</v>
      </c>
      <c r="H292" t="str">
        <f t="shared" si="22"/>
        <v/>
      </c>
      <c r="I292" t="str">
        <f t="shared" si="23"/>
        <v/>
      </c>
      <c r="J292" t="str">
        <f t="shared" si="24"/>
        <v/>
      </c>
      <c r="L292" t="str">
        <f t="shared" si="21"/>
        <v/>
      </c>
      <c r="M292" t="str">
        <f t="shared" si="20"/>
        <v/>
      </c>
    </row>
    <row r="293" spans="1:13" x14ac:dyDescent="0.25">
      <c r="A293" s="1" t="s">
        <v>1379</v>
      </c>
      <c r="B293" s="1" t="s">
        <v>485</v>
      </c>
      <c r="C293" s="1" t="s">
        <v>486</v>
      </c>
      <c r="D293" s="1" t="s">
        <v>16</v>
      </c>
      <c r="E293" s="1" t="s">
        <v>488</v>
      </c>
      <c r="H293" t="str">
        <f t="shared" si="22"/>
        <v/>
      </c>
      <c r="I293" t="str">
        <f t="shared" si="23"/>
        <v/>
      </c>
      <c r="J293" t="str">
        <f t="shared" si="24"/>
        <v/>
      </c>
      <c r="L293" t="str">
        <f t="shared" si="21"/>
        <v>20</v>
      </c>
      <c r="M293">
        <f t="shared" si="20"/>
        <v>1</v>
      </c>
    </row>
    <row r="294" spans="1:13" x14ac:dyDescent="0.25">
      <c r="C294" s="1" t="s">
        <v>487</v>
      </c>
      <c r="H294" t="str">
        <f t="shared" si="22"/>
        <v/>
      </c>
      <c r="I294" t="str">
        <f t="shared" si="23"/>
        <v/>
      </c>
      <c r="J294" t="str">
        <f t="shared" si="24"/>
        <v/>
      </c>
      <c r="L294" t="str">
        <f t="shared" si="21"/>
        <v/>
      </c>
      <c r="M294" t="str">
        <f t="shared" si="20"/>
        <v/>
      </c>
    </row>
    <row r="295" spans="1:13" x14ac:dyDescent="0.25">
      <c r="A295" s="1" t="s">
        <v>1380</v>
      </c>
      <c r="B295" s="1" t="s">
        <v>489</v>
      </c>
      <c r="C295" s="1" t="s">
        <v>486</v>
      </c>
      <c r="D295" s="1" t="s">
        <v>16</v>
      </c>
      <c r="E295" s="1" t="s">
        <v>491</v>
      </c>
      <c r="H295" t="str">
        <f t="shared" si="22"/>
        <v/>
      </c>
      <c r="I295" t="str">
        <f t="shared" si="23"/>
        <v/>
      </c>
      <c r="J295" t="str">
        <f t="shared" si="24"/>
        <v/>
      </c>
      <c r="L295" t="str">
        <f t="shared" si="21"/>
        <v>20</v>
      </c>
      <c r="M295">
        <f t="shared" si="20"/>
        <v>1</v>
      </c>
    </row>
    <row r="296" spans="1:13" x14ac:dyDescent="0.25">
      <c r="C296" s="1" t="s">
        <v>490</v>
      </c>
      <c r="H296" t="str">
        <f t="shared" si="22"/>
        <v/>
      </c>
      <c r="I296" t="str">
        <f t="shared" si="23"/>
        <v/>
      </c>
      <c r="J296" t="str">
        <f t="shared" si="24"/>
        <v/>
      </c>
      <c r="L296" t="str">
        <f t="shared" si="21"/>
        <v/>
      </c>
      <c r="M296" t="str">
        <f t="shared" si="20"/>
        <v/>
      </c>
    </row>
    <row r="297" spans="1:13" x14ac:dyDescent="0.25">
      <c r="A297" s="1" t="s">
        <v>1381</v>
      </c>
      <c r="B297" s="1" t="s">
        <v>492</v>
      </c>
      <c r="C297" s="1" t="s">
        <v>493</v>
      </c>
      <c r="D297" s="1" t="s">
        <v>16</v>
      </c>
      <c r="E297" s="1" t="s">
        <v>494</v>
      </c>
      <c r="H297" t="str">
        <f t="shared" si="22"/>
        <v/>
      </c>
      <c r="I297" t="str">
        <f t="shared" si="23"/>
        <v/>
      </c>
      <c r="J297" t="str">
        <f t="shared" si="24"/>
        <v/>
      </c>
      <c r="L297" t="str">
        <f t="shared" si="21"/>
        <v>20</v>
      </c>
      <c r="M297">
        <f t="shared" si="20"/>
        <v>1</v>
      </c>
    </row>
    <row r="298" spans="1:13" x14ac:dyDescent="0.25">
      <c r="A298" s="1" t="s">
        <v>495</v>
      </c>
      <c r="D298" s="1" t="s">
        <v>216</v>
      </c>
      <c r="E298" s="1" t="s">
        <v>496</v>
      </c>
      <c r="H298" t="str">
        <f t="shared" si="22"/>
        <v>B21_SOURCENONMONETOBLIG</v>
      </c>
      <c r="I298">
        <f t="shared" ca="1" si="23"/>
        <v>5</v>
      </c>
      <c r="J298" t="str">
        <f t="shared" ca="1" si="24"/>
        <v>"B21_SOURCENONMONETOBLIG", 5</v>
      </c>
      <c r="L298" t="str">
        <f t="shared" si="21"/>
        <v/>
      </c>
      <c r="M298" t="str">
        <f t="shared" si="20"/>
        <v/>
      </c>
    </row>
    <row r="299" spans="1:13" x14ac:dyDescent="0.25">
      <c r="A299" s="1" t="s">
        <v>497</v>
      </c>
      <c r="H299" t="str">
        <f t="shared" si="22"/>
        <v/>
      </c>
      <c r="I299" t="str">
        <f t="shared" si="23"/>
        <v/>
      </c>
      <c r="J299" t="str">
        <f t="shared" si="24"/>
        <v/>
      </c>
      <c r="L299" t="str">
        <f t="shared" si="21"/>
        <v/>
      </c>
      <c r="M299" t="str">
        <f t="shared" si="20"/>
        <v/>
      </c>
    </row>
    <row r="300" spans="1:13" x14ac:dyDescent="0.25">
      <c r="A300" s="1" t="s">
        <v>498</v>
      </c>
      <c r="H300" t="str">
        <f t="shared" si="22"/>
        <v/>
      </c>
      <c r="I300" t="str">
        <f t="shared" si="23"/>
        <v/>
      </c>
      <c r="J300" t="str">
        <f t="shared" si="24"/>
        <v/>
      </c>
      <c r="L300" t="str">
        <f t="shared" si="21"/>
        <v/>
      </c>
      <c r="M300" t="str">
        <f t="shared" si="20"/>
        <v/>
      </c>
    </row>
    <row r="301" spans="1:13" x14ac:dyDescent="0.25">
      <c r="A301" s="1" t="s">
        <v>1382</v>
      </c>
      <c r="B301" s="1" t="s">
        <v>499</v>
      </c>
      <c r="C301" s="1" t="s">
        <v>500</v>
      </c>
      <c r="D301" s="1" t="s">
        <v>16</v>
      </c>
      <c r="E301" s="1" t="s">
        <v>502</v>
      </c>
      <c r="H301" t="str">
        <f t="shared" si="22"/>
        <v/>
      </c>
      <c r="I301" t="str">
        <f t="shared" si="23"/>
        <v/>
      </c>
      <c r="J301" t="str">
        <f t="shared" si="24"/>
        <v/>
      </c>
      <c r="L301" t="str">
        <f t="shared" si="21"/>
        <v>21</v>
      </c>
      <c r="M301">
        <f t="shared" si="20"/>
        <v>1</v>
      </c>
    </row>
    <row r="302" spans="1:13" x14ac:dyDescent="0.25">
      <c r="C302" s="1" t="s">
        <v>501</v>
      </c>
      <c r="H302" t="str">
        <f t="shared" si="22"/>
        <v/>
      </c>
      <c r="I302" t="str">
        <f t="shared" si="23"/>
        <v/>
      </c>
      <c r="J302" t="str">
        <f t="shared" si="24"/>
        <v/>
      </c>
      <c r="L302" t="str">
        <f t="shared" si="21"/>
        <v/>
      </c>
      <c r="M302" t="str">
        <f t="shared" si="20"/>
        <v/>
      </c>
    </row>
    <row r="303" spans="1:13" x14ac:dyDescent="0.25">
      <c r="A303" s="1" t="s">
        <v>1383</v>
      </c>
      <c r="B303" s="1" t="s">
        <v>503</v>
      </c>
      <c r="C303" s="1" t="s">
        <v>504</v>
      </c>
      <c r="E303" s="1" t="s">
        <v>505</v>
      </c>
      <c r="H303" t="str">
        <f t="shared" si="22"/>
        <v/>
      </c>
      <c r="I303" t="str">
        <f t="shared" si="23"/>
        <v/>
      </c>
      <c r="J303" t="str">
        <f t="shared" si="24"/>
        <v/>
      </c>
      <c r="L303" t="str">
        <f t="shared" si="21"/>
        <v>21</v>
      </c>
      <c r="M303">
        <f t="shared" si="20"/>
        <v>1</v>
      </c>
    </row>
    <row r="304" spans="1:13" x14ac:dyDescent="0.25">
      <c r="A304" s="1" t="s">
        <v>1384</v>
      </c>
      <c r="B304" s="1" t="s">
        <v>506</v>
      </c>
      <c r="C304" s="1" t="s">
        <v>507</v>
      </c>
      <c r="E304" s="1" t="s">
        <v>508</v>
      </c>
      <c r="H304" t="str">
        <f t="shared" si="22"/>
        <v/>
      </c>
      <c r="I304" t="str">
        <f t="shared" si="23"/>
        <v/>
      </c>
      <c r="J304" t="str">
        <f t="shared" si="24"/>
        <v/>
      </c>
      <c r="L304" t="str">
        <f t="shared" si="21"/>
        <v>21</v>
      </c>
      <c r="M304">
        <f t="shared" si="20"/>
        <v>1</v>
      </c>
    </row>
    <row r="305" spans="1:13" x14ac:dyDescent="0.25">
      <c r="A305" s="1" t="s">
        <v>1385</v>
      </c>
      <c r="B305" s="1" t="s">
        <v>509</v>
      </c>
      <c r="C305" s="1" t="s">
        <v>510</v>
      </c>
      <c r="E305" s="1" t="s">
        <v>511</v>
      </c>
      <c r="H305" t="str">
        <f t="shared" si="22"/>
        <v/>
      </c>
      <c r="I305" t="str">
        <f t="shared" si="23"/>
        <v/>
      </c>
      <c r="J305" t="str">
        <f t="shared" si="24"/>
        <v/>
      </c>
      <c r="L305" t="str">
        <f t="shared" si="21"/>
        <v>21</v>
      </c>
      <c r="M305">
        <f t="shared" si="20"/>
        <v>1</v>
      </c>
    </row>
    <row r="306" spans="1:13" x14ac:dyDescent="0.25">
      <c r="A306" s="1" t="s">
        <v>1386</v>
      </c>
      <c r="B306" s="1" t="s">
        <v>512</v>
      </c>
      <c r="C306" s="1" t="s">
        <v>513</v>
      </c>
      <c r="D306" s="1" t="s">
        <v>16</v>
      </c>
      <c r="E306" s="1" t="s">
        <v>520</v>
      </c>
      <c r="H306" t="str">
        <f t="shared" si="22"/>
        <v/>
      </c>
      <c r="I306" t="str">
        <f t="shared" si="23"/>
        <v/>
      </c>
      <c r="J306" t="str">
        <f t="shared" si="24"/>
        <v/>
      </c>
      <c r="L306" t="str">
        <f t="shared" si="21"/>
        <v>21</v>
      </c>
      <c r="M306">
        <f t="shared" si="20"/>
        <v>1</v>
      </c>
    </row>
    <row r="307" spans="1:13" x14ac:dyDescent="0.25">
      <c r="C307" s="1" t="s">
        <v>514</v>
      </c>
      <c r="H307" t="str">
        <f t="shared" si="22"/>
        <v/>
      </c>
      <c r="I307" t="str">
        <f t="shared" si="23"/>
        <v/>
      </c>
      <c r="J307" t="str">
        <f t="shared" si="24"/>
        <v/>
      </c>
      <c r="L307" t="str">
        <f t="shared" si="21"/>
        <v/>
      </c>
      <c r="M307" t="str">
        <f t="shared" si="20"/>
        <v/>
      </c>
    </row>
    <row r="308" spans="1:13" x14ac:dyDescent="0.25">
      <c r="C308" s="1" t="s">
        <v>515</v>
      </c>
      <c r="H308" t="str">
        <f t="shared" si="22"/>
        <v/>
      </c>
      <c r="I308" t="str">
        <f t="shared" si="23"/>
        <v/>
      </c>
      <c r="J308" t="str">
        <f t="shared" si="24"/>
        <v/>
      </c>
      <c r="L308" t="str">
        <f t="shared" si="21"/>
        <v/>
      </c>
      <c r="M308" t="str">
        <f t="shared" si="20"/>
        <v/>
      </c>
    </row>
    <row r="309" spans="1:13" x14ac:dyDescent="0.25">
      <c r="C309" s="1" t="s">
        <v>516</v>
      </c>
      <c r="H309" t="str">
        <f t="shared" si="22"/>
        <v/>
      </c>
      <c r="I309" t="str">
        <f t="shared" si="23"/>
        <v/>
      </c>
      <c r="J309" t="str">
        <f t="shared" si="24"/>
        <v/>
      </c>
      <c r="L309" t="str">
        <f t="shared" si="21"/>
        <v/>
      </c>
      <c r="M309" t="str">
        <f t="shared" si="20"/>
        <v/>
      </c>
    </row>
    <row r="310" spans="1:13" x14ac:dyDescent="0.25">
      <c r="C310" s="1" t="s">
        <v>517</v>
      </c>
      <c r="H310" t="str">
        <f t="shared" si="22"/>
        <v/>
      </c>
      <c r="I310" t="str">
        <f t="shared" si="23"/>
        <v/>
      </c>
      <c r="J310" t="str">
        <f t="shared" si="24"/>
        <v/>
      </c>
      <c r="L310" t="str">
        <f t="shared" si="21"/>
        <v/>
      </c>
      <c r="M310" t="str">
        <f t="shared" si="20"/>
        <v/>
      </c>
    </row>
    <row r="311" spans="1:13" x14ac:dyDescent="0.25">
      <c r="C311" s="1" t="s">
        <v>518</v>
      </c>
      <c r="H311" t="str">
        <f t="shared" si="22"/>
        <v/>
      </c>
      <c r="I311" t="str">
        <f t="shared" si="23"/>
        <v/>
      </c>
      <c r="J311" t="str">
        <f t="shared" si="24"/>
        <v/>
      </c>
      <c r="L311" t="str">
        <f t="shared" si="21"/>
        <v/>
      </c>
      <c r="M311" t="str">
        <f t="shared" si="20"/>
        <v/>
      </c>
    </row>
    <row r="312" spans="1:13" x14ac:dyDescent="0.25">
      <c r="C312" s="1" t="s">
        <v>519</v>
      </c>
      <c r="H312" t="str">
        <f t="shared" si="22"/>
        <v/>
      </c>
      <c r="I312" t="str">
        <f t="shared" si="23"/>
        <v/>
      </c>
      <c r="J312" t="str">
        <f t="shared" si="24"/>
        <v/>
      </c>
      <c r="L312" t="str">
        <f t="shared" si="21"/>
        <v/>
      </c>
      <c r="M312" t="str">
        <f t="shared" si="20"/>
        <v/>
      </c>
    </row>
    <row r="313" spans="1:13" x14ac:dyDescent="0.25">
      <c r="A313" s="1" t="s">
        <v>521</v>
      </c>
      <c r="D313" s="1" t="s">
        <v>216</v>
      </c>
      <c r="E313" s="1" t="s">
        <v>522</v>
      </c>
      <c r="H313" t="str">
        <f t="shared" si="22"/>
        <v>B22_SUBJECTNONMONETOBLIG</v>
      </c>
      <c r="I313">
        <f t="shared" ca="1" si="23"/>
        <v>5</v>
      </c>
      <c r="J313" t="str">
        <f t="shared" ca="1" si="24"/>
        <v>"B22_SUBJECTNONMONETOBLIG", 5</v>
      </c>
      <c r="L313" t="str">
        <f t="shared" si="21"/>
        <v/>
      </c>
      <c r="M313" t="str">
        <f t="shared" si="20"/>
        <v/>
      </c>
    </row>
    <row r="314" spans="1:13" x14ac:dyDescent="0.25">
      <c r="A314" s="1" t="s">
        <v>38</v>
      </c>
      <c r="H314" t="str">
        <f t="shared" si="22"/>
        <v/>
      </c>
      <c r="I314" t="str">
        <f t="shared" si="23"/>
        <v/>
      </c>
      <c r="J314" t="str">
        <f t="shared" si="24"/>
        <v/>
      </c>
      <c r="L314" t="str">
        <f t="shared" si="21"/>
        <v/>
      </c>
      <c r="M314" t="str">
        <f t="shared" si="20"/>
        <v/>
      </c>
    </row>
    <row r="315" spans="1:13" x14ac:dyDescent="0.25">
      <c r="A315" s="1" t="s">
        <v>523</v>
      </c>
      <c r="H315" t="str">
        <f t="shared" si="22"/>
        <v/>
      </c>
      <c r="I315" t="str">
        <f t="shared" si="23"/>
        <v/>
      </c>
      <c r="J315" t="str">
        <f t="shared" si="24"/>
        <v/>
      </c>
      <c r="L315" t="str">
        <f t="shared" si="21"/>
        <v/>
      </c>
      <c r="M315" t="str">
        <f t="shared" si="20"/>
        <v/>
      </c>
    </row>
    <row r="316" spans="1:13" x14ac:dyDescent="0.25">
      <c r="A316" s="1" t="s">
        <v>27</v>
      </c>
      <c r="B316" s="1" t="s">
        <v>499</v>
      </c>
      <c r="C316" s="1" t="s">
        <v>524</v>
      </c>
      <c r="D316" s="1" t="s">
        <v>16</v>
      </c>
      <c r="E316" s="1" t="s">
        <v>525</v>
      </c>
      <c r="H316" t="str">
        <f t="shared" si="22"/>
        <v/>
      </c>
      <c r="I316" t="str">
        <f t="shared" si="23"/>
        <v/>
      </c>
      <c r="J316" t="str">
        <f t="shared" si="24"/>
        <v/>
      </c>
      <c r="L316" t="str">
        <f t="shared" si="21"/>
        <v>22</v>
      </c>
      <c r="M316">
        <f t="shared" si="20"/>
        <v>1</v>
      </c>
    </row>
    <row r="317" spans="1:13" x14ac:dyDescent="0.25">
      <c r="A317" s="1" t="s">
        <v>1387</v>
      </c>
      <c r="B317" s="1" t="s">
        <v>506</v>
      </c>
      <c r="C317" s="1" t="s">
        <v>526</v>
      </c>
      <c r="D317" s="1" t="s">
        <v>16</v>
      </c>
      <c r="E317" s="1" t="s">
        <v>527</v>
      </c>
      <c r="H317" t="str">
        <f t="shared" si="22"/>
        <v/>
      </c>
      <c r="I317" t="str">
        <f t="shared" si="23"/>
        <v/>
      </c>
      <c r="J317" t="str">
        <f t="shared" si="24"/>
        <v/>
      </c>
      <c r="L317" t="str">
        <f t="shared" si="21"/>
        <v>22</v>
      </c>
      <c r="M317">
        <f t="shared" si="20"/>
        <v>1</v>
      </c>
    </row>
    <row r="318" spans="1:13" x14ac:dyDescent="0.25">
      <c r="A318" s="1" t="s">
        <v>1388</v>
      </c>
      <c r="B318" s="1" t="s">
        <v>528</v>
      </c>
      <c r="C318" s="1" t="s">
        <v>529</v>
      </c>
      <c r="E318" s="1" t="s">
        <v>530</v>
      </c>
      <c r="H318" t="str">
        <f t="shared" si="22"/>
        <v/>
      </c>
      <c r="I318" t="str">
        <f t="shared" si="23"/>
        <v/>
      </c>
      <c r="J318" t="str">
        <f t="shared" si="24"/>
        <v/>
      </c>
      <c r="L318" t="str">
        <f t="shared" si="21"/>
        <v>22</v>
      </c>
      <c r="M318">
        <f t="shared" si="20"/>
        <v>1</v>
      </c>
    </row>
    <row r="319" spans="1:13" x14ac:dyDescent="0.25">
      <c r="A319" s="1" t="s">
        <v>1389</v>
      </c>
      <c r="B319" s="1" t="s">
        <v>531</v>
      </c>
      <c r="C319" s="1" t="s">
        <v>532</v>
      </c>
      <c r="D319" s="1" t="s">
        <v>152</v>
      </c>
      <c r="E319" s="1" t="s">
        <v>534</v>
      </c>
      <c r="H319" t="str">
        <f t="shared" si="22"/>
        <v/>
      </c>
      <c r="I319" t="str">
        <f t="shared" si="23"/>
        <v/>
      </c>
      <c r="J319" t="str">
        <f t="shared" si="24"/>
        <v/>
      </c>
      <c r="L319" t="str">
        <f t="shared" si="21"/>
        <v>22</v>
      </c>
      <c r="M319">
        <f t="shared" si="20"/>
        <v>1</v>
      </c>
    </row>
    <row r="320" spans="1:13" x14ac:dyDescent="0.25">
      <c r="C320" s="1" t="s">
        <v>533</v>
      </c>
      <c r="H320" t="str">
        <f t="shared" si="22"/>
        <v/>
      </c>
      <c r="I320" t="str">
        <f t="shared" si="23"/>
        <v/>
      </c>
      <c r="J320" t="str">
        <f t="shared" si="24"/>
        <v/>
      </c>
      <c r="L320" t="str">
        <f t="shared" si="21"/>
        <v/>
      </c>
      <c r="M320" t="str">
        <f t="shared" si="20"/>
        <v/>
      </c>
    </row>
    <row r="321" spans="1:13" x14ac:dyDescent="0.25">
      <c r="A321" s="1" t="s">
        <v>1390</v>
      </c>
      <c r="B321" s="1" t="s">
        <v>535</v>
      </c>
      <c r="C321" s="1" t="s">
        <v>536</v>
      </c>
      <c r="E321" s="1" t="s">
        <v>537</v>
      </c>
      <c r="H321" t="str">
        <f t="shared" si="22"/>
        <v/>
      </c>
      <c r="I321" t="str">
        <f t="shared" si="23"/>
        <v/>
      </c>
      <c r="J321" t="str">
        <f t="shared" si="24"/>
        <v/>
      </c>
      <c r="L321" t="str">
        <f t="shared" si="21"/>
        <v>22</v>
      </c>
      <c r="M321">
        <f t="shared" si="20"/>
        <v>1</v>
      </c>
    </row>
    <row r="322" spans="1:13" x14ac:dyDescent="0.25">
      <c r="A322" s="1" t="s">
        <v>538</v>
      </c>
      <c r="H322" t="str">
        <f t="shared" si="22"/>
        <v/>
      </c>
      <c r="I322" t="str">
        <f t="shared" si="23"/>
        <v/>
      </c>
      <c r="J322" t="str">
        <f t="shared" si="24"/>
        <v/>
      </c>
      <c r="L322" t="str">
        <f t="shared" si="21"/>
        <v/>
      </c>
      <c r="M322" t="str">
        <f t="shared" ref="M322:M385" si="25">IF(AND(LEN(A322)&lt;6,A322&lt;&gt;""),1,"")</f>
        <v/>
      </c>
    </row>
    <row r="323" spans="1:13" x14ac:dyDescent="0.25">
      <c r="A323" s="1" t="s">
        <v>539</v>
      </c>
      <c r="D323" s="1" t="s">
        <v>216</v>
      </c>
      <c r="E323" s="1" t="s">
        <v>540</v>
      </c>
      <c r="H323" t="str">
        <f t="shared" si="22"/>
        <v>B23_COLLATERAL</v>
      </c>
      <c r="I323">
        <f t="shared" ca="1" si="23"/>
        <v>14</v>
      </c>
      <c r="J323" t="str">
        <f t="shared" ca="1" si="24"/>
        <v>"B23_COLLATERAL", 14</v>
      </c>
      <c r="L323" t="str">
        <f t="shared" ref="L323:L386" si="26">IFERROR(IF(LEN(A323)&lt;=5,TRIM(LEFT(A323,SEARCH(".",A323)-1)),""),"")</f>
        <v/>
      </c>
      <c r="M323" t="str">
        <f t="shared" si="25"/>
        <v/>
      </c>
    </row>
    <row r="324" spans="1:13" x14ac:dyDescent="0.25">
      <c r="A324" s="1" t="s">
        <v>1391</v>
      </c>
      <c r="B324" s="1" t="s">
        <v>541</v>
      </c>
      <c r="C324" s="1" t="s">
        <v>542</v>
      </c>
      <c r="H324" t="str">
        <f t="shared" si="22"/>
        <v/>
      </c>
      <c r="I324" t="str">
        <f t="shared" si="23"/>
        <v/>
      </c>
      <c r="J324" t="str">
        <f t="shared" si="24"/>
        <v/>
      </c>
      <c r="L324" t="str">
        <f t="shared" si="26"/>
        <v>23</v>
      </c>
      <c r="M324">
        <f t="shared" si="25"/>
        <v>1</v>
      </c>
    </row>
    <row r="325" spans="1:13" x14ac:dyDescent="0.25">
      <c r="C325" s="1" t="s">
        <v>128</v>
      </c>
      <c r="H325" t="str">
        <f t="shared" si="22"/>
        <v/>
      </c>
      <c r="I325" t="str">
        <f t="shared" si="23"/>
        <v/>
      </c>
      <c r="J325" t="str">
        <f t="shared" si="24"/>
        <v/>
      </c>
      <c r="L325" t="str">
        <f t="shared" si="26"/>
        <v/>
      </c>
      <c r="M325" t="str">
        <f t="shared" si="25"/>
        <v/>
      </c>
    </row>
    <row r="326" spans="1:13" x14ac:dyDescent="0.25">
      <c r="C326" s="1" t="s">
        <v>543</v>
      </c>
      <c r="H326" t="str">
        <f t="shared" si="22"/>
        <v/>
      </c>
      <c r="I326" t="str">
        <f t="shared" si="23"/>
        <v/>
      </c>
      <c r="J326" t="str">
        <f t="shared" si="24"/>
        <v/>
      </c>
      <c r="L326" t="str">
        <f t="shared" si="26"/>
        <v/>
      </c>
      <c r="M326" t="str">
        <f t="shared" si="25"/>
        <v/>
      </c>
    </row>
    <row r="327" spans="1:13" x14ac:dyDescent="0.25">
      <c r="A327" s="1" t="s">
        <v>1392</v>
      </c>
      <c r="B327" s="1" t="s">
        <v>544</v>
      </c>
      <c r="C327" s="1" t="s">
        <v>504</v>
      </c>
      <c r="E327" s="1" t="s">
        <v>545</v>
      </c>
      <c r="H327" t="str">
        <f t="shared" ref="H327:H390" si="27">IFERROR(TRIM(IF(SEARCH("Блок ",A327),IF(SEARCH("B",A327),RIGHT(A327,LEN(A327)-SEARCH("B",A327)+1)),"")),"")</f>
        <v/>
      </c>
      <c r="I327" t="str">
        <f t="shared" ref="I327:I390" si="28">IFERROR(IF(H327&lt;&gt;"",SUMIF(L:M,TRIM(MID(A327,SEARCH(" ",A327),SEARCH(". ",A327)-5)),M:M),""),"")</f>
        <v/>
      </c>
      <c r="J327" t="str">
        <f t="shared" ref="J327:J390" si="29">CLEAN(TRIM(IF(H327&lt;&gt;"",""""&amp;H327&amp;""""&amp;", "&amp;I327,"")))</f>
        <v/>
      </c>
      <c r="L327" t="str">
        <f t="shared" si="26"/>
        <v>23</v>
      </c>
      <c r="M327">
        <f t="shared" si="25"/>
        <v>1</v>
      </c>
    </row>
    <row r="328" spans="1:13" x14ac:dyDescent="0.25">
      <c r="A328" s="1" t="s">
        <v>1393</v>
      </c>
      <c r="B328" s="1" t="s">
        <v>546</v>
      </c>
      <c r="C328" s="1" t="s">
        <v>547</v>
      </c>
      <c r="D328" s="1" t="s">
        <v>16</v>
      </c>
      <c r="E328" s="1" t="s">
        <v>548</v>
      </c>
      <c r="H328" t="str">
        <f t="shared" si="27"/>
        <v/>
      </c>
      <c r="I328" t="str">
        <f t="shared" si="28"/>
        <v/>
      </c>
      <c r="J328" t="str">
        <f t="shared" si="29"/>
        <v/>
      </c>
      <c r="L328" t="str">
        <f t="shared" si="26"/>
        <v>23</v>
      </c>
      <c r="M328">
        <f t="shared" si="25"/>
        <v>1</v>
      </c>
    </row>
    <row r="329" spans="1:13" x14ac:dyDescent="0.25">
      <c r="C329" s="1" t="s">
        <v>515</v>
      </c>
      <c r="H329" t="str">
        <f t="shared" si="27"/>
        <v/>
      </c>
      <c r="I329" t="str">
        <f t="shared" si="28"/>
        <v/>
      </c>
      <c r="J329" t="str">
        <f t="shared" si="29"/>
        <v/>
      </c>
      <c r="L329" t="str">
        <f t="shared" si="26"/>
        <v/>
      </c>
      <c r="M329" t="str">
        <f t="shared" si="25"/>
        <v/>
      </c>
    </row>
    <row r="330" spans="1:13" x14ac:dyDescent="0.25">
      <c r="C330" s="1" t="s">
        <v>516</v>
      </c>
      <c r="H330" t="str">
        <f t="shared" si="27"/>
        <v/>
      </c>
      <c r="I330" t="str">
        <f t="shared" si="28"/>
        <v/>
      </c>
      <c r="J330" t="str">
        <f t="shared" si="29"/>
        <v/>
      </c>
      <c r="L330" t="str">
        <f t="shared" si="26"/>
        <v/>
      </c>
      <c r="M330" t="str">
        <f t="shared" si="25"/>
        <v/>
      </c>
    </row>
    <row r="331" spans="1:13" x14ac:dyDescent="0.25">
      <c r="C331" s="1" t="s">
        <v>517</v>
      </c>
      <c r="H331" t="str">
        <f t="shared" si="27"/>
        <v/>
      </c>
      <c r="I331" t="str">
        <f t="shared" si="28"/>
        <v/>
      </c>
      <c r="J331" t="str">
        <f t="shared" si="29"/>
        <v/>
      </c>
      <c r="L331" t="str">
        <f t="shared" si="26"/>
        <v/>
      </c>
      <c r="M331" t="str">
        <f t="shared" si="25"/>
        <v/>
      </c>
    </row>
    <row r="332" spans="1:13" x14ac:dyDescent="0.25">
      <c r="C332" s="1" t="s">
        <v>518</v>
      </c>
      <c r="H332" t="str">
        <f t="shared" si="27"/>
        <v/>
      </c>
      <c r="I332" t="str">
        <f t="shared" si="28"/>
        <v/>
      </c>
      <c r="J332" t="str">
        <f t="shared" si="29"/>
        <v/>
      </c>
      <c r="L332" t="str">
        <f t="shared" si="26"/>
        <v/>
      </c>
      <c r="M332" t="str">
        <f t="shared" si="25"/>
        <v/>
      </c>
    </row>
    <row r="333" spans="1:13" x14ac:dyDescent="0.25">
      <c r="C333" s="1" t="s">
        <v>519</v>
      </c>
      <c r="H333" t="str">
        <f t="shared" si="27"/>
        <v/>
      </c>
      <c r="I333" t="str">
        <f t="shared" si="28"/>
        <v/>
      </c>
      <c r="J333" t="str">
        <f t="shared" si="29"/>
        <v/>
      </c>
      <c r="L333" t="str">
        <f t="shared" si="26"/>
        <v/>
      </c>
      <c r="M333" t="str">
        <f t="shared" si="25"/>
        <v/>
      </c>
    </row>
    <row r="334" spans="1:13" x14ac:dyDescent="0.25">
      <c r="A334" s="1" t="s">
        <v>1394</v>
      </c>
      <c r="B334" s="1" t="s">
        <v>549</v>
      </c>
      <c r="E334" s="1" t="s">
        <v>550</v>
      </c>
      <c r="H334" t="str">
        <f t="shared" si="27"/>
        <v/>
      </c>
      <c r="I334" t="str">
        <f t="shared" si="28"/>
        <v/>
      </c>
      <c r="J334" t="str">
        <f t="shared" si="29"/>
        <v/>
      </c>
      <c r="L334" t="str">
        <f t="shared" si="26"/>
        <v>23</v>
      </c>
      <c r="M334">
        <f t="shared" si="25"/>
        <v>1</v>
      </c>
    </row>
    <row r="335" spans="1:13" x14ac:dyDescent="0.25">
      <c r="A335" s="1" t="s">
        <v>1395</v>
      </c>
      <c r="B335" s="1" t="s">
        <v>551</v>
      </c>
      <c r="C335" s="1" t="s">
        <v>552</v>
      </c>
      <c r="D335" s="1" t="s">
        <v>152</v>
      </c>
      <c r="E335" s="1" t="s">
        <v>553</v>
      </c>
      <c r="H335" t="str">
        <f t="shared" si="27"/>
        <v/>
      </c>
      <c r="I335" t="str">
        <f t="shared" si="28"/>
        <v/>
      </c>
      <c r="J335" t="str">
        <f t="shared" si="29"/>
        <v/>
      </c>
      <c r="L335" t="str">
        <f t="shared" si="26"/>
        <v>23</v>
      </c>
      <c r="M335">
        <f t="shared" si="25"/>
        <v>1</v>
      </c>
    </row>
    <row r="336" spans="1:13" x14ac:dyDescent="0.25">
      <c r="A336" s="1" t="s">
        <v>1396</v>
      </c>
      <c r="B336" s="1" t="s">
        <v>554</v>
      </c>
      <c r="D336" s="1" t="s">
        <v>152</v>
      </c>
      <c r="E336" s="1" t="s">
        <v>287</v>
      </c>
      <c r="H336" t="str">
        <f t="shared" si="27"/>
        <v/>
      </c>
      <c r="I336" t="str">
        <f t="shared" si="28"/>
        <v/>
      </c>
      <c r="J336" t="str">
        <f t="shared" si="29"/>
        <v/>
      </c>
      <c r="L336" t="str">
        <f t="shared" si="26"/>
        <v>23</v>
      </c>
      <c r="M336">
        <f t="shared" si="25"/>
        <v>1</v>
      </c>
    </row>
    <row r="337" spans="1:13" x14ac:dyDescent="0.25">
      <c r="A337" s="1" t="s">
        <v>1397</v>
      </c>
      <c r="B337" s="1" t="s">
        <v>555</v>
      </c>
      <c r="C337" s="1" t="s">
        <v>556</v>
      </c>
      <c r="D337" s="1" t="s">
        <v>152</v>
      </c>
      <c r="E337" s="1" t="s">
        <v>557</v>
      </c>
      <c r="H337" t="str">
        <f t="shared" si="27"/>
        <v/>
      </c>
      <c r="I337" t="str">
        <f t="shared" si="28"/>
        <v/>
      </c>
      <c r="J337" t="str">
        <f t="shared" si="29"/>
        <v/>
      </c>
      <c r="L337" t="str">
        <f t="shared" si="26"/>
        <v>23</v>
      </c>
      <c r="M337">
        <f t="shared" si="25"/>
        <v>1</v>
      </c>
    </row>
    <row r="338" spans="1:13" x14ac:dyDescent="0.25">
      <c r="A338" s="1" t="s">
        <v>1398</v>
      </c>
      <c r="B338" s="1" t="s">
        <v>558</v>
      </c>
      <c r="C338" s="1" t="s">
        <v>559</v>
      </c>
      <c r="E338" s="1" t="s">
        <v>560</v>
      </c>
      <c r="H338" t="str">
        <f t="shared" si="27"/>
        <v/>
      </c>
      <c r="I338" t="str">
        <f t="shared" si="28"/>
        <v/>
      </c>
      <c r="J338" t="str">
        <f t="shared" si="29"/>
        <v/>
      </c>
      <c r="L338" t="str">
        <f t="shared" si="26"/>
        <v>23</v>
      </c>
      <c r="M338">
        <f t="shared" si="25"/>
        <v>1</v>
      </c>
    </row>
    <row r="339" spans="1:13" x14ac:dyDescent="0.25">
      <c r="A339" s="1" t="s">
        <v>1399</v>
      </c>
      <c r="B339" s="1" t="s">
        <v>561</v>
      </c>
      <c r="E339" s="1" t="s">
        <v>562</v>
      </c>
      <c r="H339" t="str">
        <f t="shared" si="27"/>
        <v/>
      </c>
      <c r="I339" t="str">
        <f t="shared" si="28"/>
        <v/>
      </c>
      <c r="J339" t="str">
        <f t="shared" si="29"/>
        <v/>
      </c>
      <c r="L339" t="str">
        <f t="shared" si="26"/>
        <v>23</v>
      </c>
      <c r="M339">
        <f t="shared" si="25"/>
        <v>1</v>
      </c>
    </row>
    <row r="340" spans="1:13" x14ac:dyDescent="0.25">
      <c r="A340" s="1" t="s">
        <v>1400</v>
      </c>
      <c r="B340" s="1" t="s">
        <v>563</v>
      </c>
      <c r="D340" s="1" t="s">
        <v>152</v>
      </c>
      <c r="E340" s="1" t="s">
        <v>564</v>
      </c>
      <c r="H340" t="str">
        <f t="shared" si="27"/>
        <v/>
      </c>
      <c r="I340" t="str">
        <f t="shared" si="28"/>
        <v/>
      </c>
      <c r="J340" t="str">
        <f t="shared" si="29"/>
        <v/>
      </c>
      <c r="L340" t="str">
        <f t="shared" si="26"/>
        <v>23</v>
      </c>
      <c r="M340">
        <f t="shared" si="25"/>
        <v>1</v>
      </c>
    </row>
    <row r="341" spans="1:13" x14ac:dyDescent="0.25">
      <c r="A341" s="1" t="s">
        <v>1401</v>
      </c>
      <c r="B341" s="1" t="s">
        <v>565</v>
      </c>
      <c r="C341" s="1" t="s">
        <v>566</v>
      </c>
      <c r="D341" s="1" t="s">
        <v>152</v>
      </c>
      <c r="E341" s="1" t="s">
        <v>567</v>
      </c>
      <c r="H341" t="str">
        <f t="shared" si="27"/>
        <v/>
      </c>
      <c r="I341" t="str">
        <f t="shared" si="28"/>
        <v/>
      </c>
      <c r="J341" t="str">
        <f t="shared" si="29"/>
        <v/>
      </c>
      <c r="L341" t="str">
        <f t="shared" si="26"/>
        <v>23</v>
      </c>
      <c r="M341">
        <f t="shared" si="25"/>
        <v>1</v>
      </c>
    </row>
    <row r="342" spans="1:13" x14ac:dyDescent="0.25">
      <c r="A342" s="1" t="s">
        <v>1402</v>
      </c>
      <c r="B342" s="1" t="s">
        <v>568</v>
      </c>
      <c r="C342" s="1" t="s">
        <v>569</v>
      </c>
      <c r="D342" s="1" t="s">
        <v>152</v>
      </c>
      <c r="E342" s="1" t="s">
        <v>571</v>
      </c>
      <c r="H342" t="str">
        <f t="shared" si="27"/>
        <v/>
      </c>
      <c r="I342" t="str">
        <f t="shared" si="28"/>
        <v/>
      </c>
      <c r="J342" t="str">
        <f t="shared" si="29"/>
        <v/>
      </c>
      <c r="L342" t="str">
        <f t="shared" si="26"/>
        <v>23</v>
      </c>
      <c r="M342">
        <f t="shared" si="25"/>
        <v>1</v>
      </c>
    </row>
    <row r="343" spans="1:13" x14ac:dyDescent="0.25">
      <c r="C343" s="1" t="s">
        <v>570</v>
      </c>
      <c r="H343" t="str">
        <f t="shared" si="27"/>
        <v/>
      </c>
      <c r="I343" t="str">
        <f t="shared" si="28"/>
        <v/>
      </c>
      <c r="J343" t="str">
        <f t="shared" si="29"/>
        <v/>
      </c>
      <c r="L343" t="str">
        <f t="shared" si="26"/>
        <v/>
      </c>
      <c r="M343" t="str">
        <f t="shared" si="25"/>
        <v/>
      </c>
    </row>
    <row r="344" spans="1:13" x14ac:dyDescent="0.25">
      <c r="A344" s="1" t="s">
        <v>572</v>
      </c>
      <c r="B344" s="1" t="s">
        <v>573</v>
      </c>
      <c r="C344" s="1" t="s">
        <v>574</v>
      </c>
      <c r="D344" s="1" t="s">
        <v>152</v>
      </c>
      <c r="E344" s="1" t="s">
        <v>576</v>
      </c>
      <c r="H344" t="str">
        <f t="shared" si="27"/>
        <v/>
      </c>
      <c r="I344" t="str">
        <f t="shared" si="28"/>
        <v/>
      </c>
      <c r="J344" t="str">
        <f t="shared" si="29"/>
        <v/>
      </c>
      <c r="L344" t="str">
        <f t="shared" si="26"/>
        <v>23</v>
      </c>
      <c r="M344">
        <f t="shared" si="25"/>
        <v>1</v>
      </c>
    </row>
    <row r="345" spans="1:13" x14ac:dyDescent="0.25">
      <c r="C345" s="1" t="s">
        <v>575</v>
      </c>
      <c r="H345" t="str">
        <f t="shared" si="27"/>
        <v/>
      </c>
      <c r="I345" t="str">
        <f t="shared" si="28"/>
        <v/>
      </c>
      <c r="J345" t="str">
        <f t="shared" si="29"/>
        <v/>
      </c>
      <c r="L345" t="str">
        <f t="shared" si="26"/>
        <v/>
      </c>
      <c r="M345" t="str">
        <f t="shared" si="25"/>
        <v/>
      </c>
    </row>
    <row r="346" spans="1:13" x14ac:dyDescent="0.25">
      <c r="A346" s="1" t="s">
        <v>577</v>
      </c>
      <c r="B346" s="1" t="s">
        <v>578</v>
      </c>
      <c r="C346" s="1" t="s">
        <v>579</v>
      </c>
      <c r="D346" s="1" t="s">
        <v>152</v>
      </c>
      <c r="E346" s="1" t="s">
        <v>580</v>
      </c>
      <c r="H346" t="str">
        <f t="shared" si="27"/>
        <v/>
      </c>
      <c r="I346" t="str">
        <f t="shared" si="28"/>
        <v/>
      </c>
      <c r="J346" t="str">
        <f t="shared" si="29"/>
        <v/>
      </c>
      <c r="L346" t="str">
        <f t="shared" si="26"/>
        <v>23</v>
      </c>
      <c r="M346">
        <f t="shared" si="25"/>
        <v>1</v>
      </c>
    </row>
    <row r="347" spans="1:13" x14ac:dyDescent="0.25">
      <c r="A347" s="1" t="s">
        <v>581</v>
      </c>
      <c r="D347" s="1" t="s">
        <v>216</v>
      </c>
      <c r="E347" s="1" t="s">
        <v>582</v>
      </c>
      <c r="H347" t="str">
        <f t="shared" si="27"/>
        <v>B24_GUARANTOR</v>
      </c>
      <c r="I347">
        <f t="shared" ca="1" si="28"/>
        <v>8</v>
      </c>
      <c r="J347" t="str">
        <f t="shared" ca="1" si="29"/>
        <v>"B24_GUARANTOR", 8</v>
      </c>
      <c r="L347" t="str">
        <f t="shared" si="26"/>
        <v/>
      </c>
      <c r="M347" t="str">
        <f t="shared" si="25"/>
        <v/>
      </c>
    </row>
    <row r="348" spans="1:13" x14ac:dyDescent="0.25">
      <c r="A348" s="1" t="s">
        <v>1403</v>
      </c>
      <c r="B348" s="1" t="s">
        <v>583</v>
      </c>
      <c r="C348" s="1" t="s">
        <v>584</v>
      </c>
      <c r="H348" t="str">
        <f t="shared" si="27"/>
        <v/>
      </c>
      <c r="I348" t="str">
        <f t="shared" si="28"/>
        <v/>
      </c>
      <c r="J348" t="str">
        <f t="shared" si="29"/>
        <v/>
      </c>
      <c r="L348" t="str">
        <f t="shared" si="26"/>
        <v>24</v>
      </c>
      <c r="M348">
        <f t="shared" si="25"/>
        <v>1</v>
      </c>
    </row>
    <row r="349" spans="1:13" x14ac:dyDescent="0.25">
      <c r="C349" s="1" t="s">
        <v>128</v>
      </c>
      <c r="H349" t="str">
        <f t="shared" si="27"/>
        <v/>
      </c>
      <c r="I349" t="str">
        <f t="shared" si="28"/>
        <v/>
      </c>
      <c r="J349" t="str">
        <f t="shared" si="29"/>
        <v/>
      </c>
      <c r="L349" t="str">
        <f t="shared" si="26"/>
        <v/>
      </c>
      <c r="M349" t="str">
        <f t="shared" si="25"/>
        <v/>
      </c>
    </row>
    <row r="350" spans="1:13" x14ac:dyDescent="0.25">
      <c r="C350" s="1" t="s">
        <v>585</v>
      </c>
      <c r="H350" t="str">
        <f t="shared" si="27"/>
        <v/>
      </c>
      <c r="I350" t="str">
        <f t="shared" si="28"/>
        <v/>
      </c>
      <c r="J350" t="str">
        <f t="shared" si="29"/>
        <v/>
      </c>
      <c r="L350" t="str">
        <f t="shared" si="26"/>
        <v/>
      </c>
      <c r="M350" t="str">
        <f t="shared" si="25"/>
        <v/>
      </c>
    </row>
    <row r="351" spans="1:13" x14ac:dyDescent="0.25">
      <c r="A351" s="1" t="s">
        <v>1404</v>
      </c>
      <c r="B351" s="1" t="s">
        <v>586</v>
      </c>
      <c r="C351" s="1" t="s">
        <v>587</v>
      </c>
      <c r="D351" s="1" t="s">
        <v>16</v>
      </c>
      <c r="E351" s="1" t="s">
        <v>591</v>
      </c>
      <c r="H351" t="str">
        <f t="shared" si="27"/>
        <v/>
      </c>
      <c r="I351" t="str">
        <f t="shared" si="28"/>
        <v/>
      </c>
      <c r="J351" t="str">
        <f t="shared" si="29"/>
        <v/>
      </c>
      <c r="L351" t="str">
        <f t="shared" si="26"/>
        <v>24</v>
      </c>
      <c r="M351">
        <f t="shared" si="25"/>
        <v>1</v>
      </c>
    </row>
    <row r="352" spans="1:13" x14ac:dyDescent="0.25">
      <c r="C352" s="1" t="s">
        <v>588</v>
      </c>
      <c r="H352" t="str">
        <f t="shared" si="27"/>
        <v/>
      </c>
      <c r="I352" t="str">
        <f t="shared" si="28"/>
        <v/>
      </c>
      <c r="J352" t="str">
        <f t="shared" si="29"/>
        <v/>
      </c>
      <c r="L352" t="str">
        <f t="shared" si="26"/>
        <v/>
      </c>
      <c r="M352" t="str">
        <f t="shared" si="25"/>
        <v/>
      </c>
    </row>
    <row r="353" spans="1:13" x14ac:dyDescent="0.25">
      <c r="C353" s="1" t="s">
        <v>589</v>
      </c>
      <c r="H353" t="str">
        <f t="shared" si="27"/>
        <v/>
      </c>
      <c r="I353" t="str">
        <f t="shared" si="28"/>
        <v/>
      </c>
      <c r="J353" t="str">
        <f t="shared" si="29"/>
        <v/>
      </c>
      <c r="L353" t="str">
        <f t="shared" si="26"/>
        <v/>
      </c>
      <c r="M353" t="str">
        <f t="shared" si="25"/>
        <v/>
      </c>
    </row>
    <row r="354" spans="1:13" x14ac:dyDescent="0.25">
      <c r="C354" s="1" t="s">
        <v>590</v>
      </c>
      <c r="H354" t="str">
        <f t="shared" si="27"/>
        <v/>
      </c>
      <c r="I354" t="str">
        <f t="shared" si="28"/>
        <v/>
      </c>
      <c r="J354" t="str">
        <f t="shared" si="29"/>
        <v/>
      </c>
      <c r="L354" t="str">
        <f t="shared" si="26"/>
        <v/>
      </c>
      <c r="M354" t="str">
        <f t="shared" si="25"/>
        <v/>
      </c>
    </row>
    <row r="355" spans="1:13" x14ac:dyDescent="0.25">
      <c r="A355" s="1" t="s">
        <v>1405</v>
      </c>
      <c r="B355" s="1" t="s">
        <v>592</v>
      </c>
      <c r="E355" s="1" t="s">
        <v>593</v>
      </c>
      <c r="H355" t="str">
        <f t="shared" si="27"/>
        <v/>
      </c>
      <c r="I355" t="str">
        <f t="shared" si="28"/>
        <v/>
      </c>
      <c r="J355" t="str">
        <f t="shared" si="29"/>
        <v/>
      </c>
      <c r="L355" t="str">
        <f t="shared" si="26"/>
        <v>24</v>
      </c>
      <c r="M355">
        <f t="shared" si="25"/>
        <v>1</v>
      </c>
    </row>
    <row r="356" spans="1:13" x14ac:dyDescent="0.25">
      <c r="A356" s="1" t="s">
        <v>1406</v>
      </c>
      <c r="B356" s="1" t="s">
        <v>594</v>
      </c>
      <c r="E356" s="1" t="s">
        <v>287</v>
      </c>
      <c r="H356" t="str">
        <f t="shared" si="27"/>
        <v/>
      </c>
      <c r="I356" t="str">
        <f t="shared" si="28"/>
        <v/>
      </c>
      <c r="J356" t="str">
        <f t="shared" si="29"/>
        <v/>
      </c>
      <c r="L356" t="str">
        <f t="shared" si="26"/>
        <v>24</v>
      </c>
      <c r="M356">
        <f t="shared" si="25"/>
        <v>1</v>
      </c>
    </row>
    <row r="357" spans="1:13" x14ac:dyDescent="0.25">
      <c r="A357" s="1" t="s">
        <v>1407</v>
      </c>
      <c r="B357" s="1" t="s">
        <v>595</v>
      </c>
      <c r="E357" s="1" t="s">
        <v>596</v>
      </c>
      <c r="H357" t="str">
        <f t="shared" si="27"/>
        <v/>
      </c>
      <c r="I357" t="str">
        <f t="shared" si="28"/>
        <v/>
      </c>
      <c r="J357" t="str">
        <f t="shared" si="29"/>
        <v/>
      </c>
      <c r="L357" t="str">
        <f t="shared" si="26"/>
        <v>24</v>
      </c>
      <c r="M357">
        <f t="shared" si="25"/>
        <v>1</v>
      </c>
    </row>
    <row r="358" spans="1:13" x14ac:dyDescent="0.25">
      <c r="A358" s="1" t="s">
        <v>1408</v>
      </c>
      <c r="B358" s="1" t="s">
        <v>597</v>
      </c>
      <c r="E358" s="1" t="s">
        <v>598</v>
      </c>
      <c r="H358" t="str">
        <f t="shared" si="27"/>
        <v/>
      </c>
      <c r="I358" t="str">
        <f t="shared" si="28"/>
        <v/>
      </c>
      <c r="J358" t="str">
        <f t="shared" si="29"/>
        <v/>
      </c>
      <c r="L358" t="str">
        <f t="shared" si="26"/>
        <v>24</v>
      </c>
      <c r="M358">
        <f t="shared" si="25"/>
        <v>1</v>
      </c>
    </row>
    <row r="359" spans="1:13" x14ac:dyDescent="0.25">
      <c r="A359" s="1" t="s">
        <v>1409</v>
      </c>
      <c r="B359" s="1" t="s">
        <v>599</v>
      </c>
      <c r="D359" s="1" t="s">
        <v>152</v>
      </c>
      <c r="E359" s="1" t="s">
        <v>600</v>
      </c>
      <c r="H359" t="str">
        <f t="shared" si="27"/>
        <v/>
      </c>
      <c r="I359" t="str">
        <f t="shared" si="28"/>
        <v/>
      </c>
      <c r="J359" t="str">
        <f t="shared" si="29"/>
        <v/>
      </c>
      <c r="L359" t="str">
        <f t="shared" si="26"/>
        <v>24</v>
      </c>
      <c r="M359">
        <f t="shared" si="25"/>
        <v>1</v>
      </c>
    </row>
    <row r="360" spans="1:13" x14ac:dyDescent="0.25">
      <c r="A360" s="1" t="s">
        <v>1410</v>
      </c>
      <c r="B360" s="1" t="s">
        <v>601</v>
      </c>
      <c r="C360" s="1" t="s">
        <v>566</v>
      </c>
      <c r="D360" s="1" t="s">
        <v>152</v>
      </c>
      <c r="E360" s="1" t="s">
        <v>602</v>
      </c>
      <c r="H360" t="str">
        <f t="shared" si="27"/>
        <v/>
      </c>
      <c r="I360" t="str">
        <f t="shared" si="28"/>
        <v/>
      </c>
      <c r="J360" t="str">
        <f t="shared" si="29"/>
        <v/>
      </c>
      <c r="L360" t="str">
        <f t="shared" si="26"/>
        <v>24</v>
      </c>
      <c r="M360">
        <f t="shared" si="25"/>
        <v>1</v>
      </c>
    </row>
    <row r="361" spans="1:13" x14ac:dyDescent="0.25">
      <c r="A361" s="1" t="s">
        <v>603</v>
      </c>
      <c r="D361" s="1" t="s">
        <v>216</v>
      </c>
      <c r="E361" s="1" t="s">
        <v>604</v>
      </c>
      <c r="H361" t="str">
        <f t="shared" si="27"/>
        <v>B25_INDEPGUARANTOR</v>
      </c>
      <c r="I361">
        <f t="shared" ca="1" si="28"/>
        <v>8</v>
      </c>
      <c r="J361" t="str">
        <f t="shared" ca="1" si="29"/>
        <v>"B25_INDEPGUARANTOR", 8</v>
      </c>
      <c r="L361" t="str">
        <f t="shared" si="26"/>
        <v/>
      </c>
      <c r="M361" t="str">
        <f t="shared" si="25"/>
        <v/>
      </c>
    </row>
    <row r="362" spans="1:13" x14ac:dyDescent="0.25">
      <c r="A362" s="1" t="s">
        <v>1411</v>
      </c>
      <c r="B362" s="1" t="s">
        <v>605</v>
      </c>
      <c r="C362" s="1" t="s">
        <v>606</v>
      </c>
      <c r="H362" t="str">
        <f t="shared" si="27"/>
        <v/>
      </c>
      <c r="I362" t="str">
        <f t="shared" si="28"/>
        <v/>
      </c>
      <c r="J362" t="str">
        <f t="shared" si="29"/>
        <v/>
      </c>
      <c r="L362" t="str">
        <f t="shared" si="26"/>
        <v>25</v>
      </c>
      <c r="M362">
        <f t="shared" si="25"/>
        <v>1</v>
      </c>
    </row>
    <row r="363" spans="1:13" x14ac:dyDescent="0.25">
      <c r="C363" s="1" t="s">
        <v>128</v>
      </c>
      <c r="H363" t="str">
        <f t="shared" si="27"/>
        <v/>
      </c>
      <c r="I363" t="str">
        <f t="shared" si="28"/>
        <v/>
      </c>
      <c r="J363" t="str">
        <f t="shared" si="29"/>
        <v/>
      </c>
      <c r="L363" t="str">
        <f t="shared" si="26"/>
        <v/>
      </c>
      <c r="M363" t="str">
        <f t="shared" si="25"/>
        <v/>
      </c>
    </row>
    <row r="364" spans="1:13" x14ac:dyDescent="0.25">
      <c r="C364" s="1" t="s">
        <v>607</v>
      </c>
      <c r="H364" t="str">
        <f t="shared" si="27"/>
        <v/>
      </c>
      <c r="I364" t="str">
        <f t="shared" si="28"/>
        <v/>
      </c>
      <c r="J364" t="str">
        <f t="shared" si="29"/>
        <v/>
      </c>
      <c r="L364" t="str">
        <f t="shared" si="26"/>
        <v/>
      </c>
      <c r="M364" t="str">
        <f t="shared" si="25"/>
        <v/>
      </c>
    </row>
    <row r="365" spans="1:13" x14ac:dyDescent="0.25">
      <c r="A365" s="1" t="s">
        <v>1412</v>
      </c>
      <c r="B365" s="1" t="s">
        <v>608</v>
      </c>
      <c r="C365" s="1" t="s">
        <v>609</v>
      </c>
      <c r="D365" s="1" t="s">
        <v>16</v>
      </c>
      <c r="E365" s="1" t="s">
        <v>612</v>
      </c>
      <c r="H365" t="str">
        <f t="shared" si="27"/>
        <v/>
      </c>
      <c r="I365" t="str">
        <f t="shared" si="28"/>
        <v/>
      </c>
      <c r="J365" t="str">
        <f t="shared" si="29"/>
        <v/>
      </c>
      <c r="L365" t="str">
        <f t="shared" si="26"/>
        <v>25</v>
      </c>
      <c r="M365">
        <f t="shared" si="25"/>
        <v>1</v>
      </c>
    </row>
    <row r="366" spans="1:13" x14ac:dyDescent="0.25">
      <c r="C366" s="1" t="s">
        <v>610</v>
      </c>
      <c r="H366" t="str">
        <f t="shared" si="27"/>
        <v/>
      </c>
      <c r="I366" t="str">
        <f t="shared" si="28"/>
        <v/>
      </c>
      <c r="J366" t="str">
        <f t="shared" si="29"/>
        <v/>
      </c>
      <c r="L366" t="str">
        <f t="shared" si="26"/>
        <v/>
      </c>
      <c r="M366" t="str">
        <f t="shared" si="25"/>
        <v/>
      </c>
    </row>
    <row r="367" spans="1:13" x14ac:dyDescent="0.25">
      <c r="C367" s="1" t="s">
        <v>611</v>
      </c>
      <c r="H367" t="str">
        <f t="shared" si="27"/>
        <v/>
      </c>
      <c r="I367" t="str">
        <f t="shared" si="28"/>
        <v/>
      </c>
      <c r="J367" t="str">
        <f t="shared" si="29"/>
        <v/>
      </c>
      <c r="L367" t="str">
        <f t="shared" si="26"/>
        <v/>
      </c>
      <c r="M367" t="str">
        <f t="shared" si="25"/>
        <v/>
      </c>
    </row>
    <row r="368" spans="1:13" x14ac:dyDescent="0.25">
      <c r="A368" s="1" t="s">
        <v>1413</v>
      </c>
      <c r="B368" s="1" t="s">
        <v>613</v>
      </c>
      <c r="E368" s="1" t="s">
        <v>614</v>
      </c>
      <c r="H368" t="str">
        <f t="shared" si="27"/>
        <v/>
      </c>
      <c r="I368" t="str">
        <f t="shared" si="28"/>
        <v/>
      </c>
      <c r="J368" t="str">
        <f t="shared" si="29"/>
        <v/>
      </c>
      <c r="L368" t="str">
        <f t="shared" si="26"/>
        <v>25</v>
      </c>
      <c r="M368">
        <f t="shared" si="25"/>
        <v>1</v>
      </c>
    </row>
    <row r="369" spans="1:13" x14ac:dyDescent="0.25">
      <c r="A369" s="1" t="s">
        <v>1414</v>
      </c>
      <c r="B369" s="1" t="s">
        <v>615</v>
      </c>
      <c r="E369" s="1" t="s">
        <v>287</v>
      </c>
      <c r="H369" t="str">
        <f t="shared" si="27"/>
        <v/>
      </c>
      <c r="I369" t="str">
        <f t="shared" si="28"/>
        <v/>
      </c>
      <c r="J369" t="str">
        <f t="shared" si="29"/>
        <v/>
      </c>
      <c r="L369" t="str">
        <f t="shared" si="26"/>
        <v>25</v>
      </c>
      <c r="M369">
        <f t="shared" si="25"/>
        <v>1</v>
      </c>
    </row>
    <row r="370" spans="1:13" x14ac:dyDescent="0.25">
      <c r="A370" s="1" t="s">
        <v>1415</v>
      </c>
      <c r="B370" s="1" t="s">
        <v>616</v>
      </c>
      <c r="E370" s="1" t="s">
        <v>617</v>
      </c>
      <c r="H370" t="str">
        <f t="shared" si="27"/>
        <v/>
      </c>
      <c r="I370" t="str">
        <f t="shared" si="28"/>
        <v/>
      </c>
      <c r="J370" t="str">
        <f t="shared" si="29"/>
        <v/>
      </c>
      <c r="L370" t="str">
        <f t="shared" si="26"/>
        <v>25</v>
      </c>
      <c r="M370">
        <f t="shared" si="25"/>
        <v>1</v>
      </c>
    </row>
    <row r="371" spans="1:13" x14ac:dyDescent="0.25">
      <c r="A371" s="1" t="s">
        <v>1416</v>
      </c>
      <c r="B371" s="1" t="s">
        <v>618</v>
      </c>
      <c r="E371" s="1" t="s">
        <v>619</v>
      </c>
      <c r="H371" t="str">
        <f t="shared" si="27"/>
        <v/>
      </c>
      <c r="I371" t="str">
        <f t="shared" si="28"/>
        <v/>
      </c>
      <c r="J371" t="str">
        <f t="shared" si="29"/>
        <v/>
      </c>
      <c r="L371" t="str">
        <f t="shared" si="26"/>
        <v>25</v>
      </c>
      <c r="M371">
        <f t="shared" si="25"/>
        <v>1</v>
      </c>
    </row>
    <row r="372" spans="1:13" x14ac:dyDescent="0.25">
      <c r="A372" s="1" t="s">
        <v>1417</v>
      </c>
      <c r="B372" s="1" t="s">
        <v>620</v>
      </c>
      <c r="D372" s="1" t="s">
        <v>152</v>
      </c>
      <c r="E372" s="1" t="s">
        <v>621</v>
      </c>
      <c r="H372" t="str">
        <f t="shared" si="27"/>
        <v/>
      </c>
      <c r="I372" t="str">
        <f t="shared" si="28"/>
        <v/>
      </c>
      <c r="J372" t="str">
        <f t="shared" si="29"/>
        <v/>
      </c>
      <c r="L372" t="str">
        <f t="shared" si="26"/>
        <v>25</v>
      </c>
      <c r="M372">
        <f t="shared" si="25"/>
        <v>1</v>
      </c>
    </row>
    <row r="373" spans="1:13" x14ac:dyDescent="0.25">
      <c r="A373" s="1" t="s">
        <v>1418</v>
      </c>
      <c r="B373" s="1" t="s">
        <v>622</v>
      </c>
      <c r="C373" s="1" t="s">
        <v>566</v>
      </c>
      <c r="D373" s="1" t="s">
        <v>152</v>
      </c>
      <c r="E373" s="1" t="s">
        <v>623</v>
      </c>
      <c r="H373" t="str">
        <f t="shared" si="27"/>
        <v/>
      </c>
      <c r="I373" t="str">
        <f t="shared" si="28"/>
        <v/>
      </c>
      <c r="J373" t="str">
        <f t="shared" si="29"/>
        <v/>
      </c>
      <c r="L373" t="str">
        <f t="shared" si="26"/>
        <v>25</v>
      </c>
      <c r="M373">
        <f t="shared" si="25"/>
        <v>1</v>
      </c>
    </row>
    <row r="374" spans="1:13" x14ac:dyDescent="0.25">
      <c r="A374" s="1" t="s">
        <v>624</v>
      </c>
      <c r="D374" s="1" t="s">
        <v>216</v>
      </c>
      <c r="E374" s="1" t="s">
        <v>625</v>
      </c>
      <c r="H374" t="str">
        <f t="shared" si="27"/>
        <v>B26_COLLATINSURED</v>
      </c>
      <c r="I374">
        <f t="shared" ca="1" si="28"/>
        <v>9</v>
      </c>
      <c r="J374" t="str">
        <f t="shared" ca="1" si="29"/>
        <v>"B26_COLLATINSURED", 9</v>
      </c>
      <c r="L374" t="str">
        <f t="shared" si="26"/>
        <v/>
      </c>
      <c r="M374" t="str">
        <f t="shared" si="25"/>
        <v/>
      </c>
    </row>
    <row r="375" spans="1:13" x14ac:dyDescent="0.25">
      <c r="A375" s="1" t="s">
        <v>1419</v>
      </c>
      <c r="B375" s="1" t="s">
        <v>626</v>
      </c>
      <c r="C375" s="1" t="s">
        <v>627</v>
      </c>
      <c r="H375" t="str">
        <f t="shared" si="27"/>
        <v/>
      </c>
      <c r="I375" t="str">
        <f t="shared" si="28"/>
        <v/>
      </c>
      <c r="J375" t="str">
        <f t="shared" si="29"/>
        <v/>
      </c>
      <c r="L375" t="str">
        <f t="shared" si="26"/>
        <v>26</v>
      </c>
      <c r="M375">
        <f t="shared" si="25"/>
        <v>1</v>
      </c>
    </row>
    <row r="376" spans="1:13" x14ac:dyDescent="0.25">
      <c r="C376" s="1" t="s">
        <v>128</v>
      </c>
      <c r="H376" t="str">
        <f t="shared" si="27"/>
        <v/>
      </c>
      <c r="I376" t="str">
        <f t="shared" si="28"/>
        <v/>
      </c>
      <c r="J376" t="str">
        <f t="shared" si="29"/>
        <v/>
      </c>
      <c r="L376" t="str">
        <f t="shared" si="26"/>
        <v/>
      </c>
      <c r="M376" t="str">
        <f t="shared" si="25"/>
        <v/>
      </c>
    </row>
    <row r="377" spans="1:13" x14ac:dyDescent="0.25">
      <c r="C377" s="1" t="s">
        <v>628</v>
      </c>
      <c r="H377" t="str">
        <f t="shared" si="27"/>
        <v/>
      </c>
      <c r="I377" t="str">
        <f t="shared" si="28"/>
        <v/>
      </c>
      <c r="J377" t="str">
        <f t="shared" si="29"/>
        <v/>
      </c>
      <c r="L377" t="str">
        <f t="shared" si="26"/>
        <v/>
      </c>
      <c r="M377" t="str">
        <f t="shared" si="25"/>
        <v/>
      </c>
    </row>
    <row r="378" spans="1:13" x14ac:dyDescent="0.25">
      <c r="A378" s="1" t="s">
        <v>1420</v>
      </c>
      <c r="B378" s="1" t="s">
        <v>629</v>
      </c>
      <c r="C378" s="1" t="s">
        <v>630</v>
      </c>
      <c r="E378" s="1" t="s">
        <v>631</v>
      </c>
      <c r="H378" t="str">
        <f t="shared" si="27"/>
        <v/>
      </c>
      <c r="I378" t="str">
        <f t="shared" si="28"/>
        <v/>
      </c>
      <c r="J378" t="str">
        <f t="shared" si="29"/>
        <v/>
      </c>
      <c r="L378" t="str">
        <f t="shared" si="26"/>
        <v>26</v>
      </c>
      <c r="M378">
        <f t="shared" si="25"/>
        <v>1</v>
      </c>
    </row>
    <row r="379" spans="1:13" x14ac:dyDescent="0.25">
      <c r="A379" s="1" t="s">
        <v>1421</v>
      </c>
      <c r="B379" s="1" t="s">
        <v>632</v>
      </c>
      <c r="E379" s="1" t="s">
        <v>287</v>
      </c>
      <c r="H379" t="str">
        <f t="shared" si="27"/>
        <v/>
      </c>
      <c r="I379" t="str">
        <f t="shared" si="28"/>
        <v/>
      </c>
      <c r="J379" t="str">
        <f t="shared" si="29"/>
        <v/>
      </c>
      <c r="L379" t="str">
        <f t="shared" si="26"/>
        <v>26</v>
      </c>
      <c r="M379">
        <f t="shared" si="25"/>
        <v>1</v>
      </c>
    </row>
    <row r="380" spans="1:13" x14ac:dyDescent="0.25">
      <c r="A380" s="1" t="s">
        <v>1422</v>
      </c>
      <c r="B380" s="1" t="s">
        <v>633</v>
      </c>
      <c r="C380" s="1" t="s">
        <v>634</v>
      </c>
      <c r="E380" s="1" t="s">
        <v>635</v>
      </c>
      <c r="H380" t="str">
        <f t="shared" si="27"/>
        <v/>
      </c>
      <c r="I380" t="str">
        <f t="shared" si="28"/>
        <v/>
      </c>
      <c r="J380" t="str">
        <f t="shared" si="29"/>
        <v/>
      </c>
      <c r="L380" t="str">
        <f t="shared" si="26"/>
        <v>26</v>
      </c>
      <c r="M380">
        <f t="shared" si="25"/>
        <v>1</v>
      </c>
    </row>
    <row r="381" spans="1:13" x14ac:dyDescent="0.25">
      <c r="C381" s="1" t="s">
        <v>128</v>
      </c>
      <c r="H381" t="str">
        <f t="shared" si="27"/>
        <v/>
      </c>
      <c r="I381" t="str">
        <f t="shared" si="28"/>
        <v/>
      </c>
      <c r="J381" t="str">
        <f t="shared" si="29"/>
        <v/>
      </c>
      <c r="L381" t="str">
        <f t="shared" si="26"/>
        <v/>
      </c>
      <c r="M381" t="str">
        <f t="shared" si="25"/>
        <v/>
      </c>
    </row>
    <row r="382" spans="1:13" x14ac:dyDescent="0.25">
      <c r="A382" s="1" t="s">
        <v>1423</v>
      </c>
      <c r="B382" s="1" t="s">
        <v>636</v>
      </c>
      <c r="C382" s="1" t="s">
        <v>637</v>
      </c>
      <c r="D382" s="1" t="s">
        <v>16</v>
      </c>
      <c r="E382" s="1" t="s">
        <v>638</v>
      </c>
      <c r="H382" t="str">
        <f t="shared" si="27"/>
        <v/>
      </c>
      <c r="I382" t="str">
        <f t="shared" si="28"/>
        <v/>
      </c>
      <c r="J382" t="str">
        <f t="shared" si="29"/>
        <v/>
      </c>
      <c r="L382" t="str">
        <f t="shared" si="26"/>
        <v>26</v>
      </c>
      <c r="M382">
        <f t="shared" si="25"/>
        <v>1</v>
      </c>
    </row>
    <row r="383" spans="1:13" x14ac:dyDescent="0.25">
      <c r="A383" s="1" t="s">
        <v>1424</v>
      </c>
      <c r="B383" s="1" t="s">
        <v>639</v>
      </c>
      <c r="C383" s="1" t="s">
        <v>640</v>
      </c>
      <c r="E383" s="1" t="s">
        <v>641</v>
      </c>
      <c r="H383" t="str">
        <f t="shared" si="27"/>
        <v/>
      </c>
      <c r="I383" t="str">
        <f t="shared" si="28"/>
        <v/>
      </c>
      <c r="J383" t="str">
        <f t="shared" si="29"/>
        <v/>
      </c>
      <c r="L383" t="str">
        <f t="shared" si="26"/>
        <v>26</v>
      </c>
      <c r="M383">
        <f t="shared" si="25"/>
        <v>1</v>
      </c>
    </row>
    <row r="384" spans="1:13" x14ac:dyDescent="0.25">
      <c r="A384" s="1" t="s">
        <v>1425</v>
      </c>
      <c r="B384" s="1" t="s">
        <v>642</v>
      </c>
      <c r="C384" s="1" t="s">
        <v>643</v>
      </c>
      <c r="D384" s="1" t="s">
        <v>152</v>
      </c>
      <c r="E384" s="1" t="s">
        <v>644</v>
      </c>
      <c r="H384" t="str">
        <f t="shared" si="27"/>
        <v/>
      </c>
      <c r="I384" t="str">
        <f t="shared" si="28"/>
        <v/>
      </c>
      <c r="J384" t="str">
        <f t="shared" si="29"/>
        <v/>
      </c>
      <c r="L384" t="str">
        <f t="shared" si="26"/>
        <v>26</v>
      </c>
      <c r="M384">
        <f t="shared" si="25"/>
        <v>1</v>
      </c>
    </row>
    <row r="385" spans="1:13" x14ac:dyDescent="0.25">
      <c r="A385" s="1" t="s">
        <v>1426</v>
      </c>
      <c r="B385" s="1" t="s">
        <v>645</v>
      </c>
      <c r="C385" s="1" t="s">
        <v>566</v>
      </c>
      <c r="D385" s="1" t="s">
        <v>152</v>
      </c>
      <c r="E385" s="1" t="s">
        <v>646</v>
      </c>
      <c r="H385" t="str">
        <f t="shared" si="27"/>
        <v/>
      </c>
      <c r="I385" t="str">
        <f t="shared" si="28"/>
        <v/>
      </c>
      <c r="J385" t="str">
        <f t="shared" si="29"/>
        <v/>
      </c>
      <c r="L385" t="str">
        <f t="shared" si="26"/>
        <v>26</v>
      </c>
      <c r="M385">
        <f t="shared" si="25"/>
        <v>1</v>
      </c>
    </row>
    <row r="386" spans="1:13" x14ac:dyDescent="0.25">
      <c r="A386" s="1" t="s">
        <v>1427</v>
      </c>
      <c r="B386" s="1" t="s">
        <v>546</v>
      </c>
      <c r="C386" s="1" t="s">
        <v>647</v>
      </c>
      <c r="D386" s="1" t="s">
        <v>16</v>
      </c>
      <c r="E386" s="1" t="s">
        <v>548</v>
      </c>
      <c r="H386" t="str">
        <f t="shared" si="27"/>
        <v/>
      </c>
      <c r="I386" t="str">
        <f t="shared" si="28"/>
        <v/>
      </c>
      <c r="J386" t="str">
        <f t="shared" si="29"/>
        <v/>
      </c>
      <c r="L386" t="str">
        <f t="shared" si="26"/>
        <v>26</v>
      </c>
      <c r="M386">
        <f t="shared" ref="M386:M449" si="30">IF(AND(LEN(A386)&lt;6,A386&lt;&gt;""),1,"")</f>
        <v>1</v>
      </c>
    </row>
    <row r="387" spans="1:13" x14ac:dyDescent="0.25">
      <c r="A387" s="1" t="s">
        <v>648</v>
      </c>
      <c r="D387" s="1" t="s">
        <v>216</v>
      </c>
      <c r="E387" s="1" t="s">
        <v>649</v>
      </c>
      <c r="H387" t="str">
        <f t="shared" si="27"/>
        <v>B27_COLLATREPAY</v>
      </c>
      <c r="I387">
        <f t="shared" ca="1" si="28"/>
        <v>4</v>
      </c>
      <c r="J387" t="str">
        <f t="shared" ca="1" si="29"/>
        <v>"B27_COLLATREPAY", 4</v>
      </c>
      <c r="L387" t="str">
        <f t="shared" ref="L387:L450" si="31">IFERROR(IF(LEN(A387)&lt;=5,TRIM(LEFT(A387,SEARCH(".",A387)-1)),""),"")</f>
        <v/>
      </c>
      <c r="M387" t="str">
        <f t="shared" si="30"/>
        <v/>
      </c>
    </row>
    <row r="388" spans="1:13" x14ac:dyDescent="0.25">
      <c r="A388" s="1" t="s">
        <v>1428</v>
      </c>
      <c r="B388" s="1" t="s">
        <v>650</v>
      </c>
      <c r="C388" s="1" t="s">
        <v>651</v>
      </c>
      <c r="H388" t="str">
        <f t="shared" si="27"/>
        <v/>
      </c>
      <c r="I388" t="str">
        <f t="shared" si="28"/>
        <v/>
      </c>
      <c r="J388" t="str">
        <f t="shared" si="29"/>
        <v/>
      </c>
      <c r="L388" t="str">
        <f t="shared" si="31"/>
        <v>27</v>
      </c>
      <c r="M388">
        <f t="shared" si="30"/>
        <v>1</v>
      </c>
    </row>
    <row r="389" spans="1:13" x14ac:dyDescent="0.25">
      <c r="C389" s="1" t="s">
        <v>54</v>
      </c>
      <c r="H389" t="str">
        <f t="shared" si="27"/>
        <v/>
      </c>
      <c r="I389" t="str">
        <f t="shared" si="28"/>
        <v/>
      </c>
      <c r="J389" t="str">
        <f t="shared" si="29"/>
        <v/>
      </c>
      <c r="L389" t="str">
        <f t="shared" si="31"/>
        <v/>
      </c>
      <c r="M389" t="str">
        <f t="shared" si="30"/>
        <v/>
      </c>
    </row>
    <row r="390" spans="1:13" x14ac:dyDescent="0.25">
      <c r="C390" s="1" t="s">
        <v>652</v>
      </c>
      <c r="H390" t="str">
        <f t="shared" si="27"/>
        <v/>
      </c>
      <c r="I390" t="str">
        <f t="shared" si="28"/>
        <v/>
      </c>
      <c r="J390" t="str">
        <f t="shared" si="29"/>
        <v/>
      </c>
      <c r="L390" t="str">
        <f t="shared" si="31"/>
        <v/>
      </c>
      <c r="M390" t="str">
        <f t="shared" si="30"/>
        <v/>
      </c>
    </row>
    <row r="391" spans="1:13" x14ac:dyDescent="0.25">
      <c r="A391" s="1" t="s">
        <v>1429</v>
      </c>
      <c r="B391" s="1" t="s">
        <v>653</v>
      </c>
      <c r="C391" s="1" t="s">
        <v>654</v>
      </c>
      <c r="D391" s="1" t="s">
        <v>16</v>
      </c>
      <c r="E391" s="1" t="s">
        <v>655</v>
      </c>
      <c r="H391" t="str">
        <f t="shared" ref="H391:H454" si="32">IFERROR(TRIM(IF(SEARCH("Блок ",A391),IF(SEARCH("B",A391),RIGHT(A391,LEN(A391)-SEARCH("B",A391)+1)),"")),"")</f>
        <v/>
      </c>
      <c r="I391" t="str">
        <f t="shared" ref="I391:I454" si="33">IFERROR(IF(H391&lt;&gt;"",SUMIF(L:M,TRIM(MID(A391,SEARCH(" ",A391),SEARCH(". ",A391)-5)),M:M),""),"")</f>
        <v/>
      </c>
      <c r="J391" t="str">
        <f t="shared" ref="J391:J454" si="34">CLEAN(TRIM(IF(H391&lt;&gt;"",""""&amp;H391&amp;""""&amp;", "&amp;I391,"")))</f>
        <v/>
      </c>
      <c r="L391" t="str">
        <f t="shared" si="31"/>
        <v>27</v>
      </c>
      <c r="M391">
        <f t="shared" si="30"/>
        <v>1</v>
      </c>
    </row>
    <row r="392" spans="1:13" x14ac:dyDescent="0.25">
      <c r="A392" s="1" t="s">
        <v>1430</v>
      </c>
      <c r="B392" s="1" t="s">
        <v>656</v>
      </c>
      <c r="D392" s="1" t="s">
        <v>16</v>
      </c>
      <c r="E392" s="1" t="s">
        <v>657</v>
      </c>
      <c r="H392" t="str">
        <f t="shared" si="32"/>
        <v/>
      </c>
      <c r="I392" t="str">
        <f t="shared" si="33"/>
        <v/>
      </c>
      <c r="J392" t="str">
        <f t="shared" si="34"/>
        <v/>
      </c>
      <c r="L392" t="str">
        <f t="shared" si="31"/>
        <v>27</v>
      </c>
      <c r="M392">
        <f t="shared" si="30"/>
        <v>1</v>
      </c>
    </row>
    <row r="393" spans="1:13" x14ac:dyDescent="0.25">
      <c r="A393" s="1" t="s">
        <v>1431</v>
      </c>
      <c r="B393" s="1" t="s">
        <v>658</v>
      </c>
      <c r="C393" s="1" t="s">
        <v>659</v>
      </c>
      <c r="E393" s="1" t="s">
        <v>662</v>
      </c>
      <c r="H393" t="str">
        <f t="shared" si="32"/>
        <v/>
      </c>
      <c r="I393" t="str">
        <f t="shared" si="33"/>
        <v/>
      </c>
      <c r="J393" t="str">
        <f t="shared" si="34"/>
        <v/>
      </c>
      <c r="L393" t="str">
        <f t="shared" si="31"/>
        <v>27</v>
      </c>
      <c r="M393">
        <f t="shared" si="30"/>
        <v>1</v>
      </c>
    </row>
    <row r="394" spans="1:13" x14ac:dyDescent="0.25">
      <c r="C394" s="1" t="s">
        <v>660</v>
      </c>
      <c r="H394" t="str">
        <f t="shared" si="32"/>
        <v/>
      </c>
      <c r="I394" t="str">
        <f t="shared" si="33"/>
        <v/>
      </c>
      <c r="J394" t="str">
        <f t="shared" si="34"/>
        <v/>
      </c>
      <c r="L394" t="str">
        <f t="shared" si="31"/>
        <v/>
      </c>
      <c r="M394" t="str">
        <f t="shared" si="30"/>
        <v/>
      </c>
    </row>
    <row r="395" spans="1:13" x14ac:dyDescent="0.25">
      <c r="C395" s="1" t="s">
        <v>661</v>
      </c>
      <c r="H395" t="str">
        <f t="shared" si="32"/>
        <v/>
      </c>
      <c r="I395" t="str">
        <f t="shared" si="33"/>
        <v/>
      </c>
      <c r="J395" t="str">
        <f t="shared" si="34"/>
        <v/>
      </c>
      <c r="L395" t="str">
        <f t="shared" si="31"/>
        <v/>
      </c>
      <c r="M395" t="str">
        <f t="shared" si="30"/>
        <v/>
      </c>
    </row>
    <row r="396" spans="1:13" x14ac:dyDescent="0.25">
      <c r="A396" s="1" t="s">
        <v>663</v>
      </c>
      <c r="D396" s="1" t="s">
        <v>216</v>
      </c>
      <c r="E396" s="1" t="s">
        <v>204</v>
      </c>
      <c r="H396" t="str">
        <f t="shared" si="32"/>
        <v>B28_GUARANTEEREPAY</v>
      </c>
      <c r="I396">
        <f t="shared" ca="1" si="33"/>
        <v>5</v>
      </c>
      <c r="J396" t="str">
        <f t="shared" ca="1" si="34"/>
        <v>"B28_GUARANTEEREPAY", 5</v>
      </c>
      <c r="L396" t="str">
        <f t="shared" si="31"/>
        <v/>
      </c>
      <c r="M396" t="str">
        <f t="shared" si="30"/>
        <v/>
      </c>
    </row>
    <row r="397" spans="1:13" x14ac:dyDescent="0.25">
      <c r="A397" s="1" t="s">
        <v>38</v>
      </c>
      <c r="H397" t="str">
        <f t="shared" si="32"/>
        <v/>
      </c>
      <c r="I397" t="str">
        <f t="shared" si="33"/>
        <v/>
      </c>
      <c r="J397" t="str">
        <f t="shared" si="34"/>
        <v/>
      </c>
      <c r="L397" t="str">
        <f t="shared" si="31"/>
        <v/>
      </c>
      <c r="M397" t="str">
        <f t="shared" si="30"/>
        <v/>
      </c>
    </row>
    <row r="398" spans="1:13" x14ac:dyDescent="0.25">
      <c r="A398" s="1" t="s">
        <v>664</v>
      </c>
      <c r="H398" t="str">
        <f t="shared" si="32"/>
        <v/>
      </c>
      <c r="I398" t="str">
        <f t="shared" si="33"/>
        <v/>
      </c>
      <c r="J398" t="str">
        <f t="shared" si="34"/>
        <v/>
      </c>
      <c r="L398" t="str">
        <f t="shared" si="31"/>
        <v/>
      </c>
      <c r="M398" t="str">
        <f t="shared" si="30"/>
        <v/>
      </c>
    </row>
    <row r="399" spans="1:13" x14ac:dyDescent="0.25">
      <c r="A399" s="1" t="s">
        <v>1432</v>
      </c>
      <c r="B399" s="1" t="s">
        <v>665</v>
      </c>
      <c r="C399" s="1" t="s">
        <v>666</v>
      </c>
      <c r="E399" s="1" t="s">
        <v>668</v>
      </c>
      <c r="H399" t="str">
        <f t="shared" si="32"/>
        <v/>
      </c>
      <c r="I399" t="str">
        <f t="shared" si="33"/>
        <v/>
      </c>
      <c r="J399" t="str">
        <f t="shared" si="34"/>
        <v/>
      </c>
      <c r="L399" t="str">
        <f t="shared" si="31"/>
        <v>28</v>
      </c>
      <c r="M399">
        <f t="shared" si="30"/>
        <v>1</v>
      </c>
    </row>
    <row r="400" spans="1:13" x14ac:dyDescent="0.25">
      <c r="C400" s="1" t="s">
        <v>128</v>
      </c>
      <c r="H400" t="str">
        <f t="shared" si="32"/>
        <v/>
      </c>
      <c r="I400" t="str">
        <f t="shared" si="33"/>
        <v/>
      </c>
      <c r="J400" t="str">
        <f t="shared" si="34"/>
        <v/>
      </c>
      <c r="L400" t="str">
        <f t="shared" si="31"/>
        <v/>
      </c>
      <c r="M400" t="str">
        <f t="shared" si="30"/>
        <v/>
      </c>
    </row>
    <row r="401" spans="1:13" x14ac:dyDescent="0.25">
      <c r="C401" s="1" t="s">
        <v>667</v>
      </c>
      <c r="H401" t="str">
        <f t="shared" si="32"/>
        <v/>
      </c>
      <c r="I401" t="str">
        <f t="shared" si="33"/>
        <v/>
      </c>
      <c r="J401" t="str">
        <f t="shared" si="34"/>
        <v/>
      </c>
      <c r="L401" t="str">
        <f t="shared" si="31"/>
        <v/>
      </c>
      <c r="M401" t="str">
        <f t="shared" si="30"/>
        <v/>
      </c>
    </row>
    <row r="402" spans="1:13" x14ac:dyDescent="0.25">
      <c r="A402" s="1" t="s">
        <v>1433</v>
      </c>
      <c r="B402" s="1" t="s">
        <v>669</v>
      </c>
      <c r="E402" s="1" t="s">
        <v>670</v>
      </c>
      <c r="H402" t="str">
        <f t="shared" si="32"/>
        <v/>
      </c>
      <c r="I402" t="str">
        <f t="shared" si="33"/>
        <v/>
      </c>
      <c r="J402" t="str">
        <f t="shared" si="34"/>
        <v/>
      </c>
      <c r="L402" t="str">
        <f t="shared" si="31"/>
        <v>28</v>
      </c>
      <c r="M402">
        <f t="shared" si="30"/>
        <v>1</v>
      </c>
    </row>
    <row r="403" spans="1:13" x14ac:dyDescent="0.25">
      <c r="A403" s="1" t="s">
        <v>1434</v>
      </c>
      <c r="B403" s="1" t="s">
        <v>671</v>
      </c>
      <c r="E403" s="1" t="s">
        <v>672</v>
      </c>
      <c r="H403" t="str">
        <f t="shared" si="32"/>
        <v/>
      </c>
      <c r="I403" t="str">
        <f t="shared" si="33"/>
        <v/>
      </c>
      <c r="J403" t="str">
        <f t="shared" si="34"/>
        <v/>
      </c>
      <c r="L403" t="str">
        <f t="shared" si="31"/>
        <v>28</v>
      </c>
      <c r="M403">
        <f t="shared" si="30"/>
        <v>1</v>
      </c>
    </row>
    <row r="404" spans="1:13" x14ac:dyDescent="0.25">
      <c r="A404" s="1" t="s">
        <v>1435</v>
      </c>
      <c r="B404" s="1" t="s">
        <v>673</v>
      </c>
      <c r="C404" s="1" t="s">
        <v>674</v>
      </c>
      <c r="E404" s="1" t="s">
        <v>675</v>
      </c>
      <c r="H404" t="str">
        <f t="shared" si="32"/>
        <v/>
      </c>
      <c r="I404" t="str">
        <f t="shared" si="33"/>
        <v/>
      </c>
      <c r="J404" t="str">
        <f t="shared" si="34"/>
        <v/>
      </c>
      <c r="L404" t="str">
        <f t="shared" si="31"/>
        <v>28</v>
      </c>
      <c r="M404">
        <f t="shared" si="30"/>
        <v>1</v>
      </c>
    </row>
    <row r="405" spans="1:13" x14ac:dyDescent="0.25">
      <c r="C405" s="1" t="s">
        <v>128</v>
      </c>
      <c r="H405" t="str">
        <f t="shared" si="32"/>
        <v/>
      </c>
      <c r="I405" t="str">
        <f t="shared" si="33"/>
        <v/>
      </c>
      <c r="J405" t="str">
        <f t="shared" si="34"/>
        <v/>
      </c>
      <c r="L405" t="str">
        <f t="shared" si="31"/>
        <v/>
      </c>
      <c r="M405" t="str">
        <f t="shared" si="30"/>
        <v/>
      </c>
    </row>
    <row r="406" spans="1:13" x14ac:dyDescent="0.25">
      <c r="A406" s="1" t="s">
        <v>1436</v>
      </c>
      <c r="B406" s="1" t="s">
        <v>297</v>
      </c>
      <c r="C406" s="1" t="s">
        <v>676</v>
      </c>
      <c r="D406" s="1" t="s">
        <v>16</v>
      </c>
      <c r="E406" s="1" t="s">
        <v>677</v>
      </c>
      <c r="H406" t="str">
        <f t="shared" si="32"/>
        <v/>
      </c>
      <c r="I406" t="str">
        <f t="shared" si="33"/>
        <v/>
      </c>
      <c r="J406" t="str">
        <f t="shared" si="34"/>
        <v/>
      </c>
      <c r="L406" t="str">
        <f t="shared" si="31"/>
        <v>28</v>
      </c>
      <c r="M406">
        <f t="shared" si="30"/>
        <v>1</v>
      </c>
    </row>
    <row r="407" spans="1:13" x14ac:dyDescent="0.25">
      <c r="A407" s="1" t="s">
        <v>678</v>
      </c>
      <c r="H407" t="str">
        <f t="shared" si="32"/>
        <v/>
      </c>
      <c r="I407" t="str">
        <f t="shared" si="33"/>
        <v/>
      </c>
      <c r="J407" t="str">
        <f t="shared" si="34"/>
        <v/>
      </c>
      <c r="L407" t="str">
        <f t="shared" si="31"/>
        <v/>
      </c>
      <c r="M407" t="str">
        <f t="shared" si="30"/>
        <v/>
      </c>
    </row>
    <row r="408" spans="1:13" x14ac:dyDescent="0.25">
      <c r="A408" s="1" t="s">
        <v>679</v>
      </c>
      <c r="D408" s="1" t="s">
        <v>680</v>
      </c>
      <c r="E408" s="1" t="s">
        <v>204</v>
      </c>
      <c r="H408" t="str">
        <f t="shared" si="32"/>
        <v>B29_OBLIGTERMINATION</v>
      </c>
      <c r="I408">
        <f t="shared" ca="1" si="33"/>
        <v>2</v>
      </c>
      <c r="J408" t="str">
        <f t="shared" ca="1" si="34"/>
        <v>"B29_OBLIGTERMINATION", 2</v>
      </c>
      <c r="L408" t="str">
        <f t="shared" si="31"/>
        <v/>
      </c>
      <c r="M408" t="str">
        <f t="shared" si="30"/>
        <v/>
      </c>
    </row>
    <row r="409" spans="1:13" x14ac:dyDescent="0.25">
      <c r="A409" s="1" t="s">
        <v>38</v>
      </c>
      <c r="H409" t="str">
        <f t="shared" si="32"/>
        <v/>
      </c>
      <c r="I409" t="str">
        <f t="shared" si="33"/>
        <v/>
      </c>
      <c r="J409" t="str">
        <f t="shared" si="34"/>
        <v/>
      </c>
      <c r="L409" t="str">
        <f t="shared" si="31"/>
        <v/>
      </c>
      <c r="M409" t="str">
        <f t="shared" si="30"/>
        <v/>
      </c>
    </row>
    <row r="410" spans="1:13" x14ac:dyDescent="0.25">
      <c r="A410" s="1" t="s">
        <v>1437</v>
      </c>
      <c r="B410" s="1" t="s">
        <v>681</v>
      </c>
      <c r="C410" s="1" t="s">
        <v>682</v>
      </c>
      <c r="E410" s="1" t="s">
        <v>683</v>
      </c>
      <c r="H410" t="str">
        <f t="shared" si="32"/>
        <v/>
      </c>
      <c r="I410" t="str">
        <f t="shared" si="33"/>
        <v/>
      </c>
      <c r="J410" t="str">
        <f t="shared" si="34"/>
        <v/>
      </c>
      <c r="L410" t="str">
        <f t="shared" si="31"/>
        <v>29</v>
      </c>
      <c r="M410">
        <f t="shared" si="30"/>
        <v>1</v>
      </c>
    </row>
    <row r="411" spans="1:13" x14ac:dyDescent="0.25">
      <c r="A411" s="1" t="s">
        <v>1438</v>
      </c>
      <c r="B411" s="1" t="s">
        <v>684</v>
      </c>
      <c r="C411" s="1" t="s">
        <v>685</v>
      </c>
      <c r="E411" s="1" t="s">
        <v>686</v>
      </c>
      <c r="H411" t="str">
        <f t="shared" si="32"/>
        <v/>
      </c>
      <c r="I411" t="str">
        <f t="shared" si="33"/>
        <v/>
      </c>
      <c r="J411" t="str">
        <f t="shared" si="34"/>
        <v/>
      </c>
      <c r="L411" t="str">
        <f t="shared" si="31"/>
        <v>29</v>
      </c>
      <c r="M411">
        <f t="shared" si="30"/>
        <v>1</v>
      </c>
    </row>
    <row r="412" spans="1:13" x14ac:dyDescent="0.25">
      <c r="A412" s="1" t="s">
        <v>687</v>
      </c>
      <c r="D412" s="1" t="s">
        <v>216</v>
      </c>
      <c r="E412" s="1" t="s">
        <v>688</v>
      </c>
      <c r="H412" t="str">
        <f t="shared" si="32"/>
        <v>B30_LEGALRECORD</v>
      </c>
      <c r="I412">
        <f t="shared" ca="1" si="33"/>
        <v>6</v>
      </c>
      <c r="J412" t="str">
        <f t="shared" ca="1" si="34"/>
        <v>"B30_LEGALRECORD", 6</v>
      </c>
      <c r="L412" t="str">
        <f t="shared" si="31"/>
        <v/>
      </c>
      <c r="M412" t="str">
        <f t="shared" si="30"/>
        <v/>
      </c>
    </row>
    <row r="413" spans="1:13" x14ac:dyDescent="0.25">
      <c r="A413" s="1" t="s">
        <v>689</v>
      </c>
      <c r="H413" t="str">
        <f t="shared" si="32"/>
        <v/>
      </c>
      <c r="I413" t="str">
        <f t="shared" si="33"/>
        <v/>
      </c>
      <c r="J413" t="str">
        <f t="shared" si="34"/>
        <v/>
      </c>
      <c r="L413" t="str">
        <f t="shared" si="31"/>
        <v/>
      </c>
      <c r="M413" t="str">
        <f t="shared" si="30"/>
        <v/>
      </c>
    </row>
    <row r="414" spans="1:13" x14ac:dyDescent="0.25">
      <c r="A414" s="1" t="s">
        <v>1439</v>
      </c>
      <c r="B414" s="1" t="s">
        <v>690</v>
      </c>
      <c r="C414" s="1" t="s">
        <v>691</v>
      </c>
      <c r="H414" t="str">
        <f t="shared" si="32"/>
        <v/>
      </c>
      <c r="I414" t="str">
        <f t="shared" si="33"/>
        <v/>
      </c>
      <c r="J414" t="str">
        <f t="shared" si="34"/>
        <v/>
      </c>
      <c r="L414" t="str">
        <f t="shared" si="31"/>
        <v>30</v>
      </c>
      <c r="M414">
        <f t="shared" si="30"/>
        <v>1</v>
      </c>
    </row>
    <row r="415" spans="1:13" x14ac:dyDescent="0.25">
      <c r="C415" s="1" t="s">
        <v>692</v>
      </c>
      <c r="H415" t="str">
        <f t="shared" si="32"/>
        <v/>
      </c>
      <c r="I415" t="str">
        <f t="shared" si="33"/>
        <v/>
      </c>
      <c r="J415" t="str">
        <f t="shared" si="34"/>
        <v/>
      </c>
      <c r="L415" t="str">
        <f t="shared" si="31"/>
        <v/>
      </c>
      <c r="M415" t="str">
        <f t="shared" si="30"/>
        <v/>
      </c>
    </row>
    <row r="416" spans="1:13" x14ac:dyDescent="0.25">
      <c r="C416" s="1" t="s">
        <v>693</v>
      </c>
      <c r="H416" t="str">
        <f t="shared" si="32"/>
        <v/>
      </c>
      <c r="I416" t="str">
        <f t="shared" si="33"/>
        <v/>
      </c>
      <c r="J416" t="str">
        <f t="shared" si="34"/>
        <v/>
      </c>
      <c r="L416" t="str">
        <f t="shared" si="31"/>
        <v/>
      </c>
      <c r="M416" t="str">
        <f t="shared" si="30"/>
        <v/>
      </c>
    </row>
    <row r="417" spans="1:13" x14ac:dyDescent="0.25">
      <c r="A417" s="1" t="s">
        <v>694</v>
      </c>
      <c r="B417" s="1" t="s">
        <v>695</v>
      </c>
      <c r="C417" s="1" t="s">
        <v>696</v>
      </c>
      <c r="E417" s="1" t="s">
        <v>698</v>
      </c>
      <c r="H417" t="str">
        <f t="shared" si="32"/>
        <v/>
      </c>
      <c r="I417" t="str">
        <f t="shared" si="33"/>
        <v/>
      </c>
      <c r="J417" t="str">
        <f t="shared" si="34"/>
        <v/>
      </c>
      <c r="L417" t="str">
        <f t="shared" si="31"/>
        <v>30</v>
      </c>
      <c r="M417">
        <f t="shared" si="30"/>
        <v>1</v>
      </c>
    </row>
    <row r="418" spans="1:13" x14ac:dyDescent="0.25">
      <c r="C418" s="1" t="s">
        <v>128</v>
      </c>
      <c r="H418" t="str">
        <f t="shared" si="32"/>
        <v/>
      </c>
      <c r="I418" t="str">
        <f t="shared" si="33"/>
        <v/>
      </c>
      <c r="J418" t="str">
        <f t="shared" si="34"/>
        <v/>
      </c>
      <c r="L418" t="str">
        <f t="shared" si="31"/>
        <v/>
      </c>
      <c r="M418" t="str">
        <f t="shared" si="30"/>
        <v/>
      </c>
    </row>
    <row r="419" spans="1:13" x14ac:dyDescent="0.25">
      <c r="C419" s="1" t="s">
        <v>697</v>
      </c>
      <c r="H419" t="str">
        <f t="shared" si="32"/>
        <v/>
      </c>
      <c r="I419" t="str">
        <f t="shared" si="33"/>
        <v/>
      </c>
      <c r="J419" t="str">
        <f t="shared" si="34"/>
        <v/>
      </c>
      <c r="L419" t="str">
        <f t="shared" si="31"/>
        <v/>
      </c>
      <c r="M419" t="str">
        <f t="shared" si="30"/>
        <v/>
      </c>
    </row>
    <row r="420" spans="1:13" x14ac:dyDescent="0.25">
      <c r="A420" s="1" t="s">
        <v>1440</v>
      </c>
      <c r="B420" s="1" t="s">
        <v>699</v>
      </c>
      <c r="E420" s="1" t="s">
        <v>700</v>
      </c>
      <c r="H420" t="str">
        <f t="shared" si="32"/>
        <v/>
      </c>
      <c r="I420" t="str">
        <f t="shared" si="33"/>
        <v/>
      </c>
      <c r="J420" t="str">
        <f t="shared" si="34"/>
        <v/>
      </c>
      <c r="L420" t="str">
        <f t="shared" si="31"/>
        <v>30</v>
      </c>
      <c r="M420">
        <f t="shared" si="30"/>
        <v>1</v>
      </c>
    </row>
    <row r="421" spans="1:13" x14ac:dyDescent="0.25">
      <c r="A421" s="1" t="s">
        <v>1441</v>
      </c>
      <c r="B421" s="1" t="s">
        <v>701</v>
      </c>
      <c r="D421" s="1" t="s">
        <v>16</v>
      </c>
      <c r="E421" s="1" t="s">
        <v>702</v>
      </c>
      <c r="H421" t="str">
        <f t="shared" si="32"/>
        <v/>
      </c>
      <c r="I421" t="str">
        <f t="shared" si="33"/>
        <v/>
      </c>
      <c r="J421" t="str">
        <f t="shared" si="34"/>
        <v/>
      </c>
      <c r="L421" t="str">
        <f t="shared" si="31"/>
        <v>30</v>
      </c>
      <c r="M421">
        <f t="shared" si="30"/>
        <v>1</v>
      </c>
    </row>
    <row r="422" spans="1:13" x14ac:dyDescent="0.25">
      <c r="A422" s="1" t="s">
        <v>1442</v>
      </c>
      <c r="B422" s="1" t="s">
        <v>703</v>
      </c>
      <c r="C422" s="1" t="s">
        <v>704</v>
      </c>
      <c r="E422" s="1" t="s">
        <v>705</v>
      </c>
      <c r="H422" t="str">
        <f t="shared" si="32"/>
        <v/>
      </c>
      <c r="I422" t="str">
        <f t="shared" si="33"/>
        <v/>
      </c>
      <c r="J422" t="str">
        <f t="shared" si="34"/>
        <v/>
      </c>
      <c r="L422" t="str">
        <f t="shared" si="31"/>
        <v>30</v>
      </c>
      <c r="M422">
        <f t="shared" si="30"/>
        <v>1</v>
      </c>
    </row>
    <row r="423" spans="1:13" x14ac:dyDescent="0.25">
      <c r="A423" s="1" t="s">
        <v>1443</v>
      </c>
      <c r="B423" s="1" t="s">
        <v>706</v>
      </c>
      <c r="C423" s="1" t="s">
        <v>707</v>
      </c>
      <c r="E423" s="1" t="s">
        <v>708</v>
      </c>
      <c r="H423" t="str">
        <f t="shared" si="32"/>
        <v/>
      </c>
      <c r="I423" t="str">
        <f t="shared" si="33"/>
        <v/>
      </c>
      <c r="J423" t="str">
        <f t="shared" si="34"/>
        <v/>
      </c>
      <c r="L423" t="str">
        <f t="shared" si="31"/>
        <v>30</v>
      </c>
      <c r="M423">
        <f t="shared" si="30"/>
        <v>1</v>
      </c>
    </row>
    <row r="424" spans="1:13" x14ac:dyDescent="0.25">
      <c r="C424" s="1" t="s">
        <v>128</v>
      </c>
      <c r="H424" t="str">
        <f t="shared" si="32"/>
        <v/>
      </c>
      <c r="I424" t="str">
        <f t="shared" si="33"/>
        <v/>
      </c>
      <c r="J424" t="str">
        <f t="shared" si="34"/>
        <v/>
      </c>
      <c r="L424" t="str">
        <f t="shared" si="31"/>
        <v/>
      </c>
      <c r="M424" t="str">
        <f t="shared" si="30"/>
        <v/>
      </c>
    </row>
    <row r="425" spans="1:13" x14ac:dyDescent="0.25">
      <c r="A425" s="1" t="s">
        <v>709</v>
      </c>
      <c r="H425" t="str">
        <f t="shared" si="32"/>
        <v/>
      </c>
      <c r="I425" t="str">
        <f t="shared" si="33"/>
        <v/>
      </c>
      <c r="J425" t="str">
        <f t="shared" si="34"/>
        <v/>
      </c>
      <c r="L425" t="str">
        <f t="shared" si="31"/>
        <v/>
      </c>
      <c r="M425" t="str">
        <f t="shared" si="30"/>
        <v/>
      </c>
    </row>
    <row r="426" spans="1:13" x14ac:dyDescent="0.25">
      <c r="A426" s="1" t="s">
        <v>710</v>
      </c>
      <c r="D426" s="1" t="s">
        <v>680</v>
      </c>
      <c r="E426" s="1" t="s">
        <v>204</v>
      </c>
      <c r="H426" t="str">
        <f t="shared" si="32"/>
        <v>B31_OBLIGSRCBANKRUPT</v>
      </c>
      <c r="I426">
        <f t="shared" ca="1" si="33"/>
        <v>10</v>
      </c>
      <c r="J426" t="str">
        <f t="shared" ca="1" si="34"/>
        <v>"B31_OBLIGSRCBANKRUPT", 10</v>
      </c>
      <c r="L426" t="str">
        <f t="shared" si="31"/>
        <v/>
      </c>
      <c r="M426" t="str">
        <f t="shared" si="30"/>
        <v/>
      </c>
    </row>
    <row r="427" spans="1:13" x14ac:dyDescent="0.25">
      <c r="A427" s="1" t="s">
        <v>38</v>
      </c>
      <c r="H427" t="str">
        <f t="shared" si="32"/>
        <v/>
      </c>
      <c r="I427" t="str">
        <f t="shared" si="33"/>
        <v/>
      </c>
      <c r="J427" t="str">
        <f t="shared" si="34"/>
        <v/>
      </c>
      <c r="L427" t="str">
        <f t="shared" si="31"/>
        <v/>
      </c>
      <c r="M427" t="str">
        <f t="shared" si="30"/>
        <v/>
      </c>
    </row>
    <row r="428" spans="1:13" x14ac:dyDescent="0.25">
      <c r="A428" s="1" t="s">
        <v>145</v>
      </c>
      <c r="H428" t="str">
        <f t="shared" si="32"/>
        <v/>
      </c>
      <c r="I428" t="str">
        <f t="shared" si="33"/>
        <v/>
      </c>
      <c r="J428" t="str">
        <f t="shared" si="34"/>
        <v/>
      </c>
      <c r="L428" t="str">
        <f t="shared" si="31"/>
        <v/>
      </c>
      <c r="M428" t="str">
        <f t="shared" si="30"/>
        <v/>
      </c>
    </row>
    <row r="429" spans="1:13" x14ac:dyDescent="0.25">
      <c r="A429" s="1" t="s">
        <v>1444</v>
      </c>
      <c r="B429" s="1" t="s">
        <v>711</v>
      </c>
      <c r="C429" s="1" t="s">
        <v>712</v>
      </c>
      <c r="E429" s="1" t="s">
        <v>713</v>
      </c>
      <c r="H429" t="str">
        <f t="shared" si="32"/>
        <v/>
      </c>
      <c r="I429" t="str">
        <f t="shared" si="33"/>
        <v/>
      </c>
      <c r="J429" t="str">
        <f t="shared" si="34"/>
        <v/>
      </c>
      <c r="L429" t="str">
        <f t="shared" si="31"/>
        <v>31</v>
      </c>
      <c r="M429">
        <f t="shared" si="30"/>
        <v>1</v>
      </c>
    </row>
    <row r="430" spans="1:13" x14ac:dyDescent="0.25">
      <c r="A430" s="1" t="s">
        <v>714</v>
      </c>
      <c r="B430" s="1" t="s">
        <v>715</v>
      </c>
      <c r="E430" s="1" t="s">
        <v>716</v>
      </c>
      <c r="H430" t="str">
        <f t="shared" si="32"/>
        <v/>
      </c>
      <c r="I430" t="str">
        <f t="shared" si="33"/>
        <v/>
      </c>
      <c r="J430" t="str">
        <f t="shared" si="34"/>
        <v/>
      </c>
      <c r="L430" t="str">
        <f t="shared" si="31"/>
        <v>31</v>
      </c>
      <c r="M430">
        <f t="shared" si="30"/>
        <v>1</v>
      </c>
    </row>
    <row r="431" spans="1:13" x14ac:dyDescent="0.25">
      <c r="A431" s="1" t="s">
        <v>1445</v>
      </c>
      <c r="B431" s="1" t="s">
        <v>717</v>
      </c>
      <c r="C431" s="1" t="s">
        <v>712</v>
      </c>
      <c r="E431" s="1" t="s">
        <v>718</v>
      </c>
      <c r="H431" t="str">
        <f t="shared" si="32"/>
        <v/>
      </c>
      <c r="I431" t="str">
        <f t="shared" si="33"/>
        <v/>
      </c>
      <c r="J431" t="str">
        <f t="shared" si="34"/>
        <v/>
      </c>
      <c r="L431" t="str">
        <f t="shared" si="31"/>
        <v>31</v>
      </c>
      <c r="M431">
        <f t="shared" si="30"/>
        <v>1</v>
      </c>
    </row>
    <row r="432" spans="1:13" x14ac:dyDescent="0.25">
      <c r="A432" s="1" t="s">
        <v>719</v>
      </c>
      <c r="B432" s="1" t="s">
        <v>720</v>
      </c>
      <c r="E432" s="1" t="s">
        <v>721</v>
      </c>
      <c r="H432" t="str">
        <f t="shared" si="32"/>
        <v/>
      </c>
      <c r="I432" t="str">
        <f t="shared" si="33"/>
        <v/>
      </c>
      <c r="J432" t="str">
        <f t="shared" si="34"/>
        <v/>
      </c>
      <c r="L432" t="str">
        <f t="shared" si="31"/>
        <v>31</v>
      </c>
      <c r="M432">
        <f t="shared" si="30"/>
        <v>1</v>
      </c>
    </row>
    <row r="433" spans="1:13" x14ac:dyDescent="0.25">
      <c r="A433" s="1" t="s">
        <v>1446</v>
      </c>
      <c r="B433" s="1" t="s">
        <v>722</v>
      </c>
      <c r="C433" s="1" t="s">
        <v>712</v>
      </c>
      <c r="E433" s="1" t="s">
        <v>723</v>
      </c>
      <c r="H433" t="str">
        <f t="shared" si="32"/>
        <v/>
      </c>
      <c r="I433" t="str">
        <f t="shared" si="33"/>
        <v/>
      </c>
      <c r="J433" t="str">
        <f t="shared" si="34"/>
        <v/>
      </c>
      <c r="L433" t="str">
        <f t="shared" si="31"/>
        <v>31</v>
      </c>
      <c r="M433">
        <f t="shared" si="30"/>
        <v>1</v>
      </c>
    </row>
    <row r="434" spans="1:13" x14ac:dyDescent="0.25">
      <c r="A434" s="1" t="s">
        <v>724</v>
      </c>
      <c r="B434" s="1" t="s">
        <v>465</v>
      </c>
      <c r="E434" s="1" t="s">
        <v>725</v>
      </c>
      <c r="H434" t="str">
        <f t="shared" si="32"/>
        <v/>
      </c>
      <c r="I434" t="str">
        <f t="shared" si="33"/>
        <v/>
      </c>
      <c r="J434" t="str">
        <f t="shared" si="34"/>
        <v/>
      </c>
      <c r="L434" t="str">
        <f t="shared" si="31"/>
        <v>31</v>
      </c>
      <c r="M434">
        <f t="shared" si="30"/>
        <v>1</v>
      </c>
    </row>
    <row r="435" spans="1:13" x14ac:dyDescent="0.25">
      <c r="A435" s="1" t="s">
        <v>1447</v>
      </c>
      <c r="B435" s="1" t="s">
        <v>726</v>
      </c>
      <c r="C435" s="1" t="s">
        <v>727</v>
      </c>
      <c r="E435" s="1" t="s">
        <v>728</v>
      </c>
      <c r="H435" t="str">
        <f t="shared" si="32"/>
        <v/>
      </c>
      <c r="I435" t="str">
        <f t="shared" si="33"/>
        <v/>
      </c>
      <c r="J435" t="str">
        <f t="shared" si="34"/>
        <v/>
      </c>
      <c r="L435" t="str">
        <f t="shared" si="31"/>
        <v>31</v>
      </c>
      <c r="M435">
        <f t="shared" si="30"/>
        <v>1</v>
      </c>
    </row>
    <row r="436" spans="1:13" x14ac:dyDescent="0.25">
      <c r="C436" s="1" t="s">
        <v>128</v>
      </c>
      <c r="H436" t="str">
        <f t="shared" si="32"/>
        <v/>
      </c>
      <c r="I436" t="str">
        <f t="shared" si="33"/>
        <v/>
      </c>
      <c r="J436" t="str">
        <f t="shared" si="34"/>
        <v/>
      </c>
      <c r="L436" t="str">
        <f t="shared" si="31"/>
        <v/>
      </c>
      <c r="M436" t="str">
        <f t="shared" si="30"/>
        <v/>
      </c>
    </row>
    <row r="437" spans="1:13" x14ac:dyDescent="0.25">
      <c r="A437" s="1" t="s">
        <v>1448</v>
      </c>
      <c r="B437" s="1" t="s">
        <v>729</v>
      </c>
      <c r="C437" s="1" t="s">
        <v>730</v>
      </c>
      <c r="E437" s="1" t="s">
        <v>731</v>
      </c>
      <c r="H437" t="str">
        <f t="shared" si="32"/>
        <v/>
      </c>
      <c r="I437" t="str">
        <f t="shared" si="33"/>
        <v/>
      </c>
      <c r="J437" t="str">
        <f t="shared" si="34"/>
        <v/>
      </c>
      <c r="L437" t="str">
        <f t="shared" si="31"/>
        <v>31</v>
      </c>
      <c r="M437">
        <f t="shared" si="30"/>
        <v>1</v>
      </c>
    </row>
    <row r="438" spans="1:13" x14ac:dyDescent="0.25">
      <c r="C438" s="1" t="s">
        <v>128</v>
      </c>
      <c r="H438" t="str">
        <f t="shared" si="32"/>
        <v/>
      </c>
      <c r="I438" t="str">
        <f t="shared" si="33"/>
        <v/>
      </c>
      <c r="J438" t="str">
        <f t="shared" si="34"/>
        <v/>
      </c>
      <c r="L438" t="str">
        <f t="shared" si="31"/>
        <v/>
      </c>
      <c r="M438" t="str">
        <f t="shared" si="30"/>
        <v/>
      </c>
    </row>
    <row r="439" spans="1:13" x14ac:dyDescent="0.25">
      <c r="A439" s="1" t="s">
        <v>732</v>
      </c>
      <c r="B439" s="1" t="s">
        <v>681</v>
      </c>
      <c r="C439" s="1" t="s">
        <v>682</v>
      </c>
      <c r="E439" s="1" t="s">
        <v>733</v>
      </c>
      <c r="H439" t="str">
        <f t="shared" si="32"/>
        <v/>
      </c>
      <c r="I439" t="str">
        <f t="shared" si="33"/>
        <v/>
      </c>
      <c r="J439" t="str">
        <f t="shared" si="34"/>
        <v/>
      </c>
      <c r="L439" t="str">
        <f t="shared" si="31"/>
        <v>31</v>
      </c>
      <c r="M439">
        <f t="shared" si="30"/>
        <v>1</v>
      </c>
    </row>
    <row r="440" spans="1:13" x14ac:dyDescent="0.25">
      <c r="A440" s="1" t="s">
        <v>1449</v>
      </c>
      <c r="B440" s="1" t="s">
        <v>734</v>
      </c>
      <c r="E440" s="1" t="s">
        <v>735</v>
      </c>
      <c r="H440" t="str">
        <f t="shared" si="32"/>
        <v/>
      </c>
      <c r="I440" t="str">
        <f t="shared" si="33"/>
        <v/>
      </c>
      <c r="J440" t="str">
        <f t="shared" si="34"/>
        <v/>
      </c>
      <c r="L440" t="str">
        <f t="shared" si="31"/>
        <v>31</v>
      </c>
      <c r="M440">
        <f t="shared" si="30"/>
        <v>1</v>
      </c>
    </row>
    <row r="441" spans="1:13" x14ac:dyDescent="0.25">
      <c r="A441" s="1" t="s">
        <v>736</v>
      </c>
      <c r="D441" s="1" t="s">
        <v>680</v>
      </c>
      <c r="E441" s="1" t="s">
        <v>204</v>
      </c>
      <c r="H441" t="str">
        <f t="shared" si="32"/>
        <v>B32_OBLIGSRCLIQUID</v>
      </c>
      <c r="I441">
        <f t="shared" ca="1" si="33"/>
        <v>10</v>
      </c>
      <c r="J441" t="str">
        <f t="shared" ca="1" si="34"/>
        <v>"B32_OBLIGSRCLIQUID", 10</v>
      </c>
      <c r="L441" t="str">
        <f t="shared" si="31"/>
        <v/>
      </c>
      <c r="M441" t="str">
        <f t="shared" si="30"/>
        <v/>
      </c>
    </row>
    <row r="442" spans="1:13" x14ac:dyDescent="0.25">
      <c r="A442" s="1" t="s">
        <v>38</v>
      </c>
      <c r="H442" t="str">
        <f t="shared" si="32"/>
        <v/>
      </c>
      <c r="I442" t="str">
        <f t="shared" si="33"/>
        <v/>
      </c>
      <c r="J442" t="str">
        <f t="shared" si="34"/>
        <v/>
      </c>
      <c r="L442" t="str">
        <f t="shared" si="31"/>
        <v/>
      </c>
      <c r="M442" t="str">
        <f t="shared" si="30"/>
        <v/>
      </c>
    </row>
    <row r="443" spans="1:13" x14ac:dyDescent="0.25">
      <c r="A443" s="1" t="s">
        <v>737</v>
      </c>
      <c r="H443" t="str">
        <f t="shared" si="32"/>
        <v/>
      </c>
      <c r="I443" t="str">
        <f t="shared" si="33"/>
        <v/>
      </c>
      <c r="J443" t="str">
        <f t="shared" si="34"/>
        <v/>
      </c>
      <c r="L443" t="str">
        <f t="shared" si="31"/>
        <v/>
      </c>
      <c r="M443" t="str">
        <f t="shared" si="30"/>
        <v/>
      </c>
    </row>
    <row r="444" spans="1:13" x14ac:dyDescent="0.25">
      <c r="A444" s="1" t="s">
        <v>738</v>
      </c>
      <c r="B444" s="1" t="s">
        <v>739</v>
      </c>
      <c r="C444" s="1" t="s">
        <v>740</v>
      </c>
      <c r="E444" s="1" t="s">
        <v>741</v>
      </c>
      <c r="H444" t="str">
        <f t="shared" si="32"/>
        <v/>
      </c>
      <c r="I444" t="str">
        <f t="shared" si="33"/>
        <v/>
      </c>
      <c r="J444" t="str">
        <f t="shared" si="34"/>
        <v/>
      </c>
      <c r="L444" t="str">
        <f t="shared" si="31"/>
        <v>32</v>
      </c>
      <c r="M444">
        <f t="shared" si="30"/>
        <v>1</v>
      </c>
    </row>
    <row r="445" spans="1:13" x14ac:dyDescent="0.25">
      <c r="A445" s="1" t="s">
        <v>742</v>
      </c>
      <c r="B445" s="1" t="s">
        <v>743</v>
      </c>
      <c r="E445" s="1" t="s">
        <v>744</v>
      </c>
      <c r="H445" t="str">
        <f t="shared" si="32"/>
        <v/>
      </c>
      <c r="I445" t="str">
        <f t="shared" si="33"/>
        <v/>
      </c>
      <c r="J445" t="str">
        <f t="shared" si="34"/>
        <v/>
      </c>
      <c r="L445" t="str">
        <f t="shared" si="31"/>
        <v>32</v>
      </c>
      <c r="M445">
        <f t="shared" si="30"/>
        <v>1</v>
      </c>
    </row>
    <row r="446" spans="1:13" x14ac:dyDescent="0.25">
      <c r="A446" s="1" t="s">
        <v>745</v>
      </c>
      <c r="B446" s="1" t="s">
        <v>746</v>
      </c>
      <c r="C446" s="1" t="s">
        <v>740</v>
      </c>
      <c r="E446" s="1" t="s">
        <v>747</v>
      </c>
      <c r="H446" t="str">
        <f t="shared" si="32"/>
        <v/>
      </c>
      <c r="I446" t="str">
        <f t="shared" si="33"/>
        <v/>
      </c>
      <c r="J446" t="str">
        <f t="shared" si="34"/>
        <v/>
      </c>
      <c r="L446" t="str">
        <f t="shared" si="31"/>
        <v>32</v>
      </c>
      <c r="M446">
        <f t="shared" si="30"/>
        <v>1</v>
      </c>
    </row>
    <row r="447" spans="1:13" x14ac:dyDescent="0.25">
      <c r="A447" s="1" t="s">
        <v>748</v>
      </c>
      <c r="B447" s="1" t="s">
        <v>749</v>
      </c>
      <c r="E447" s="1" t="s">
        <v>750</v>
      </c>
      <c r="H447" t="str">
        <f t="shared" si="32"/>
        <v/>
      </c>
      <c r="I447" t="str">
        <f t="shared" si="33"/>
        <v/>
      </c>
      <c r="J447" t="str">
        <f t="shared" si="34"/>
        <v/>
      </c>
      <c r="L447" t="str">
        <f t="shared" si="31"/>
        <v>32</v>
      </c>
      <c r="M447">
        <f t="shared" si="30"/>
        <v>1</v>
      </c>
    </row>
    <row r="448" spans="1:13" x14ac:dyDescent="0.25">
      <c r="A448" s="1" t="s">
        <v>751</v>
      </c>
      <c r="B448" s="1" t="s">
        <v>722</v>
      </c>
      <c r="C448" s="1" t="s">
        <v>740</v>
      </c>
      <c r="E448" s="1" t="s">
        <v>752</v>
      </c>
      <c r="H448" t="str">
        <f t="shared" si="32"/>
        <v/>
      </c>
      <c r="I448" t="str">
        <f t="shared" si="33"/>
        <v/>
      </c>
      <c r="J448" t="str">
        <f t="shared" si="34"/>
        <v/>
      </c>
      <c r="L448" t="str">
        <f t="shared" si="31"/>
        <v>32</v>
      </c>
      <c r="M448">
        <f t="shared" si="30"/>
        <v>1</v>
      </c>
    </row>
    <row r="449" spans="1:13" x14ac:dyDescent="0.25">
      <c r="A449" s="1" t="s">
        <v>753</v>
      </c>
      <c r="B449" s="1" t="s">
        <v>465</v>
      </c>
      <c r="E449" s="1" t="s">
        <v>754</v>
      </c>
      <c r="H449" t="str">
        <f t="shared" si="32"/>
        <v/>
      </c>
      <c r="I449" t="str">
        <f t="shared" si="33"/>
        <v/>
      </c>
      <c r="J449" t="str">
        <f t="shared" si="34"/>
        <v/>
      </c>
      <c r="L449" t="str">
        <f t="shared" si="31"/>
        <v>32</v>
      </c>
      <c r="M449">
        <f t="shared" si="30"/>
        <v>1</v>
      </c>
    </row>
    <row r="450" spans="1:13" x14ac:dyDescent="0.25">
      <c r="A450" s="1" t="s">
        <v>755</v>
      </c>
      <c r="B450" s="1" t="s">
        <v>726</v>
      </c>
      <c r="C450" s="1" t="s">
        <v>727</v>
      </c>
      <c r="E450" s="1" t="s">
        <v>756</v>
      </c>
      <c r="H450" t="str">
        <f t="shared" si="32"/>
        <v/>
      </c>
      <c r="I450" t="str">
        <f t="shared" si="33"/>
        <v/>
      </c>
      <c r="J450" t="str">
        <f t="shared" si="34"/>
        <v/>
      </c>
      <c r="L450" t="str">
        <f t="shared" si="31"/>
        <v>32</v>
      </c>
      <c r="M450">
        <f t="shared" ref="M450:M513" si="35">IF(AND(LEN(A450)&lt;6,A450&lt;&gt;""),1,"")</f>
        <v>1</v>
      </c>
    </row>
    <row r="451" spans="1:13" x14ac:dyDescent="0.25">
      <c r="C451" s="1" t="s">
        <v>128</v>
      </c>
      <c r="H451" t="str">
        <f t="shared" si="32"/>
        <v/>
      </c>
      <c r="I451" t="str">
        <f t="shared" si="33"/>
        <v/>
      </c>
      <c r="J451" t="str">
        <f t="shared" si="34"/>
        <v/>
      </c>
      <c r="L451" t="str">
        <f t="shared" ref="L451:L514" si="36">IFERROR(IF(LEN(A451)&lt;=5,TRIM(LEFT(A451,SEARCH(".",A451)-1)),""),"")</f>
        <v/>
      </c>
      <c r="M451" t="str">
        <f t="shared" si="35"/>
        <v/>
      </c>
    </row>
    <row r="452" spans="1:13" x14ac:dyDescent="0.25">
      <c r="A452" s="1" t="s">
        <v>757</v>
      </c>
      <c r="B452" s="1" t="s">
        <v>729</v>
      </c>
      <c r="C452" s="1" t="s">
        <v>730</v>
      </c>
      <c r="E452" s="1" t="s">
        <v>758</v>
      </c>
      <c r="H452" t="str">
        <f t="shared" si="32"/>
        <v/>
      </c>
      <c r="I452" t="str">
        <f t="shared" si="33"/>
        <v/>
      </c>
      <c r="J452" t="str">
        <f t="shared" si="34"/>
        <v/>
      </c>
      <c r="L452" t="str">
        <f t="shared" si="36"/>
        <v>32</v>
      </c>
      <c r="M452">
        <f t="shared" si="35"/>
        <v>1</v>
      </c>
    </row>
    <row r="453" spans="1:13" x14ac:dyDescent="0.25">
      <c r="C453" s="1" t="s">
        <v>128</v>
      </c>
      <c r="H453" t="str">
        <f t="shared" si="32"/>
        <v/>
      </c>
      <c r="I453" t="str">
        <f t="shared" si="33"/>
        <v/>
      </c>
      <c r="J453" t="str">
        <f t="shared" si="34"/>
        <v/>
      </c>
      <c r="L453" t="str">
        <f t="shared" si="36"/>
        <v/>
      </c>
      <c r="M453" t="str">
        <f t="shared" si="35"/>
        <v/>
      </c>
    </row>
    <row r="454" spans="1:13" x14ac:dyDescent="0.25">
      <c r="A454" s="1" t="s">
        <v>759</v>
      </c>
      <c r="B454" s="1" t="s">
        <v>681</v>
      </c>
      <c r="C454" s="1" t="s">
        <v>682</v>
      </c>
      <c r="E454" s="1" t="s">
        <v>760</v>
      </c>
      <c r="H454" t="str">
        <f t="shared" si="32"/>
        <v/>
      </c>
      <c r="I454" t="str">
        <f t="shared" si="33"/>
        <v/>
      </c>
      <c r="J454" t="str">
        <f t="shared" si="34"/>
        <v/>
      </c>
      <c r="L454" t="str">
        <f t="shared" si="36"/>
        <v>32</v>
      </c>
      <c r="M454">
        <f t="shared" si="35"/>
        <v>1</v>
      </c>
    </row>
    <row r="455" spans="1:13" x14ac:dyDescent="0.25">
      <c r="A455" s="1" t="s">
        <v>761</v>
      </c>
      <c r="B455" s="1" t="s">
        <v>734</v>
      </c>
      <c r="E455" s="1" t="s">
        <v>762</v>
      </c>
      <c r="H455" t="str">
        <f t="shared" ref="H455:H518" si="37">IFERROR(TRIM(IF(SEARCH("Блок ",A455),IF(SEARCH("B",A455),RIGHT(A455,LEN(A455)-SEARCH("B",A455)+1)),"")),"")</f>
        <v/>
      </c>
      <c r="I455" t="str">
        <f t="shared" ref="I455:I518" si="38">IFERROR(IF(H455&lt;&gt;"",SUMIF(L:M,TRIM(MID(A455,SEARCH(" ",A455),SEARCH(". ",A455)-5)),M:M),""),"")</f>
        <v/>
      </c>
      <c r="J455" t="str">
        <f t="shared" ref="J455:J518" si="39">CLEAN(TRIM(IF(H455&lt;&gt;"",""""&amp;H455&amp;""""&amp;", "&amp;I455,"")))</f>
        <v/>
      </c>
      <c r="L455" t="str">
        <f t="shared" si="36"/>
        <v>32</v>
      </c>
      <c r="M455">
        <f t="shared" si="35"/>
        <v>1</v>
      </c>
    </row>
    <row r="456" spans="1:13" x14ac:dyDescent="0.25">
      <c r="A456" s="1" t="s">
        <v>763</v>
      </c>
      <c r="D456" s="1" t="s">
        <v>39</v>
      </c>
      <c r="E456" s="1" t="s">
        <v>764</v>
      </c>
      <c r="H456" t="str">
        <f t="shared" si="37"/>
        <v>B33_OTHERLEGAL</v>
      </c>
      <c r="I456">
        <f t="shared" ca="1" si="38"/>
        <v>13</v>
      </c>
      <c r="J456" t="str">
        <f t="shared" ca="1" si="39"/>
        <v>"B33_OTHERLEGAL", 13</v>
      </c>
      <c r="L456" t="str">
        <f t="shared" si="36"/>
        <v/>
      </c>
      <c r="M456" t="str">
        <f t="shared" si="35"/>
        <v/>
      </c>
    </row>
    <row r="457" spans="1:13" x14ac:dyDescent="0.25">
      <c r="A457" s="1" t="s">
        <v>765</v>
      </c>
      <c r="H457" t="str">
        <f t="shared" si="37"/>
        <v/>
      </c>
      <c r="I457" t="str">
        <f t="shared" si="38"/>
        <v/>
      </c>
      <c r="J457" t="str">
        <f t="shared" si="39"/>
        <v/>
      </c>
      <c r="L457" t="str">
        <f t="shared" si="36"/>
        <v/>
      </c>
      <c r="M457" t="str">
        <f t="shared" si="35"/>
        <v/>
      </c>
    </row>
    <row r="458" spans="1:13" x14ac:dyDescent="0.25">
      <c r="A458" s="1" t="s">
        <v>766</v>
      </c>
      <c r="B458" s="1" t="s">
        <v>767</v>
      </c>
      <c r="C458" s="1" t="s">
        <v>768</v>
      </c>
      <c r="E458" s="1" t="s">
        <v>769</v>
      </c>
      <c r="H458" t="str">
        <f t="shared" si="37"/>
        <v/>
      </c>
      <c r="I458" t="str">
        <f t="shared" si="38"/>
        <v/>
      </c>
      <c r="J458" t="str">
        <f t="shared" si="39"/>
        <v/>
      </c>
      <c r="L458" t="str">
        <f t="shared" si="36"/>
        <v>33</v>
      </c>
      <c r="M458">
        <f t="shared" si="35"/>
        <v>1</v>
      </c>
    </row>
    <row r="459" spans="1:13" x14ac:dyDescent="0.25">
      <c r="A459" s="1" t="s">
        <v>770</v>
      </c>
      <c r="B459" s="1" t="s">
        <v>771</v>
      </c>
      <c r="C459" s="1" t="s">
        <v>772</v>
      </c>
      <c r="E459" s="1" t="s">
        <v>773</v>
      </c>
      <c r="H459" t="str">
        <f t="shared" si="37"/>
        <v/>
      </c>
      <c r="I459" t="str">
        <f t="shared" si="38"/>
        <v/>
      </c>
      <c r="J459" t="str">
        <f t="shared" si="39"/>
        <v/>
      </c>
      <c r="L459" t="str">
        <f t="shared" si="36"/>
        <v>33</v>
      </c>
      <c r="M459">
        <f t="shared" si="35"/>
        <v>1</v>
      </c>
    </row>
    <row r="460" spans="1:13" x14ac:dyDescent="0.25">
      <c r="A460" s="1" t="s">
        <v>774</v>
      </c>
      <c r="B460" s="1" t="s">
        <v>701</v>
      </c>
      <c r="D460" s="1" t="s">
        <v>21</v>
      </c>
      <c r="E460" s="1" t="s">
        <v>702</v>
      </c>
      <c r="H460" t="str">
        <f t="shared" si="37"/>
        <v/>
      </c>
      <c r="I460" t="str">
        <f t="shared" si="38"/>
        <v/>
      </c>
      <c r="J460" t="str">
        <f t="shared" si="39"/>
        <v/>
      </c>
      <c r="L460" t="str">
        <f t="shared" si="36"/>
        <v>33</v>
      </c>
      <c r="M460">
        <f t="shared" si="35"/>
        <v>1</v>
      </c>
    </row>
    <row r="461" spans="1:13" x14ac:dyDescent="0.25">
      <c r="A461" s="1" t="s">
        <v>775</v>
      </c>
      <c r="B461" s="1" t="s">
        <v>699</v>
      </c>
      <c r="E461" s="1" t="s">
        <v>700</v>
      </c>
      <c r="H461" t="str">
        <f t="shared" si="37"/>
        <v/>
      </c>
      <c r="I461" t="str">
        <f t="shared" si="38"/>
        <v/>
      </c>
      <c r="J461" t="str">
        <f t="shared" si="39"/>
        <v/>
      </c>
      <c r="L461" t="str">
        <f t="shared" si="36"/>
        <v>33</v>
      </c>
      <c r="M461">
        <f t="shared" si="35"/>
        <v>1</v>
      </c>
    </row>
    <row r="462" spans="1:13" x14ac:dyDescent="0.25">
      <c r="A462" s="1" t="s">
        <v>776</v>
      </c>
      <c r="B462" s="1" t="s">
        <v>703</v>
      </c>
      <c r="C462" s="1" t="s">
        <v>704</v>
      </c>
      <c r="E462" s="1" t="s">
        <v>705</v>
      </c>
      <c r="H462" t="str">
        <f t="shared" si="37"/>
        <v/>
      </c>
      <c r="I462" t="str">
        <f t="shared" si="38"/>
        <v/>
      </c>
      <c r="J462" t="str">
        <f t="shared" si="39"/>
        <v/>
      </c>
      <c r="L462" t="str">
        <f t="shared" si="36"/>
        <v>33</v>
      </c>
      <c r="M462">
        <f t="shared" si="35"/>
        <v>1</v>
      </c>
    </row>
    <row r="463" spans="1:13" x14ac:dyDescent="0.25">
      <c r="A463" s="1" t="s">
        <v>777</v>
      </c>
      <c r="B463" s="1" t="s">
        <v>778</v>
      </c>
      <c r="E463" s="1" t="s">
        <v>779</v>
      </c>
      <c r="H463" t="str">
        <f t="shared" si="37"/>
        <v/>
      </c>
      <c r="I463" t="str">
        <f t="shared" si="38"/>
        <v/>
      </c>
      <c r="J463" t="str">
        <f t="shared" si="39"/>
        <v/>
      </c>
      <c r="L463" t="str">
        <f t="shared" si="36"/>
        <v>33</v>
      </c>
      <c r="M463">
        <f t="shared" si="35"/>
        <v>1</v>
      </c>
    </row>
    <row r="464" spans="1:13" x14ac:dyDescent="0.25">
      <c r="A464" s="1" t="s">
        <v>780</v>
      </c>
      <c r="B464" s="1" t="s">
        <v>781</v>
      </c>
      <c r="C464" s="1" t="s">
        <v>782</v>
      </c>
      <c r="D464" s="1" t="s">
        <v>152</v>
      </c>
      <c r="E464" s="1" t="s">
        <v>783</v>
      </c>
      <c r="H464" t="str">
        <f t="shared" si="37"/>
        <v/>
      </c>
      <c r="I464" t="str">
        <f t="shared" si="38"/>
        <v/>
      </c>
      <c r="J464" t="str">
        <f t="shared" si="39"/>
        <v/>
      </c>
      <c r="L464" t="str">
        <f t="shared" si="36"/>
        <v>33</v>
      </c>
      <c r="M464">
        <f t="shared" si="35"/>
        <v>1</v>
      </c>
    </row>
    <row r="465" spans="1:13" x14ac:dyDescent="0.25">
      <c r="A465" s="1" t="s">
        <v>784</v>
      </c>
      <c r="B465" s="1" t="s">
        <v>785</v>
      </c>
      <c r="C465" s="1" t="s">
        <v>786</v>
      </c>
      <c r="E465" s="1" t="s">
        <v>788</v>
      </c>
      <c r="H465" t="str">
        <f t="shared" si="37"/>
        <v/>
      </c>
      <c r="I465" t="str">
        <f t="shared" si="38"/>
        <v/>
      </c>
      <c r="J465" t="str">
        <f t="shared" si="39"/>
        <v/>
      </c>
      <c r="L465" t="str">
        <f t="shared" si="36"/>
        <v>33</v>
      </c>
      <c r="M465">
        <f t="shared" si="35"/>
        <v>1</v>
      </c>
    </row>
    <row r="466" spans="1:13" x14ac:dyDescent="0.25">
      <c r="C466" s="1" t="s">
        <v>787</v>
      </c>
      <c r="H466" t="str">
        <f t="shared" si="37"/>
        <v/>
      </c>
      <c r="I466" t="str">
        <f t="shared" si="38"/>
        <v/>
      </c>
      <c r="J466" t="str">
        <f t="shared" si="39"/>
        <v/>
      </c>
      <c r="L466" t="str">
        <f t="shared" si="36"/>
        <v/>
      </c>
      <c r="M466" t="str">
        <f t="shared" si="35"/>
        <v/>
      </c>
    </row>
    <row r="467" spans="1:13" x14ac:dyDescent="0.25">
      <c r="A467" s="1" t="s">
        <v>789</v>
      </c>
      <c r="B467" s="1" t="s">
        <v>790</v>
      </c>
      <c r="C467" s="1" t="s">
        <v>791</v>
      </c>
      <c r="E467" s="1" t="s">
        <v>793</v>
      </c>
      <c r="H467" t="str">
        <f t="shared" si="37"/>
        <v/>
      </c>
      <c r="I467" t="str">
        <f t="shared" si="38"/>
        <v/>
      </c>
      <c r="J467" t="str">
        <f t="shared" si="39"/>
        <v/>
      </c>
      <c r="L467" t="str">
        <f t="shared" si="36"/>
        <v>33</v>
      </c>
      <c r="M467">
        <f t="shared" si="35"/>
        <v>1</v>
      </c>
    </row>
    <row r="468" spans="1:13" x14ac:dyDescent="0.25">
      <c r="C468" s="1" t="s">
        <v>792</v>
      </c>
      <c r="H468" t="str">
        <f t="shared" si="37"/>
        <v/>
      </c>
      <c r="I468" t="str">
        <f t="shared" si="38"/>
        <v/>
      </c>
      <c r="J468" t="str">
        <f t="shared" si="39"/>
        <v/>
      </c>
      <c r="L468" t="str">
        <f t="shared" si="36"/>
        <v/>
      </c>
      <c r="M468" t="str">
        <f t="shared" si="35"/>
        <v/>
      </c>
    </row>
    <row r="469" spans="1:13" x14ac:dyDescent="0.25">
      <c r="A469" s="1" t="s">
        <v>794</v>
      </c>
      <c r="B469" s="1" t="s">
        <v>297</v>
      </c>
      <c r="C469" s="1" t="s">
        <v>795</v>
      </c>
      <c r="D469" s="1" t="s">
        <v>21</v>
      </c>
      <c r="E469" s="1" t="s">
        <v>796</v>
      </c>
      <c r="H469" t="str">
        <f t="shared" si="37"/>
        <v/>
      </c>
      <c r="I469" t="str">
        <f t="shared" si="38"/>
        <v/>
      </c>
      <c r="J469" t="str">
        <f t="shared" si="39"/>
        <v/>
      </c>
      <c r="L469" t="str">
        <f t="shared" si="36"/>
        <v>33</v>
      </c>
      <c r="M469">
        <f t="shared" si="35"/>
        <v>1</v>
      </c>
    </row>
    <row r="470" spans="1:13" x14ac:dyDescent="0.25">
      <c r="A470" s="1" t="s">
        <v>797</v>
      </c>
      <c r="B470" s="1" t="s">
        <v>798</v>
      </c>
      <c r="C470" s="1" t="s">
        <v>799</v>
      </c>
      <c r="E470" s="1" t="s">
        <v>801</v>
      </c>
      <c r="H470" t="str">
        <f t="shared" si="37"/>
        <v/>
      </c>
      <c r="I470" t="str">
        <f t="shared" si="38"/>
        <v/>
      </c>
      <c r="J470" t="str">
        <f t="shared" si="39"/>
        <v/>
      </c>
      <c r="L470" t="str">
        <f t="shared" si="36"/>
        <v>33</v>
      </c>
      <c r="M470">
        <f t="shared" si="35"/>
        <v>1</v>
      </c>
    </row>
    <row r="471" spans="1:13" x14ac:dyDescent="0.25">
      <c r="C471" s="1" t="s">
        <v>800</v>
      </c>
      <c r="H471" t="str">
        <f t="shared" si="37"/>
        <v/>
      </c>
      <c r="I471" t="str">
        <f t="shared" si="38"/>
        <v/>
      </c>
      <c r="J471" t="str">
        <f t="shared" si="39"/>
        <v/>
      </c>
      <c r="L471" t="str">
        <f t="shared" si="36"/>
        <v/>
      </c>
      <c r="M471" t="str">
        <f t="shared" si="35"/>
        <v/>
      </c>
    </row>
    <row r="472" spans="1:13" x14ac:dyDescent="0.25">
      <c r="A472" s="1" t="s">
        <v>802</v>
      </c>
      <c r="B472" s="1" t="s">
        <v>323</v>
      </c>
      <c r="C472" s="1" t="s">
        <v>324</v>
      </c>
      <c r="E472" s="1" t="s">
        <v>804</v>
      </c>
      <c r="H472" t="str">
        <f t="shared" si="37"/>
        <v/>
      </c>
      <c r="I472" t="str">
        <f t="shared" si="38"/>
        <v/>
      </c>
      <c r="J472" t="str">
        <f t="shared" si="39"/>
        <v/>
      </c>
      <c r="L472" t="str">
        <f t="shared" si="36"/>
        <v>33</v>
      </c>
      <c r="M472">
        <f t="shared" si="35"/>
        <v>1</v>
      </c>
    </row>
    <row r="473" spans="1:13" x14ac:dyDescent="0.25">
      <c r="C473" s="1" t="s">
        <v>803</v>
      </c>
      <c r="H473" t="str">
        <f t="shared" si="37"/>
        <v/>
      </c>
      <c r="I473" t="str">
        <f t="shared" si="38"/>
        <v/>
      </c>
      <c r="J473" t="str">
        <f t="shared" si="39"/>
        <v/>
      </c>
      <c r="L473" t="str">
        <f t="shared" si="36"/>
        <v/>
      </c>
      <c r="M473" t="str">
        <f t="shared" si="35"/>
        <v/>
      </c>
    </row>
    <row r="474" spans="1:13" x14ac:dyDescent="0.25">
      <c r="A474" s="1" t="s">
        <v>805</v>
      </c>
      <c r="B474" s="1" t="s">
        <v>806</v>
      </c>
      <c r="E474" s="1" t="s">
        <v>807</v>
      </c>
      <c r="H474" t="str">
        <f t="shared" si="37"/>
        <v/>
      </c>
      <c r="I474" t="str">
        <f t="shared" si="38"/>
        <v/>
      </c>
      <c r="J474" t="str">
        <f t="shared" si="39"/>
        <v/>
      </c>
      <c r="L474" t="str">
        <f t="shared" si="36"/>
        <v>33</v>
      </c>
      <c r="M474">
        <f t="shared" si="35"/>
        <v>1</v>
      </c>
    </row>
    <row r="475" spans="1:13" x14ac:dyDescent="0.25">
      <c r="A475" s="1" t="s">
        <v>808</v>
      </c>
      <c r="H475" t="str">
        <f t="shared" si="37"/>
        <v/>
      </c>
      <c r="I475" t="str">
        <f t="shared" si="38"/>
        <v/>
      </c>
      <c r="J475" t="str">
        <f t="shared" si="39"/>
        <v/>
      </c>
      <c r="L475" t="str">
        <f t="shared" si="36"/>
        <v/>
      </c>
      <c r="M475" t="str">
        <f t="shared" si="35"/>
        <v/>
      </c>
    </row>
    <row r="476" spans="1:13" x14ac:dyDescent="0.25">
      <c r="A476" s="1" t="s">
        <v>809</v>
      </c>
      <c r="E476" s="1" t="s">
        <v>810</v>
      </c>
      <c r="H476" t="str">
        <f t="shared" si="37"/>
        <v>B34_INQUIRY</v>
      </c>
      <c r="I476">
        <f t="shared" ca="1" si="38"/>
        <v>7</v>
      </c>
      <c r="J476" t="str">
        <f t="shared" ca="1" si="39"/>
        <v>"B34_INQUIRY", 7</v>
      </c>
      <c r="L476" t="str">
        <f t="shared" si="36"/>
        <v/>
      </c>
      <c r="M476" t="str">
        <f t="shared" si="35"/>
        <v/>
      </c>
    </row>
    <row r="477" spans="1:13" x14ac:dyDescent="0.25">
      <c r="A477" s="1" t="s">
        <v>811</v>
      </c>
      <c r="H477" t="str">
        <f t="shared" si="37"/>
        <v/>
      </c>
      <c r="I477" t="str">
        <f t="shared" si="38"/>
        <v/>
      </c>
      <c r="J477" t="str">
        <f t="shared" si="39"/>
        <v/>
      </c>
      <c r="L477" t="str">
        <f t="shared" si="36"/>
        <v/>
      </c>
      <c r="M477" t="str">
        <f t="shared" si="35"/>
        <v/>
      </c>
    </row>
    <row r="478" spans="1:13" x14ac:dyDescent="0.25">
      <c r="A478" s="1" t="s">
        <v>812</v>
      </c>
      <c r="B478" s="1" t="s">
        <v>813</v>
      </c>
      <c r="C478" s="1" t="s">
        <v>814</v>
      </c>
      <c r="E478" s="1" t="s">
        <v>815</v>
      </c>
      <c r="H478" t="str">
        <f t="shared" si="37"/>
        <v/>
      </c>
      <c r="I478" t="str">
        <f t="shared" si="38"/>
        <v/>
      </c>
      <c r="J478" t="str">
        <f t="shared" si="39"/>
        <v/>
      </c>
      <c r="L478" t="str">
        <f t="shared" si="36"/>
        <v>34</v>
      </c>
      <c r="M478">
        <f t="shared" si="35"/>
        <v>1</v>
      </c>
    </row>
    <row r="479" spans="1:13" x14ac:dyDescent="0.25">
      <c r="A479" s="1" t="s">
        <v>816</v>
      </c>
      <c r="B479" s="1" t="s">
        <v>817</v>
      </c>
      <c r="E479" s="1" t="s">
        <v>818</v>
      </c>
      <c r="H479" t="str">
        <f t="shared" si="37"/>
        <v/>
      </c>
      <c r="I479" t="str">
        <f t="shared" si="38"/>
        <v/>
      </c>
      <c r="J479" t="str">
        <f t="shared" si="39"/>
        <v/>
      </c>
      <c r="L479" t="str">
        <f t="shared" si="36"/>
        <v>34</v>
      </c>
      <c r="M479">
        <f t="shared" si="35"/>
        <v>1</v>
      </c>
    </row>
    <row r="480" spans="1:13" x14ac:dyDescent="0.25">
      <c r="A480" s="1" t="s">
        <v>819</v>
      </c>
      <c r="B480" s="1" t="s">
        <v>820</v>
      </c>
      <c r="E480" s="1" t="s">
        <v>821</v>
      </c>
      <c r="H480" t="str">
        <f t="shared" si="37"/>
        <v/>
      </c>
      <c r="I480" t="str">
        <f t="shared" si="38"/>
        <v/>
      </c>
      <c r="J480" t="str">
        <f t="shared" si="39"/>
        <v/>
      </c>
      <c r="L480" t="str">
        <f t="shared" si="36"/>
        <v>34</v>
      </c>
      <c r="M480">
        <f t="shared" si="35"/>
        <v>1</v>
      </c>
    </row>
    <row r="481" spans="1:13" x14ac:dyDescent="0.25">
      <c r="A481" s="1" t="s">
        <v>822</v>
      </c>
      <c r="B481" s="1" t="s">
        <v>823</v>
      </c>
      <c r="C481" s="1" t="s">
        <v>824</v>
      </c>
      <c r="E481" s="1" t="s">
        <v>825</v>
      </c>
      <c r="H481" t="str">
        <f t="shared" si="37"/>
        <v/>
      </c>
      <c r="I481" t="str">
        <f t="shared" si="38"/>
        <v/>
      </c>
      <c r="J481" t="str">
        <f t="shared" si="39"/>
        <v/>
      </c>
      <c r="L481" t="str">
        <f t="shared" si="36"/>
        <v>34</v>
      </c>
      <c r="M481">
        <f t="shared" si="35"/>
        <v>1</v>
      </c>
    </row>
    <row r="482" spans="1:13" x14ac:dyDescent="0.25">
      <c r="A482" s="1" t="s">
        <v>826</v>
      </c>
      <c r="B482" s="1" t="s">
        <v>827</v>
      </c>
      <c r="C482" s="1" t="s">
        <v>828</v>
      </c>
      <c r="E482" s="1" t="s">
        <v>829</v>
      </c>
      <c r="H482" t="str">
        <f t="shared" si="37"/>
        <v/>
      </c>
      <c r="I482" t="str">
        <f t="shared" si="38"/>
        <v/>
      </c>
      <c r="J482" t="str">
        <f t="shared" si="39"/>
        <v/>
      </c>
      <c r="L482" t="str">
        <f t="shared" si="36"/>
        <v>34</v>
      </c>
      <c r="M482">
        <f t="shared" si="35"/>
        <v>1</v>
      </c>
    </row>
    <row r="483" spans="1:13" x14ac:dyDescent="0.25">
      <c r="A483" s="1" t="s">
        <v>830</v>
      </c>
      <c r="B483" s="1" t="s">
        <v>831</v>
      </c>
      <c r="C483" s="1" t="s">
        <v>832</v>
      </c>
      <c r="E483" s="1" t="s">
        <v>833</v>
      </c>
      <c r="H483" t="str">
        <f t="shared" si="37"/>
        <v/>
      </c>
      <c r="I483" t="str">
        <f t="shared" si="38"/>
        <v/>
      </c>
      <c r="J483" t="str">
        <f t="shared" si="39"/>
        <v/>
      </c>
      <c r="L483" t="str">
        <f t="shared" si="36"/>
        <v>34</v>
      </c>
      <c r="M483">
        <f t="shared" si="35"/>
        <v>1</v>
      </c>
    </row>
    <row r="484" spans="1:13" x14ac:dyDescent="0.25">
      <c r="A484" s="1" t="s">
        <v>834</v>
      </c>
      <c r="B484" s="1" t="s">
        <v>835</v>
      </c>
      <c r="C484" s="1" t="s">
        <v>836</v>
      </c>
      <c r="E484" s="1" t="s">
        <v>287</v>
      </c>
      <c r="H484" t="str">
        <f t="shared" si="37"/>
        <v/>
      </c>
      <c r="I484" t="str">
        <f t="shared" si="38"/>
        <v/>
      </c>
      <c r="J484" t="str">
        <f t="shared" si="39"/>
        <v/>
      </c>
      <c r="L484" t="str">
        <f t="shared" si="36"/>
        <v>34</v>
      </c>
      <c r="M484">
        <f t="shared" si="35"/>
        <v>1</v>
      </c>
    </row>
    <row r="485" spans="1:13" x14ac:dyDescent="0.25">
      <c r="A485" s="1" t="s">
        <v>837</v>
      </c>
      <c r="D485" s="1" t="s">
        <v>216</v>
      </c>
      <c r="E485" s="1" t="s">
        <v>838</v>
      </c>
      <c r="H485" t="str">
        <f t="shared" si="37"/>
        <v>B35_SUBMITHOLD</v>
      </c>
      <c r="I485">
        <f t="shared" ca="1" si="38"/>
        <v>2</v>
      </c>
      <c r="J485" t="str">
        <f t="shared" ca="1" si="39"/>
        <v>"B35_SUBMITHOLD", 2</v>
      </c>
      <c r="L485" t="str">
        <f t="shared" si="36"/>
        <v/>
      </c>
      <c r="M485" t="str">
        <f t="shared" si="35"/>
        <v/>
      </c>
    </row>
    <row r="486" spans="1:13" x14ac:dyDescent="0.25">
      <c r="A486" s="1" t="s">
        <v>839</v>
      </c>
      <c r="H486" t="str">
        <f t="shared" si="37"/>
        <v/>
      </c>
      <c r="I486" t="str">
        <f t="shared" si="38"/>
        <v/>
      </c>
      <c r="J486" t="str">
        <f t="shared" si="39"/>
        <v/>
      </c>
      <c r="L486" t="str">
        <f t="shared" si="36"/>
        <v/>
      </c>
      <c r="M486" t="str">
        <f t="shared" si="35"/>
        <v/>
      </c>
    </row>
    <row r="487" spans="1:13" x14ac:dyDescent="0.25">
      <c r="A487" s="1" t="s">
        <v>840</v>
      </c>
      <c r="B487" s="1" t="s">
        <v>841</v>
      </c>
      <c r="C487" s="1" t="s">
        <v>842</v>
      </c>
      <c r="E487" s="1" t="s">
        <v>843</v>
      </c>
      <c r="H487" t="str">
        <f t="shared" si="37"/>
        <v/>
      </c>
      <c r="I487" t="str">
        <f t="shared" si="38"/>
        <v/>
      </c>
      <c r="J487" t="str">
        <f t="shared" si="39"/>
        <v/>
      </c>
      <c r="L487" t="str">
        <f t="shared" si="36"/>
        <v>35</v>
      </c>
      <c r="M487">
        <f t="shared" si="35"/>
        <v>1</v>
      </c>
    </row>
    <row r="488" spans="1:13" x14ac:dyDescent="0.25">
      <c r="A488" s="1" t="s">
        <v>844</v>
      </c>
      <c r="B488" s="1" t="s">
        <v>845</v>
      </c>
      <c r="D488" s="1" t="s">
        <v>16</v>
      </c>
      <c r="E488" s="1" t="s">
        <v>846</v>
      </c>
      <c r="H488" t="str">
        <f t="shared" si="37"/>
        <v/>
      </c>
      <c r="I488" t="str">
        <f t="shared" si="38"/>
        <v/>
      </c>
      <c r="J488" t="str">
        <f t="shared" si="39"/>
        <v/>
      </c>
      <c r="L488" t="str">
        <f t="shared" si="36"/>
        <v>35</v>
      </c>
      <c r="M488">
        <f t="shared" si="35"/>
        <v>1</v>
      </c>
    </row>
    <row r="489" spans="1:13" x14ac:dyDescent="0.25">
      <c r="A489" s="1" t="s">
        <v>847</v>
      </c>
      <c r="H489" t="str">
        <f t="shared" si="37"/>
        <v/>
      </c>
      <c r="I489" t="str">
        <f t="shared" si="38"/>
        <v/>
      </c>
      <c r="J489" t="str">
        <f t="shared" si="39"/>
        <v/>
      </c>
      <c r="L489" t="str">
        <f t="shared" si="36"/>
        <v/>
      </c>
      <c r="M489" t="str">
        <f t="shared" si="35"/>
        <v/>
      </c>
    </row>
    <row r="490" spans="1:13" x14ac:dyDescent="0.25">
      <c r="A490" s="1" t="s">
        <v>848</v>
      </c>
      <c r="H490" t="str">
        <f t="shared" si="37"/>
        <v/>
      </c>
      <c r="I490" t="str">
        <f t="shared" si="38"/>
        <v/>
      </c>
      <c r="J490" t="str">
        <f t="shared" si="39"/>
        <v/>
      </c>
      <c r="L490" t="str">
        <f t="shared" si="36"/>
        <v/>
      </c>
      <c r="M490" t="str">
        <f t="shared" si="35"/>
        <v/>
      </c>
    </row>
    <row r="491" spans="1:13" x14ac:dyDescent="0.25">
      <c r="A491" s="1" t="s">
        <v>849</v>
      </c>
      <c r="E491" s="1" t="s">
        <v>204</v>
      </c>
      <c r="H491" t="str">
        <f t="shared" si="37"/>
        <v>B36_SOURCELEGAL</v>
      </c>
      <c r="I491">
        <f t="shared" ca="1" si="38"/>
        <v>15</v>
      </c>
      <c r="J491" t="str">
        <f t="shared" ca="1" si="39"/>
        <v>"B36_SOURCELEGAL", 15</v>
      </c>
      <c r="L491" t="str">
        <f t="shared" si="36"/>
        <v/>
      </c>
      <c r="M491" t="str">
        <f t="shared" si="35"/>
        <v/>
      </c>
    </row>
    <row r="492" spans="1:13" x14ac:dyDescent="0.25">
      <c r="A492" s="1" t="s">
        <v>850</v>
      </c>
      <c r="H492" t="str">
        <f t="shared" si="37"/>
        <v/>
      </c>
      <c r="I492" t="str">
        <f t="shared" si="38"/>
        <v/>
      </c>
      <c r="J492" t="str">
        <f t="shared" si="39"/>
        <v/>
      </c>
      <c r="L492" t="str">
        <f t="shared" si="36"/>
        <v/>
      </c>
      <c r="M492" t="str">
        <f t="shared" si="35"/>
        <v/>
      </c>
    </row>
    <row r="493" spans="1:13" x14ac:dyDescent="0.25">
      <c r="A493" s="1" t="s">
        <v>851</v>
      </c>
      <c r="H493" t="str">
        <f t="shared" si="37"/>
        <v/>
      </c>
      <c r="I493" t="str">
        <f t="shared" si="38"/>
        <v/>
      </c>
      <c r="J493" t="str">
        <f t="shared" si="39"/>
        <v/>
      </c>
      <c r="L493" t="str">
        <f t="shared" si="36"/>
        <v/>
      </c>
      <c r="M493" t="str">
        <f t="shared" si="35"/>
        <v/>
      </c>
    </row>
    <row r="494" spans="1:13" x14ac:dyDescent="0.25">
      <c r="A494" s="1" t="s">
        <v>852</v>
      </c>
      <c r="B494" s="1" t="s">
        <v>853</v>
      </c>
      <c r="C494" s="1" t="s">
        <v>854</v>
      </c>
      <c r="E494" s="1" t="s">
        <v>855</v>
      </c>
      <c r="H494" t="str">
        <f t="shared" si="37"/>
        <v/>
      </c>
      <c r="I494" t="str">
        <f t="shared" si="38"/>
        <v/>
      </c>
      <c r="J494" t="str">
        <f t="shared" si="39"/>
        <v/>
      </c>
      <c r="L494" t="str">
        <f t="shared" si="36"/>
        <v>36</v>
      </c>
      <c r="M494">
        <f t="shared" si="35"/>
        <v>1</v>
      </c>
    </row>
    <row r="495" spans="1:13" x14ac:dyDescent="0.25">
      <c r="A495" s="1" t="s">
        <v>856</v>
      </c>
      <c r="B495" s="1" t="s">
        <v>187</v>
      </c>
      <c r="C495" s="1" t="s">
        <v>857</v>
      </c>
      <c r="E495" s="1" t="s">
        <v>858</v>
      </c>
      <c r="H495" t="str">
        <f t="shared" si="37"/>
        <v/>
      </c>
      <c r="I495" t="str">
        <f t="shared" si="38"/>
        <v/>
      </c>
      <c r="J495" t="str">
        <f t="shared" si="39"/>
        <v/>
      </c>
      <c r="L495" t="str">
        <f t="shared" si="36"/>
        <v>36</v>
      </c>
      <c r="M495">
        <f t="shared" si="35"/>
        <v>1</v>
      </c>
    </row>
    <row r="496" spans="1:13" x14ac:dyDescent="0.25">
      <c r="C496" s="1" t="s">
        <v>128</v>
      </c>
      <c r="H496" t="str">
        <f t="shared" si="37"/>
        <v/>
      </c>
      <c r="I496" t="str">
        <f t="shared" si="38"/>
        <v/>
      </c>
      <c r="J496" t="str">
        <f t="shared" si="39"/>
        <v/>
      </c>
      <c r="L496" t="str">
        <f t="shared" si="36"/>
        <v/>
      </c>
      <c r="M496" t="str">
        <f t="shared" si="35"/>
        <v/>
      </c>
    </row>
    <row r="497" spans="1:13" x14ac:dyDescent="0.25">
      <c r="A497" s="1" t="s">
        <v>859</v>
      </c>
      <c r="B497" s="1" t="s">
        <v>41</v>
      </c>
      <c r="C497" s="1" t="s">
        <v>860</v>
      </c>
      <c r="E497" s="1" t="s">
        <v>861</v>
      </c>
      <c r="H497" t="str">
        <f t="shared" si="37"/>
        <v/>
      </c>
      <c r="I497" t="str">
        <f t="shared" si="38"/>
        <v/>
      </c>
      <c r="J497" t="str">
        <f t="shared" si="39"/>
        <v/>
      </c>
      <c r="L497" t="str">
        <f t="shared" si="36"/>
        <v>36</v>
      </c>
      <c r="M497">
        <f t="shared" si="35"/>
        <v>1</v>
      </c>
    </row>
    <row r="498" spans="1:13" x14ac:dyDescent="0.25">
      <c r="A498" s="1" t="s">
        <v>862</v>
      </c>
      <c r="B498" s="1" t="s">
        <v>44</v>
      </c>
      <c r="E498" s="1" t="s">
        <v>863</v>
      </c>
      <c r="H498" t="str">
        <f t="shared" si="37"/>
        <v/>
      </c>
      <c r="I498" t="str">
        <f t="shared" si="38"/>
        <v/>
      </c>
      <c r="J498" t="str">
        <f t="shared" si="39"/>
        <v/>
      </c>
      <c r="L498" t="str">
        <f t="shared" si="36"/>
        <v>36</v>
      </c>
      <c r="M498">
        <f t="shared" si="35"/>
        <v>1</v>
      </c>
    </row>
    <row r="499" spans="1:13" x14ac:dyDescent="0.25">
      <c r="A499" s="1" t="s">
        <v>864</v>
      </c>
      <c r="B499" s="1" t="s">
        <v>47</v>
      </c>
      <c r="E499" s="1" t="s">
        <v>865</v>
      </c>
      <c r="H499" t="str">
        <f t="shared" si="37"/>
        <v/>
      </c>
      <c r="I499" t="str">
        <f t="shared" si="38"/>
        <v/>
      </c>
      <c r="J499" t="str">
        <f t="shared" si="39"/>
        <v/>
      </c>
      <c r="L499" t="str">
        <f t="shared" si="36"/>
        <v>36</v>
      </c>
      <c r="M499">
        <f t="shared" si="35"/>
        <v>1</v>
      </c>
    </row>
    <row r="500" spans="1:13" x14ac:dyDescent="0.25">
      <c r="A500" s="1" t="s">
        <v>866</v>
      </c>
      <c r="B500" s="1" t="s">
        <v>109</v>
      </c>
      <c r="E500" s="1" t="s">
        <v>867</v>
      </c>
      <c r="H500" t="str">
        <f t="shared" si="37"/>
        <v/>
      </c>
      <c r="I500" t="str">
        <f t="shared" si="38"/>
        <v/>
      </c>
      <c r="J500" t="str">
        <f t="shared" si="39"/>
        <v/>
      </c>
      <c r="L500" t="str">
        <f t="shared" si="36"/>
        <v>36</v>
      </c>
      <c r="M500">
        <f t="shared" si="35"/>
        <v>1</v>
      </c>
    </row>
    <row r="501" spans="1:13" x14ac:dyDescent="0.25">
      <c r="A501" s="1" t="s">
        <v>868</v>
      </c>
      <c r="B501" s="1" t="s">
        <v>869</v>
      </c>
      <c r="C501" s="1" t="s">
        <v>870</v>
      </c>
      <c r="E501" s="1" t="s">
        <v>871</v>
      </c>
      <c r="H501" t="str">
        <f t="shared" si="37"/>
        <v/>
      </c>
      <c r="I501" t="str">
        <f t="shared" si="38"/>
        <v/>
      </c>
      <c r="J501" t="str">
        <f t="shared" si="39"/>
        <v/>
      </c>
      <c r="L501" t="str">
        <f t="shared" si="36"/>
        <v>36</v>
      </c>
      <c r="M501">
        <f t="shared" si="35"/>
        <v>1</v>
      </c>
    </row>
    <row r="502" spans="1:13" x14ac:dyDescent="0.25">
      <c r="A502" s="1" t="s">
        <v>872</v>
      </c>
      <c r="B502" s="1" t="s">
        <v>104</v>
      </c>
      <c r="E502" s="1" t="s">
        <v>873</v>
      </c>
      <c r="H502" t="str">
        <f t="shared" si="37"/>
        <v/>
      </c>
      <c r="I502" t="str">
        <f t="shared" si="38"/>
        <v/>
      </c>
      <c r="J502" t="str">
        <f t="shared" si="39"/>
        <v/>
      </c>
      <c r="L502" t="str">
        <f t="shared" si="36"/>
        <v>36</v>
      </c>
      <c r="M502">
        <f t="shared" si="35"/>
        <v>1</v>
      </c>
    </row>
    <row r="503" spans="1:13" x14ac:dyDescent="0.25">
      <c r="A503" s="1" t="s">
        <v>874</v>
      </c>
      <c r="B503" s="1" t="s">
        <v>114</v>
      </c>
      <c r="C503" s="1" t="s">
        <v>115</v>
      </c>
      <c r="E503" s="1" t="s">
        <v>875</v>
      </c>
      <c r="H503" t="str">
        <f t="shared" si="37"/>
        <v/>
      </c>
      <c r="I503" t="str">
        <f t="shared" si="38"/>
        <v/>
      </c>
      <c r="J503" t="str">
        <f t="shared" si="39"/>
        <v/>
      </c>
      <c r="L503" t="str">
        <f t="shared" si="36"/>
        <v>36</v>
      </c>
      <c r="M503">
        <f t="shared" si="35"/>
        <v>1</v>
      </c>
    </row>
    <row r="504" spans="1:13" x14ac:dyDescent="0.25">
      <c r="A504" s="1" t="s">
        <v>876</v>
      </c>
      <c r="B504" s="1" t="s">
        <v>117</v>
      </c>
      <c r="C504" s="1" t="s">
        <v>877</v>
      </c>
      <c r="E504" s="1" t="s">
        <v>878</v>
      </c>
      <c r="H504" t="str">
        <f t="shared" si="37"/>
        <v/>
      </c>
      <c r="I504" t="str">
        <f t="shared" si="38"/>
        <v/>
      </c>
      <c r="J504" t="str">
        <f t="shared" si="39"/>
        <v/>
      </c>
      <c r="L504" t="str">
        <f t="shared" si="36"/>
        <v>36</v>
      </c>
      <c r="M504">
        <f t="shared" si="35"/>
        <v>1</v>
      </c>
    </row>
    <row r="505" spans="1:13" x14ac:dyDescent="0.25">
      <c r="C505" s="1" t="s">
        <v>118</v>
      </c>
      <c r="H505" t="str">
        <f t="shared" si="37"/>
        <v/>
      </c>
      <c r="I505" t="str">
        <f t="shared" si="38"/>
        <v/>
      </c>
      <c r="J505" t="str">
        <f t="shared" si="39"/>
        <v/>
      </c>
      <c r="L505" t="str">
        <f t="shared" si="36"/>
        <v/>
      </c>
      <c r="M505" t="str">
        <f t="shared" si="35"/>
        <v/>
      </c>
    </row>
    <row r="506" spans="1:13" x14ac:dyDescent="0.25">
      <c r="C506" s="1" t="s">
        <v>119</v>
      </c>
      <c r="H506" t="str">
        <f t="shared" si="37"/>
        <v/>
      </c>
      <c r="I506" t="str">
        <f t="shared" si="38"/>
        <v/>
      </c>
      <c r="J506" t="str">
        <f t="shared" si="39"/>
        <v/>
      </c>
      <c r="L506" t="str">
        <f t="shared" si="36"/>
        <v/>
      </c>
      <c r="M506" t="str">
        <f t="shared" si="35"/>
        <v/>
      </c>
    </row>
    <row r="507" spans="1:13" x14ac:dyDescent="0.25">
      <c r="A507" s="1" t="s">
        <v>879</v>
      </c>
      <c r="B507" s="1" t="s">
        <v>880</v>
      </c>
      <c r="E507" s="1" t="s">
        <v>881</v>
      </c>
      <c r="H507" t="str">
        <f t="shared" si="37"/>
        <v/>
      </c>
      <c r="I507" t="str">
        <f t="shared" si="38"/>
        <v/>
      </c>
      <c r="J507" t="str">
        <f t="shared" si="39"/>
        <v/>
      </c>
      <c r="L507" t="str">
        <f t="shared" si="36"/>
        <v>36</v>
      </c>
      <c r="M507">
        <f t="shared" si="35"/>
        <v>1</v>
      </c>
    </row>
    <row r="508" spans="1:13" x14ac:dyDescent="0.25">
      <c r="A508" s="1" t="s">
        <v>882</v>
      </c>
      <c r="B508" s="1" t="s">
        <v>883</v>
      </c>
      <c r="E508" s="1" t="s">
        <v>884</v>
      </c>
      <c r="H508" t="str">
        <f t="shared" si="37"/>
        <v/>
      </c>
      <c r="I508" t="str">
        <f t="shared" si="38"/>
        <v/>
      </c>
      <c r="J508" t="str">
        <f t="shared" si="39"/>
        <v/>
      </c>
      <c r="L508" t="str">
        <f t="shared" si="36"/>
        <v>36</v>
      </c>
      <c r="M508">
        <f t="shared" si="35"/>
        <v>1</v>
      </c>
    </row>
    <row r="509" spans="1:13" x14ac:dyDescent="0.25">
      <c r="A509" s="1" t="s">
        <v>885</v>
      </c>
      <c r="B509" s="1" t="s">
        <v>886</v>
      </c>
      <c r="E509" s="1" t="s">
        <v>887</v>
      </c>
      <c r="H509" t="str">
        <f t="shared" si="37"/>
        <v/>
      </c>
      <c r="I509" t="str">
        <f t="shared" si="38"/>
        <v/>
      </c>
      <c r="J509" t="str">
        <f t="shared" si="39"/>
        <v/>
      </c>
      <c r="L509" t="str">
        <f t="shared" si="36"/>
        <v>36</v>
      </c>
      <c r="M509">
        <f t="shared" si="35"/>
        <v>1</v>
      </c>
    </row>
    <row r="510" spans="1:13" x14ac:dyDescent="0.25">
      <c r="A510" s="1" t="s">
        <v>888</v>
      </c>
      <c r="B510" s="1" t="s">
        <v>889</v>
      </c>
      <c r="E510" s="1" t="s">
        <v>890</v>
      </c>
      <c r="H510" t="str">
        <f t="shared" si="37"/>
        <v/>
      </c>
      <c r="I510" t="str">
        <f t="shared" si="38"/>
        <v/>
      </c>
      <c r="J510" t="str">
        <f t="shared" si="39"/>
        <v/>
      </c>
      <c r="L510" t="str">
        <f t="shared" si="36"/>
        <v>36</v>
      </c>
      <c r="M510">
        <f t="shared" si="35"/>
        <v>1</v>
      </c>
    </row>
    <row r="511" spans="1:13" x14ac:dyDescent="0.25">
      <c r="A511" s="1" t="s">
        <v>891</v>
      </c>
      <c r="B511" s="1" t="s">
        <v>892</v>
      </c>
      <c r="C511" s="1" t="s">
        <v>893</v>
      </c>
      <c r="E511" s="1" t="s">
        <v>894</v>
      </c>
      <c r="H511" t="str">
        <f t="shared" si="37"/>
        <v/>
      </c>
      <c r="I511" t="str">
        <f t="shared" si="38"/>
        <v/>
      </c>
      <c r="J511" t="str">
        <f t="shared" si="39"/>
        <v/>
      </c>
      <c r="L511" t="str">
        <f t="shared" si="36"/>
        <v>36</v>
      </c>
      <c r="M511">
        <f t="shared" si="35"/>
        <v>1</v>
      </c>
    </row>
    <row r="512" spans="1:13" x14ac:dyDescent="0.25">
      <c r="A512" s="1" t="s">
        <v>895</v>
      </c>
      <c r="E512" s="1" t="s">
        <v>204</v>
      </c>
      <c r="H512" t="str">
        <f t="shared" si="37"/>
        <v>B37_SOURCEINDIVID</v>
      </c>
      <c r="I512">
        <f t="shared" ca="1" si="38"/>
        <v>14</v>
      </c>
      <c r="J512" t="str">
        <f t="shared" ca="1" si="39"/>
        <v>"B37_SOURCEINDIVID", 14</v>
      </c>
      <c r="L512" t="str">
        <f t="shared" si="36"/>
        <v/>
      </c>
      <c r="M512" t="str">
        <f t="shared" si="35"/>
        <v/>
      </c>
    </row>
    <row r="513" spans="1:13" x14ac:dyDescent="0.25">
      <c r="A513" s="1" t="s">
        <v>850</v>
      </c>
      <c r="H513" t="str">
        <f t="shared" si="37"/>
        <v/>
      </c>
      <c r="I513" t="str">
        <f t="shared" si="38"/>
        <v/>
      </c>
      <c r="J513" t="str">
        <f t="shared" si="39"/>
        <v/>
      </c>
      <c r="L513" t="str">
        <f t="shared" si="36"/>
        <v/>
      </c>
      <c r="M513" t="str">
        <f t="shared" si="35"/>
        <v/>
      </c>
    </row>
    <row r="514" spans="1:13" x14ac:dyDescent="0.25">
      <c r="A514" s="1" t="s">
        <v>896</v>
      </c>
      <c r="B514" s="1" t="s">
        <v>897</v>
      </c>
      <c r="E514" s="1" t="s">
        <v>898</v>
      </c>
      <c r="H514" t="str">
        <f t="shared" si="37"/>
        <v/>
      </c>
      <c r="I514" t="str">
        <f t="shared" si="38"/>
        <v/>
      </c>
      <c r="J514" t="str">
        <f t="shared" si="39"/>
        <v/>
      </c>
      <c r="L514" t="str">
        <f t="shared" si="36"/>
        <v>37</v>
      </c>
      <c r="M514">
        <f t="shared" ref="M514:M577" si="40">IF(AND(LEN(A514)&lt;6,A514&lt;&gt;""),1,"")</f>
        <v>1</v>
      </c>
    </row>
    <row r="515" spans="1:13" x14ac:dyDescent="0.25">
      <c r="A515" s="1" t="s">
        <v>899</v>
      </c>
      <c r="B515" s="1" t="s">
        <v>900</v>
      </c>
      <c r="E515" s="1" t="s">
        <v>901</v>
      </c>
      <c r="H515" t="str">
        <f t="shared" si="37"/>
        <v/>
      </c>
      <c r="I515" t="str">
        <f t="shared" si="38"/>
        <v/>
      </c>
      <c r="J515" t="str">
        <f t="shared" si="39"/>
        <v/>
      </c>
      <c r="L515" t="str">
        <f t="shared" ref="L515:L578" si="41">IFERROR(IF(LEN(A515)&lt;=5,TRIM(LEFT(A515,SEARCH(".",A515)-1)),""),"")</f>
        <v>37</v>
      </c>
      <c r="M515">
        <f t="shared" si="40"/>
        <v>1</v>
      </c>
    </row>
    <row r="516" spans="1:13" x14ac:dyDescent="0.25">
      <c r="A516" s="1" t="s">
        <v>902</v>
      </c>
      <c r="B516" s="1" t="s">
        <v>903</v>
      </c>
      <c r="C516" s="1" t="s">
        <v>904</v>
      </c>
      <c r="E516" s="1" t="s">
        <v>905</v>
      </c>
      <c r="H516" t="str">
        <f t="shared" si="37"/>
        <v/>
      </c>
      <c r="I516" t="str">
        <f t="shared" si="38"/>
        <v/>
      </c>
      <c r="J516" t="str">
        <f t="shared" si="39"/>
        <v/>
      </c>
      <c r="L516" t="str">
        <f t="shared" si="41"/>
        <v>37</v>
      </c>
      <c r="M516">
        <f t="shared" si="40"/>
        <v>1</v>
      </c>
    </row>
    <row r="517" spans="1:13" x14ac:dyDescent="0.25">
      <c r="A517" s="1" t="s">
        <v>906</v>
      </c>
      <c r="B517" s="1" t="s">
        <v>907</v>
      </c>
      <c r="E517" s="1" t="s">
        <v>908</v>
      </c>
      <c r="H517" t="str">
        <f t="shared" si="37"/>
        <v/>
      </c>
      <c r="I517" t="str">
        <f t="shared" si="38"/>
        <v/>
      </c>
      <c r="J517" t="str">
        <f t="shared" si="39"/>
        <v/>
      </c>
      <c r="L517" t="str">
        <f t="shared" si="41"/>
        <v>37</v>
      </c>
      <c r="M517">
        <f t="shared" si="40"/>
        <v>1</v>
      </c>
    </row>
    <row r="518" spans="1:13" x14ac:dyDescent="0.25">
      <c r="A518" s="1" t="s">
        <v>909</v>
      </c>
      <c r="B518" s="1" t="s">
        <v>910</v>
      </c>
      <c r="E518" s="1" t="s">
        <v>911</v>
      </c>
      <c r="H518" t="str">
        <f t="shared" si="37"/>
        <v/>
      </c>
      <c r="I518" t="str">
        <f t="shared" si="38"/>
        <v/>
      </c>
      <c r="J518" t="str">
        <f t="shared" si="39"/>
        <v/>
      </c>
      <c r="L518" t="str">
        <f t="shared" si="41"/>
        <v>37</v>
      </c>
      <c r="M518">
        <f t="shared" si="40"/>
        <v>1</v>
      </c>
    </row>
    <row r="519" spans="1:13" x14ac:dyDescent="0.25">
      <c r="A519" s="1" t="s">
        <v>912</v>
      </c>
      <c r="B519" s="1" t="s">
        <v>913</v>
      </c>
      <c r="C519" s="1" t="s">
        <v>914</v>
      </c>
      <c r="E519" s="1" t="s">
        <v>915</v>
      </c>
      <c r="H519" t="str">
        <f t="shared" ref="H519:H582" si="42">IFERROR(TRIM(IF(SEARCH("Блок ",A519),IF(SEARCH("B",A519),RIGHT(A519,LEN(A519)-SEARCH("B",A519)+1)),"")),"")</f>
        <v/>
      </c>
      <c r="I519" t="str">
        <f t="shared" ref="I519:I582" si="43">IFERROR(IF(H519&lt;&gt;"",SUMIF(L:M,TRIM(MID(A519,SEARCH(" ",A519),SEARCH(". ",A519)-5)),M:M),""),"")</f>
        <v/>
      </c>
      <c r="J519" t="str">
        <f t="shared" ref="J519:J582" si="44">CLEAN(TRIM(IF(H519&lt;&gt;"",""""&amp;H519&amp;""""&amp;", "&amp;I519,"")))</f>
        <v/>
      </c>
      <c r="L519" t="str">
        <f t="shared" si="41"/>
        <v>37</v>
      </c>
      <c r="M519">
        <f t="shared" si="40"/>
        <v>1</v>
      </c>
    </row>
    <row r="520" spans="1:13" x14ac:dyDescent="0.25">
      <c r="A520" s="1" t="s">
        <v>916</v>
      </c>
      <c r="B520" s="1" t="s">
        <v>917</v>
      </c>
      <c r="C520" s="1" t="s">
        <v>918</v>
      </c>
      <c r="E520" s="1" t="s">
        <v>919</v>
      </c>
      <c r="H520" t="str">
        <f t="shared" si="42"/>
        <v/>
      </c>
      <c r="I520" t="str">
        <f t="shared" si="43"/>
        <v/>
      </c>
      <c r="J520" t="str">
        <f t="shared" si="44"/>
        <v/>
      </c>
      <c r="L520" t="str">
        <f t="shared" si="41"/>
        <v>37</v>
      </c>
      <c r="M520">
        <f t="shared" si="40"/>
        <v>1</v>
      </c>
    </row>
    <row r="521" spans="1:13" x14ac:dyDescent="0.25">
      <c r="A521" s="1" t="s">
        <v>920</v>
      </c>
      <c r="B521" s="1" t="s">
        <v>921</v>
      </c>
      <c r="E521" s="1" t="s">
        <v>922</v>
      </c>
      <c r="H521" t="str">
        <f t="shared" si="42"/>
        <v/>
      </c>
      <c r="I521" t="str">
        <f t="shared" si="43"/>
        <v/>
      </c>
      <c r="J521" t="str">
        <f t="shared" si="44"/>
        <v/>
      </c>
      <c r="L521" t="str">
        <f t="shared" si="41"/>
        <v>37</v>
      </c>
      <c r="M521">
        <f t="shared" si="40"/>
        <v>1</v>
      </c>
    </row>
    <row r="522" spans="1:13" x14ac:dyDescent="0.25">
      <c r="A522" s="1" t="s">
        <v>923</v>
      </c>
      <c r="B522" s="1" t="s">
        <v>924</v>
      </c>
      <c r="E522" s="1" t="s">
        <v>925</v>
      </c>
      <c r="H522" t="str">
        <f t="shared" si="42"/>
        <v/>
      </c>
      <c r="I522" t="str">
        <f t="shared" si="43"/>
        <v/>
      </c>
      <c r="J522" t="str">
        <f t="shared" si="44"/>
        <v/>
      </c>
      <c r="L522" t="str">
        <f t="shared" si="41"/>
        <v>37</v>
      </c>
      <c r="M522">
        <f t="shared" si="40"/>
        <v>1</v>
      </c>
    </row>
    <row r="523" spans="1:13" x14ac:dyDescent="0.25">
      <c r="A523" s="1" t="s">
        <v>926</v>
      </c>
      <c r="B523" s="1" t="s">
        <v>927</v>
      </c>
      <c r="E523" s="1" t="s">
        <v>928</v>
      </c>
      <c r="H523" t="str">
        <f t="shared" si="42"/>
        <v/>
      </c>
      <c r="I523" t="str">
        <f t="shared" si="43"/>
        <v/>
      </c>
      <c r="J523" t="str">
        <f t="shared" si="44"/>
        <v/>
      </c>
      <c r="L523" t="str">
        <f t="shared" si="41"/>
        <v>37</v>
      </c>
      <c r="M523">
        <f t="shared" si="40"/>
        <v>1</v>
      </c>
    </row>
    <row r="524" spans="1:13" x14ac:dyDescent="0.25">
      <c r="A524" s="1" t="s">
        <v>929</v>
      </c>
      <c r="B524" s="1" t="s">
        <v>930</v>
      </c>
      <c r="C524" s="1" t="s">
        <v>931</v>
      </c>
      <c r="E524" s="1" t="s">
        <v>933</v>
      </c>
      <c r="H524" t="str">
        <f t="shared" si="42"/>
        <v/>
      </c>
      <c r="I524" t="str">
        <f t="shared" si="43"/>
        <v/>
      </c>
      <c r="J524" t="str">
        <f t="shared" si="44"/>
        <v/>
      </c>
      <c r="L524" t="str">
        <f t="shared" si="41"/>
        <v>37</v>
      </c>
      <c r="M524">
        <f t="shared" si="40"/>
        <v>1</v>
      </c>
    </row>
    <row r="525" spans="1:13" x14ac:dyDescent="0.25">
      <c r="C525" s="1" t="s">
        <v>932</v>
      </c>
      <c r="H525" t="str">
        <f t="shared" si="42"/>
        <v/>
      </c>
      <c r="I525" t="str">
        <f t="shared" si="43"/>
        <v/>
      </c>
      <c r="J525" t="str">
        <f t="shared" si="44"/>
        <v/>
      </c>
      <c r="L525" t="str">
        <f t="shared" si="41"/>
        <v/>
      </c>
      <c r="M525" t="str">
        <f t="shared" si="40"/>
        <v/>
      </c>
    </row>
    <row r="526" spans="1:13" x14ac:dyDescent="0.25">
      <c r="A526" s="1" t="s">
        <v>934</v>
      </c>
      <c r="B526" s="1" t="s">
        <v>935</v>
      </c>
      <c r="C526" s="1" t="s">
        <v>936</v>
      </c>
      <c r="E526" s="1" t="s">
        <v>937</v>
      </c>
      <c r="H526" t="str">
        <f t="shared" si="42"/>
        <v/>
      </c>
      <c r="I526" t="str">
        <f t="shared" si="43"/>
        <v/>
      </c>
      <c r="J526" t="str">
        <f t="shared" si="44"/>
        <v/>
      </c>
      <c r="L526" t="str">
        <f t="shared" si="41"/>
        <v>37</v>
      </c>
      <c r="M526">
        <f t="shared" si="40"/>
        <v>1</v>
      </c>
    </row>
    <row r="527" spans="1:13" x14ac:dyDescent="0.25">
      <c r="A527" s="1" t="s">
        <v>938</v>
      </c>
      <c r="B527" s="1" t="s">
        <v>104</v>
      </c>
      <c r="E527" s="1" t="s">
        <v>873</v>
      </c>
      <c r="H527" t="str">
        <f t="shared" si="42"/>
        <v/>
      </c>
      <c r="I527" t="str">
        <f t="shared" si="43"/>
        <v/>
      </c>
      <c r="J527" t="str">
        <f t="shared" si="44"/>
        <v/>
      </c>
      <c r="L527" t="str">
        <f t="shared" si="41"/>
        <v>37</v>
      </c>
      <c r="M527">
        <f t="shared" si="40"/>
        <v>1</v>
      </c>
    </row>
    <row r="528" spans="1:13" x14ac:dyDescent="0.25">
      <c r="A528" s="1" t="s">
        <v>939</v>
      </c>
      <c r="B528" s="1" t="s">
        <v>892</v>
      </c>
      <c r="C528" s="1" t="s">
        <v>893</v>
      </c>
      <c r="E528" s="1" t="s">
        <v>894</v>
      </c>
      <c r="H528" t="str">
        <f t="shared" si="42"/>
        <v/>
      </c>
      <c r="I528" t="str">
        <f t="shared" si="43"/>
        <v/>
      </c>
      <c r="J528" t="str">
        <f t="shared" si="44"/>
        <v/>
      </c>
      <c r="L528" t="str">
        <f t="shared" si="41"/>
        <v>37</v>
      </c>
      <c r="M528">
        <f t="shared" si="40"/>
        <v>1</v>
      </c>
    </row>
    <row r="529" spans="1:13" x14ac:dyDescent="0.25">
      <c r="A529" s="1" t="s">
        <v>940</v>
      </c>
      <c r="D529" s="1" t="s">
        <v>941</v>
      </c>
      <c r="E529" s="1" t="s">
        <v>204</v>
      </c>
      <c r="H529" t="str">
        <f t="shared" si="42"/>
        <v>B38_SOURCEBCOMM</v>
      </c>
      <c r="I529">
        <f t="shared" ca="1" si="43"/>
        <v>13</v>
      </c>
      <c r="J529" t="str">
        <f t="shared" ca="1" si="44"/>
        <v>"B38_SOURCEBCOMM", 13</v>
      </c>
      <c r="L529" t="str">
        <f t="shared" si="41"/>
        <v/>
      </c>
      <c r="M529" t="str">
        <f t="shared" si="40"/>
        <v/>
      </c>
    </row>
    <row r="530" spans="1:13" x14ac:dyDescent="0.25">
      <c r="E530" s="1" t="s">
        <v>942</v>
      </c>
      <c r="H530" t="str">
        <f t="shared" si="42"/>
        <v/>
      </c>
      <c r="I530" t="str">
        <f t="shared" si="43"/>
        <v/>
      </c>
      <c r="J530" t="str">
        <f t="shared" si="44"/>
        <v/>
      </c>
      <c r="L530" t="str">
        <f t="shared" si="41"/>
        <v/>
      </c>
      <c r="M530" t="str">
        <f t="shared" si="40"/>
        <v/>
      </c>
    </row>
    <row r="531" spans="1:13" x14ac:dyDescent="0.25">
      <c r="E531" s="1" t="s">
        <v>943</v>
      </c>
      <c r="H531" t="str">
        <f t="shared" si="42"/>
        <v/>
      </c>
      <c r="I531" t="str">
        <f t="shared" si="43"/>
        <v/>
      </c>
      <c r="J531" t="str">
        <f t="shared" si="44"/>
        <v/>
      </c>
      <c r="L531" t="str">
        <f t="shared" si="41"/>
        <v/>
      </c>
      <c r="M531" t="str">
        <f t="shared" si="40"/>
        <v/>
      </c>
    </row>
    <row r="532" spans="1:13" x14ac:dyDescent="0.25">
      <c r="A532" s="1" t="s">
        <v>944</v>
      </c>
      <c r="H532" t="str">
        <f t="shared" si="42"/>
        <v/>
      </c>
      <c r="I532" t="str">
        <f t="shared" si="43"/>
        <v/>
      </c>
      <c r="J532" t="str">
        <f t="shared" si="44"/>
        <v/>
      </c>
      <c r="L532" t="str">
        <f t="shared" si="41"/>
        <v/>
      </c>
      <c r="M532" t="str">
        <f t="shared" si="40"/>
        <v/>
      </c>
    </row>
    <row r="533" spans="1:13" x14ac:dyDescent="0.25">
      <c r="A533" s="1" t="s">
        <v>945</v>
      </c>
      <c r="B533" s="1" t="s">
        <v>897</v>
      </c>
      <c r="E533" s="1" t="s">
        <v>898</v>
      </c>
      <c r="H533" t="str">
        <f t="shared" si="42"/>
        <v/>
      </c>
      <c r="I533" t="str">
        <f t="shared" si="43"/>
        <v/>
      </c>
      <c r="J533" t="str">
        <f t="shared" si="44"/>
        <v/>
      </c>
      <c r="L533" t="str">
        <f t="shared" si="41"/>
        <v>38</v>
      </c>
      <c r="M533">
        <f t="shared" si="40"/>
        <v>1</v>
      </c>
    </row>
    <row r="534" spans="1:13" x14ac:dyDescent="0.25">
      <c r="A534" s="1" t="s">
        <v>946</v>
      </c>
      <c r="B534" s="1" t="s">
        <v>900</v>
      </c>
      <c r="E534" s="1" t="s">
        <v>901</v>
      </c>
      <c r="H534" t="str">
        <f t="shared" si="42"/>
        <v/>
      </c>
      <c r="I534" t="str">
        <f t="shared" si="43"/>
        <v/>
      </c>
      <c r="J534" t="str">
        <f t="shared" si="44"/>
        <v/>
      </c>
      <c r="L534" t="str">
        <f t="shared" si="41"/>
        <v>38</v>
      </c>
      <c r="M534">
        <f t="shared" si="40"/>
        <v>1</v>
      </c>
    </row>
    <row r="535" spans="1:13" x14ac:dyDescent="0.25">
      <c r="A535" s="1" t="s">
        <v>947</v>
      </c>
      <c r="B535" s="1" t="s">
        <v>903</v>
      </c>
      <c r="C535" s="1" t="s">
        <v>904</v>
      </c>
      <c r="E535" s="1" t="s">
        <v>905</v>
      </c>
      <c r="H535" t="str">
        <f t="shared" si="42"/>
        <v/>
      </c>
      <c r="I535" t="str">
        <f t="shared" si="43"/>
        <v/>
      </c>
      <c r="J535" t="str">
        <f t="shared" si="44"/>
        <v/>
      </c>
      <c r="L535" t="str">
        <f t="shared" si="41"/>
        <v>38</v>
      </c>
      <c r="M535">
        <f t="shared" si="40"/>
        <v>1</v>
      </c>
    </row>
    <row r="536" spans="1:13" x14ac:dyDescent="0.25">
      <c r="A536" s="1" t="s">
        <v>948</v>
      </c>
      <c r="B536" s="1" t="s">
        <v>907</v>
      </c>
      <c r="E536" s="1" t="s">
        <v>908</v>
      </c>
      <c r="H536" t="str">
        <f t="shared" si="42"/>
        <v/>
      </c>
      <c r="I536" t="str">
        <f t="shared" si="43"/>
        <v/>
      </c>
      <c r="J536" t="str">
        <f t="shared" si="44"/>
        <v/>
      </c>
      <c r="L536" t="str">
        <f t="shared" si="41"/>
        <v>38</v>
      </c>
      <c r="M536">
        <f t="shared" si="40"/>
        <v>1</v>
      </c>
    </row>
    <row r="537" spans="1:13" x14ac:dyDescent="0.25">
      <c r="A537" s="1" t="s">
        <v>949</v>
      </c>
      <c r="B537" s="1" t="s">
        <v>910</v>
      </c>
      <c r="E537" s="1" t="s">
        <v>911</v>
      </c>
      <c r="H537" t="str">
        <f t="shared" si="42"/>
        <v/>
      </c>
      <c r="I537" t="str">
        <f t="shared" si="43"/>
        <v/>
      </c>
      <c r="J537" t="str">
        <f t="shared" si="44"/>
        <v/>
      </c>
      <c r="L537" t="str">
        <f t="shared" si="41"/>
        <v>38</v>
      </c>
      <c r="M537">
        <f t="shared" si="40"/>
        <v>1</v>
      </c>
    </row>
    <row r="538" spans="1:13" x14ac:dyDescent="0.25">
      <c r="A538" s="1" t="s">
        <v>950</v>
      </c>
      <c r="B538" s="1" t="s">
        <v>951</v>
      </c>
      <c r="C538" s="1" t="s">
        <v>952</v>
      </c>
      <c r="E538" s="1" t="s">
        <v>953</v>
      </c>
      <c r="H538" t="str">
        <f t="shared" si="42"/>
        <v/>
      </c>
      <c r="I538" t="str">
        <f t="shared" si="43"/>
        <v/>
      </c>
      <c r="J538" t="str">
        <f t="shared" si="44"/>
        <v/>
      </c>
      <c r="L538" t="str">
        <f t="shared" si="41"/>
        <v>38</v>
      </c>
      <c r="M538">
        <f t="shared" si="40"/>
        <v>1</v>
      </c>
    </row>
    <row r="539" spans="1:13" x14ac:dyDescent="0.25">
      <c r="A539" s="1" t="s">
        <v>954</v>
      </c>
      <c r="B539" s="1" t="s">
        <v>955</v>
      </c>
      <c r="C539" s="1" t="s">
        <v>956</v>
      </c>
      <c r="E539" s="1" t="s">
        <v>957</v>
      </c>
      <c r="H539" t="str">
        <f t="shared" si="42"/>
        <v/>
      </c>
      <c r="I539" t="str">
        <f t="shared" si="43"/>
        <v/>
      </c>
      <c r="J539" t="str">
        <f t="shared" si="44"/>
        <v/>
      </c>
      <c r="L539" t="str">
        <f t="shared" si="41"/>
        <v>38</v>
      </c>
      <c r="M539">
        <f t="shared" si="40"/>
        <v>1</v>
      </c>
    </row>
    <row r="540" spans="1:13" x14ac:dyDescent="0.25">
      <c r="A540" s="1" t="s">
        <v>958</v>
      </c>
      <c r="B540" s="1" t="s">
        <v>959</v>
      </c>
      <c r="D540" s="1" t="s">
        <v>16</v>
      </c>
      <c r="E540" s="1" t="s">
        <v>960</v>
      </c>
      <c r="H540" t="str">
        <f t="shared" si="42"/>
        <v/>
      </c>
      <c r="I540" t="str">
        <f t="shared" si="43"/>
        <v/>
      </c>
      <c r="J540" t="str">
        <f t="shared" si="44"/>
        <v/>
      </c>
      <c r="L540" t="str">
        <f t="shared" si="41"/>
        <v>38</v>
      </c>
      <c r="M540">
        <f t="shared" si="40"/>
        <v>1</v>
      </c>
    </row>
    <row r="541" spans="1:13" x14ac:dyDescent="0.25">
      <c r="A541" s="1" t="s">
        <v>961</v>
      </c>
      <c r="B541" s="1" t="s">
        <v>962</v>
      </c>
      <c r="E541" s="1" t="s">
        <v>963</v>
      </c>
      <c r="H541" t="str">
        <f t="shared" si="42"/>
        <v/>
      </c>
      <c r="I541" t="str">
        <f t="shared" si="43"/>
        <v/>
      </c>
      <c r="J541" t="str">
        <f t="shared" si="44"/>
        <v/>
      </c>
      <c r="L541" t="str">
        <f t="shared" si="41"/>
        <v>38</v>
      </c>
      <c r="M541">
        <f t="shared" si="40"/>
        <v>1</v>
      </c>
    </row>
    <row r="542" spans="1:13" x14ac:dyDescent="0.25">
      <c r="A542" s="1" t="s">
        <v>964</v>
      </c>
      <c r="B542" s="1" t="s">
        <v>114</v>
      </c>
      <c r="C542" s="1" t="s">
        <v>115</v>
      </c>
      <c r="E542" s="1" t="s">
        <v>875</v>
      </c>
      <c r="H542" t="str">
        <f t="shared" si="42"/>
        <v/>
      </c>
      <c r="I542" t="str">
        <f t="shared" si="43"/>
        <v/>
      </c>
      <c r="J542" t="str">
        <f t="shared" si="44"/>
        <v/>
      </c>
      <c r="L542" t="str">
        <f t="shared" si="41"/>
        <v>38</v>
      </c>
      <c r="M542">
        <f t="shared" si="40"/>
        <v>1</v>
      </c>
    </row>
    <row r="543" spans="1:13" x14ac:dyDescent="0.25">
      <c r="A543" s="1" t="s">
        <v>965</v>
      </c>
      <c r="B543" s="1" t="s">
        <v>117</v>
      </c>
      <c r="C543" s="1" t="s">
        <v>966</v>
      </c>
      <c r="E543" s="1" t="s">
        <v>878</v>
      </c>
      <c r="H543" t="str">
        <f t="shared" si="42"/>
        <v/>
      </c>
      <c r="I543" t="str">
        <f t="shared" si="43"/>
        <v/>
      </c>
      <c r="J543" t="str">
        <f t="shared" si="44"/>
        <v/>
      </c>
      <c r="L543" t="str">
        <f t="shared" si="41"/>
        <v>38</v>
      </c>
      <c r="M543">
        <f t="shared" si="40"/>
        <v>1</v>
      </c>
    </row>
    <row r="544" spans="1:13" x14ac:dyDescent="0.25">
      <c r="C544" s="1" t="s">
        <v>118</v>
      </c>
      <c r="H544" t="str">
        <f t="shared" si="42"/>
        <v/>
      </c>
      <c r="I544" t="str">
        <f t="shared" si="43"/>
        <v/>
      </c>
      <c r="J544" t="str">
        <f t="shared" si="44"/>
        <v/>
      </c>
      <c r="L544" t="str">
        <f t="shared" si="41"/>
        <v/>
      </c>
      <c r="M544" t="str">
        <f t="shared" si="40"/>
        <v/>
      </c>
    </row>
    <row r="545" spans="1:13" x14ac:dyDescent="0.25">
      <c r="C545" s="1" t="s">
        <v>967</v>
      </c>
      <c r="H545" t="str">
        <f t="shared" si="42"/>
        <v/>
      </c>
      <c r="I545" t="str">
        <f t="shared" si="43"/>
        <v/>
      </c>
      <c r="J545" t="str">
        <f t="shared" si="44"/>
        <v/>
      </c>
      <c r="L545" t="str">
        <f t="shared" si="41"/>
        <v/>
      </c>
      <c r="M545" t="str">
        <f t="shared" si="40"/>
        <v/>
      </c>
    </row>
    <row r="546" spans="1:13" x14ac:dyDescent="0.25">
      <c r="A546" s="1" t="s">
        <v>968</v>
      </c>
      <c r="B546" s="1" t="s">
        <v>969</v>
      </c>
      <c r="E546" s="1" t="s">
        <v>970</v>
      </c>
      <c r="H546" t="str">
        <f t="shared" si="42"/>
        <v/>
      </c>
      <c r="I546" t="str">
        <f t="shared" si="43"/>
        <v/>
      </c>
      <c r="J546" t="str">
        <f t="shared" si="44"/>
        <v/>
      </c>
      <c r="L546" t="str">
        <f t="shared" si="41"/>
        <v>38</v>
      </c>
      <c r="M546">
        <f t="shared" si="40"/>
        <v>1</v>
      </c>
    </row>
    <row r="547" spans="1:13" x14ac:dyDescent="0.25">
      <c r="A547" s="1" t="s">
        <v>971</v>
      </c>
      <c r="B547" s="1" t="s">
        <v>892</v>
      </c>
      <c r="C547" s="1" t="s">
        <v>893</v>
      </c>
      <c r="E547" s="1" t="s">
        <v>894</v>
      </c>
      <c r="H547" t="str">
        <f t="shared" si="42"/>
        <v/>
      </c>
      <c r="I547" t="str">
        <f t="shared" si="43"/>
        <v/>
      </c>
      <c r="J547" t="str">
        <f t="shared" si="44"/>
        <v/>
      </c>
      <c r="L547" t="str">
        <f t="shared" si="41"/>
        <v>38</v>
      </c>
      <c r="M547">
        <f t="shared" si="40"/>
        <v>1</v>
      </c>
    </row>
    <row r="548" spans="1:13" x14ac:dyDescent="0.25">
      <c r="A548" s="1" t="s">
        <v>972</v>
      </c>
      <c r="H548" t="str">
        <f t="shared" si="42"/>
        <v/>
      </c>
      <c r="I548" t="str">
        <f t="shared" si="43"/>
        <v/>
      </c>
      <c r="J548" t="str">
        <f t="shared" si="44"/>
        <v/>
      </c>
      <c r="L548" t="str">
        <f t="shared" si="41"/>
        <v/>
      </c>
      <c r="M548" t="str">
        <f t="shared" si="40"/>
        <v/>
      </c>
    </row>
    <row r="549" spans="1:13" x14ac:dyDescent="0.25">
      <c r="A549" s="1" t="s">
        <v>973</v>
      </c>
      <c r="E549" s="1" t="s">
        <v>810</v>
      </c>
      <c r="H549" t="str">
        <f t="shared" si="42"/>
        <v>B39_USERLEGAL</v>
      </c>
      <c r="I549">
        <f t="shared" ca="1" si="43"/>
        <v>18</v>
      </c>
      <c r="J549" t="str">
        <f t="shared" ca="1" si="44"/>
        <v>"B39_USERLEGAL", 18</v>
      </c>
      <c r="L549" t="str">
        <f t="shared" si="41"/>
        <v/>
      </c>
      <c r="M549" t="str">
        <f t="shared" si="40"/>
        <v/>
      </c>
    </row>
    <row r="550" spans="1:13" x14ac:dyDescent="0.25">
      <c r="A550" s="1" t="s">
        <v>974</v>
      </c>
      <c r="H550" t="str">
        <f t="shared" si="42"/>
        <v/>
      </c>
      <c r="I550" t="str">
        <f t="shared" si="43"/>
        <v/>
      </c>
      <c r="J550" t="str">
        <f t="shared" si="44"/>
        <v/>
      </c>
      <c r="L550" t="str">
        <f t="shared" si="41"/>
        <v/>
      </c>
      <c r="M550" t="str">
        <f t="shared" si="40"/>
        <v/>
      </c>
    </row>
    <row r="551" spans="1:13" x14ac:dyDescent="0.25">
      <c r="A551" s="1" t="s">
        <v>975</v>
      </c>
      <c r="B551" s="1" t="s">
        <v>976</v>
      </c>
      <c r="C551" s="1" t="s">
        <v>977</v>
      </c>
      <c r="E551" s="1" t="s">
        <v>855</v>
      </c>
      <c r="H551" t="str">
        <f t="shared" si="42"/>
        <v/>
      </c>
      <c r="I551" t="str">
        <f t="shared" si="43"/>
        <v/>
      </c>
      <c r="J551" t="str">
        <f t="shared" si="44"/>
        <v/>
      </c>
      <c r="L551" t="str">
        <f t="shared" si="41"/>
        <v>39</v>
      </c>
      <c r="M551">
        <f t="shared" si="40"/>
        <v>1</v>
      </c>
    </row>
    <row r="552" spans="1:13" x14ac:dyDescent="0.25">
      <c r="A552" s="1" t="s">
        <v>978</v>
      </c>
      <c r="B552" s="1" t="s">
        <v>187</v>
      </c>
      <c r="C552" s="1" t="s">
        <v>857</v>
      </c>
      <c r="E552" s="1" t="s">
        <v>858</v>
      </c>
      <c r="H552" t="str">
        <f t="shared" si="42"/>
        <v/>
      </c>
      <c r="I552" t="str">
        <f t="shared" si="43"/>
        <v/>
      </c>
      <c r="J552" t="str">
        <f t="shared" si="44"/>
        <v/>
      </c>
      <c r="L552" t="str">
        <f t="shared" si="41"/>
        <v>39</v>
      </c>
      <c r="M552">
        <f t="shared" si="40"/>
        <v>1</v>
      </c>
    </row>
    <row r="553" spans="1:13" x14ac:dyDescent="0.25">
      <c r="C553" s="1" t="s">
        <v>128</v>
      </c>
      <c r="H553" t="str">
        <f t="shared" si="42"/>
        <v/>
      </c>
      <c r="I553" t="str">
        <f t="shared" si="43"/>
        <v/>
      </c>
      <c r="J553" t="str">
        <f t="shared" si="44"/>
        <v/>
      </c>
      <c r="L553" t="str">
        <f t="shared" si="41"/>
        <v/>
      </c>
      <c r="M553" t="str">
        <f t="shared" si="40"/>
        <v/>
      </c>
    </row>
    <row r="554" spans="1:13" x14ac:dyDescent="0.25">
      <c r="A554" s="1" t="s">
        <v>979</v>
      </c>
      <c r="B554" s="1" t="s">
        <v>41</v>
      </c>
      <c r="E554" s="1" t="s">
        <v>861</v>
      </c>
      <c r="H554" t="str">
        <f t="shared" si="42"/>
        <v/>
      </c>
      <c r="I554" t="str">
        <f t="shared" si="43"/>
        <v/>
      </c>
      <c r="J554" t="str">
        <f t="shared" si="44"/>
        <v/>
      </c>
      <c r="L554" t="str">
        <f t="shared" si="41"/>
        <v>39</v>
      </c>
      <c r="M554">
        <f t="shared" si="40"/>
        <v>1</v>
      </c>
    </row>
    <row r="555" spans="1:13" x14ac:dyDescent="0.25">
      <c r="A555" s="1" t="s">
        <v>980</v>
      </c>
      <c r="B555" s="1" t="s">
        <v>44</v>
      </c>
      <c r="E555" s="1" t="s">
        <v>863</v>
      </c>
      <c r="H555" t="str">
        <f t="shared" si="42"/>
        <v/>
      </c>
      <c r="I555" t="str">
        <f t="shared" si="43"/>
        <v/>
      </c>
      <c r="J555" t="str">
        <f t="shared" si="44"/>
        <v/>
      </c>
      <c r="L555" t="str">
        <f t="shared" si="41"/>
        <v>39</v>
      </c>
      <c r="M555">
        <f t="shared" si="40"/>
        <v>1</v>
      </c>
    </row>
    <row r="556" spans="1:13" x14ac:dyDescent="0.25">
      <c r="A556" s="1" t="s">
        <v>981</v>
      </c>
      <c r="B556" s="1" t="s">
        <v>47</v>
      </c>
      <c r="E556" s="1" t="s">
        <v>865</v>
      </c>
      <c r="H556" t="str">
        <f t="shared" si="42"/>
        <v/>
      </c>
      <c r="I556" t="str">
        <f t="shared" si="43"/>
        <v/>
      </c>
      <c r="J556" t="str">
        <f t="shared" si="44"/>
        <v/>
      </c>
      <c r="L556" t="str">
        <f t="shared" si="41"/>
        <v>39</v>
      </c>
      <c r="M556">
        <f t="shared" si="40"/>
        <v>1</v>
      </c>
    </row>
    <row r="557" spans="1:13" x14ac:dyDescent="0.25">
      <c r="A557" s="1" t="s">
        <v>982</v>
      </c>
      <c r="B557" s="1" t="s">
        <v>109</v>
      </c>
      <c r="E557" s="1" t="s">
        <v>867</v>
      </c>
      <c r="H557" t="str">
        <f t="shared" si="42"/>
        <v/>
      </c>
      <c r="I557" t="str">
        <f t="shared" si="43"/>
        <v/>
      </c>
      <c r="J557" t="str">
        <f t="shared" si="44"/>
        <v/>
      </c>
      <c r="L557" t="str">
        <f t="shared" si="41"/>
        <v>39</v>
      </c>
      <c r="M557">
        <f t="shared" si="40"/>
        <v>1</v>
      </c>
    </row>
    <row r="558" spans="1:13" x14ac:dyDescent="0.25">
      <c r="A558" s="1" t="s">
        <v>983</v>
      </c>
      <c r="B558" s="1" t="s">
        <v>104</v>
      </c>
      <c r="E558" s="1" t="s">
        <v>873</v>
      </c>
      <c r="H558" t="str">
        <f t="shared" si="42"/>
        <v/>
      </c>
      <c r="I558" t="str">
        <f t="shared" si="43"/>
        <v/>
      </c>
      <c r="J558" t="str">
        <f t="shared" si="44"/>
        <v/>
      </c>
      <c r="L558" t="str">
        <f t="shared" si="41"/>
        <v>39</v>
      </c>
      <c r="M558">
        <f t="shared" si="40"/>
        <v>1</v>
      </c>
    </row>
    <row r="559" spans="1:13" x14ac:dyDescent="0.25">
      <c r="A559" s="1" t="s">
        <v>984</v>
      </c>
      <c r="B559" s="1" t="s">
        <v>114</v>
      </c>
      <c r="C559" s="1" t="s">
        <v>115</v>
      </c>
      <c r="E559" s="1" t="s">
        <v>875</v>
      </c>
      <c r="H559" t="str">
        <f t="shared" si="42"/>
        <v/>
      </c>
      <c r="I559" t="str">
        <f t="shared" si="43"/>
        <v/>
      </c>
      <c r="J559" t="str">
        <f t="shared" si="44"/>
        <v/>
      </c>
      <c r="L559" t="str">
        <f t="shared" si="41"/>
        <v>39</v>
      </c>
      <c r="M559">
        <f t="shared" si="40"/>
        <v>1</v>
      </c>
    </row>
    <row r="560" spans="1:13" x14ac:dyDescent="0.25">
      <c r="A560" s="1" t="s">
        <v>985</v>
      </c>
      <c r="B560" s="1" t="s">
        <v>117</v>
      </c>
      <c r="C560" s="1" t="s">
        <v>986</v>
      </c>
      <c r="E560" s="1" t="s">
        <v>878</v>
      </c>
      <c r="H560" t="str">
        <f t="shared" si="42"/>
        <v/>
      </c>
      <c r="I560" t="str">
        <f t="shared" si="43"/>
        <v/>
      </c>
      <c r="J560" t="str">
        <f t="shared" si="44"/>
        <v/>
      </c>
      <c r="L560" t="str">
        <f t="shared" si="41"/>
        <v>39</v>
      </c>
      <c r="M560">
        <f t="shared" si="40"/>
        <v>1</v>
      </c>
    </row>
    <row r="561" spans="1:13" x14ac:dyDescent="0.25">
      <c r="C561" s="1" t="s">
        <v>118</v>
      </c>
      <c r="H561" t="str">
        <f t="shared" si="42"/>
        <v/>
      </c>
      <c r="I561" t="str">
        <f t="shared" si="43"/>
        <v/>
      </c>
      <c r="J561" t="str">
        <f t="shared" si="44"/>
        <v/>
      </c>
      <c r="L561" t="str">
        <f t="shared" si="41"/>
        <v/>
      </c>
      <c r="M561" t="str">
        <f t="shared" si="40"/>
        <v/>
      </c>
    </row>
    <row r="562" spans="1:13" x14ac:dyDescent="0.25">
      <c r="C562" s="1" t="s">
        <v>119</v>
      </c>
      <c r="H562" t="str">
        <f t="shared" si="42"/>
        <v/>
      </c>
      <c r="I562" t="str">
        <f t="shared" si="43"/>
        <v/>
      </c>
      <c r="J562" t="str">
        <f t="shared" si="44"/>
        <v/>
      </c>
      <c r="L562" t="str">
        <f t="shared" si="41"/>
        <v/>
      </c>
      <c r="M562" t="str">
        <f t="shared" si="40"/>
        <v/>
      </c>
    </row>
    <row r="563" spans="1:13" x14ac:dyDescent="0.25">
      <c r="A563" s="1" t="s">
        <v>987</v>
      </c>
      <c r="B563" s="1" t="s">
        <v>988</v>
      </c>
      <c r="C563" s="1" t="s">
        <v>989</v>
      </c>
      <c r="E563" s="1" t="s">
        <v>990</v>
      </c>
      <c r="H563" t="str">
        <f t="shared" si="42"/>
        <v/>
      </c>
      <c r="I563" t="str">
        <f t="shared" si="43"/>
        <v/>
      </c>
      <c r="J563" t="str">
        <f t="shared" si="44"/>
        <v/>
      </c>
      <c r="L563" t="str">
        <f t="shared" si="41"/>
        <v>39</v>
      </c>
      <c r="M563">
        <f t="shared" si="40"/>
        <v>1</v>
      </c>
    </row>
    <row r="564" spans="1:13" x14ac:dyDescent="0.25">
      <c r="C564" s="1" t="s">
        <v>128</v>
      </c>
      <c r="H564" t="str">
        <f t="shared" si="42"/>
        <v/>
      </c>
      <c r="I564" t="str">
        <f t="shared" si="43"/>
        <v/>
      </c>
      <c r="J564" t="str">
        <f t="shared" si="44"/>
        <v/>
      </c>
      <c r="L564" t="str">
        <f t="shared" si="41"/>
        <v/>
      </c>
      <c r="M564" t="str">
        <f t="shared" si="40"/>
        <v/>
      </c>
    </row>
    <row r="565" spans="1:13" x14ac:dyDescent="0.25">
      <c r="A565" s="1" t="s">
        <v>991</v>
      </c>
      <c r="B565" s="1" t="s">
        <v>992</v>
      </c>
      <c r="E565" s="1" t="s">
        <v>993</v>
      </c>
      <c r="H565" t="str">
        <f t="shared" si="42"/>
        <v/>
      </c>
      <c r="I565" t="str">
        <f t="shared" si="43"/>
        <v/>
      </c>
      <c r="J565" t="str">
        <f t="shared" si="44"/>
        <v/>
      </c>
      <c r="L565" t="str">
        <f t="shared" si="41"/>
        <v>39</v>
      </c>
      <c r="M565">
        <f t="shared" si="40"/>
        <v>1</v>
      </c>
    </row>
    <row r="566" spans="1:13" x14ac:dyDescent="0.25">
      <c r="A566" s="1" t="s">
        <v>994</v>
      </c>
      <c r="B566" s="1" t="s">
        <v>813</v>
      </c>
      <c r="C566" s="1" t="s">
        <v>995</v>
      </c>
      <c r="E566" s="1" t="s">
        <v>815</v>
      </c>
      <c r="H566" t="str">
        <f t="shared" si="42"/>
        <v/>
      </c>
      <c r="I566" t="str">
        <f t="shared" si="43"/>
        <v/>
      </c>
      <c r="J566" t="str">
        <f t="shared" si="44"/>
        <v/>
      </c>
      <c r="L566" t="str">
        <f t="shared" si="41"/>
        <v>39</v>
      </c>
      <c r="M566">
        <f t="shared" si="40"/>
        <v>1</v>
      </c>
    </row>
    <row r="567" spans="1:13" x14ac:dyDescent="0.25">
      <c r="A567" s="1" t="s">
        <v>996</v>
      </c>
      <c r="B567" s="1" t="s">
        <v>817</v>
      </c>
      <c r="C567" s="1" t="s">
        <v>997</v>
      </c>
      <c r="E567" s="1" t="s">
        <v>818</v>
      </c>
      <c r="H567" t="str">
        <f t="shared" si="42"/>
        <v/>
      </c>
      <c r="I567" t="str">
        <f t="shared" si="43"/>
        <v/>
      </c>
      <c r="J567" t="str">
        <f t="shared" si="44"/>
        <v/>
      </c>
      <c r="L567" t="str">
        <f t="shared" si="41"/>
        <v>39</v>
      </c>
      <c r="M567">
        <f t="shared" si="40"/>
        <v>1</v>
      </c>
    </row>
    <row r="568" spans="1:13" x14ac:dyDescent="0.25">
      <c r="A568" s="1" t="s">
        <v>998</v>
      </c>
      <c r="B568" s="1" t="s">
        <v>820</v>
      </c>
      <c r="C568" s="1" t="s">
        <v>999</v>
      </c>
      <c r="E568" s="1" t="s">
        <v>821</v>
      </c>
      <c r="H568" t="str">
        <f t="shared" si="42"/>
        <v/>
      </c>
      <c r="I568" t="str">
        <f t="shared" si="43"/>
        <v/>
      </c>
      <c r="J568" t="str">
        <f t="shared" si="44"/>
        <v/>
      </c>
      <c r="L568" t="str">
        <f t="shared" si="41"/>
        <v>39</v>
      </c>
      <c r="M568">
        <f t="shared" si="40"/>
        <v>1</v>
      </c>
    </row>
    <row r="569" spans="1:13" x14ac:dyDescent="0.25">
      <c r="A569" s="1" t="s">
        <v>1000</v>
      </c>
      <c r="B569" s="1" t="s">
        <v>823</v>
      </c>
      <c r="C569" s="1" t="s">
        <v>1001</v>
      </c>
      <c r="E569" s="1" t="s">
        <v>825</v>
      </c>
      <c r="H569" t="str">
        <f t="shared" si="42"/>
        <v/>
      </c>
      <c r="I569" t="str">
        <f t="shared" si="43"/>
        <v/>
      </c>
      <c r="J569" t="str">
        <f t="shared" si="44"/>
        <v/>
      </c>
      <c r="L569" t="str">
        <f t="shared" si="41"/>
        <v>39</v>
      </c>
      <c r="M569">
        <f t="shared" si="40"/>
        <v>1</v>
      </c>
    </row>
    <row r="570" spans="1:13" x14ac:dyDescent="0.25">
      <c r="A570" s="1" t="s">
        <v>1002</v>
      </c>
      <c r="B570" s="1" t="s">
        <v>827</v>
      </c>
      <c r="C570" s="1" t="s">
        <v>1003</v>
      </c>
      <c r="E570" s="1" t="s">
        <v>829</v>
      </c>
      <c r="H570" t="str">
        <f t="shared" si="42"/>
        <v/>
      </c>
      <c r="I570" t="str">
        <f t="shared" si="43"/>
        <v/>
      </c>
      <c r="J570" t="str">
        <f t="shared" si="44"/>
        <v/>
      </c>
      <c r="L570" t="str">
        <f t="shared" si="41"/>
        <v>39</v>
      </c>
      <c r="M570">
        <f t="shared" si="40"/>
        <v>1</v>
      </c>
    </row>
    <row r="571" spans="1:13" x14ac:dyDescent="0.25">
      <c r="A571" s="1" t="s">
        <v>1004</v>
      </c>
      <c r="B571" s="1" t="s">
        <v>831</v>
      </c>
      <c r="C571" s="1" t="s">
        <v>1005</v>
      </c>
      <c r="E571" s="1" t="s">
        <v>833</v>
      </c>
      <c r="H571" t="str">
        <f t="shared" si="42"/>
        <v/>
      </c>
      <c r="I571" t="str">
        <f t="shared" si="43"/>
        <v/>
      </c>
      <c r="J571" t="str">
        <f t="shared" si="44"/>
        <v/>
      </c>
      <c r="L571" t="str">
        <f t="shared" si="41"/>
        <v>39</v>
      </c>
      <c r="M571">
        <f t="shared" si="40"/>
        <v>1</v>
      </c>
    </row>
    <row r="572" spans="1:13" x14ac:dyDescent="0.25">
      <c r="A572" s="1" t="s">
        <v>1006</v>
      </c>
      <c r="B572" s="1" t="s">
        <v>835</v>
      </c>
      <c r="C572" s="1" t="s">
        <v>1007</v>
      </c>
      <c r="E572" s="1" t="s">
        <v>287</v>
      </c>
      <c r="H572" t="str">
        <f t="shared" si="42"/>
        <v/>
      </c>
      <c r="I572" t="str">
        <f t="shared" si="43"/>
        <v/>
      </c>
      <c r="J572" t="str">
        <f t="shared" si="44"/>
        <v/>
      </c>
      <c r="L572" t="str">
        <f t="shared" si="41"/>
        <v>39</v>
      </c>
      <c r="M572">
        <f t="shared" si="40"/>
        <v>1</v>
      </c>
    </row>
    <row r="573" spans="1:13" x14ac:dyDescent="0.25">
      <c r="A573" s="1" t="s">
        <v>1008</v>
      </c>
      <c r="E573" s="1" t="s">
        <v>810</v>
      </c>
      <c r="H573" t="str">
        <f t="shared" si="42"/>
        <v>B40_USERENTREP</v>
      </c>
      <c r="I573">
        <f t="shared" ca="1" si="43"/>
        <v>25</v>
      </c>
      <c r="J573" t="str">
        <f t="shared" ca="1" si="44"/>
        <v>"B40_USERENTREP", 25</v>
      </c>
      <c r="L573" t="str">
        <f t="shared" si="41"/>
        <v/>
      </c>
      <c r="M573" t="str">
        <f t="shared" si="40"/>
        <v/>
      </c>
    </row>
    <row r="574" spans="1:13" x14ac:dyDescent="0.25">
      <c r="A574" s="1" t="s">
        <v>1009</v>
      </c>
      <c r="H574" t="str">
        <f t="shared" si="42"/>
        <v/>
      </c>
      <c r="I574" t="str">
        <f t="shared" si="43"/>
        <v/>
      </c>
      <c r="J574" t="str">
        <f t="shared" si="44"/>
        <v/>
      </c>
      <c r="L574" t="str">
        <f t="shared" si="41"/>
        <v/>
      </c>
      <c r="M574" t="str">
        <f t="shared" si="40"/>
        <v/>
      </c>
    </row>
    <row r="575" spans="1:13" x14ac:dyDescent="0.25">
      <c r="A575" s="1" t="s">
        <v>1010</v>
      </c>
      <c r="B575" s="1" t="s">
        <v>1011</v>
      </c>
      <c r="E575" s="1" t="s">
        <v>898</v>
      </c>
      <c r="H575" t="str">
        <f t="shared" si="42"/>
        <v/>
      </c>
      <c r="I575" t="str">
        <f t="shared" si="43"/>
        <v/>
      </c>
      <c r="J575" t="str">
        <f t="shared" si="44"/>
        <v/>
      </c>
      <c r="L575" t="str">
        <f t="shared" si="41"/>
        <v>40</v>
      </c>
      <c r="M575">
        <f t="shared" si="40"/>
        <v>1</v>
      </c>
    </row>
    <row r="576" spans="1:13" x14ac:dyDescent="0.25">
      <c r="A576" s="1" t="s">
        <v>1012</v>
      </c>
      <c r="B576" s="1" t="s">
        <v>900</v>
      </c>
      <c r="E576" s="1" t="s">
        <v>901</v>
      </c>
      <c r="H576" t="str">
        <f t="shared" si="42"/>
        <v/>
      </c>
      <c r="I576" t="str">
        <f t="shared" si="43"/>
        <v/>
      </c>
      <c r="J576" t="str">
        <f t="shared" si="44"/>
        <v/>
      </c>
      <c r="L576" t="str">
        <f t="shared" si="41"/>
        <v>40</v>
      </c>
      <c r="M576">
        <f t="shared" si="40"/>
        <v>1</v>
      </c>
    </row>
    <row r="577" spans="1:13" x14ac:dyDescent="0.25">
      <c r="A577" s="1" t="s">
        <v>1013</v>
      </c>
      <c r="B577" s="1" t="s">
        <v>903</v>
      </c>
      <c r="C577" s="1" t="s">
        <v>904</v>
      </c>
      <c r="E577" s="1" t="s">
        <v>905</v>
      </c>
      <c r="H577" t="str">
        <f t="shared" si="42"/>
        <v/>
      </c>
      <c r="I577" t="str">
        <f t="shared" si="43"/>
        <v/>
      </c>
      <c r="J577" t="str">
        <f t="shared" si="44"/>
        <v/>
      </c>
      <c r="L577" t="str">
        <f t="shared" si="41"/>
        <v>40</v>
      </c>
      <c r="M577">
        <f t="shared" si="40"/>
        <v>1</v>
      </c>
    </row>
    <row r="578" spans="1:13" x14ac:dyDescent="0.25">
      <c r="A578" s="1" t="s">
        <v>1014</v>
      </c>
      <c r="B578" s="1" t="s">
        <v>907</v>
      </c>
      <c r="E578" s="1" t="s">
        <v>908</v>
      </c>
      <c r="H578" t="str">
        <f t="shared" si="42"/>
        <v/>
      </c>
      <c r="I578" t="str">
        <f t="shared" si="43"/>
        <v/>
      </c>
      <c r="J578" t="str">
        <f t="shared" si="44"/>
        <v/>
      </c>
      <c r="L578" t="str">
        <f t="shared" si="41"/>
        <v>40</v>
      </c>
      <c r="M578">
        <f t="shared" ref="M578:M641" si="45">IF(AND(LEN(A578)&lt;6,A578&lt;&gt;""),1,"")</f>
        <v>1</v>
      </c>
    </row>
    <row r="579" spans="1:13" x14ac:dyDescent="0.25">
      <c r="A579" s="1" t="s">
        <v>1015</v>
      </c>
      <c r="B579" s="1" t="s">
        <v>910</v>
      </c>
      <c r="E579" s="1" t="s">
        <v>911</v>
      </c>
      <c r="H579" t="str">
        <f t="shared" si="42"/>
        <v/>
      </c>
      <c r="I579" t="str">
        <f t="shared" si="43"/>
        <v/>
      </c>
      <c r="J579" t="str">
        <f t="shared" si="44"/>
        <v/>
      </c>
      <c r="L579" t="str">
        <f t="shared" ref="L579:L642" si="46">IFERROR(IF(LEN(A579)&lt;=5,TRIM(LEFT(A579,SEARCH(".",A579)-1)),""),"")</f>
        <v>40</v>
      </c>
      <c r="M579">
        <f t="shared" si="45"/>
        <v>1</v>
      </c>
    </row>
    <row r="580" spans="1:13" x14ac:dyDescent="0.25">
      <c r="A580" s="1" t="s">
        <v>1016</v>
      </c>
      <c r="B580" s="1" t="s">
        <v>104</v>
      </c>
      <c r="E580" s="1" t="s">
        <v>873</v>
      </c>
      <c r="H580" t="str">
        <f t="shared" si="42"/>
        <v/>
      </c>
      <c r="I580" t="str">
        <f t="shared" si="43"/>
        <v/>
      </c>
      <c r="J580" t="str">
        <f t="shared" si="44"/>
        <v/>
      </c>
      <c r="L580" t="str">
        <f t="shared" si="46"/>
        <v>40</v>
      </c>
      <c r="M580">
        <f t="shared" si="45"/>
        <v>1</v>
      </c>
    </row>
    <row r="581" spans="1:13" x14ac:dyDescent="0.25">
      <c r="A581" s="1" t="s">
        <v>1017</v>
      </c>
      <c r="B581" s="1" t="s">
        <v>114</v>
      </c>
      <c r="C581" s="1" t="s">
        <v>115</v>
      </c>
      <c r="E581" s="1" t="s">
        <v>875</v>
      </c>
      <c r="H581" t="str">
        <f t="shared" si="42"/>
        <v/>
      </c>
      <c r="I581" t="str">
        <f t="shared" si="43"/>
        <v/>
      </c>
      <c r="J581" t="str">
        <f t="shared" si="44"/>
        <v/>
      </c>
      <c r="L581" t="str">
        <f t="shared" si="46"/>
        <v>40</v>
      </c>
      <c r="M581">
        <f t="shared" si="45"/>
        <v>1</v>
      </c>
    </row>
    <row r="582" spans="1:13" x14ac:dyDescent="0.25">
      <c r="A582" s="1" t="s">
        <v>1018</v>
      </c>
      <c r="B582" s="1" t="s">
        <v>117</v>
      </c>
      <c r="C582" s="1" t="s">
        <v>1019</v>
      </c>
      <c r="E582" s="1" t="s">
        <v>878</v>
      </c>
      <c r="H582" t="str">
        <f t="shared" si="42"/>
        <v/>
      </c>
      <c r="I582" t="str">
        <f t="shared" si="43"/>
        <v/>
      </c>
      <c r="J582" t="str">
        <f t="shared" si="44"/>
        <v/>
      </c>
      <c r="L582" t="str">
        <f t="shared" si="46"/>
        <v>40</v>
      </c>
      <c r="M582">
        <f t="shared" si="45"/>
        <v>1</v>
      </c>
    </row>
    <row r="583" spans="1:13" x14ac:dyDescent="0.25">
      <c r="C583" s="1" t="s">
        <v>118</v>
      </c>
      <c r="H583" t="str">
        <f t="shared" ref="H583:H646" si="47">IFERROR(TRIM(IF(SEARCH("Блок ",A583),IF(SEARCH("B",A583),RIGHT(A583,LEN(A583)-SEARCH("B",A583)+1)),"")),"")</f>
        <v/>
      </c>
      <c r="I583" t="str">
        <f t="shared" ref="I583:I646" si="48">IFERROR(IF(H583&lt;&gt;"",SUMIF(L:M,TRIM(MID(A583,SEARCH(" ",A583),SEARCH(". ",A583)-5)),M:M),""),"")</f>
        <v/>
      </c>
      <c r="J583" t="str">
        <f t="shared" ref="J583:J646" si="49">CLEAN(TRIM(IF(H583&lt;&gt;"",""""&amp;H583&amp;""""&amp;", "&amp;I583,"")))</f>
        <v/>
      </c>
      <c r="L583" t="str">
        <f t="shared" si="46"/>
        <v/>
      </c>
      <c r="M583" t="str">
        <f t="shared" si="45"/>
        <v/>
      </c>
    </row>
    <row r="584" spans="1:13" x14ac:dyDescent="0.25">
      <c r="C584" s="1" t="s">
        <v>119</v>
      </c>
      <c r="H584" t="str">
        <f t="shared" si="47"/>
        <v/>
      </c>
      <c r="I584" t="str">
        <f t="shared" si="48"/>
        <v/>
      </c>
      <c r="J584" t="str">
        <f t="shared" si="49"/>
        <v/>
      </c>
      <c r="L584" t="str">
        <f t="shared" si="46"/>
        <v/>
      </c>
      <c r="M584" t="str">
        <f t="shared" si="45"/>
        <v/>
      </c>
    </row>
    <row r="585" spans="1:13" x14ac:dyDescent="0.25">
      <c r="A585" s="1" t="s">
        <v>1020</v>
      </c>
      <c r="B585" s="1" t="s">
        <v>969</v>
      </c>
      <c r="E585" s="1" t="s">
        <v>970</v>
      </c>
      <c r="H585" t="str">
        <f t="shared" si="47"/>
        <v/>
      </c>
      <c r="I585" t="str">
        <f t="shared" si="48"/>
        <v/>
      </c>
      <c r="J585" t="str">
        <f t="shared" si="49"/>
        <v/>
      </c>
      <c r="L585" t="str">
        <f t="shared" si="46"/>
        <v>40</v>
      </c>
      <c r="M585">
        <f t="shared" si="45"/>
        <v>1</v>
      </c>
    </row>
    <row r="586" spans="1:13" x14ac:dyDescent="0.25">
      <c r="A586" s="1" t="s">
        <v>1021</v>
      </c>
      <c r="B586" s="1" t="s">
        <v>913</v>
      </c>
      <c r="C586" s="1" t="s">
        <v>914</v>
      </c>
      <c r="E586" s="1" t="s">
        <v>915</v>
      </c>
      <c r="H586" t="str">
        <f t="shared" si="47"/>
        <v/>
      </c>
      <c r="I586" t="str">
        <f t="shared" si="48"/>
        <v/>
      </c>
      <c r="J586" t="str">
        <f t="shared" si="49"/>
        <v/>
      </c>
      <c r="L586" t="str">
        <f t="shared" si="46"/>
        <v>40</v>
      </c>
      <c r="M586">
        <f t="shared" si="45"/>
        <v>1</v>
      </c>
    </row>
    <row r="587" spans="1:13" x14ac:dyDescent="0.25">
      <c r="A587" s="1" t="s">
        <v>1022</v>
      </c>
      <c r="B587" s="1" t="s">
        <v>917</v>
      </c>
      <c r="C587" s="1" t="s">
        <v>918</v>
      </c>
      <c r="E587" s="1" t="s">
        <v>919</v>
      </c>
      <c r="H587" t="str">
        <f t="shared" si="47"/>
        <v/>
      </c>
      <c r="I587" t="str">
        <f t="shared" si="48"/>
        <v/>
      </c>
      <c r="J587" t="str">
        <f t="shared" si="49"/>
        <v/>
      </c>
      <c r="L587" t="str">
        <f t="shared" si="46"/>
        <v>40</v>
      </c>
      <c r="M587">
        <f t="shared" si="45"/>
        <v>1</v>
      </c>
    </row>
    <row r="588" spans="1:13" x14ac:dyDescent="0.25">
      <c r="A588" s="1" t="s">
        <v>1023</v>
      </c>
      <c r="B588" s="1" t="s">
        <v>921</v>
      </c>
      <c r="E588" s="1" t="s">
        <v>922</v>
      </c>
      <c r="H588" t="str">
        <f t="shared" si="47"/>
        <v/>
      </c>
      <c r="I588" t="str">
        <f t="shared" si="48"/>
        <v/>
      </c>
      <c r="J588" t="str">
        <f t="shared" si="49"/>
        <v/>
      </c>
      <c r="L588" t="str">
        <f t="shared" si="46"/>
        <v>40</v>
      </c>
      <c r="M588">
        <f t="shared" si="45"/>
        <v>1</v>
      </c>
    </row>
    <row r="589" spans="1:13" x14ac:dyDescent="0.25">
      <c r="A589" s="1" t="s">
        <v>1024</v>
      </c>
      <c r="B589" s="1" t="s">
        <v>924</v>
      </c>
      <c r="E589" s="1" t="s">
        <v>925</v>
      </c>
      <c r="H589" t="str">
        <f t="shared" si="47"/>
        <v/>
      </c>
      <c r="I589" t="str">
        <f t="shared" si="48"/>
        <v/>
      </c>
      <c r="J589" t="str">
        <f t="shared" si="49"/>
        <v/>
      </c>
      <c r="L589" t="str">
        <f t="shared" si="46"/>
        <v>40</v>
      </c>
      <c r="M589">
        <f t="shared" si="45"/>
        <v>1</v>
      </c>
    </row>
    <row r="590" spans="1:13" x14ac:dyDescent="0.25">
      <c r="A590" s="1" t="s">
        <v>1025</v>
      </c>
      <c r="B590" s="1" t="s">
        <v>927</v>
      </c>
      <c r="E590" s="1" t="s">
        <v>928</v>
      </c>
      <c r="H590" t="str">
        <f t="shared" si="47"/>
        <v/>
      </c>
      <c r="I590" t="str">
        <f t="shared" si="48"/>
        <v/>
      </c>
      <c r="J590" t="str">
        <f t="shared" si="49"/>
        <v/>
      </c>
      <c r="L590" t="str">
        <f t="shared" si="46"/>
        <v>40</v>
      </c>
      <c r="M590">
        <f t="shared" si="45"/>
        <v>1</v>
      </c>
    </row>
    <row r="591" spans="1:13" x14ac:dyDescent="0.25">
      <c r="A591" s="1" t="s">
        <v>1026</v>
      </c>
      <c r="B591" s="1" t="s">
        <v>930</v>
      </c>
      <c r="C591" s="1" t="s">
        <v>931</v>
      </c>
      <c r="E591" s="1" t="s">
        <v>933</v>
      </c>
      <c r="H591" t="str">
        <f t="shared" si="47"/>
        <v/>
      </c>
      <c r="I591" t="str">
        <f t="shared" si="48"/>
        <v/>
      </c>
      <c r="J591" t="str">
        <f t="shared" si="49"/>
        <v/>
      </c>
      <c r="L591" t="str">
        <f t="shared" si="46"/>
        <v>40</v>
      </c>
      <c r="M591">
        <f t="shared" si="45"/>
        <v>1</v>
      </c>
    </row>
    <row r="592" spans="1:13" x14ac:dyDescent="0.25">
      <c r="C592" s="1" t="s">
        <v>932</v>
      </c>
      <c r="H592" t="str">
        <f t="shared" si="47"/>
        <v/>
      </c>
      <c r="I592" t="str">
        <f t="shared" si="48"/>
        <v/>
      </c>
      <c r="J592" t="str">
        <f t="shared" si="49"/>
        <v/>
      </c>
      <c r="L592" t="str">
        <f t="shared" si="46"/>
        <v/>
      </c>
      <c r="M592" t="str">
        <f t="shared" si="45"/>
        <v/>
      </c>
    </row>
    <row r="593" spans="1:13" x14ac:dyDescent="0.25">
      <c r="A593" s="1" t="s">
        <v>1027</v>
      </c>
      <c r="B593" s="1" t="s">
        <v>935</v>
      </c>
      <c r="C593" s="1" t="s">
        <v>936</v>
      </c>
      <c r="E593" s="1" t="s">
        <v>937</v>
      </c>
      <c r="H593" t="str">
        <f t="shared" si="47"/>
        <v/>
      </c>
      <c r="I593" t="str">
        <f t="shared" si="48"/>
        <v/>
      </c>
      <c r="J593" t="str">
        <f t="shared" si="49"/>
        <v/>
      </c>
      <c r="L593" t="str">
        <f t="shared" si="46"/>
        <v>40</v>
      </c>
      <c r="M593">
        <f t="shared" si="45"/>
        <v>1</v>
      </c>
    </row>
    <row r="594" spans="1:13" x14ac:dyDescent="0.25">
      <c r="A594" s="1" t="s">
        <v>1028</v>
      </c>
      <c r="B594" s="1" t="s">
        <v>988</v>
      </c>
      <c r="C594" s="1" t="s">
        <v>1029</v>
      </c>
      <c r="E594" s="1" t="s">
        <v>990</v>
      </c>
      <c r="H594" t="str">
        <f t="shared" si="47"/>
        <v/>
      </c>
      <c r="I594" t="str">
        <f t="shared" si="48"/>
        <v/>
      </c>
      <c r="J594" t="str">
        <f t="shared" si="49"/>
        <v/>
      </c>
      <c r="L594" t="str">
        <f t="shared" si="46"/>
        <v>40</v>
      </c>
      <c r="M594">
        <f t="shared" si="45"/>
        <v>1</v>
      </c>
    </row>
    <row r="595" spans="1:13" x14ac:dyDescent="0.25">
      <c r="C595" s="1" t="s">
        <v>128</v>
      </c>
      <c r="H595" t="str">
        <f t="shared" si="47"/>
        <v/>
      </c>
      <c r="I595" t="str">
        <f t="shared" si="48"/>
        <v/>
      </c>
      <c r="J595" t="str">
        <f t="shared" si="49"/>
        <v/>
      </c>
      <c r="L595" t="str">
        <f t="shared" si="46"/>
        <v/>
      </c>
      <c r="M595" t="str">
        <f t="shared" si="45"/>
        <v/>
      </c>
    </row>
    <row r="596" spans="1:13" x14ac:dyDescent="0.25">
      <c r="A596" s="1" t="s">
        <v>1030</v>
      </c>
      <c r="B596" s="1" t="s">
        <v>992</v>
      </c>
      <c r="E596" s="1" t="s">
        <v>993</v>
      </c>
      <c r="H596" t="str">
        <f t="shared" si="47"/>
        <v/>
      </c>
      <c r="I596" t="str">
        <f t="shared" si="48"/>
        <v/>
      </c>
      <c r="J596" t="str">
        <f t="shared" si="49"/>
        <v/>
      </c>
      <c r="L596" t="str">
        <f t="shared" si="46"/>
        <v>40</v>
      </c>
      <c r="M596">
        <f t="shared" si="45"/>
        <v>1</v>
      </c>
    </row>
    <row r="597" spans="1:13" x14ac:dyDescent="0.25">
      <c r="A597" s="1" t="s">
        <v>1031</v>
      </c>
      <c r="B597" s="1" t="s">
        <v>813</v>
      </c>
      <c r="C597" s="1" t="s">
        <v>995</v>
      </c>
      <c r="E597" s="1" t="s">
        <v>815</v>
      </c>
      <c r="H597" t="str">
        <f t="shared" si="47"/>
        <v/>
      </c>
      <c r="I597" t="str">
        <f t="shared" si="48"/>
        <v/>
      </c>
      <c r="J597" t="str">
        <f t="shared" si="49"/>
        <v/>
      </c>
      <c r="L597" t="str">
        <f t="shared" si="46"/>
        <v>40</v>
      </c>
      <c r="M597">
        <f t="shared" si="45"/>
        <v>1</v>
      </c>
    </row>
    <row r="598" spans="1:13" x14ac:dyDescent="0.25">
      <c r="A598" s="1" t="s">
        <v>1032</v>
      </c>
      <c r="B598" s="1" t="s">
        <v>817</v>
      </c>
      <c r="C598" s="1" t="s">
        <v>997</v>
      </c>
      <c r="E598" s="1" t="s">
        <v>818</v>
      </c>
      <c r="H598" t="str">
        <f t="shared" si="47"/>
        <v/>
      </c>
      <c r="I598" t="str">
        <f t="shared" si="48"/>
        <v/>
      </c>
      <c r="J598" t="str">
        <f t="shared" si="49"/>
        <v/>
      </c>
      <c r="L598" t="str">
        <f t="shared" si="46"/>
        <v>40</v>
      </c>
      <c r="M598">
        <f t="shared" si="45"/>
        <v>1</v>
      </c>
    </row>
    <row r="599" spans="1:13" x14ac:dyDescent="0.25">
      <c r="A599" s="1" t="s">
        <v>1033</v>
      </c>
      <c r="B599" s="1" t="s">
        <v>820</v>
      </c>
      <c r="C599" s="1" t="s">
        <v>999</v>
      </c>
      <c r="E599" s="1" t="s">
        <v>821</v>
      </c>
      <c r="H599" t="str">
        <f t="shared" si="47"/>
        <v/>
      </c>
      <c r="I599" t="str">
        <f t="shared" si="48"/>
        <v/>
      </c>
      <c r="J599" t="str">
        <f t="shared" si="49"/>
        <v/>
      </c>
      <c r="L599" t="str">
        <f t="shared" si="46"/>
        <v>40</v>
      </c>
      <c r="M599">
        <f t="shared" si="45"/>
        <v>1</v>
      </c>
    </row>
    <row r="600" spans="1:13" x14ac:dyDescent="0.25">
      <c r="A600" s="1" t="s">
        <v>1034</v>
      </c>
      <c r="B600" s="1" t="s">
        <v>823</v>
      </c>
      <c r="C600" s="1" t="s">
        <v>1001</v>
      </c>
      <c r="E600" s="1" t="s">
        <v>825</v>
      </c>
      <c r="H600" t="str">
        <f t="shared" si="47"/>
        <v/>
      </c>
      <c r="I600" t="str">
        <f t="shared" si="48"/>
        <v/>
      </c>
      <c r="J600" t="str">
        <f t="shared" si="49"/>
        <v/>
      </c>
      <c r="L600" t="str">
        <f t="shared" si="46"/>
        <v>40</v>
      </c>
      <c r="M600">
        <f t="shared" si="45"/>
        <v>1</v>
      </c>
    </row>
    <row r="601" spans="1:13" x14ac:dyDescent="0.25">
      <c r="A601" s="1" t="s">
        <v>1035</v>
      </c>
      <c r="B601" s="1" t="s">
        <v>827</v>
      </c>
      <c r="C601" s="1" t="s">
        <v>1003</v>
      </c>
      <c r="E601" s="1" t="s">
        <v>829</v>
      </c>
      <c r="H601" t="str">
        <f t="shared" si="47"/>
        <v/>
      </c>
      <c r="I601" t="str">
        <f t="shared" si="48"/>
        <v/>
      </c>
      <c r="J601" t="str">
        <f t="shared" si="49"/>
        <v/>
      </c>
      <c r="L601" t="str">
        <f t="shared" si="46"/>
        <v>40</v>
      </c>
      <c r="M601">
        <f t="shared" si="45"/>
        <v>1</v>
      </c>
    </row>
    <row r="602" spans="1:13" x14ac:dyDescent="0.25">
      <c r="A602" s="1" t="s">
        <v>1036</v>
      </c>
      <c r="B602" s="1" t="s">
        <v>831</v>
      </c>
      <c r="C602" s="1" t="s">
        <v>1005</v>
      </c>
      <c r="E602" s="1" t="s">
        <v>833</v>
      </c>
      <c r="H602" t="str">
        <f t="shared" si="47"/>
        <v/>
      </c>
      <c r="I602" t="str">
        <f t="shared" si="48"/>
        <v/>
      </c>
      <c r="J602" t="str">
        <f t="shared" si="49"/>
        <v/>
      </c>
      <c r="L602" t="str">
        <f t="shared" si="46"/>
        <v>40</v>
      </c>
      <c r="M602">
        <f t="shared" si="45"/>
        <v>1</v>
      </c>
    </row>
    <row r="603" spans="1:13" x14ac:dyDescent="0.25">
      <c r="A603" s="1" t="s">
        <v>1037</v>
      </c>
      <c r="B603" s="1" t="s">
        <v>835</v>
      </c>
      <c r="C603" s="1" t="s">
        <v>1007</v>
      </c>
      <c r="E603" s="1" t="s">
        <v>287</v>
      </c>
      <c r="H603" t="str">
        <f t="shared" si="47"/>
        <v/>
      </c>
      <c r="I603" t="str">
        <f t="shared" si="48"/>
        <v/>
      </c>
      <c r="J603" t="str">
        <f t="shared" si="49"/>
        <v/>
      </c>
      <c r="L603" t="str">
        <f t="shared" si="46"/>
        <v>40</v>
      </c>
      <c r="M603">
        <f t="shared" si="45"/>
        <v>1</v>
      </c>
    </row>
    <row r="604" spans="1:13" x14ac:dyDescent="0.25">
      <c r="A604" s="1" t="s">
        <v>1038</v>
      </c>
      <c r="H604" t="str">
        <f t="shared" si="47"/>
        <v/>
      </c>
      <c r="I604" t="str">
        <f t="shared" si="48"/>
        <v/>
      </c>
      <c r="J604" t="str">
        <f t="shared" si="49"/>
        <v/>
      </c>
      <c r="L604" t="str">
        <f t="shared" si="46"/>
        <v/>
      </c>
      <c r="M604" t="str">
        <f t="shared" si="45"/>
        <v/>
      </c>
    </row>
    <row r="605" spans="1:13" x14ac:dyDescent="0.25">
      <c r="A605" s="1" t="s">
        <v>1039</v>
      </c>
      <c r="D605" s="1" t="s">
        <v>941</v>
      </c>
      <c r="E605" s="1" t="s">
        <v>1040</v>
      </c>
      <c r="H605" t="str">
        <f t="shared" si="47"/>
        <v>B41_ACQUIRERLEGAL</v>
      </c>
      <c r="I605">
        <f t="shared" ca="1" si="48"/>
        <v>10</v>
      </c>
      <c r="J605" t="str">
        <f t="shared" ca="1" si="49"/>
        <v>"B41_ACQUIRERLEGAL", 10</v>
      </c>
      <c r="L605" t="str">
        <f t="shared" si="46"/>
        <v/>
      </c>
      <c r="M605" t="str">
        <f t="shared" si="45"/>
        <v/>
      </c>
    </row>
    <row r="606" spans="1:13" x14ac:dyDescent="0.25">
      <c r="A606" s="1" t="s">
        <v>1041</v>
      </c>
      <c r="H606" t="str">
        <f t="shared" si="47"/>
        <v/>
      </c>
      <c r="I606" t="str">
        <f t="shared" si="48"/>
        <v/>
      </c>
      <c r="J606" t="str">
        <f t="shared" si="49"/>
        <v/>
      </c>
      <c r="L606" t="str">
        <f t="shared" si="46"/>
        <v/>
      </c>
      <c r="M606" t="str">
        <f t="shared" si="45"/>
        <v/>
      </c>
    </row>
    <row r="607" spans="1:13" x14ac:dyDescent="0.25">
      <c r="A607" s="1" t="s">
        <v>1042</v>
      </c>
      <c r="B607" s="1" t="s">
        <v>1043</v>
      </c>
      <c r="C607" s="1" t="s">
        <v>1044</v>
      </c>
      <c r="E607" s="1" t="s">
        <v>1045</v>
      </c>
      <c r="H607" t="str">
        <f t="shared" si="47"/>
        <v/>
      </c>
      <c r="I607" t="str">
        <f t="shared" si="48"/>
        <v/>
      </c>
      <c r="J607" t="str">
        <f t="shared" si="49"/>
        <v/>
      </c>
      <c r="L607" t="str">
        <f t="shared" si="46"/>
        <v>41</v>
      </c>
      <c r="M607">
        <f t="shared" si="45"/>
        <v>1</v>
      </c>
    </row>
    <row r="608" spans="1:13" x14ac:dyDescent="0.25">
      <c r="A608" s="1" t="s">
        <v>1046</v>
      </c>
      <c r="B608" s="1" t="s">
        <v>187</v>
      </c>
      <c r="C608" s="1" t="s">
        <v>857</v>
      </c>
      <c r="E608" s="1" t="s">
        <v>1047</v>
      </c>
      <c r="H608" t="str">
        <f t="shared" si="47"/>
        <v/>
      </c>
      <c r="I608" t="str">
        <f t="shared" si="48"/>
        <v/>
      </c>
      <c r="J608" t="str">
        <f t="shared" si="49"/>
        <v/>
      </c>
      <c r="L608" t="str">
        <f t="shared" si="46"/>
        <v>41</v>
      </c>
      <c r="M608">
        <f t="shared" si="45"/>
        <v>1</v>
      </c>
    </row>
    <row r="609" spans="1:13" x14ac:dyDescent="0.25">
      <c r="C609" s="1" t="s">
        <v>128</v>
      </c>
      <c r="H609" t="str">
        <f t="shared" si="47"/>
        <v/>
      </c>
      <c r="I609" t="str">
        <f t="shared" si="48"/>
        <v/>
      </c>
      <c r="J609" t="str">
        <f t="shared" si="49"/>
        <v/>
      </c>
      <c r="L609" t="str">
        <f t="shared" si="46"/>
        <v/>
      </c>
      <c r="M609" t="str">
        <f t="shared" si="45"/>
        <v/>
      </c>
    </row>
    <row r="610" spans="1:13" x14ac:dyDescent="0.25">
      <c r="A610" s="1" t="s">
        <v>1048</v>
      </c>
      <c r="B610" s="1" t="s">
        <v>41</v>
      </c>
      <c r="D610" s="1" t="s">
        <v>1049</v>
      </c>
      <c r="E610" s="1" t="s">
        <v>1050</v>
      </c>
      <c r="H610" t="str">
        <f t="shared" si="47"/>
        <v/>
      </c>
      <c r="I610" t="str">
        <f t="shared" si="48"/>
        <v/>
      </c>
      <c r="J610" t="str">
        <f t="shared" si="49"/>
        <v/>
      </c>
      <c r="L610" t="str">
        <f t="shared" si="46"/>
        <v>41</v>
      </c>
      <c r="M610">
        <f t="shared" si="45"/>
        <v>1</v>
      </c>
    </row>
    <row r="611" spans="1:13" x14ac:dyDescent="0.25">
      <c r="A611" s="1" t="s">
        <v>1051</v>
      </c>
      <c r="B611" s="1" t="s">
        <v>44</v>
      </c>
      <c r="E611" s="1" t="s">
        <v>1052</v>
      </c>
      <c r="H611" t="str">
        <f t="shared" si="47"/>
        <v/>
      </c>
      <c r="I611" t="str">
        <f t="shared" si="48"/>
        <v/>
      </c>
      <c r="J611" t="str">
        <f t="shared" si="49"/>
        <v/>
      </c>
      <c r="L611" t="str">
        <f t="shared" si="46"/>
        <v>41</v>
      </c>
      <c r="M611">
        <f t="shared" si="45"/>
        <v>1</v>
      </c>
    </row>
    <row r="612" spans="1:13" x14ac:dyDescent="0.25">
      <c r="A612" s="1" t="s">
        <v>1053</v>
      </c>
      <c r="B612" s="1" t="s">
        <v>47</v>
      </c>
      <c r="E612" s="1" t="s">
        <v>1054</v>
      </c>
      <c r="H612" t="str">
        <f t="shared" si="47"/>
        <v/>
      </c>
      <c r="I612" t="str">
        <f t="shared" si="48"/>
        <v/>
      </c>
      <c r="J612" t="str">
        <f t="shared" si="49"/>
        <v/>
      </c>
      <c r="L612" t="str">
        <f t="shared" si="46"/>
        <v>41</v>
      </c>
      <c r="M612">
        <f t="shared" si="45"/>
        <v>1</v>
      </c>
    </row>
    <row r="613" spans="1:13" x14ac:dyDescent="0.25">
      <c r="A613" s="1" t="s">
        <v>1055</v>
      </c>
      <c r="B613" s="1" t="s">
        <v>109</v>
      </c>
      <c r="E613" s="1" t="s">
        <v>1056</v>
      </c>
      <c r="H613" t="str">
        <f t="shared" si="47"/>
        <v/>
      </c>
      <c r="I613" t="str">
        <f t="shared" si="48"/>
        <v/>
      </c>
      <c r="J613" t="str">
        <f t="shared" si="49"/>
        <v/>
      </c>
      <c r="L613" t="str">
        <f t="shared" si="46"/>
        <v>41</v>
      </c>
      <c r="M613">
        <f t="shared" si="45"/>
        <v>1</v>
      </c>
    </row>
    <row r="614" spans="1:13" x14ac:dyDescent="0.25">
      <c r="A614" s="1" t="s">
        <v>1057</v>
      </c>
      <c r="B614" s="1" t="s">
        <v>104</v>
      </c>
      <c r="D614" s="1" t="s">
        <v>16</v>
      </c>
      <c r="E614" s="1" t="s">
        <v>1058</v>
      </c>
      <c r="H614" t="str">
        <f t="shared" si="47"/>
        <v/>
      </c>
      <c r="I614" t="str">
        <f t="shared" si="48"/>
        <v/>
      </c>
      <c r="J614" t="str">
        <f t="shared" si="49"/>
        <v/>
      </c>
      <c r="L614" t="str">
        <f t="shared" si="46"/>
        <v>41</v>
      </c>
      <c r="M614">
        <f t="shared" si="45"/>
        <v>1</v>
      </c>
    </row>
    <row r="615" spans="1:13" x14ac:dyDescent="0.25">
      <c r="A615" s="1" t="s">
        <v>1059</v>
      </c>
      <c r="B615" s="1" t="s">
        <v>114</v>
      </c>
      <c r="C615" s="1" t="s">
        <v>115</v>
      </c>
      <c r="E615" s="1" t="s">
        <v>1060</v>
      </c>
      <c r="H615" t="str">
        <f t="shared" si="47"/>
        <v/>
      </c>
      <c r="I615" t="str">
        <f t="shared" si="48"/>
        <v/>
      </c>
      <c r="J615" t="str">
        <f t="shared" si="49"/>
        <v/>
      </c>
      <c r="L615" t="str">
        <f t="shared" si="46"/>
        <v>41</v>
      </c>
      <c r="M615">
        <f t="shared" si="45"/>
        <v>1</v>
      </c>
    </row>
    <row r="616" spans="1:13" x14ac:dyDescent="0.25">
      <c r="A616" s="1" t="s">
        <v>1061</v>
      </c>
      <c r="B616" s="1" t="s">
        <v>117</v>
      </c>
      <c r="C616" s="1" t="s">
        <v>1062</v>
      </c>
      <c r="E616" s="1" t="s">
        <v>1063</v>
      </c>
      <c r="H616" t="str">
        <f t="shared" si="47"/>
        <v/>
      </c>
      <c r="I616" t="str">
        <f t="shared" si="48"/>
        <v/>
      </c>
      <c r="J616" t="str">
        <f t="shared" si="49"/>
        <v/>
      </c>
      <c r="L616" t="str">
        <f t="shared" si="46"/>
        <v>41</v>
      </c>
      <c r="M616">
        <f t="shared" si="45"/>
        <v>1</v>
      </c>
    </row>
    <row r="617" spans="1:13" x14ac:dyDescent="0.25">
      <c r="C617" s="1" t="s">
        <v>118</v>
      </c>
      <c r="H617" t="str">
        <f t="shared" si="47"/>
        <v/>
      </c>
      <c r="I617" t="str">
        <f t="shared" si="48"/>
        <v/>
      </c>
      <c r="J617" t="str">
        <f t="shared" si="49"/>
        <v/>
      </c>
      <c r="L617" t="str">
        <f t="shared" si="46"/>
        <v/>
      </c>
      <c r="M617" t="str">
        <f t="shared" si="45"/>
        <v/>
      </c>
    </row>
    <row r="618" spans="1:13" x14ac:dyDescent="0.25">
      <c r="C618" s="1" t="s">
        <v>967</v>
      </c>
      <c r="H618" t="str">
        <f t="shared" si="47"/>
        <v/>
      </c>
      <c r="I618" t="str">
        <f t="shared" si="48"/>
        <v/>
      </c>
      <c r="J618" t="str">
        <f t="shared" si="49"/>
        <v/>
      </c>
      <c r="L618" t="str">
        <f t="shared" si="46"/>
        <v/>
      </c>
      <c r="M618" t="str">
        <f t="shared" si="45"/>
        <v/>
      </c>
    </row>
    <row r="619" spans="1:13" x14ac:dyDescent="0.25">
      <c r="A619" s="1" t="s">
        <v>1064</v>
      </c>
      <c r="B619" s="1" t="s">
        <v>1065</v>
      </c>
      <c r="C619" s="1" t="s">
        <v>1066</v>
      </c>
      <c r="D619" s="1" t="s">
        <v>16</v>
      </c>
      <c r="E619" s="1" t="s">
        <v>1067</v>
      </c>
      <c r="H619" t="str">
        <f t="shared" si="47"/>
        <v/>
      </c>
      <c r="I619" t="str">
        <f t="shared" si="48"/>
        <v/>
      </c>
      <c r="J619" t="str">
        <f t="shared" si="49"/>
        <v/>
      </c>
      <c r="L619" t="str">
        <f t="shared" si="46"/>
        <v>41</v>
      </c>
      <c r="M619">
        <f t="shared" si="45"/>
        <v>1</v>
      </c>
    </row>
    <row r="620" spans="1:13" x14ac:dyDescent="0.25">
      <c r="A620" s="1" t="s">
        <v>1068</v>
      </c>
      <c r="D620" s="1" t="s">
        <v>941</v>
      </c>
      <c r="E620" s="1" t="s">
        <v>1069</v>
      </c>
      <c r="H620" t="str">
        <f t="shared" si="47"/>
        <v>B42_ACQUIRERINDIVID</v>
      </c>
      <c r="I620">
        <f t="shared" ca="1" si="48"/>
        <v>16</v>
      </c>
      <c r="J620" t="str">
        <f t="shared" ca="1" si="49"/>
        <v>"B42_ACQUIRERINDIVID", 16</v>
      </c>
      <c r="L620" t="str">
        <f t="shared" si="46"/>
        <v/>
      </c>
      <c r="M620" t="str">
        <f t="shared" si="45"/>
        <v/>
      </c>
    </row>
    <row r="621" spans="1:13" x14ac:dyDescent="0.25">
      <c r="A621" s="1" t="s">
        <v>1041</v>
      </c>
      <c r="H621" t="str">
        <f t="shared" si="47"/>
        <v/>
      </c>
      <c r="I621" t="str">
        <f t="shared" si="48"/>
        <v/>
      </c>
      <c r="J621" t="str">
        <f t="shared" si="49"/>
        <v/>
      </c>
      <c r="L621" t="str">
        <f t="shared" si="46"/>
        <v/>
      </c>
      <c r="M621" t="str">
        <f t="shared" si="45"/>
        <v/>
      </c>
    </row>
    <row r="622" spans="1:13" x14ac:dyDescent="0.25">
      <c r="A622" s="1" t="s">
        <v>1070</v>
      </c>
      <c r="B622" s="1" t="s">
        <v>897</v>
      </c>
      <c r="E622" s="1" t="s">
        <v>1071</v>
      </c>
      <c r="H622" t="str">
        <f t="shared" si="47"/>
        <v/>
      </c>
      <c r="I622" t="str">
        <f t="shared" si="48"/>
        <v/>
      </c>
      <c r="J622" t="str">
        <f t="shared" si="49"/>
        <v/>
      </c>
      <c r="L622" t="str">
        <f t="shared" si="46"/>
        <v>42</v>
      </c>
      <c r="M622">
        <f t="shared" si="45"/>
        <v>1</v>
      </c>
    </row>
    <row r="623" spans="1:13" x14ac:dyDescent="0.25">
      <c r="A623" s="1" t="s">
        <v>1072</v>
      </c>
      <c r="B623" s="1" t="s">
        <v>900</v>
      </c>
      <c r="E623" s="1" t="s">
        <v>1073</v>
      </c>
      <c r="H623" t="str">
        <f t="shared" si="47"/>
        <v/>
      </c>
      <c r="I623" t="str">
        <f t="shared" si="48"/>
        <v/>
      </c>
      <c r="J623" t="str">
        <f t="shared" si="49"/>
        <v/>
      </c>
      <c r="L623" t="str">
        <f t="shared" si="46"/>
        <v>42</v>
      </c>
      <c r="M623">
        <f t="shared" si="45"/>
        <v>1</v>
      </c>
    </row>
    <row r="624" spans="1:13" x14ac:dyDescent="0.25">
      <c r="A624" s="1" t="s">
        <v>1074</v>
      </c>
      <c r="B624" s="1" t="s">
        <v>903</v>
      </c>
      <c r="C624" s="1" t="s">
        <v>904</v>
      </c>
      <c r="E624" s="1" t="s">
        <v>1075</v>
      </c>
      <c r="H624" t="str">
        <f t="shared" si="47"/>
        <v/>
      </c>
      <c r="I624" t="str">
        <f t="shared" si="48"/>
        <v/>
      </c>
      <c r="J624" t="str">
        <f t="shared" si="49"/>
        <v/>
      </c>
      <c r="L624" t="str">
        <f t="shared" si="46"/>
        <v>42</v>
      </c>
      <c r="M624">
        <f t="shared" si="45"/>
        <v>1</v>
      </c>
    </row>
    <row r="625" spans="1:13" x14ac:dyDescent="0.25">
      <c r="A625" s="1" t="s">
        <v>1076</v>
      </c>
      <c r="B625" s="1" t="s">
        <v>907</v>
      </c>
      <c r="E625" s="1" t="s">
        <v>1077</v>
      </c>
      <c r="H625" t="str">
        <f t="shared" si="47"/>
        <v/>
      </c>
      <c r="I625" t="str">
        <f t="shared" si="48"/>
        <v/>
      </c>
      <c r="J625" t="str">
        <f t="shared" si="49"/>
        <v/>
      </c>
      <c r="L625" t="str">
        <f t="shared" si="46"/>
        <v>42</v>
      </c>
      <c r="M625">
        <f t="shared" si="45"/>
        <v>1</v>
      </c>
    </row>
    <row r="626" spans="1:13" x14ac:dyDescent="0.25">
      <c r="A626" s="1" t="s">
        <v>1078</v>
      </c>
      <c r="B626" s="1" t="s">
        <v>910</v>
      </c>
      <c r="E626" s="1" t="s">
        <v>1079</v>
      </c>
      <c r="H626" t="str">
        <f t="shared" si="47"/>
        <v/>
      </c>
      <c r="I626" t="str">
        <f t="shared" si="48"/>
        <v/>
      </c>
      <c r="J626" t="str">
        <f t="shared" si="49"/>
        <v/>
      </c>
      <c r="L626" t="str">
        <f t="shared" si="46"/>
        <v>42</v>
      </c>
      <c r="M626">
        <f t="shared" si="45"/>
        <v>1</v>
      </c>
    </row>
    <row r="627" spans="1:13" x14ac:dyDescent="0.25">
      <c r="A627" s="1" t="s">
        <v>1080</v>
      </c>
      <c r="B627" s="1" t="s">
        <v>114</v>
      </c>
      <c r="C627" s="1" t="s">
        <v>115</v>
      </c>
      <c r="E627" s="1" t="s">
        <v>1081</v>
      </c>
      <c r="H627" t="str">
        <f t="shared" si="47"/>
        <v/>
      </c>
      <c r="I627" t="str">
        <f t="shared" si="48"/>
        <v/>
      </c>
      <c r="J627" t="str">
        <f t="shared" si="49"/>
        <v/>
      </c>
      <c r="L627" t="str">
        <f t="shared" si="46"/>
        <v>42</v>
      </c>
      <c r="M627">
        <f t="shared" si="45"/>
        <v>1</v>
      </c>
    </row>
    <row r="628" spans="1:13" x14ac:dyDescent="0.25">
      <c r="A628" s="1" t="s">
        <v>1082</v>
      </c>
      <c r="B628" s="1" t="s">
        <v>117</v>
      </c>
      <c r="C628" s="1" t="s">
        <v>1083</v>
      </c>
      <c r="E628" s="1" t="s">
        <v>1084</v>
      </c>
      <c r="H628" t="str">
        <f t="shared" si="47"/>
        <v/>
      </c>
      <c r="I628" t="str">
        <f t="shared" si="48"/>
        <v/>
      </c>
      <c r="J628" t="str">
        <f t="shared" si="49"/>
        <v/>
      </c>
      <c r="L628" t="str">
        <f t="shared" si="46"/>
        <v>42</v>
      </c>
      <c r="M628">
        <f t="shared" si="45"/>
        <v>1</v>
      </c>
    </row>
    <row r="629" spans="1:13" x14ac:dyDescent="0.25">
      <c r="C629" s="1" t="s">
        <v>118</v>
      </c>
      <c r="H629" t="str">
        <f t="shared" si="47"/>
        <v/>
      </c>
      <c r="I629" t="str">
        <f t="shared" si="48"/>
        <v/>
      </c>
      <c r="J629" t="str">
        <f t="shared" si="49"/>
        <v/>
      </c>
      <c r="L629" t="str">
        <f t="shared" si="46"/>
        <v/>
      </c>
      <c r="M629" t="str">
        <f t="shared" si="45"/>
        <v/>
      </c>
    </row>
    <row r="630" spans="1:13" x14ac:dyDescent="0.25">
      <c r="C630" s="1" t="s">
        <v>119</v>
      </c>
      <c r="H630" t="str">
        <f t="shared" si="47"/>
        <v/>
      </c>
      <c r="I630" t="str">
        <f t="shared" si="48"/>
        <v/>
      </c>
      <c r="J630" t="str">
        <f t="shared" si="49"/>
        <v/>
      </c>
      <c r="L630" t="str">
        <f t="shared" si="46"/>
        <v/>
      </c>
      <c r="M630" t="str">
        <f t="shared" si="45"/>
        <v/>
      </c>
    </row>
    <row r="631" spans="1:13" x14ac:dyDescent="0.25">
      <c r="A631" s="1" t="s">
        <v>1085</v>
      </c>
      <c r="B631" s="1" t="s">
        <v>969</v>
      </c>
      <c r="D631" s="1" t="s">
        <v>16</v>
      </c>
      <c r="E631" s="1" t="s">
        <v>1086</v>
      </c>
      <c r="H631" t="str">
        <f t="shared" si="47"/>
        <v/>
      </c>
      <c r="I631" t="str">
        <f t="shared" si="48"/>
        <v/>
      </c>
      <c r="J631" t="str">
        <f t="shared" si="49"/>
        <v/>
      </c>
      <c r="L631" t="str">
        <f t="shared" si="46"/>
        <v>42</v>
      </c>
      <c r="M631">
        <f t="shared" si="45"/>
        <v>1</v>
      </c>
    </row>
    <row r="632" spans="1:13" x14ac:dyDescent="0.25">
      <c r="A632" s="1" t="s">
        <v>1087</v>
      </c>
      <c r="B632" s="1" t="s">
        <v>913</v>
      </c>
      <c r="C632" s="1" t="s">
        <v>914</v>
      </c>
      <c r="E632" s="1" t="s">
        <v>1088</v>
      </c>
      <c r="H632" t="str">
        <f t="shared" si="47"/>
        <v/>
      </c>
      <c r="I632" t="str">
        <f t="shared" si="48"/>
        <v/>
      </c>
      <c r="J632" t="str">
        <f t="shared" si="49"/>
        <v/>
      </c>
      <c r="L632" t="str">
        <f t="shared" si="46"/>
        <v>42</v>
      </c>
      <c r="M632">
        <f t="shared" si="45"/>
        <v>1</v>
      </c>
    </row>
    <row r="633" spans="1:13" x14ac:dyDescent="0.25">
      <c r="A633" s="1" t="s">
        <v>1089</v>
      </c>
      <c r="B633" s="1" t="s">
        <v>917</v>
      </c>
      <c r="C633" s="1" t="s">
        <v>918</v>
      </c>
      <c r="E633" s="1" t="s">
        <v>1090</v>
      </c>
      <c r="H633" t="str">
        <f t="shared" si="47"/>
        <v/>
      </c>
      <c r="I633" t="str">
        <f t="shared" si="48"/>
        <v/>
      </c>
      <c r="J633" t="str">
        <f t="shared" si="49"/>
        <v/>
      </c>
      <c r="L633" t="str">
        <f t="shared" si="46"/>
        <v>42</v>
      </c>
      <c r="M633">
        <f t="shared" si="45"/>
        <v>1</v>
      </c>
    </row>
    <row r="634" spans="1:13" x14ac:dyDescent="0.25">
      <c r="A634" s="1" t="s">
        <v>1091</v>
      </c>
      <c r="B634" s="1" t="s">
        <v>921</v>
      </c>
      <c r="E634" s="1" t="s">
        <v>1092</v>
      </c>
      <c r="H634" t="str">
        <f t="shared" si="47"/>
        <v/>
      </c>
      <c r="I634" t="str">
        <f t="shared" si="48"/>
        <v/>
      </c>
      <c r="J634" t="str">
        <f t="shared" si="49"/>
        <v/>
      </c>
      <c r="L634" t="str">
        <f t="shared" si="46"/>
        <v>42</v>
      </c>
      <c r="M634">
        <f t="shared" si="45"/>
        <v>1</v>
      </c>
    </row>
    <row r="635" spans="1:13" x14ac:dyDescent="0.25">
      <c r="A635" s="1" t="s">
        <v>1093</v>
      </c>
      <c r="B635" s="1" t="s">
        <v>924</v>
      </c>
      <c r="E635" s="1" t="s">
        <v>1094</v>
      </c>
      <c r="H635" t="str">
        <f t="shared" si="47"/>
        <v/>
      </c>
      <c r="I635" t="str">
        <f t="shared" si="48"/>
        <v/>
      </c>
      <c r="J635" t="str">
        <f t="shared" si="49"/>
        <v/>
      </c>
      <c r="L635" t="str">
        <f t="shared" si="46"/>
        <v>42</v>
      </c>
      <c r="M635">
        <f t="shared" si="45"/>
        <v>1</v>
      </c>
    </row>
    <row r="636" spans="1:13" x14ac:dyDescent="0.25">
      <c r="A636" s="1" t="s">
        <v>1095</v>
      </c>
      <c r="B636" s="1" t="s">
        <v>927</v>
      </c>
      <c r="E636" s="1" t="s">
        <v>1096</v>
      </c>
      <c r="H636" t="str">
        <f t="shared" si="47"/>
        <v/>
      </c>
      <c r="I636" t="str">
        <f t="shared" si="48"/>
        <v/>
      </c>
      <c r="J636" t="str">
        <f t="shared" si="49"/>
        <v/>
      </c>
      <c r="L636" t="str">
        <f t="shared" si="46"/>
        <v>42</v>
      </c>
      <c r="M636">
        <f t="shared" si="45"/>
        <v>1</v>
      </c>
    </row>
    <row r="637" spans="1:13" x14ac:dyDescent="0.25">
      <c r="A637" s="1" t="s">
        <v>1097</v>
      </c>
      <c r="B637" s="1" t="s">
        <v>930</v>
      </c>
      <c r="C637" s="1" t="s">
        <v>931</v>
      </c>
      <c r="E637" s="1" t="s">
        <v>1098</v>
      </c>
      <c r="H637" t="str">
        <f t="shared" si="47"/>
        <v/>
      </c>
      <c r="I637" t="str">
        <f t="shared" si="48"/>
        <v/>
      </c>
      <c r="J637" t="str">
        <f t="shared" si="49"/>
        <v/>
      </c>
      <c r="L637" t="str">
        <f t="shared" si="46"/>
        <v>42</v>
      </c>
      <c r="M637">
        <f t="shared" si="45"/>
        <v>1</v>
      </c>
    </row>
    <row r="638" spans="1:13" x14ac:dyDescent="0.25">
      <c r="C638" s="1" t="s">
        <v>932</v>
      </c>
      <c r="H638" t="str">
        <f t="shared" si="47"/>
        <v/>
      </c>
      <c r="I638" t="str">
        <f t="shared" si="48"/>
        <v/>
      </c>
      <c r="J638" t="str">
        <f t="shared" si="49"/>
        <v/>
      </c>
      <c r="L638" t="str">
        <f t="shared" si="46"/>
        <v/>
      </c>
      <c r="M638" t="str">
        <f t="shared" si="45"/>
        <v/>
      </c>
    </row>
    <row r="639" spans="1:13" x14ac:dyDescent="0.25">
      <c r="A639" s="1" t="s">
        <v>1099</v>
      </c>
      <c r="B639" s="1" t="s">
        <v>935</v>
      </c>
      <c r="C639" s="1" t="s">
        <v>936</v>
      </c>
      <c r="E639" s="1" t="s">
        <v>1100</v>
      </c>
      <c r="H639" t="str">
        <f t="shared" si="47"/>
        <v/>
      </c>
      <c r="I639" t="str">
        <f t="shared" si="48"/>
        <v/>
      </c>
      <c r="J639" t="str">
        <f t="shared" si="49"/>
        <v/>
      </c>
      <c r="L639" t="str">
        <f t="shared" si="46"/>
        <v>42</v>
      </c>
      <c r="M639">
        <f t="shared" si="45"/>
        <v>1</v>
      </c>
    </row>
    <row r="640" spans="1:13" x14ac:dyDescent="0.25">
      <c r="A640" s="1" t="s">
        <v>1101</v>
      </c>
      <c r="B640" s="1" t="s">
        <v>1065</v>
      </c>
      <c r="C640" s="1" t="s">
        <v>1066</v>
      </c>
      <c r="D640" s="1" t="s">
        <v>16</v>
      </c>
      <c r="E640" s="1" t="s">
        <v>1067</v>
      </c>
      <c r="H640" t="str">
        <f t="shared" si="47"/>
        <v/>
      </c>
      <c r="I640" t="str">
        <f t="shared" si="48"/>
        <v/>
      </c>
      <c r="J640" t="str">
        <f t="shared" si="49"/>
        <v/>
      </c>
      <c r="L640" t="str">
        <f t="shared" si="46"/>
        <v>42</v>
      </c>
      <c r="M640">
        <f t="shared" si="45"/>
        <v>1</v>
      </c>
    </row>
    <row r="641" spans="1:13" x14ac:dyDescent="0.25">
      <c r="A641" s="1" t="s">
        <v>1102</v>
      </c>
      <c r="D641" s="1" t="s">
        <v>941</v>
      </c>
      <c r="E641" s="1" t="s">
        <v>1103</v>
      </c>
      <c r="H641" t="str">
        <f t="shared" si="47"/>
        <v>B43_SERVICECO</v>
      </c>
      <c r="I641">
        <f t="shared" ca="1" si="48"/>
        <v>11</v>
      </c>
      <c r="J641" t="str">
        <f t="shared" ca="1" si="49"/>
        <v>"B43_SERVICECO", 11</v>
      </c>
      <c r="L641" t="str">
        <f t="shared" si="46"/>
        <v/>
      </c>
      <c r="M641" t="str">
        <f t="shared" si="45"/>
        <v/>
      </c>
    </row>
    <row r="642" spans="1:13" x14ac:dyDescent="0.25">
      <c r="A642" s="1" t="s">
        <v>1104</v>
      </c>
      <c r="H642" t="str">
        <f t="shared" si="47"/>
        <v/>
      </c>
      <c r="I642" t="str">
        <f t="shared" si="48"/>
        <v/>
      </c>
      <c r="J642" t="str">
        <f t="shared" si="49"/>
        <v/>
      </c>
      <c r="L642" t="str">
        <f t="shared" si="46"/>
        <v/>
      </c>
      <c r="M642" t="str">
        <f t="shared" ref="M642:M705" si="50">IF(AND(LEN(A642)&lt;6,A642&lt;&gt;""),1,"")</f>
        <v/>
      </c>
    </row>
    <row r="643" spans="1:13" x14ac:dyDescent="0.25">
      <c r="A643" s="1" t="s">
        <v>1105</v>
      </c>
      <c r="H643" t="str">
        <f t="shared" si="47"/>
        <v/>
      </c>
      <c r="I643" t="str">
        <f t="shared" si="48"/>
        <v/>
      </c>
      <c r="J643" t="str">
        <f t="shared" si="49"/>
        <v/>
      </c>
      <c r="L643" t="str">
        <f t="shared" ref="L643:L706" si="51">IFERROR(IF(LEN(A643)&lt;=5,TRIM(LEFT(A643,SEARCH(".",A643)-1)),""),"")</f>
        <v/>
      </c>
      <c r="M643" t="str">
        <f t="shared" si="50"/>
        <v/>
      </c>
    </row>
    <row r="644" spans="1:13" x14ac:dyDescent="0.25">
      <c r="A644" s="1" t="s">
        <v>1106</v>
      </c>
      <c r="B644" s="1" t="s">
        <v>187</v>
      </c>
      <c r="C644" s="1" t="s">
        <v>857</v>
      </c>
      <c r="E644" s="1" t="s">
        <v>1107</v>
      </c>
      <c r="H644" t="str">
        <f t="shared" si="47"/>
        <v/>
      </c>
      <c r="I644" t="str">
        <f t="shared" si="48"/>
        <v/>
      </c>
      <c r="J644" t="str">
        <f t="shared" si="49"/>
        <v/>
      </c>
      <c r="L644" t="str">
        <f t="shared" si="51"/>
        <v>43</v>
      </c>
      <c r="M644">
        <f t="shared" si="50"/>
        <v>1</v>
      </c>
    </row>
    <row r="645" spans="1:13" x14ac:dyDescent="0.25">
      <c r="C645" s="1" t="s">
        <v>128</v>
      </c>
      <c r="H645" t="str">
        <f t="shared" si="47"/>
        <v/>
      </c>
      <c r="I645" t="str">
        <f t="shared" si="48"/>
        <v/>
      </c>
      <c r="J645" t="str">
        <f t="shared" si="49"/>
        <v/>
      </c>
      <c r="L645" t="str">
        <f t="shared" si="51"/>
        <v/>
      </c>
      <c r="M645" t="str">
        <f t="shared" si="50"/>
        <v/>
      </c>
    </row>
    <row r="646" spans="1:13" x14ac:dyDescent="0.25">
      <c r="A646" s="1" t="s">
        <v>1108</v>
      </c>
      <c r="B646" s="1" t="s">
        <v>41</v>
      </c>
      <c r="D646" s="1" t="s">
        <v>1109</v>
      </c>
      <c r="E646" s="1" t="s">
        <v>1110</v>
      </c>
      <c r="H646" t="str">
        <f t="shared" si="47"/>
        <v/>
      </c>
      <c r="I646" t="str">
        <f t="shared" si="48"/>
        <v/>
      </c>
      <c r="J646" t="str">
        <f t="shared" si="49"/>
        <v/>
      </c>
      <c r="L646" t="str">
        <f t="shared" si="51"/>
        <v>43</v>
      </c>
      <c r="M646">
        <f t="shared" si="50"/>
        <v>1</v>
      </c>
    </row>
    <row r="647" spans="1:13" x14ac:dyDescent="0.25">
      <c r="A647" s="1" t="s">
        <v>1111</v>
      </c>
      <c r="B647" s="1" t="s">
        <v>44</v>
      </c>
      <c r="E647" s="1" t="s">
        <v>1112</v>
      </c>
      <c r="H647" t="str">
        <f t="shared" ref="H647:H710" si="52">IFERROR(TRIM(IF(SEARCH("Блок ",A647),IF(SEARCH("B",A647),RIGHT(A647,LEN(A647)-SEARCH("B",A647)+1)),"")),"")</f>
        <v/>
      </c>
      <c r="I647" t="str">
        <f t="shared" ref="I647:I710" si="53">IFERROR(IF(H647&lt;&gt;"",SUMIF(L:M,TRIM(MID(A647,SEARCH(" ",A647),SEARCH(". ",A647)-5)),M:M),""),"")</f>
        <v/>
      </c>
      <c r="J647" t="str">
        <f t="shared" ref="J647:J710" si="54">CLEAN(TRIM(IF(H647&lt;&gt;"",""""&amp;H647&amp;""""&amp;", "&amp;I647,"")))</f>
        <v/>
      </c>
      <c r="L647" t="str">
        <f t="shared" si="51"/>
        <v>43</v>
      </c>
      <c r="M647">
        <f t="shared" si="50"/>
        <v>1</v>
      </c>
    </row>
    <row r="648" spans="1:13" x14ac:dyDescent="0.25">
      <c r="A648" s="1" t="s">
        <v>1113</v>
      </c>
      <c r="B648" s="1" t="s">
        <v>47</v>
      </c>
      <c r="E648" s="1" t="s">
        <v>1114</v>
      </c>
      <c r="H648" t="str">
        <f t="shared" si="52"/>
        <v/>
      </c>
      <c r="I648" t="str">
        <f t="shared" si="53"/>
        <v/>
      </c>
      <c r="J648" t="str">
        <f t="shared" si="54"/>
        <v/>
      </c>
      <c r="L648" t="str">
        <f t="shared" si="51"/>
        <v>43</v>
      </c>
      <c r="M648">
        <f t="shared" si="50"/>
        <v>1</v>
      </c>
    </row>
    <row r="649" spans="1:13" x14ac:dyDescent="0.25">
      <c r="A649" s="1" t="s">
        <v>1115</v>
      </c>
      <c r="B649" s="1" t="s">
        <v>1116</v>
      </c>
      <c r="D649" s="1" t="s">
        <v>16</v>
      </c>
      <c r="E649" s="1" t="s">
        <v>1117</v>
      </c>
      <c r="H649" t="str">
        <f t="shared" si="52"/>
        <v/>
      </c>
      <c r="I649" t="str">
        <f t="shared" si="53"/>
        <v/>
      </c>
      <c r="J649" t="str">
        <f t="shared" si="54"/>
        <v/>
      </c>
      <c r="L649" t="str">
        <f t="shared" si="51"/>
        <v>43</v>
      </c>
      <c r="M649">
        <f t="shared" si="50"/>
        <v>1</v>
      </c>
    </row>
    <row r="650" spans="1:13" x14ac:dyDescent="0.25">
      <c r="A650" s="1" t="s">
        <v>1118</v>
      </c>
      <c r="B650" s="1" t="s">
        <v>114</v>
      </c>
      <c r="C650" s="1" t="s">
        <v>115</v>
      </c>
      <c r="E650" s="1" t="s">
        <v>1119</v>
      </c>
      <c r="H650" t="str">
        <f t="shared" si="52"/>
        <v/>
      </c>
      <c r="I650" t="str">
        <f t="shared" si="53"/>
        <v/>
      </c>
      <c r="J650" t="str">
        <f t="shared" si="54"/>
        <v/>
      </c>
      <c r="L650" t="str">
        <f t="shared" si="51"/>
        <v>43</v>
      </c>
      <c r="M650">
        <f t="shared" si="50"/>
        <v>1</v>
      </c>
    </row>
    <row r="651" spans="1:13" x14ac:dyDescent="0.25">
      <c r="A651" s="1" t="s">
        <v>1120</v>
      </c>
      <c r="B651" s="1" t="s">
        <v>117</v>
      </c>
      <c r="C651" s="1" t="s">
        <v>1121</v>
      </c>
      <c r="E651" s="1" t="s">
        <v>1122</v>
      </c>
      <c r="H651" t="str">
        <f t="shared" si="52"/>
        <v/>
      </c>
      <c r="I651" t="str">
        <f t="shared" si="53"/>
        <v/>
      </c>
      <c r="J651" t="str">
        <f t="shared" si="54"/>
        <v/>
      </c>
      <c r="L651" t="str">
        <f t="shared" si="51"/>
        <v>43</v>
      </c>
      <c r="M651">
        <f t="shared" si="50"/>
        <v>1</v>
      </c>
    </row>
    <row r="652" spans="1:13" x14ac:dyDescent="0.25">
      <c r="C652" s="1" t="s">
        <v>118</v>
      </c>
      <c r="H652" t="str">
        <f t="shared" si="52"/>
        <v/>
      </c>
      <c r="I652" t="str">
        <f t="shared" si="53"/>
        <v/>
      </c>
      <c r="J652" t="str">
        <f t="shared" si="54"/>
        <v/>
      </c>
      <c r="L652" t="str">
        <f t="shared" si="51"/>
        <v/>
      </c>
      <c r="M652" t="str">
        <f t="shared" si="50"/>
        <v/>
      </c>
    </row>
    <row r="653" spans="1:13" x14ac:dyDescent="0.25">
      <c r="C653" s="1" t="s">
        <v>119</v>
      </c>
      <c r="H653" t="str">
        <f t="shared" si="52"/>
        <v/>
      </c>
      <c r="I653" t="str">
        <f t="shared" si="53"/>
        <v/>
      </c>
      <c r="J653" t="str">
        <f t="shared" si="54"/>
        <v/>
      </c>
      <c r="L653" t="str">
        <f t="shared" si="51"/>
        <v/>
      </c>
      <c r="M653" t="str">
        <f t="shared" si="50"/>
        <v/>
      </c>
    </row>
    <row r="654" spans="1:13" x14ac:dyDescent="0.25">
      <c r="A654" s="1" t="s">
        <v>1123</v>
      </c>
      <c r="B654" s="1" t="s">
        <v>1124</v>
      </c>
      <c r="D654" s="1" t="s">
        <v>16</v>
      </c>
      <c r="E654" s="1" t="s">
        <v>1125</v>
      </c>
      <c r="H654" t="str">
        <f t="shared" si="52"/>
        <v/>
      </c>
      <c r="I654" t="str">
        <f t="shared" si="53"/>
        <v/>
      </c>
      <c r="J654" t="str">
        <f t="shared" si="54"/>
        <v/>
      </c>
      <c r="L654" t="str">
        <f t="shared" si="51"/>
        <v>43</v>
      </c>
      <c r="M654">
        <f t="shared" si="50"/>
        <v>1</v>
      </c>
    </row>
    <row r="655" spans="1:13" x14ac:dyDescent="0.25">
      <c r="A655" s="1" t="s">
        <v>1126</v>
      </c>
      <c r="B655" s="1" t="s">
        <v>1127</v>
      </c>
      <c r="C655" s="1" t="s">
        <v>1128</v>
      </c>
      <c r="E655" s="1" t="s">
        <v>1131</v>
      </c>
      <c r="H655" t="str">
        <f t="shared" si="52"/>
        <v/>
      </c>
      <c r="I655" t="str">
        <f t="shared" si="53"/>
        <v/>
      </c>
      <c r="J655" t="str">
        <f t="shared" si="54"/>
        <v/>
      </c>
      <c r="L655" t="str">
        <f t="shared" si="51"/>
        <v>43</v>
      </c>
      <c r="M655">
        <f t="shared" si="50"/>
        <v>1</v>
      </c>
    </row>
    <row r="656" spans="1:13" x14ac:dyDescent="0.25">
      <c r="C656" s="1" t="s">
        <v>1129</v>
      </c>
      <c r="H656" t="str">
        <f t="shared" si="52"/>
        <v/>
      </c>
      <c r="I656" t="str">
        <f t="shared" si="53"/>
        <v/>
      </c>
      <c r="J656" t="str">
        <f t="shared" si="54"/>
        <v/>
      </c>
      <c r="L656" t="str">
        <f t="shared" si="51"/>
        <v/>
      </c>
      <c r="M656" t="str">
        <f t="shared" si="50"/>
        <v/>
      </c>
    </row>
    <row r="657" spans="1:13" x14ac:dyDescent="0.25">
      <c r="C657" s="1" t="s">
        <v>1130</v>
      </c>
      <c r="H657" t="str">
        <f t="shared" si="52"/>
        <v/>
      </c>
      <c r="I657" t="str">
        <f t="shared" si="53"/>
        <v/>
      </c>
      <c r="J657" t="str">
        <f t="shared" si="54"/>
        <v/>
      </c>
      <c r="L657" t="str">
        <f t="shared" si="51"/>
        <v/>
      </c>
      <c r="M657" t="str">
        <f t="shared" si="50"/>
        <v/>
      </c>
    </row>
    <row r="658" spans="1:13" x14ac:dyDescent="0.25">
      <c r="A658" s="1" t="s">
        <v>1132</v>
      </c>
      <c r="B658" s="1" t="s">
        <v>1133</v>
      </c>
      <c r="C658" s="1" t="s">
        <v>1134</v>
      </c>
      <c r="E658" s="1" t="s">
        <v>1135</v>
      </c>
      <c r="H658" t="str">
        <f t="shared" si="52"/>
        <v/>
      </c>
      <c r="I658" t="str">
        <f t="shared" si="53"/>
        <v/>
      </c>
      <c r="J658" t="str">
        <f t="shared" si="54"/>
        <v/>
      </c>
      <c r="L658" t="str">
        <f t="shared" si="51"/>
        <v>43</v>
      </c>
      <c r="M658">
        <f t="shared" si="50"/>
        <v>1</v>
      </c>
    </row>
    <row r="659" spans="1:13" x14ac:dyDescent="0.25">
      <c r="A659" s="1" t="s">
        <v>1136</v>
      </c>
      <c r="B659" s="1" t="s">
        <v>1137</v>
      </c>
      <c r="C659" s="1" t="s">
        <v>1134</v>
      </c>
      <c r="E659" s="1" t="s">
        <v>1138</v>
      </c>
      <c r="H659" t="str">
        <f t="shared" si="52"/>
        <v/>
      </c>
      <c r="I659" t="str">
        <f t="shared" si="53"/>
        <v/>
      </c>
      <c r="J659" t="str">
        <f t="shared" si="54"/>
        <v/>
      </c>
      <c r="L659" t="str">
        <f t="shared" si="51"/>
        <v>43</v>
      </c>
      <c r="M659">
        <f t="shared" si="50"/>
        <v>1</v>
      </c>
    </row>
    <row r="660" spans="1:13" x14ac:dyDescent="0.25">
      <c r="A660" s="1" t="s">
        <v>1139</v>
      </c>
      <c r="H660" t="str">
        <f t="shared" si="52"/>
        <v/>
      </c>
      <c r="I660" t="str">
        <f t="shared" si="53"/>
        <v/>
      </c>
      <c r="J660" t="str">
        <f t="shared" si="54"/>
        <v/>
      </c>
      <c r="L660" t="str">
        <f t="shared" si="51"/>
        <v/>
      </c>
      <c r="M660" t="str">
        <f t="shared" si="50"/>
        <v/>
      </c>
    </row>
    <row r="661" spans="1:13" x14ac:dyDescent="0.25">
      <c r="A661" s="1" t="s">
        <v>1140</v>
      </c>
      <c r="D661" s="1" t="s">
        <v>680</v>
      </c>
      <c r="E661" s="1" t="s">
        <v>204</v>
      </c>
      <c r="H661" t="str">
        <f t="shared" si="52"/>
        <v>B44_OBLIGACCOUNT</v>
      </c>
      <c r="I661">
        <f t="shared" ca="1" si="53"/>
        <v>5</v>
      </c>
      <c r="J661" t="str">
        <f t="shared" ca="1" si="54"/>
        <v>"B44_OBLIGACCOUNT", 5</v>
      </c>
      <c r="L661" t="str">
        <f t="shared" si="51"/>
        <v/>
      </c>
      <c r="M661" t="str">
        <f t="shared" si="50"/>
        <v/>
      </c>
    </row>
    <row r="662" spans="1:13" x14ac:dyDescent="0.25">
      <c r="A662" s="1" t="s">
        <v>38</v>
      </c>
      <c r="H662" t="str">
        <f t="shared" si="52"/>
        <v/>
      </c>
      <c r="I662" t="str">
        <f t="shared" si="53"/>
        <v/>
      </c>
      <c r="J662" t="str">
        <f t="shared" si="54"/>
        <v/>
      </c>
      <c r="L662" t="str">
        <f t="shared" si="51"/>
        <v/>
      </c>
      <c r="M662" t="str">
        <f t="shared" si="50"/>
        <v/>
      </c>
    </row>
    <row r="663" spans="1:13" x14ac:dyDescent="0.25">
      <c r="A663" s="1" t="s">
        <v>1141</v>
      </c>
      <c r="B663" s="1" t="s">
        <v>1142</v>
      </c>
      <c r="C663" s="1" t="s">
        <v>1143</v>
      </c>
      <c r="E663" s="1" t="s">
        <v>1145</v>
      </c>
      <c r="H663" t="str">
        <f t="shared" si="52"/>
        <v/>
      </c>
      <c r="I663" t="str">
        <f t="shared" si="53"/>
        <v/>
      </c>
      <c r="J663" t="str">
        <f t="shared" si="54"/>
        <v/>
      </c>
      <c r="L663" t="str">
        <f t="shared" si="51"/>
        <v>44</v>
      </c>
      <c r="M663">
        <f t="shared" si="50"/>
        <v>1</v>
      </c>
    </row>
    <row r="664" spans="1:13" x14ac:dyDescent="0.25">
      <c r="C664" s="1" t="s">
        <v>1144</v>
      </c>
      <c r="H664" t="str">
        <f t="shared" si="52"/>
        <v/>
      </c>
      <c r="I664" t="str">
        <f t="shared" si="53"/>
        <v/>
      </c>
      <c r="J664" t="str">
        <f t="shared" si="54"/>
        <v/>
      </c>
      <c r="L664" t="str">
        <f t="shared" si="51"/>
        <v/>
      </c>
      <c r="M664" t="str">
        <f t="shared" si="50"/>
        <v/>
      </c>
    </row>
    <row r="665" spans="1:13" x14ac:dyDescent="0.25">
      <c r="A665" s="1" t="s">
        <v>1146</v>
      </c>
      <c r="B665" s="1" t="s">
        <v>1147</v>
      </c>
      <c r="C665" s="1" t="s">
        <v>1148</v>
      </c>
      <c r="D665" s="1" t="s">
        <v>152</v>
      </c>
      <c r="E665" s="1" t="s">
        <v>1149</v>
      </c>
      <c r="H665" t="str">
        <f t="shared" si="52"/>
        <v/>
      </c>
      <c r="I665" t="str">
        <f t="shared" si="53"/>
        <v/>
      </c>
      <c r="J665" t="str">
        <f t="shared" si="54"/>
        <v/>
      </c>
      <c r="L665" t="str">
        <f t="shared" si="51"/>
        <v>44</v>
      </c>
      <c r="M665">
        <f t="shared" si="50"/>
        <v>1</v>
      </c>
    </row>
    <row r="666" spans="1:13" x14ac:dyDescent="0.25">
      <c r="A666" s="1" t="s">
        <v>1150</v>
      </c>
      <c r="B666" s="1" t="s">
        <v>1151</v>
      </c>
      <c r="C666" s="1" t="s">
        <v>1152</v>
      </c>
      <c r="E666" s="1" t="s">
        <v>1154</v>
      </c>
      <c r="H666" t="str">
        <f t="shared" si="52"/>
        <v/>
      </c>
      <c r="I666" t="str">
        <f t="shared" si="53"/>
        <v/>
      </c>
      <c r="J666" t="str">
        <f t="shared" si="54"/>
        <v/>
      </c>
      <c r="L666" t="str">
        <f t="shared" si="51"/>
        <v>44</v>
      </c>
      <c r="M666">
        <f t="shared" si="50"/>
        <v>1</v>
      </c>
    </row>
    <row r="667" spans="1:13" x14ac:dyDescent="0.25">
      <c r="C667" s="1" t="s">
        <v>1153</v>
      </c>
      <c r="H667" t="str">
        <f t="shared" si="52"/>
        <v/>
      </c>
      <c r="I667" t="str">
        <f t="shared" si="53"/>
        <v/>
      </c>
      <c r="J667" t="str">
        <f t="shared" si="54"/>
        <v/>
      </c>
      <c r="L667" t="str">
        <f t="shared" si="51"/>
        <v/>
      </c>
      <c r="M667" t="str">
        <f t="shared" si="50"/>
        <v/>
      </c>
    </row>
    <row r="668" spans="1:13" x14ac:dyDescent="0.25">
      <c r="A668" s="1" t="s">
        <v>1155</v>
      </c>
      <c r="B668" s="1" t="s">
        <v>1156</v>
      </c>
      <c r="C668" s="1" t="s">
        <v>1157</v>
      </c>
      <c r="E668" s="1" t="s">
        <v>1158</v>
      </c>
      <c r="H668" t="str">
        <f t="shared" si="52"/>
        <v/>
      </c>
      <c r="I668" t="str">
        <f t="shared" si="53"/>
        <v/>
      </c>
      <c r="J668" t="str">
        <f t="shared" si="54"/>
        <v/>
      </c>
      <c r="L668" t="str">
        <f t="shared" si="51"/>
        <v>44</v>
      </c>
      <c r="M668">
        <f t="shared" si="50"/>
        <v>1</v>
      </c>
    </row>
    <row r="669" spans="1:13" x14ac:dyDescent="0.25">
      <c r="C669" s="1" t="s">
        <v>54</v>
      </c>
      <c r="H669" t="str">
        <f t="shared" si="52"/>
        <v/>
      </c>
      <c r="I669" t="str">
        <f t="shared" si="53"/>
        <v/>
      </c>
      <c r="J669" t="str">
        <f t="shared" si="54"/>
        <v/>
      </c>
      <c r="L669" t="str">
        <f t="shared" si="51"/>
        <v/>
      </c>
      <c r="M669" t="str">
        <f t="shared" si="50"/>
        <v/>
      </c>
    </row>
    <row r="670" spans="1:13" x14ac:dyDescent="0.25">
      <c r="A670" s="1" t="s">
        <v>1159</v>
      </c>
      <c r="B670" s="1" t="s">
        <v>1160</v>
      </c>
      <c r="C670" s="1" t="s">
        <v>1161</v>
      </c>
      <c r="E670" s="1" t="s">
        <v>1162</v>
      </c>
      <c r="H670" t="str">
        <f t="shared" si="52"/>
        <v/>
      </c>
      <c r="I670" t="str">
        <f t="shared" si="53"/>
        <v/>
      </c>
      <c r="J670" t="str">
        <f t="shared" si="54"/>
        <v/>
      </c>
      <c r="L670" t="str">
        <f t="shared" si="51"/>
        <v>44</v>
      </c>
      <c r="M670">
        <f t="shared" si="50"/>
        <v>1</v>
      </c>
    </row>
    <row r="671" spans="1:13" x14ac:dyDescent="0.25">
      <c r="A671" s="1" t="s">
        <v>1163</v>
      </c>
      <c r="H671" t="str">
        <f t="shared" si="52"/>
        <v/>
      </c>
      <c r="I671" t="str">
        <f t="shared" si="53"/>
        <v/>
      </c>
      <c r="J671" t="str">
        <f t="shared" si="54"/>
        <v/>
      </c>
      <c r="L671" t="str">
        <f t="shared" si="51"/>
        <v/>
      </c>
      <c r="M671" t="str">
        <f t="shared" si="50"/>
        <v/>
      </c>
    </row>
    <row r="672" spans="1:13" x14ac:dyDescent="0.25">
      <c r="A672" s="1" t="s">
        <v>1164</v>
      </c>
      <c r="H672" t="str">
        <f t="shared" si="52"/>
        <v/>
      </c>
      <c r="I672" t="str">
        <f t="shared" si="53"/>
        <v/>
      </c>
      <c r="J672" t="str">
        <f t="shared" si="54"/>
        <v/>
      </c>
      <c r="L672" t="str">
        <f t="shared" si="51"/>
        <v/>
      </c>
      <c r="M672" t="str">
        <f t="shared" si="50"/>
        <v/>
      </c>
    </row>
    <row r="673" spans="1:13" x14ac:dyDescent="0.25">
      <c r="A673" s="1" t="s">
        <v>1165</v>
      </c>
      <c r="D673" s="1" t="s">
        <v>39</v>
      </c>
      <c r="E673" s="1" t="s">
        <v>1166</v>
      </c>
      <c r="H673" t="str">
        <f t="shared" si="52"/>
        <v>B45_APPLICATION</v>
      </c>
      <c r="I673">
        <f t="shared" ca="1" si="53"/>
        <v>14</v>
      </c>
      <c r="J673" t="str">
        <f t="shared" ca="1" si="54"/>
        <v>"B45_APPLICATION", 14</v>
      </c>
      <c r="L673" t="str">
        <f t="shared" si="51"/>
        <v/>
      </c>
      <c r="M673" t="str">
        <f t="shared" si="50"/>
        <v/>
      </c>
    </row>
    <row r="674" spans="1:13" x14ac:dyDescent="0.25">
      <c r="A674" s="1" t="s">
        <v>38</v>
      </c>
      <c r="H674" t="str">
        <f t="shared" si="52"/>
        <v/>
      </c>
      <c r="I674" t="str">
        <f t="shared" si="53"/>
        <v/>
      </c>
      <c r="J674" t="str">
        <f t="shared" si="54"/>
        <v/>
      </c>
      <c r="L674" t="str">
        <f t="shared" si="51"/>
        <v/>
      </c>
      <c r="M674" t="str">
        <f t="shared" si="50"/>
        <v/>
      </c>
    </row>
    <row r="675" spans="1:13" x14ac:dyDescent="0.25">
      <c r="A675" s="1" t="s">
        <v>1167</v>
      </c>
      <c r="H675" t="str">
        <f t="shared" si="52"/>
        <v/>
      </c>
      <c r="I675" t="str">
        <f t="shared" si="53"/>
        <v/>
      </c>
      <c r="J675" t="str">
        <f t="shared" si="54"/>
        <v/>
      </c>
      <c r="L675" t="str">
        <f t="shared" si="51"/>
        <v/>
      </c>
      <c r="M675" t="str">
        <f t="shared" si="50"/>
        <v/>
      </c>
    </row>
    <row r="676" spans="1:13" x14ac:dyDescent="0.25">
      <c r="A676" s="1" t="s">
        <v>1168</v>
      </c>
      <c r="H676" t="str">
        <f t="shared" si="52"/>
        <v/>
      </c>
      <c r="I676" t="str">
        <f t="shared" si="53"/>
        <v/>
      </c>
      <c r="J676" t="str">
        <f t="shared" si="54"/>
        <v/>
      </c>
      <c r="L676" t="str">
        <f t="shared" si="51"/>
        <v/>
      </c>
      <c r="M676" t="str">
        <f t="shared" si="50"/>
        <v/>
      </c>
    </row>
    <row r="677" spans="1:13" x14ac:dyDescent="0.25">
      <c r="A677" s="1" t="s">
        <v>1169</v>
      </c>
      <c r="B677" s="1" t="s">
        <v>218</v>
      </c>
      <c r="C677" s="1" t="s">
        <v>219</v>
      </c>
      <c r="E677" s="1" t="s">
        <v>1170</v>
      </c>
      <c r="H677" t="str">
        <f t="shared" si="52"/>
        <v/>
      </c>
      <c r="I677" t="str">
        <f t="shared" si="53"/>
        <v/>
      </c>
      <c r="J677" t="str">
        <f t="shared" si="54"/>
        <v/>
      </c>
      <c r="L677" t="str">
        <f t="shared" si="51"/>
        <v>45</v>
      </c>
      <c r="M677">
        <f t="shared" si="50"/>
        <v>1</v>
      </c>
    </row>
    <row r="678" spans="1:13" x14ac:dyDescent="0.25">
      <c r="A678" s="1" t="s">
        <v>1171</v>
      </c>
      <c r="B678" s="1" t="s">
        <v>1172</v>
      </c>
      <c r="E678" s="1" t="s">
        <v>1173</v>
      </c>
      <c r="H678" t="str">
        <f t="shared" si="52"/>
        <v/>
      </c>
      <c r="I678" t="str">
        <f t="shared" si="53"/>
        <v/>
      </c>
      <c r="J678" t="str">
        <f t="shared" si="54"/>
        <v/>
      </c>
      <c r="L678" t="str">
        <f t="shared" si="51"/>
        <v>45</v>
      </c>
      <c r="M678">
        <f t="shared" si="50"/>
        <v>1</v>
      </c>
    </row>
    <row r="679" spans="1:13" x14ac:dyDescent="0.25">
      <c r="A679" s="1" t="s">
        <v>1174</v>
      </c>
      <c r="B679" s="1" t="s">
        <v>1175</v>
      </c>
      <c r="E679" s="1" t="s">
        <v>1176</v>
      </c>
      <c r="H679" t="str">
        <f t="shared" si="52"/>
        <v/>
      </c>
      <c r="I679" t="str">
        <f t="shared" si="53"/>
        <v/>
      </c>
      <c r="J679" t="str">
        <f t="shared" si="54"/>
        <v/>
      </c>
      <c r="L679" t="str">
        <f t="shared" si="51"/>
        <v>45</v>
      </c>
      <c r="M679">
        <f t="shared" si="50"/>
        <v>1</v>
      </c>
    </row>
    <row r="680" spans="1:13" x14ac:dyDescent="0.25">
      <c r="A680" s="1" t="s">
        <v>1177</v>
      </c>
      <c r="B680" s="1" t="s">
        <v>1178</v>
      </c>
      <c r="C680" s="1" t="s">
        <v>1179</v>
      </c>
      <c r="D680" s="1" t="s">
        <v>21</v>
      </c>
      <c r="E680" s="1" t="s">
        <v>1183</v>
      </c>
      <c r="H680" t="str">
        <f t="shared" si="52"/>
        <v/>
      </c>
      <c r="I680" t="str">
        <f t="shared" si="53"/>
        <v/>
      </c>
      <c r="J680" t="str">
        <f t="shared" si="54"/>
        <v/>
      </c>
      <c r="L680" t="str">
        <f t="shared" si="51"/>
        <v>45</v>
      </c>
      <c r="M680">
        <f t="shared" si="50"/>
        <v>1</v>
      </c>
    </row>
    <row r="681" spans="1:13" x14ac:dyDescent="0.25">
      <c r="C681" s="1" t="s">
        <v>1180</v>
      </c>
      <c r="H681" t="str">
        <f t="shared" si="52"/>
        <v/>
      </c>
      <c r="I681" t="str">
        <f t="shared" si="53"/>
        <v/>
      </c>
      <c r="J681" t="str">
        <f t="shared" si="54"/>
        <v/>
      </c>
      <c r="L681" t="str">
        <f t="shared" si="51"/>
        <v/>
      </c>
      <c r="M681" t="str">
        <f t="shared" si="50"/>
        <v/>
      </c>
    </row>
    <row r="682" spans="1:13" x14ac:dyDescent="0.25">
      <c r="C682" s="1" t="s">
        <v>1181</v>
      </c>
      <c r="H682" t="str">
        <f t="shared" si="52"/>
        <v/>
      </c>
      <c r="I682" t="str">
        <f t="shared" si="53"/>
        <v/>
      </c>
      <c r="J682" t="str">
        <f t="shared" si="54"/>
        <v/>
      </c>
      <c r="L682" t="str">
        <f t="shared" si="51"/>
        <v/>
      </c>
      <c r="M682" t="str">
        <f t="shared" si="50"/>
        <v/>
      </c>
    </row>
    <row r="683" spans="1:13" x14ac:dyDescent="0.25">
      <c r="C683" s="1" t="s">
        <v>1182</v>
      </c>
      <c r="H683" t="str">
        <f t="shared" si="52"/>
        <v/>
      </c>
      <c r="I683" t="str">
        <f t="shared" si="53"/>
        <v/>
      </c>
      <c r="J683" t="str">
        <f t="shared" si="54"/>
        <v/>
      </c>
      <c r="L683" t="str">
        <f t="shared" si="51"/>
        <v/>
      </c>
      <c r="M683" t="str">
        <f t="shared" si="50"/>
        <v/>
      </c>
    </row>
    <row r="684" spans="1:13" x14ac:dyDescent="0.25">
      <c r="A684" s="1" t="s">
        <v>1184</v>
      </c>
      <c r="B684" s="1" t="s">
        <v>1185</v>
      </c>
      <c r="E684" s="1" t="s">
        <v>1186</v>
      </c>
      <c r="H684" t="str">
        <f t="shared" si="52"/>
        <v/>
      </c>
      <c r="I684" t="str">
        <f t="shared" si="53"/>
        <v/>
      </c>
      <c r="J684" t="str">
        <f t="shared" si="54"/>
        <v/>
      </c>
      <c r="L684" t="str">
        <f t="shared" si="51"/>
        <v>45</v>
      </c>
      <c r="M684">
        <f t="shared" si="50"/>
        <v>1</v>
      </c>
    </row>
    <row r="685" spans="1:13" x14ac:dyDescent="0.25">
      <c r="A685" s="1" t="s">
        <v>1187</v>
      </c>
      <c r="B685" s="1" t="s">
        <v>853</v>
      </c>
      <c r="C685" s="1" t="s">
        <v>854</v>
      </c>
      <c r="E685" s="1" t="s">
        <v>1188</v>
      </c>
      <c r="H685" t="str">
        <f t="shared" si="52"/>
        <v/>
      </c>
      <c r="I685" t="str">
        <f t="shared" si="53"/>
        <v/>
      </c>
      <c r="J685" t="str">
        <f t="shared" si="54"/>
        <v/>
      </c>
      <c r="L685" t="str">
        <f t="shared" si="51"/>
        <v>45</v>
      </c>
      <c r="M685">
        <f t="shared" si="50"/>
        <v>1</v>
      </c>
    </row>
    <row r="686" spans="1:13" x14ac:dyDescent="0.25">
      <c r="A686" s="1" t="s">
        <v>1189</v>
      </c>
      <c r="B686" s="1" t="s">
        <v>1190</v>
      </c>
      <c r="C686" s="1" t="s">
        <v>1191</v>
      </c>
      <c r="E686" s="1" t="s">
        <v>1192</v>
      </c>
      <c r="H686" t="str">
        <f t="shared" si="52"/>
        <v/>
      </c>
      <c r="I686" t="str">
        <f t="shared" si="53"/>
        <v/>
      </c>
      <c r="J686" t="str">
        <f t="shared" si="54"/>
        <v/>
      </c>
      <c r="L686" t="str">
        <f t="shared" si="51"/>
        <v>45</v>
      </c>
      <c r="M686">
        <f t="shared" si="50"/>
        <v>1</v>
      </c>
    </row>
    <row r="687" spans="1:13" x14ac:dyDescent="0.25">
      <c r="A687" s="1" t="s">
        <v>1193</v>
      </c>
      <c r="B687" s="1" t="s">
        <v>1194</v>
      </c>
      <c r="C687" s="1" t="s">
        <v>1195</v>
      </c>
      <c r="E687" s="1" t="s">
        <v>1196</v>
      </c>
      <c r="H687" t="str">
        <f t="shared" si="52"/>
        <v/>
      </c>
      <c r="I687" t="str">
        <f t="shared" si="53"/>
        <v/>
      </c>
      <c r="J687" t="str">
        <f t="shared" si="54"/>
        <v/>
      </c>
      <c r="L687" t="str">
        <f t="shared" si="51"/>
        <v>45</v>
      </c>
      <c r="M687">
        <f t="shared" si="50"/>
        <v>1</v>
      </c>
    </row>
    <row r="688" spans="1:13" x14ac:dyDescent="0.25">
      <c r="A688" s="1" t="s">
        <v>1197</v>
      </c>
      <c r="B688" s="1" t="s">
        <v>1198</v>
      </c>
      <c r="C688" s="1" t="s">
        <v>1199</v>
      </c>
      <c r="E688" s="1" t="s">
        <v>1201</v>
      </c>
      <c r="H688" t="str">
        <f t="shared" si="52"/>
        <v/>
      </c>
      <c r="I688" t="str">
        <f t="shared" si="53"/>
        <v/>
      </c>
      <c r="J688" t="str">
        <f t="shared" si="54"/>
        <v/>
      </c>
      <c r="L688" t="str">
        <f t="shared" si="51"/>
        <v>45</v>
      </c>
      <c r="M688">
        <f t="shared" si="50"/>
        <v>1</v>
      </c>
    </row>
    <row r="689" spans="1:13" x14ac:dyDescent="0.25">
      <c r="C689" s="1" t="s">
        <v>1200</v>
      </c>
      <c r="H689" t="str">
        <f t="shared" si="52"/>
        <v/>
      </c>
      <c r="I689" t="str">
        <f t="shared" si="53"/>
        <v/>
      </c>
      <c r="J689" t="str">
        <f t="shared" si="54"/>
        <v/>
      </c>
      <c r="L689" t="str">
        <f t="shared" si="51"/>
        <v/>
      </c>
      <c r="M689" t="str">
        <f t="shared" si="50"/>
        <v/>
      </c>
    </row>
    <row r="690" spans="1:13" x14ac:dyDescent="0.25">
      <c r="A690" s="1" t="s">
        <v>1202</v>
      </c>
      <c r="B690" s="1" t="s">
        <v>1203</v>
      </c>
      <c r="C690" s="1" t="s">
        <v>1204</v>
      </c>
      <c r="E690" s="1" t="s">
        <v>1206</v>
      </c>
      <c r="H690" t="str">
        <f t="shared" si="52"/>
        <v/>
      </c>
      <c r="I690" t="str">
        <f t="shared" si="53"/>
        <v/>
      </c>
      <c r="J690" t="str">
        <f t="shared" si="54"/>
        <v/>
      </c>
      <c r="L690" t="str">
        <f t="shared" si="51"/>
        <v>45</v>
      </c>
      <c r="M690">
        <f t="shared" si="50"/>
        <v>1</v>
      </c>
    </row>
    <row r="691" spans="1:13" x14ac:dyDescent="0.25">
      <c r="C691" s="1" t="s">
        <v>1205</v>
      </c>
      <c r="H691" t="str">
        <f t="shared" si="52"/>
        <v/>
      </c>
      <c r="I691" t="str">
        <f t="shared" si="53"/>
        <v/>
      </c>
      <c r="J691" t="str">
        <f t="shared" si="54"/>
        <v/>
      </c>
      <c r="L691" t="str">
        <f t="shared" si="51"/>
        <v/>
      </c>
      <c r="M691" t="str">
        <f t="shared" si="50"/>
        <v/>
      </c>
    </row>
    <row r="692" spans="1:13" x14ac:dyDescent="0.25">
      <c r="A692" s="1" t="s">
        <v>1207</v>
      </c>
      <c r="B692" s="1" t="s">
        <v>1208</v>
      </c>
      <c r="C692" s="1" t="s">
        <v>1209</v>
      </c>
      <c r="D692" s="1" t="s">
        <v>21</v>
      </c>
      <c r="E692" s="1" t="s">
        <v>1210</v>
      </c>
      <c r="H692" t="str">
        <f t="shared" si="52"/>
        <v/>
      </c>
      <c r="I692" t="str">
        <f t="shared" si="53"/>
        <v/>
      </c>
      <c r="J692" t="str">
        <f t="shared" si="54"/>
        <v/>
      </c>
      <c r="L692" t="str">
        <f t="shared" si="51"/>
        <v>45</v>
      </c>
      <c r="M692">
        <f t="shared" si="50"/>
        <v>1</v>
      </c>
    </row>
    <row r="693" spans="1:13" x14ac:dyDescent="0.25">
      <c r="A693" s="1" t="s">
        <v>1211</v>
      </c>
      <c r="B693" s="1" t="s">
        <v>1212</v>
      </c>
      <c r="C693" s="1" t="s">
        <v>1213</v>
      </c>
      <c r="D693" s="1" t="s">
        <v>21</v>
      </c>
      <c r="E693" s="1" t="s">
        <v>1214</v>
      </c>
      <c r="H693" t="str">
        <f t="shared" si="52"/>
        <v/>
      </c>
      <c r="I693" t="str">
        <f t="shared" si="53"/>
        <v/>
      </c>
      <c r="J693" t="str">
        <f t="shared" si="54"/>
        <v/>
      </c>
      <c r="L693" t="str">
        <f t="shared" si="51"/>
        <v>45</v>
      </c>
      <c r="M693">
        <f t="shared" si="50"/>
        <v>1</v>
      </c>
    </row>
    <row r="694" spans="1:13" x14ac:dyDescent="0.25">
      <c r="A694" s="1" t="s">
        <v>1215</v>
      </c>
      <c r="B694" s="1" t="s">
        <v>1216</v>
      </c>
      <c r="C694" s="1" t="s">
        <v>1217</v>
      </c>
      <c r="E694" s="1" t="s">
        <v>1218</v>
      </c>
      <c r="H694" t="str">
        <f t="shared" si="52"/>
        <v/>
      </c>
      <c r="I694" t="str">
        <f t="shared" si="53"/>
        <v/>
      </c>
      <c r="J694" t="str">
        <f t="shared" si="54"/>
        <v/>
      </c>
      <c r="L694" t="str">
        <f t="shared" si="51"/>
        <v>45</v>
      </c>
      <c r="M694">
        <f t="shared" si="50"/>
        <v>1</v>
      </c>
    </row>
    <row r="695" spans="1:13" x14ac:dyDescent="0.25">
      <c r="A695" s="1" t="s">
        <v>1219</v>
      </c>
      <c r="B695" s="1" t="s">
        <v>1220</v>
      </c>
      <c r="C695" s="1" t="s">
        <v>1221</v>
      </c>
      <c r="D695" s="1" t="s">
        <v>21</v>
      </c>
      <c r="E695" s="1" t="s">
        <v>1222</v>
      </c>
      <c r="H695" t="str">
        <f t="shared" si="52"/>
        <v/>
      </c>
      <c r="I695" t="str">
        <f t="shared" si="53"/>
        <v/>
      </c>
      <c r="J695" t="str">
        <f t="shared" si="54"/>
        <v/>
      </c>
      <c r="L695" t="str">
        <f t="shared" si="51"/>
        <v>45</v>
      </c>
      <c r="M695">
        <f t="shared" si="50"/>
        <v>1</v>
      </c>
    </row>
    <row r="696" spans="1:13" x14ac:dyDescent="0.25">
      <c r="A696" s="1" t="s">
        <v>1223</v>
      </c>
      <c r="D696" s="1" t="s">
        <v>39</v>
      </c>
      <c r="E696" s="1" t="s">
        <v>1166</v>
      </c>
      <c r="H696" t="str">
        <f t="shared" si="52"/>
        <v>B46_OBLIGPARTTAKE</v>
      </c>
      <c r="I696">
        <f t="shared" ca="1" si="53"/>
        <v>6</v>
      </c>
      <c r="J696" t="str">
        <f t="shared" ca="1" si="54"/>
        <v>"B46_OBLIGPARTTAKE", 6</v>
      </c>
      <c r="L696" t="str">
        <f t="shared" si="51"/>
        <v/>
      </c>
      <c r="M696" t="str">
        <f t="shared" si="50"/>
        <v/>
      </c>
    </row>
    <row r="697" spans="1:13" x14ac:dyDescent="0.25">
      <c r="A697" s="1" t="s">
        <v>38</v>
      </c>
      <c r="H697" t="str">
        <f t="shared" si="52"/>
        <v/>
      </c>
      <c r="I697" t="str">
        <f t="shared" si="53"/>
        <v/>
      </c>
      <c r="J697" t="str">
        <f t="shared" si="54"/>
        <v/>
      </c>
      <c r="L697" t="str">
        <f t="shared" si="51"/>
        <v/>
      </c>
      <c r="M697" t="str">
        <f t="shared" si="50"/>
        <v/>
      </c>
    </row>
    <row r="698" spans="1:13" x14ac:dyDescent="0.25">
      <c r="A698" s="1" t="s">
        <v>1224</v>
      </c>
      <c r="H698" t="str">
        <f t="shared" si="52"/>
        <v/>
      </c>
      <c r="I698" t="str">
        <f t="shared" si="53"/>
        <v/>
      </c>
      <c r="J698" t="str">
        <f t="shared" si="54"/>
        <v/>
      </c>
      <c r="L698" t="str">
        <f t="shared" si="51"/>
        <v/>
      </c>
      <c r="M698" t="str">
        <f t="shared" si="50"/>
        <v/>
      </c>
    </row>
    <row r="699" spans="1:13" x14ac:dyDescent="0.25">
      <c r="A699" s="1" t="s">
        <v>1225</v>
      </c>
      <c r="H699" t="str">
        <f t="shared" si="52"/>
        <v/>
      </c>
      <c r="I699" t="str">
        <f t="shared" si="53"/>
        <v/>
      </c>
      <c r="J699" t="str">
        <f t="shared" si="54"/>
        <v/>
      </c>
      <c r="L699" t="str">
        <f t="shared" si="51"/>
        <v/>
      </c>
      <c r="M699" t="str">
        <f t="shared" si="50"/>
        <v/>
      </c>
    </row>
    <row r="700" spans="1:13" x14ac:dyDescent="0.25">
      <c r="A700" s="1" t="s">
        <v>1226</v>
      </c>
      <c r="H700" t="str">
        <f t="shared" si="52"/>
        <v/>
      </c>
      <c r="I700" t="str">
        <f t="shared" si="53"/>
        <v/>
      </c>
      <c r="J700" t="str">
        <f t="shared" si="54"/>
        <v/>
      </c>
      <c r="L700" t="str">
        <f t="shared" si="51"/>
        <v/>
      </c>
      <c r="M700" t="str">
        <f t="shared" si="50"/>
        <v/>
      </c>
    </row>
    <row r="701" spans="1:13" x14ac:dyDescent="0.25">
      <c r="A701" s="1" t="s">
        <v>1227</v>
      </c>
      <c r="B701" s="1" t="s">
        <v>218</v>
      </c>
      <c r="C701" s="1" t="s">
        <v>219</v>
      </c>
      <c r="E701" s="1" t="s">
        <v>1228</v>
      </c>
      <c r="H701" t="str">
        <f t="shared" si="52"/>
        <v/>
      </c>
      <c r="I701" t="str">
        <f t="shared" si="53"/>
        <v/>
      </c>
      <c r="J701" t="str">
        <f t="shared" si="54"/>
        <v/>
      </c>
      <c r="L701" t="str">
        <f t="shared" si="51"/>
        <v>46</v>
      </c>
      <c r="M701">
        <f t="shared" si="50"/>
        <v>1</v>
      </c>
    </row>
    <row r="702" spans="1:13" x14ac:dyDescent="0.25">
      <c r="A702" s="1" t="s">
        <v>1229</v>
      </c>
      <c r="B702" s="1" t="s">
        <v>227</v>
      </c>
      <c r="C702" s="1" t="s">
        <v>228</v>
      </c>
      <c r="E702" s="1" t="s">
        <v>1230</v>
      </c>
      <c r="H702" t="str">
        <f t="shared" si="52"/>
        <v/>
      </c>
      <c r="I702" t="str">
        <f t="shared" si="53"/>
        <v/>
      </c>
      <c r="J702" t="str">
        <f t="shared" si="54"/>
        <v/>
      </c>
      <c r="L702" t="str">
        <f t="shared" si="51"/>
        <v>46</v>
      </c>
      <c r="M702">
        <f t="shared" si="50"/>
        <v>1</v>
      </c>
    </row>
    <row r="703" spans="1:13" x14ac:dyDescent="0.25">
      <c r="A703" s="1" t="s">
        <v>1231</v>
      </c>
      <c r="B703" s="1" t="s">
        <v>205</v>
      </c>
      <c r="C703" s="1" t="s">
        <v>1232</v>
      </c>
      <c r="D703" s="1" t="s">
        <v>21</v>
      </c>
      <c r="E703" s="1" t="s">
        <v>1233</v>
      </c>
      <c r="H703" t="str">
        <f t="shared" si="52"/>
        <v/>
      </c>
      <c r="I703" t="str">
        <f t="shared" si="53"/>
        <v/>
      </c>
      <c r="J703" t="str">
        <f t="shared" si="54"/>
        <v/>
      </c>
      <c r="L703" t="str">
        <f t="shared" si="51"/>
        <v>46</v>
      </c>
      <c r="M703">
        <f t="shared" si="50"/>
        <v>1</v>
      </c>
    </row>
    <row r="704" spans="1:13" x14ac:dyDescent="0.25">
      <c r="A704" s="1" t="s">
        <v>1234</v>
      </c>
      <c r="B704" s="1" t="s">
        <v>373</v>
      </c>
      <c r="C704" s="1" t="s">
        <v>1235</v>
      </c>
      <c r="E704" s="1" t="s">
        <v>1236</v>
      </c>
      <c r="H704" t="str">
        <f t="shared" si="52"/>
        <v/>
      </c>
      <c r="I704" t="str">
        <f t="shared" si="53"/>
        <v/>
      </c>
      <c r="J704" t="str">
        <f t="shared" si="54"/>
        <v/>
      </c>
      <c r="L704" t="str">
        <f t="shared" si="51"/>
        <v>46</v>
      </c>
      <c r="M704">
        <f t="shared" si="50"/>
        <v>1</v>
      </c>
    </row>
    <row r="705" spans="1:13" x14ac:dyDescent="0.25">
      <c r="H705" t="str">
        <f t="shared" si="52"/>
        <v/>
      </c>
      <c r="I705" t="str">
        <f t="shared" si="53"/>
        <v/>
      </c>
      <c r="J705" t="str">
        <f t="shared" si="54"/>
        <v/>
      </c>
      <c r="L705" t="str">
        <f t="shared" si="51"/>
        <v/>
      </c>
      <c r="M705" t="str">
        <f t="shared" si="50"/>
        <v/>
      </c>
    </row>
    <row r="706" spans="1:13" x14ac:dyDescent="0.25">
      <c r="A706" s="1" t="s">
        <v>1237</v>
      </c>
      <c r="B706" s="1" t="s">
        <v>1238</v>
      </c>
      <c r="C706" s="1" t="s">
        <v>1239</v>
      </c>
      <c r="D706" s="1" t="s">
        <v>152</v>
      </c>
      <c r="E706" s="1" t="s">
        <v>1241</v>
      </c>
      <c r="H706" t="str">
        <f t="shared" si="52"/>
        <v/>
      </c>
      <c r="I706" t="str">
        <f t="shared" si="53"/>
        <v/>
      </c>
      <c r="J706" t="str">
        <f t="shared" si="54"/>
        <v/>
      </c>
      <c r="L706" t="str">
        <f t="shared" si="51"/>
        <v>46</v>
      </c>
      <c r="M706">
        <f t="shared" ref="M706:M714" si="55">IF(AND(LEN(A706)&lt;6,A706&lt;&gt;""),1,"")</f>
        <v>1</v>
      </c>
    </row>
    <row r="707" spans="1:13" x14ac:dyDescent="0.25">
      <c r="C707" s="1" t="s">
        <v>128</v>
      </c>
      <c r="H707" t="str">
        <f t="shared" si="52"/>
        <v/>
      </c>
      <c r="I707" t="str">
        <f t="shared" si="53"/>
        <v/>
      </c>
      <c r="J707" t="str">
        <f t="shared" si="54"/>
        <v/>
      </c>
      <c r="L707" t="str">
        <f t="shared" ref="L707:L714" si="56">IFERROR(IF(LEN(A707)&lt;=5,TRIM(LEFT(A707,SEARCH(".",A707)-1)),""),"")</f>
        <v/>
      </c>
      <c r="M707" t="str">
        <f t="shared" si="55"/>
        <v/>
      </c>
    </row>
    <row r="708" spans="1:13" x14ac:dyDescent="0.25">
      <c r="C708" s="1" t="s">
        <v>1240</v>
      </c>
      <c r="H708" t="str">
        <f t="shared" si="52"/>
        <v/>
      </c>
      <c r="I708" t="str">
        <f t="shared" si="53"/>
        <v/>
      </c>
      <c r="J708" t="str">
        <f t="shared" si="54"/>
        <v/>
      </c>
      <c r="L708" t="str">
        <f t="shared" si="56"/>
        <v/>
      </c>
      <c r="M708" t="str">
        <f t="shared" si="55"/>
        <v/>
      </c>
    </row>
    <row r="709" spans="1:13" x14ac:dyDescent="0.25">
      <c r="A709" s="1" t="s">
        <v>1242</v>
      </c>
      <c r="B709" s="1" t="s">
        <v>729</v>
      </c>
      <c r="C709" s="1" t="s">
        <v>1243</v>
      </c>
      <c r="D709" s="1" t="s">
        <v>152</v>
      </c>
      <c r="E709" s="1" t="s">
        <v>683</v>
      </c>
      <c r="H709" t="str">
        <f t="shared" si="52"/>
        <v/>
      </c>
      <c r="I709" t="str">
        <f t="shared" si="53"/>
        <v/>
      </c>
      <c r="J709" t="str">
        <f t="shared" si="54"/>
        <v/>
      </c>
      <c r="L709" t="str">
        <f t="shared" si="56"/>
        <v>46</v>
      </c>
      <c r="M709">
        <f t="shared" si="55"/>
        <v>1</v>
      </c>
    </row>
    <row r="710" spans="1:13" x14ac:dyDescent="0.25">
      <c r="C710" s="1" t="s">
        <v>128</v>
      </c>
      <c r="H710" t="str">
        <f t="shared" si="52"/>
        <v/>
      </c>
      <c r="I710" t="str">
        <f t="shared" si="53"/>
        <v/>
      </c>
      <c r="J710" t="str">
        <f t="shared" si="54"/>
        <v/>
      </c>
      <c r="L710" t="str">
        <f t="shared" si="56"/>
        <v/>
      </c>
      <c r="M710" t="str">
        <f t="shared" si="55"/>
        <v/>
      </c>
    </row>
    <row r="711" spans="1:13" x14ac:dyDescent="0.25">
      <c r="A711" s="1" t="s">
        <v>1244</v>
      </c>
      <c r="D711" s="1" t="s">
        <v>680</v>
      </c>
      <c r="E711" s="1" t="s">
        <v>1166</v>
      </c>
      <c r="H711" t="str">
        <f t="shared" ref="H711:H714" si="57">IFERROR(TRIM(IF(SEARCH("Блок ",A711),IF(SEARCH("B",A711),RIGHT(A711,LEN(A711)-SEARCH("B",A711)+1)),"")),"")</f>
        <v>B47_APPLREJECT</v>
      </c>
      <c r="I711">
        <f t="shared" ref="I711:I714" ca="1" si="58">IFERROR(IF(H711&lt;&gt;"",SUMIF(L:M,TRIM(MID(A711,SEARCH(" ",A711),SEARCH(". ",A711)-5)),M:M),""),"")</f>
        <v>2</v>
      </c>
      <c r="J711" t="str">
        <f t="shared" ref="J711:J714" ca="1" si="59">CLEAN(TRIM(IF(H711&lt;&gt;"",""""&amp;H711&amp;""""&amp;", "&amp;I711,"")))</f>
        <v>"B47_APPLREJECT", 2</v>
      </c>
      <c r="L711" t="str">
        <f t="shared" si="56"/>
        <v/>
      </c>
      <c r="M711" t="str">
        <f t="shared" si="55"/>
        <v/>
      </c>
    </row>
    <row r="712" spans="1:13" x14ac:dyDescent="0.25">
      <c r="A712" s="1" t="s">
        <v>38</v>
      </c>
      <c r="H712" t="str">
        <f t="shared" si="57"/>
        <v/>
      </c>
      <c r="I712" t="str">
        <f t="shared" si="58"/>
        <v/>
      </c>
      <c r="J712" t="str">
        <f t="shared" si="59"/>
        <v/>
      </c>
      <c r="L712" t="str">
        <f t="shared" si="56"/>
        <v/>
      </c>
      <c r="M712" t="str">
        <f t="shared" si="55"/>
        <v/>
      </c>
    </row>
    <row r="713" spans="1:13" x14ac:dyDescent="0.25">
      <c r="A713" s="1" t="s">
        <v>1245</v>
      </c>
      <c r="B713" s="1" t="s">
        <v>1246</v>
      </c>
      <c r="E713" s="1" t="s">
        <v>1247</v>
      </c>
      <c r="H713" t="str">
        <f t="shared" si="57"/>
        <v/>
      </c>
      <c r="I713" t="str">
        <f t="shared" si="58"/>
        <v/>
      </c>
      <c r="J713" t="str">
        <f t="shared" si="59"/>
        <v/>
      </c>
      <c r="L713" t="str">
        <f t="shared" si="56"/>
        <v>47</v>
      </c>
      <c r="M713">
        <f t="shared" si="55"/>
        <v>1</v>
      </c>
    </row>
    <row r="714" spans="1:13" x14ac:dyDescent="0.25">
      <c r="A714" s="1" t="s">
        <v>1248</v>
      </c>
      <c r="B714" s="1" t="s">
        <v>1249</v>
      </c>
      <c r="C714" s="1" t="s">
        <v>1250</v>
      </c>
      <c r="E714" s="1" t="s">
        <v>1251</v>
      </c>
      <c r="H714" t="str">
        <f t="shared" si="57"/>
        <v/>
      </c>
      <c r="I714" t="str">
        <f t="shared" si="58"/>
        <v/>
      </c>
      <c r="J714" t="str">
        <f t="shared" si="59"/>
        <v/>
      </c>
      <c r="L714" t="str">
        <f t="shared" si="56"/>
        <v>47</v>
      </c>
      <c r="M714">
        <f t="shared" si="55"/>
        <v>1</v>
      </c>
    </row>
  </sheetData>
  <autoFilter ref="J1:J714" xr:uid="{6862E22D-9E40-4F6D-BE70-11367B900844}"/>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C74B3D-7C72-483B-99CD-55FE1717C647}">
  <sheetPr codeName="Sheet2" filterMode="1"/>
  <dimension ref="A1:F48"/>
  <sheetViews>
    <sheetView workbookViewId="0">
      <selection activeCell="D46" sqref="D46"/>
    </sheetView>
  </sheetViews>
  <sheetFormatPr defaultRowHeight="15" x14ac:dyDescent="0.25"/>
  <cols>
    <col min="1" max="1" width="33" bestFit="1" customWidth="1"/>
    <col min="4" max="4" width="33" bestFit="1" customWidth="1"/>
  </cols>
  <sheetData>
    <row r="1" spans="1:6" x14ac:dyDescent="0.25">
      <c r="F1" t="s">
        <v>1519</v>
      </c>
    </row>
    <row r="2" spans="1:6" hidden="1" x14ac:dyDescent="0.25">
      <c r="A2" t="s">
        <v>1455</v>
      </c>
      <c r="B2" t="str">
        <f>A2</f>
        <v>"B1_NAME", 5</v>
      </c>
      <c r="C2" t="str">
        <f>IF(OR(RIGHT(ROW(),1)="5",RIGHT(ROW(),1)="0")," _"&amp;CHAR(10),"")</f>
        <v/>
      </c>
      <c r="D2" t="s">
        <v>1455</v>
      </c>
      <c r="F2">
        <f>IF(A2=D2,1,0)</f>
        <v>1</v>
      </c>
    </row>
    <row r="3" spans="1:6" hidden="1" x14ac:dyDescent="0.25">
      <c r="A3" t="s">
        <v>1456</v>
      </c>
      <c r="B3" t="str">
        <f>B2&amp;", "&amp;A3&amp;C3</f>
        <v>"B1_NAME", 5, "B2_ADDR", 14</v>
      </c>
      <c r="C3" t="str">
        <f t="shared" ref="C3:C48" si="0">IF(OR(RIGHT(ROW(),1)="5",RIGHT(ROW(),1)="0")," _"&amp;CHAR(10),"")</f>
        <v/>
      </c>
      <c r="D3" t="s">
        <v>1456</v>
      </c>
      <c r="F3">
        <f t="shared" ref="F3:F48" si="1">IF(A3=D3,1,0)</f>
        <v>1</v>
      </c>
    </row>
    <row r="4" spans="1:6" hidden="1" x14ac:dyDescent="0.25">
      <c r="A4" t="s">
        <v>1457</v>
      </c>
      <c r="B4" t="str">
        <f t="shared" ref="B4:B48" si="2">B3&amp;", "&amp;A4&amp;C4</f>
        <v>"B1_NAME", 5, "B2_ADDR", 14, "B3_REGNUM", 2</v>
      </c>
      <c r="C4" t="str">
        <f t="shared" si="0"/>
        <v/>
      </c>
      <c r="D4" t="s">
        <v>1457</v>
      </c>
      <c r="F4">
        <f t="shared" si="1"/>
        <v>1</v>
      </c>
    </row>
    <row r="5" spans="1:6" hidden="1" x14ac:dyDescent="0.25">
      <c r="A5" t="s">
        <v>1458</v>
      </c>
      <c r="B5" t="str">
        <f t="shared" si="2"/>
        <v xml:space="preserve">"B1_NAME", 5, "B2_ADDR", 14, "B3_REGNUM", 2, "B4_TAXPAYERID", 2 _
</v>
      </c>
      <c r="C5" t="str">
        <f t="shared" si="0"/>
        <v xml:space="preserve"> _
</v>
      </c>
      <c r="D5" t="s">
        <v>1458</v>
      </c>
      <c r="F5">
        <f t="shared" si="1"/>
        <v>1</v>
      </c>
    </row>
    <row r="6" spans="1:6" hidden="1" x14ac:dyDescent="0.25">
      <c r="A6" t="s">
        <v>1459</v>
      </c>
      <c r="B6" t="str">
        <f t="shared" si="2"/>
        <v>"B1_NAME", 5, "B2_ADDR", 14, "B3_REGNUM", 2, "B4_TAXPAYERID", 2 _
, "B5_REORG", 6</v>
      </c>
      <c r="C6" t="str">
        <f t="shared" si="0"/>
        <v/>
      </c>
      <c r="D6" t="s">
        <v>1459</v>
      </c>
      <c r="F6">
        <f t="shared" si="1"/>
        <v>1</v>
      </c>
    </row>
    <row r="7" spans="1:6" hidden="1" x14ac:dyDescent="0.25">
      <c r="A7" t="s">
        <v>1460</v>
      </c>
      <c r="B7" t="str">
        <f t="shared" si="2"/>
        <v>"B1_NAME", 5, "B2_ADDR", 14, "B3_REGNUM", 2, "B4_TAXPAYERID", 2 _
, "B5_REORG", 6, "B6_BANKRUPTCY", 9</v>
      </c>
      <c r="C7" t="str">
        <f t="shared" si="0"/>
        <v/>
      </c>
      <c r="D7" t="s">
        <v>1460</v>
      </c>
      <c r="F7">
        <f t="shared" si="1"/>
        <v>1</v>
      </c>
    </row>
    <row r="8" spans="1:6" hidden="1" x14ac:dyDescent="0.25">
      <c r="A8" t="s">
        <v>1461</v>
      </c>
      <c r="B8" t="str">
        <f t="shared" si="2"/>
        <v>"B1_NAME", 5, "B2_ADDR", 14, "B3_REGNUM", 2, "B4_TAXPAYERID", 2 _
, "B5_REORG", 6, "B6_BANKRUPTCY", 9, "B7_SETTLED", 2</v>
      </c>
      <c r="C8" t="str">
        <f t="shared" si="0"/>
        <v/>
      </c>
      <c r="D8" t="s">
        <v>1461</v>
      </c>
      <c r="F8">
        <f t="shared" si="1"/>
        <v>1</v>
      </c>
    </row>
    <row r="9" spans="1:6" hidden="1" x14ac:dyDescent="0.25">
      <c r="A9" t="s">
        <v>1462</v>
      </c>
      <c r="B9" t="str">
        <f t="shared" si="2"/>
        <v>"B1_NAME", 5, "B2_ADDR", 14, "B3_REGNUM", 2, "B4_TAXPAYERID", 2 _
, "B5_REORG", 6, "B6_BANKRUPTCY", 9, "B7_SETTLED", 2, "B8_PREVCRED", 4</v>
      </c>
      <c r="C9" t="str">
        <f t="shared" si="0"/>
        <v/>
      </c>
      <c r="D9" t="s">
        <v>1462</v>
      </c>
      <c r="F9">
        <f t="shared" si="1"/>
        <v>1</v>
      </c>
    </row>
    <row r="10" spans="1:6" hidden="1" x14ac:dyDescent="0.25">
      <c r="A10" t="s">
        <v>1463</v>
      </c>
      <c r="B10" t="str">
        <f t="shared" si="2"/>
        <v xml:space="preserve">"B1_NAME", 5, "B2_ADDR", 14, "B3_REGNUM", 2, "B4_TAXPAYERID", 2 _
, "B5_REORG", 6, "B6_BANKRUPTCY", 9, "B7_SETTLED", 2, "B8_PREVCRED", 4, "B9_SCORE", 2 _
</v>
      </c>
      <c r="C10" t="str">
        <f t="shared" si="0"/>
        <v xml:space="preserve"> _
</v>
      </c>
      <c r="D10" t="s">
        <v>1463</v>
      </c>
      <c r="F10">
        <f t="shared" si="1"/>
        <v>1</v>
      </c>
    </row>
    <row r="11" spans="1:6" hidden="1" x14ac:dyDescent="0.25">
      <c r="A11" t="s">
        <v>1464</v>
      </c>
      <c r="B11" t="str">
        <f t="shared" si="2"/>
        <v>"B1_NAME", 5, "B2_ADDR", 14, "B3_REGNUM", 2, "B4_TAXPAYERID", 2 _
, "B5_REORG", 6, "B6_BANKRUPTCY", 9, "B7_SETTLED", 2, "B8_PREVCRED", 4, "B9_SCORE", 2 _
, "B10_UID", 2</v>
      </c>
      <c r="C11" t="str">
        <f t="shared" si="0"/>
        <v/>
      </c>
      <c r="D11" t="s">
        <v>1464</v>
      </c>
      <c r="F11">
        <f t="shared" si="1"/>
        <v>1</v>
      </c>
    </row>
    <row r="12" spans="1:6" x14ac:dyDescent="0.25">
      <c r="A12" t="s">
        <v>1465</v>
      </c>
      <c r="B12" t="str">
        <f t="shared" si="2"/>
        <v>"B1_NAME", 5, "B2_ADDR", 14, "B3_REGNUM", 2, "B4_TAXPAYERID", 2 _
, "B5_REORG", 6, "B6_BANKRUPTCY", 9, "B7_SETTLED", 2, "B8_PREVCRED", 4, "B9_SCORE", 2 _
, "B10_UID", 2, "B11_TRADE", 9</v>
      </c>
      <c r="C12" t="str">
        <f t="shared" si="0"/>
        <v/>
      </c>
      <c r="D12" t="s">
        <v>1503</v>
      </c>
      <c r="F12">
        <f t="shared" si="1"/>
        <v>0</v>
      </c>
    </row>
    <row r="13" spans="1:6" hidden="1" x14ac:dyDescent="0.25">
      <c r="A13" t="s">
        <v>1466</v>
      </c>
      <c r="B13" t="str">
        <f t="shared" si="2"/>
        <v>"B1_NAME", 5, "B2_ADDR", 14, "B3_REGNUM", 2, "B4_TAXPAYERID", 2 _
, "B5_REORG", 6, "B6_BANKRUPTCY", 9, "B7_SETTLED", 2, "B8_PREVCRED", 4, "B9_SCORE", 2 _
, "B10_UID", 2, "B11_TRADE", 9, "B12_ACCOUNTAMT", 7</v>
      </c>
      <c r="C13" t="str">
        <f t="shared" si="0"/>
        <v/>
      </c>
      <c r="D13" t="s">
        <v>1466</v>
      </c>
      <c r="F13">
        <f t="shared" si="1"/>
        <v>1</v>
      </c>
    </row>
    <row r="14" spans="1:6" hidden="1" x14ac:dyDescent="0.25">
      <c r="A14" t="s">
        <v>1467</v>
      </c>
      <c r="B14" t="str">
        <f t="shared" si="2"/>
        <v>"B1_NAME", 5, "B2_ADDR", 14, "B3_REGNUM", 2, "B4_TAXPAYERID", 2 _
, "B5_REORG", 6, "B6_BANKRUPTCY", 9, "B7_SETTLED", 2, "B8_PREVCRED", 4, "B9_SCORE", 2 _
, "B10_UID", 2, "B11_TRADE", 9, "B12_ACCOUNTAMT", 7, "B13_COBORROWER", 2</v>
      </c>
      <c r="C14" t="str">
        <f t="shared" si="0"/>
        <v/>
      </c>
      <c r="D14" t="s">
        <v>1467</v>
      </c>
      <c r="F14">
        <f t="shared" si="1"/>
        <v>1</v>
      </c>
    </row>
    <row r="15" spans="1:6" hidden="1" x14ac:dyDescent="0.25">
      <c r="A15" t="s">
        <v>1468</v>
      </c>
      <c r="B15" t="str">
        <f t="shared" si="2"/>
        <v xml:space="preserve">"B1_NAME", 5, "B2_ADDR", 14, "B3_REGNUM", 2, "B4_TAXPAYERID", 2 _
, "B5_REORG", 6, "B6_BANKRUPTCY", 9, "B7_SETTLED", 2, "B8_PREVCRED", 4, "B9_SCORE", 2 _
, "B10_UID", 2, "B11_TRADE", 9, "B12_ACCOUNTAMT", 7, "B13_COBORROWER", 2, "B14_PAYMTCONDITION", 9 _
</v>
      </c>
      <c r="C15" t="str">
        <f t="shared" si="0"/>
        <v xml:space="preserve"> _
</v>
      </c>
      <c r="D15" t="s">
        <v>1468</v>
      </c>
      <c r="F15">
        <f t="shared" si="1"/>
        <v>1</v>
      </c>
    </row>
    <row r="16" spans="1:6" x14ac:dyDescent="0.25">
      <c r="A16" t="s">
        <v>1469</v>
      </c>
      <c r="B16" t="str">
        <f t="shared" si="2"/>
        <v>"B1_NAME", 5, "B2_ADDR", 14, "B3_REGNUM", 2, "B4_TAXPAYERID", 2 _
, "B5_REORG", 6, "B6_BANKRUPTCY", 9, "B7_SETTLED", 2, "B8_PREVCRED", 4, "B9_SCORE", 2 _
, "B10_UID", 2, "B11_TRADE", 9, "B12_ACCOUNTAMT", 7, "B13_COBORROWER", 2, "B14_PAYMTCONDITION", 9 _
, "B15_AMENDMENT", 9</v>
      </c>
      <c r="C16" t="str">
        <f t="shared" si="0"/>
        <v/>
      </c>
      <c r="D16" t="s">
        <v>1504</v>
      </c>
      <c r="F16">
        <f t="shared" si="1"/>
        <v>0</v>
      </c>
    </row>
    <row r="17" spans="1:6" hidden="1" x14ac:dyDescent="0.25">
      <c r="A17" t="s">
        <v>1470</v>
      </c>
      <c r="B17" t="str">
        <f t="shared" si="2"/>
        <v>"B1_NAME", 5, "B2_ADDR", 14, "B3_REGNUM", 2, "B4_TAXPAYERID", 2 _
, "B5_REORG", 6, "B6_BANKRUPTCY", 9, "B7_SETTLED", 2, "B8_PREVCRED", 4, "B9_SCORE", 2 _
, "B10_UID", 2, "B11_TRADE", 9, "B12_ACCOUNTAMT", 7, "B13_COBORROWER", 2, "B14_PAYMTCONDITION", 9 _
, "B15_AMENDMENT", 9, "B16_FUNDDATE", 2</v>
      </c>
      <c r="C17" t="str">
        <f t="shared" si="0"/>
        <v/>
      </c>
      <c r="D17" t="s">
        <v>1470</v>
      </c>
      <c r="F17">
        <f t="shared" si="1"/>
        <v>1</v>
      </c>
    </row>
    <row r="18" spans="1:6" hidden="1" x14ac:dyDescent="0.25">
      <c r="A18" t="s">
        <v>1471</v>
      </c>
      <c r="B18" t="str">
        <f t="shared" si="2"/>
        <v>"B1_NAME", 5, "B2_ADDR", 14, "B3_REGNUM", 2, "B4_TAXPAYERID", 2 _
, "B5_REORG", 6, "B6_BANKRUPTCY", 9, "B7_SETTLED", 2, "B8_PREVCRED", 4, "B9_SCORE", 2 _
, "B10_UID", 2, "B11_TRADE", 9, "B12_ACCOUNTAMT", 7, "B13_COBORROWER", 2, "B14_PAYMTCONDITION", 9 _
, "B15_AMENDMENT", 9, "B16_FUNDDATE", 2, "B17_ARREAR", 8</v>
      </c>
      <c r="C18" t="str">
        <f t="shared" si="0"/>
        <v/>
      </c>
      <c r="D18" t="s">
        <v>1471</v>
      </c>
      <c r="F18">
        <f t="shared" si="1"/>
        <v>1</v>
      </c>
    </row>
    <row r="19" spans="1:6" hidden="1" x14ac:dyDescent="0.25">
      <c r="A19" t="s">
        <v>1472</v>
      </c>
      <c r="B19"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v>
      </c>
      <c r="C19" t="str">
        <f t="shared" si="0"/>
        <v/>
      </c>
      <c r="D19" t="s">
        <v>1472</v>
      </c>
      <c r="F19">
        <f t="shared" si="1"/>
        <v>1</v>
      </c>
    </row>
    <row r="20" spans="1:6" hidden="1" x14ac:dyDescent="0.25">
      <c r="A20" t="s">
        <v>1473</v>
      </c>
      <c r="B20"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v>
      </c>
      <c r="C20" t="str">
        <f t="shared" si="0"/>
        <v xml:space="preserve"> _
</v>
      </c>
      <c r="D20" t="s">
        <v>1473</v>
      </c>
      <c r="F20">
        <f t="shared" si="1"/>
        <v>1</v>
      </c>
    </row>
    <row r="21" spans="1:6" x14ac:dyDescent="0.25">
      <c r="A21" t="s">
        <v>1474</v>
      </c>
      <c r="B21"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v>
      </c>
      <c r="C21" t="str">
        <f t="shared" si="0"/>
        <v/>
      </c>
      <c r="D21" t="s">
        <v>1505</v>
      </c>
      <c r="F21">
        <f t="shared" si="1"/>
        <v>0</v>
      </c>
    </row>
    <row r="22" spans="1:6" hidden="1" x14ac:dyDescent="0.25">
      <c r="A22" t="s">
        <v>1475</v>
      </c>
      <c r="B22"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v>
      </c>
      <c r="C22" t="str">
        <f t="shared" si="0"/>
        <v/>
      </c>
      <c r="D22" t="s">
        <v>1475</v>
      </c>
      <c r="F22">
        <f t="shared" si="1"/>
        <v>1</v>
      </c>
    </row>
    <row r="23" spans="1:6" hidden="1" x14ac:dyDescent="0.25">
      <c r="A23" t="s">
        <v>1476</v>
      </c>
      <c r="B23"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v>
      </c>
      <c r="C23" t="str">
        <f t="shared" si="0"/>
        <v/>
      </c>
      <c r="D23" t="s">
        <v>1476</v>
      </c>
      <c r="F23">
        <f t="shared" si="1"/>
        <v>1</v>
      </c>
    </row>
    <row r="24" spans="1:6" x14ac:dyDescent="0.25">
      <c r="A24" t="s">
        <v>1477</v>
      </c>
      <c r="B24"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v>
      </c>
      <c r="C24" t="str">
        <f t="shared" si="0"/>
        <v/>
      </c>
      <c r="D24" t="s">
        <v>1506</v>
      </c>
      <c r="F24">
        <f t="shared" si="1"/>
        <v>0</v>
      </c>
    </row>
    <row r="25" spans="1:6" hidden="1" x14ac:dyDescent="0.25">
      <c r="A25" t="s">
        <v>1478</v>
      </c>
      <c r="B25"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v>
      </c>
      <c r="C25" t="str">
        <f t="shared" si="0"/>
        <v xml:space="preserve"> _
</v>
      </c>
      <c r="D25" t="s">
        <v>1478</v>
      </c>
      <c r="F25">
        <f t="shared" si="1"/>
        <v>1</v>
      </c>
    </row>
    <row r="26" spans="1:6" hidden="1" x14ac:dyDescent="0.25">
      <c r="A26" t="s">
        <v>1479</v>
      </c>
      <c r="B26"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v>
      </c>
      <c r="C26" t="str">
        <f t="shared" si="0"/>
        <v/>
      </c>
      <c r="D26" t="s">
        <v>1479</v>
      </c>
      <c r="F26">
        <f t="shared" si="1"/>
        <v>1</v>
      </c>
    </row>
    <row r="27" spans="1:6" hidden="1" x14ac:dyDescent="0.25">
      <c r="A27" t="s">
        <v>1480</v>
      </c>
      <c r="B27"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v>
      </c>
      <c r="C27" t="str">
        <f t="shared" si="0"/>
        <v/>
      </c>
      <c r="D27" t="s">
        <v>1480</v>
      </c>
      <c r="F27">
        <f t="shared" si="1"/>
        <v>1</v>
      </c>
    </row>
    <row r="28" spans="1:6" hidden="1" x14ac:dyDescent="0.25">
      <c r="A28" t="s">
        <v>1481</v>
      </c>
      <c r="B28"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v>
      </c>
      <c r="C28" t="str">
        <f t="shared" si="0"/>
        <v/>
      </c>
      <c r="D28" t="s">
        <v>1481</v>
      </c>
      <c r="F28">
        <f t="shared" si="1"/>
        <v>1</v>
      </c>
    </row>
    <row r="29" spans="1:6" hidden="1" x14ac:dyDescent="0.25">
      <c r="A29" t="s">
        <v>1482</v>
      </c>
      <c r="B29"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v>
      </c>
      <c r="C29" t="str">
        <f t="shared" si="0"/>
        <v/>
      </c>
      <c r="D29" t="s">
        <v>1482</v>
      </c>
      <c r="F29">
        <f t="shared" si="1"/>
        <v>1</v>
      </c>
    </row>
    <row r="30" spans="1:6" hidden="1" x14ac:dyDescent="0.25">
      <c r="A30" t="s">
        <v>1483</v>
      </c>
      <c r="B30"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v>
      </c>
      <c r="C30" t="str">
        <f t="shared" si="0"/>
        <v xml:space="preserve"> _
</v>
      </c>
      <c r="D30" t="s">
        <v>1483</v>
      </c>
      <c r="F30">
        <f t="shared" si="1"/>
        <v>1</v>
      </c>
    </row>
    <row r="31" spans="1:6" hidden="1" x14ac:dyDescent="0.25">
      <c r="A31" t="s">
        <v>1484</v>
      </c>
      <c r="B31"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v>
      </c>
      <c r="C31" t="str">
        <f t="shared" si="0"/>
        <v/>
      </c>
      <c r="D31" t="s">
        <v>1484</v>
      </c>
      <c r="F31">
        <f t="shared" si="1"/>
        <v>1</v>
      </c>
    </row>
    <row r="32" spans="1:6" x14ac:dyDescent="0.25">
      <c r="A32" t="s">
        <v>1485</v>
      </c>
      <c r="B32"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v>
      </c>
      <c r="C32" t="str">
        <f t="shared" si="0"/>
        <v/>
      </c>
      <c r="D32" t="s">
        <v>1507</v>
      </c>
      <c r="F32">
        <f t="shared" si="1"/>
        <v>0</v>
      </c>
    </row>
    <row r="33" spans="1:6" x14ac:dyDescent="0.25">
      <c r="A33" t="s">
        <v>1486</v>
      </c>
      <c r="B33"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v>
      </c>
      <c r="C33" t="str">
        <f t="shared" si="0"/>
        <v/>
      </c>
      <c r="D33" t="s">
        <v>1508</v>
      </c>
      <c r="F33">
        <f t="shared" si="1"/>
        <v>0</v>
      </c>
    </row>
    <row r="34" spans="1:6" x14ac:dyDescent="0.25">
      <c r="A34" t="s">
        <v>1487</v>
      </c>
      <c r="B34"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v>
      </c>
      <c r="C34" t="str">
        <f t="shared" si="0"/>
        <v/>
      </c>
      <c r="D34" t="s">
        <v>1509</v>
      </c>
      <c r="F34">
        <f t="shared" si="1"/>
        <v>0</v>
      </c>
    </row>
    <row r="35" spans="1:6" hidden="1" x14ac:dyDescent="0.25">
      <c r="A35" t="s">
        <v>1488</v>
      </c>
      <c r="B35"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v>
      </c>
      <c r="C35" t="str">
        <f t="shared" si="0"/>
        <v xml:space="preserve"> _
</v>
      </c>
      <c r="D35" t="s">
        <v>1488</v>
      </c>
      <c r="F35">
        <f t="shared" si="1"/>
        <v>1</v>
      </c>
    </row>
    <row r="36" spans="1:6" hidden="1" x14ac:dyDescent="0.25">
      <c r="A36" t="s">
        <v>1489</v>
      </c>
      <c r="B36"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v>
      </c>
      <c r="C36" t="str">
        <f t="shared" si="0"/>
        <v/>
      </c>
      <c r="D36" t="s">
        <v>1489</v>
      </c>
      <c r="F36">
        <f t="shared" si="1"/>
        <v>1</v>
      </c>
    </row>
    <row r="37" spans="1:6" x14ac:dyDescent="0.25">
      <c r="A37" t="s">
        <v>1490</v>
      </c>
      <c r="B37"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v>
      </c>
      <c r="C37" t="str">
        <f t="shared" si="0"/>
        <v/>
      </c>
      <c r="D37" t="s">
        <v>1510</v>
      </c>
      <c r="F37">
        <f t="shared" si="1"/>
        <v>0</v>
      </c>
    </row>
    <row r="38" spans="1:6" x14ac:dyDescent="0.25">
      <c r="A38" t="s">
        <v>1491</v>
      </c>
      <c r="B38"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v>
      </c>
      <c r="C38" t="str">
        <f t="shared" si="0"/>
        <v/>
      </c>
      <c r="D38" t="s">
        <v>1511</v>
      </c>
      <c r="F38">
        <f t="shared" si="1"/>
        <v>0</v>
      </c>
    </row>
    <row r="39" spans="1:6" x14ac:dyDescent="0.25">
      <c r="A39" t="s">
        <v>1492</v>
      </c>
      <c r="B39"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v>
      </c>
      <c r="C39" t="str">
        <f t="shared" si="0"/>
        <v/>
      </c>
      <c r="D39" t="s">
        <v>1512</v>
      </c>
      <c r="F39">
        <f t="shared" si="1"/>
        <v>0</v>
      </c>
    </row>
    <row r="40" spans="1:6" x14ac:dyDescent="0.25">
      <c r="A40" t="s">
        <v>1493</v>
      </c>
      <c r="B40"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v>
      </c>
      <c r="C40" t="str">
        <f t="shared" si="0"/>
        <v xml:space="preserve"> _
</v>
      </c>
      <c r="D40" t="s">
        <v>1513</v>
      </c>
      <c r="F40">
        <f t="shared" si="1"/>
        <v>0</v>
      </c>
    </row>
    <row r="41" spans="1:6" x14ac:dyDescent="0.25">
      <c r="A41" t="s">
        <v>1494</v>
      </c>
      <c r="B41"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v>
      </c>
      <c r="C41" t="str">
        <f t="shared" si="0"/>
        <v/>
      </c>
      <c r="D41" t="s">
        <v>1514</v>
      </c>
      <c r="F41">
        <f t="shared" si="1"/>
        <v>0</v>
      </c>
    </row>
    <row r="42" spans="1:6" x14ac:dyDescent="0.25">
      <c r="A42" t="s">
        <v>1495</v>
      </c>
      <c r="B42"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v>
      </c>
      <c r="C42" t="str">
        <f t="shared" si="0"/>
        <v/>
      </c>
      <c r="D42" t="s">
        <v>1515</v>
      </c>
      <c r="F42">
        <f t="shared" si="1"/>
        <v>0</v>
      </c>
    </row>
    <row r="43" spans="1:6" x14ac:dyDescent="0.25">
      <c r="A43" t="s">
        <v>1496</v>
      </c>
      <c r="B43"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v>
      </c>
      <c r="C43" t="str">
        <f t="shared" si="0"/>
        <v/>
      </c>
      <c r="D43" t="s">
        <v>1516</v>
      </c>
      <c r="F43">
        <f t="shared" si="1"/>
        <v>0</v>
      </c>
    </row>
    <row r="44" spans="1:6" x14ac:dyDescent="0.25">
      <c r="A44" t="s">
        <v>1497</v>
      </c>
      <c r="B44"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 "B43_SERVICECO", 9</v>
      </c>
      <c r="C44" t="str">
        <f t="shared" si="0"/>
        <v/>
      </c>
      <c r="D44" t="s">
        <v>1517</v>
      </c>
      <c r="F44">
        <f t="shared" si="1"/>
        <v>0</v>
      </c>
    </row>
    <row r="45" spans="1:6" hidden="1" x14ac:dyDescent="0.25">
      <c r="A45" t="s">
        <v>1498</v>
      </c>
      <c r="B45" t="str">
        <f t="shared" si="2"/>
        <v xml:space="preserve">"B1_NAME",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 "B43_SERVICECO", 9, "B44_OBLIGACCOUNT", 5 _
</v>
      </c>
      <c r="C45" t="str">
        <f t="shared" si="0"/>
        <v xml:space="preserve"> _
</v>
      </c>
      <c r="D45" t="s">
        <v>1498</v>
      </c>
      <c r="F45">
        <f t="shared" si="1"/>
        <v>1</v>
      </c>
    </row>
    <row r="46" spans="1:6" x14ac:dyDescent="0.25">
      <c r="A46" t="s">
        <v>1499</v>
      </c>
      <c r="B46"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 "B43_SERVICECO", 9, "B44_OBLIGACCOUNT", 5 _
, "B45_APPLICATION", 9</v>
      </c>
      <c r="C46" t="str">
        <f t="shared" si="0"/>
        <v/>
      </c>
      <c r="D46" t="s">
        <v>1518</v>
      </c>
      <c r="F46">
        <f t="shared" si="1"/>
        <v>0</v>
      </c>
    </row>
    <row r="47" spans="1:6" hidden="1" x14ac:dyDescent="0.25">
      <c r="A47" t="s">
        <v>1500</v>
      </c>
      <c r="B47"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 "B43_SERVICECO", 9, "B44_OBLIGACCOUNT", 5 _
, "B45_APPLICATION", 9, "B46_OBLIGPARTTAKE", 6</v>
      </c>
      <c r="C47" t="str">
        <f t="shared" si="0"/>
        <v/>
      </c>
      <c r="D47" t="s">
        <v>1500</v>
      </c>
      <c r="F47">
        <f t="shared" si="1"/>
        <v>1</v>
      </c>
    </row>
    <row r="48" spans="1:6" hidden="1" x14ac:dyDescent="0.25">
      <c r="A48" t="s">
        <v>1501</v>
      </c>
      <c r="B48" t="str">
        <f t="shared" si="2"/>
        <v>"B1_NAME", 5, "B2_ADDR", 14, "B3_REGNUM", 2, "B4_TAXPAYERID", 2 _
, "B5_REORG", 6, "B6_BANKRUPTCY", 9, "B7_SETTLED", 2, "B8_PREVCRED", 4, "B9_SCORE", 2 _
, "B10_UID", 2, "B11_TRADE", 9, "B12_ACCOUNTAMT", 7, "B13_COBORROWER", 2, "B14_PAYMTCONDITION", 9 _
, "B15_AMENDMENT", 9, "B16_FUNDDATE", 2, "B17_ARREAR", 8, "B18_DUEARREAR", 7, "B19_PASTDUEARREAR", 9 _
, "B20_PAYMT", 9, "B21_SOURCENONMONETOBLIG", 5, "B22_SUBJECTNONMONETOBLIG", 5, "B23_COLLATERAL", 9, "B24_GUARANTOR", 8 _
, "B25_INDEPGUARANTOR", 8, "B26_COLLATINSURED", 9, "B27_COLLATREPAY", 4, "B28_GUARANTEEREPAY", 5, "B29_OBLIGTERMINATION", 2 _
, "B30_LEGALRECORD", 6, "B31_OBLIGSRCBANKRUPT", 9, "B32_OBLIGSRCLIQUID", 9, "B33_OTHERLEGAL", 9, "B34_INQUIRY", 7 _
, "B35_SUBMITHOLD", 2, "B36_SOURCELEGAL", 9, "B37_SOURCEINDIVID", 9, "B38_SOURCEBCOMM", 9, "B39_USERLEGAL", 9 _
, "B40_USERENTREP", 9, "B41_ACQUIRERLEGAL", 9, "B42_ACQUIRERINDIVID", 9, "B43_SERVICECO", 9, "B44_OBLIGACCOUNT", 5 _
, "B45_APPLICATION", 9, "B46_OBLIGPARTTAKE", 6, "B47_APPLREJECT", 2</v>
      </c>
      <c r="C48" t="str">
        <f t="shared" si="0"/>
        <v/>
      </c>
      <c r="D48" t="s">
        <v>1501</v>
      </c>
      <c r="F48">
        <f t="shared" si="1"/>
        <v>1</v>
      </c>
    </row>
  </sheetData>
  <autoFilter ref="F1:F48" xr:uid="{50C74B3D-7C72-483B-99CD-55FE1717C647}">
    <filterColumn colId="0">
      <filters>
        <filter val="0"/>
      </filters>
    </filterColumn>
  </autoFilter>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48E9E-7A24-4C5D-B0C6-60E3EA77FD29}">
  <sheetPr codeName="Sheet1"/>
  <dimension ref="A1"/>
  <sheetViews>
    <sheetView workbookViewId="0"/>
  </sheetViews>
  <sheetFormatPr defaultRowHeight="15" x14ac:dyDescent="0.25"/>
  <sheetData>
    <row r="1" spans="1:1" x14ac:dyDescent="0.25">
      <c r="A1" t="s">
        <v>1502</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79E2538-89E5-4861-B992-BD9A2EDEE07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78</vt:i4>
      </vt:variant>
    </vt:vector>
  </HeadingPairs>
  <TitlesOfParts>
    <vt:vector size="82" baseType="lpstr">
      <vt:lpstr>вставка</vt:lpstr>
      <vt:lpstr>добавлятор</vt:lpstr>
      <vt:lpstr>компилятор</vt:lpstr>
      <vt:lpstr>что получилось</vt:lpstr>
      <vt:lpstr>добавлятор!_ftn1</vt:lpstr>
      <vt:lpstr>добавлятор!_ftn2</vt:lpstr>
      <vt:lpstr>добавлятор!_ftn3</vt:lpstr>
      <vt:lpstr>добавлятор!_ftn4</vt:lpstr>
      <vt:lpstr>добавлятор!_ftn5</vt:lpstr>
      <vt:lpstr>добавлятор!_ftn6</vt:lpstr>
      <vt:lpstr>добавлятор!_ftn7</vt:lpstr>
      <vt:lpstr>добавлятор!_ftn8</vt:lpstr>
      <vt:lpstr>добавлятор!_ftnref1</vt:lpstr>
      <vt:lpstr>добавлятор!_ftnref2</vt:lpstr>
      <vt:lpstr>добавлятор!_ftnref3</vt:lpstr>
      <vt:lpstr>добавлятор!_ftnref4</vt:lpstr>
      <vt:lpstr>добавлятор!_ftnref5</vt:lpstr>
      <vt:lpstr>добавлятор!_ftnref6</vt:lpstr>
      <vt:lpstr>добавлятор!_ftnref7</vt:lpstr>
      <vt:lpstr>добавлятор!_ftnref8</vt:lpstr>
      <vt:lpstr>добавлятор!_Ref141966839</vt:lpstr>
      <vt:lpstr>добавлятор!_Ref141966882</vt:lpstr>
      <vt:lpstr>добавлятор!_Ref151894629</vt:lpstr>
      <vt:lpstr>добавлятор!_Toc153537865</vt:lpstr>
      <vt:lpstr>добавлятор!_Toc153537871</vt:lpstr>
      <vt:lpstr>добавлятор!_Toc153537882</vt:lpstr>
      <vt:lpstr>добавлятор!_Toc153537890</vt:lpstr>
      <vt:lpstr>добавлятор!_Toc153537897</vt:lpstr>
      <vt:lpstr>добавлятор!_Toc153537900</vt:lpstr>
      <vt:lpstr>добавлятор!_Toc153537904</vt:lpstr>
      <vt:lpstr>добавлятор!_Toc153537907</vt:lpstr>
      <vt:lpstr>добавлятор!_Toc153537911</vt:lpstr>
      <vt:lpstr>добавлятор!_Toc153537914</vt:lpstr>
      <vt:lpstr>добавлятор!_Toc153537918</vt:lpstr>
      <vt:lpstr>добавлятор!_Toc153537920</vt:lpstr>
      <vt:lpstr>добавлятор!B1_NAME</vt:lpstr>
      <vt:lpstr>добавлятор!B10_UID</vt:lpstr>
      <vt:lpstr>добавлятор!B11_TRADE</vt:lpstr>
      <vt:lpstr>добавлятор!B12_ACCOUNTAMT</vt:lpstr>
      <vt:lpstr>добавлятор!B13_COBORROWER</vt:lpstr>
      <vt:lpstr>добавлятор!B14_PAYMTCONDITION</vt:lpstr>
      <vt:lpstr>добавлятор!B15_AMENDMENT</vt:lpstr>
      <vt:lpstr>добавлятор!B16_FUNDDATE</vt:lpstr>
      <vt:lpstr>добавлятор!B17_ARREAR</vt:lpstr>
      <vt:lpstr>добавлятор!B18_DUEARREAR</vt:lpstr>
      <vt:lpstr>добавлятор!B19_PASTDUEARREAR</vt:lpstr>
      <vt:lpstr>добавлятор!B2_ADDR</vt:lpstr>
      <vt:lpstr>добавлятор!B20_PAYMT</vt:lpstr>
      <vt:lpstr>добавлятор!B21_SOURCENONMONETOBLIG</vt:lpstr>
      <vt:lpstr>добавлятор!B22_SUBJECTNONMONETOBLIG</vt:lpstr>
      <vt:lpstr>добавлятор!B23_COLLATERAL</vt:lpstr>
      <vt:lpstr>добавлятор!B24_GUARANTOR</vt:lpstr>
      <vt:lpstr>добавлятор!B25_INDEPGUARANTOR</vt:lpstr>
      <vt:lpstr>добавлятор!B26_COLLATINSURED</vt:lpstr>
      <vt:lpstr>добавлятор!B27_COLLATREPAY</vt:lpstr>
      <vt:lpstr>добавлятор!B28_GUARANTEEREPAY</vt:lpstr>
      <vt:lpstr>добавлятор!B29_OBLIGTERMINATION</vt:lpstr>
      <vt:lpstr>добавлятор!B3_REGNUM</vt:lpstr>
      <vt:lpstr>добавлятор!B30_LEGALRECORD</vt:lpstr>
      <vt:lpstr>добавлятор!B31_OBLIGSRCBANKRUPT</vt:lpstr>
      <vt:lpstr>добавлятор!B32_OBLIGSRCLIQUID</vt:lpstr>
      <vt:lpstr>добавлятор!B33_OTHERLEGAL</vt:lpstr>
      <vt:lpstr>добавлятор!B34_INQUIRY</vt:lpstr>
      <vt:lpstr>добавлятор!B35_SUBMITHOLD</vt:lpstr>
      <vt:lpstr>добавлятор!B36_SOURCELEGAL</vt:lpstr>
      <vt:lpstr>добавлятор!B37_SOURCEINDIVID</vt:lpstr>
      <vt:lpstr>добавлятор!B38_SOURCEBCOMM</vt:lpstr>
      <vt:lpstr>добавлятор!B39_USERLEGAL</vt:lpstr>
      <vt:lpstr>добавлятор!B4_TAXPAYERID</vt:lpstr>
      <vt:lpstr>добавлятор!B40_USERENTREP</vt:lpstr>
      <vt:lpstr>добавлятор!B41_ACQUIRERLEGAL</vt:lpstr>
      <vt:lpstr>добавлятор!B42_ACQUIRERINDIVID</vt:lpstr>
      <vt:lpstr>добавлятор!B43_SERVICECO</vt:lpstr>
      <vt:lpstr>добавлятор!B44_OBLIGACCOUNT</vt:lpstr>
      <vt:lpstr>добавлятор!B45_APPLICATION</vt:lpstr>
      <vt:lpstr>добавлятор!B46_OBLIGPARTTAKE</vt:lpstr>
      <vt:lpstr>добавлятор!B47_APPLREJECT</vt:lpstr>
      <vt:lpstr>добавлятор!B5_REORG</vt:lpstr>
      <vt:lpstr>добавлятор!B6_BANKRUPTCY</vt:lpstr>
      <vt:lpstr>добавлятор!B7_SETTLED</vt:lpstr>
      <vt:lpstr>добавлятор!B8_PREVCRED</vt:lpstr>
      <vt:lpstr>добавлятор!B9_SCORE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s.kvasko</dc:creator>
  <cp:lastModifiedBy>Кваско Сергей Михайлович</cp:lastModifiedBy>
  <dcterms:created xsi:type="dcterms:W3CDTF">2024-07-15T12:51:56Z</dcterms:created>
  <dcterms:modified xsi:type="dcterms:W3CDTF">2024-08-09T10:06:19Z</dcterms:modified>
</cp:coreProperties>
</file>
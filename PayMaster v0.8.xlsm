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01B37F71-7F14-4EF1-ADB5-C99E59EF9E8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ПЛАТЕЖИ" sheetId="1" r:id="rId1"/>
    <sheet name="1C" sheetId="2" r:id="rId2"/>
    <sheet name="сохраняем" sheetId="3" state="hidden" r:id="rId3"/>
  </sheets>
  <functionGroups builtInGroupCount="19"/>
  <externalReferences>
    <externalReference r:id="rId4"/>
    <externalReference r:id="rId5"/>
  </externalReferences>
  <definedNames>
    <definedName name="_xlnm._FilterDatabase" localSheetId="0" hidden="1">ПЛАТЕЖИ!$A$1:$G$1000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2" i="1"/>
  <c r="J3" i="2"/>
  <c r="K3" i="2" s="1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K2" i="2"/>
  <c r="J2" i="2"/>
  <c r="I1" i="1"/>
</calcChain>
</file>

<file path=xl/sharedStrings.xml><?xml version="1.0" encoding="utf-8"?>
<sst xmlns="http://schemas.openxmlformats.org/spreadsheetml/2006/main" count="102" uniqueCount="53">
  <si>
    <t xml:space="preserve">Договор </t>
  </si>
  <si>
    <t>Дата</t>
  </si>
  <si>
    <t>Сумма</t>
  </si>
  <si>
    <t>Заемщик</t>
  </si>
  <si>
    <t>Статус</t>
  </si>
  <si>
    <t>Пени</t>
  </si>
  <si>
    <t>КО</t>
  </si>
  <si>
    <t>Просрочка погашена</t>
  </si>
  <si>
    <t>Оплата в срок</t>
  </si>
  <si>
    <t>Реструкт (вх в график)</t>
  </si>
  <si>
    <t>Частичная оплата (проср.)</t>
  </si>
  <si>
    <t>Частичная оплата</t>
  </si>
  <si>
    <t xml:space="preserve">Закрытие </t>
  </si>
  <si>
    <t>Погашение пени</t>
  </si>
  <si>
    <t>Ошибочный платеж</t>
  </si>
  <si>
    <t>Удалить</t>
  </si>
  <si>
    <t>Третье лицо</t>
  </si>
  <si>
    <t>НЕТ ИНФОРМАЦИИ</t>
  </si>
  <si>
    <t>Период, день</t>
  </si>
  <si>
    <t>Вид операции</t>
  </si>
  <si>
    <t>Займ</t>
  </si>
  <si>
    <t>Итого</t>
  </si>
  <si>
    <t>Погашение</t>
  </si>
  <si>
    <t>Поступление на текущий счет расчетов</t>
  </si>
  <si>
    <t>Пеня 0.054% в день от остатка основного долга</t>
  </si>
  <si>
    <t>все пени</t>
  </si>
  <si>
    <t>в отчет</t>
  </si>
  <si>
    <t>оплата в срок</t>
  </si>
  <si>
    <t>предлагаю</t>
  </si>
  <si>
    <t>частичная оплата</t>
  </si>
  <si>
    <t>31.08.2024</t>
  </si>
  <si>
    <t>Богданова Марина Алексеевна</t>
  </si>
  <si>
    <t>Ермакова Кристина Алексеевна</t>
  </si>
  <si>
    <t>Литвинов Дмитрий Геннадьевич</t>
  </si>
  <si>
    <t>Мисюк Георгий Анатольевич</t>
  </si>
  <si>
    <t>Прусаков Максим Владимирович</t>
  </si>
  <si>
    <t>Пушкарев Александр Борисович</t>
  </si>
  <si>
    <t>Сельцова Наталья Юрьевна</t>
  </si>
  <si>
    <t>Султанова Анна Валерьевна</t>
  </si>
  <si>
    <t>Тульнова Ольга Владимировна</t>
  </si>
  <si>
    <t>Хадиев Фанис Рафисович</t>
  </si>
  <si>
    <t>В-00708/АЗ_В-21082023/Ц</t>
  </si>
  <si>
    <t>В-23325/АЗ_В-20211230/Ц</t>
  </si>
  <si>
    <t>В-11277/КЛ.Транш - 1_В-21082023/Ц</t>
  </si>
  <si>
    <t>В-22309/АЗ_В-21082023/Ц</t>
  </si>
  <si>
    <t>В-16261/КЛ.Транш - 1_В-20211230/Ц</t>
  </si>
  <si>
    <t>В-15954/КЛ.Транш - 1_В-21082023/Ц</t>
  </si>
  <si>
    <t>В-00439/КЛ.Транш - 2_В-21082023/Ц</t>
  </si>
  <si>
    <t>В-23901/КЛ.Транш - 1_В-21082023/Ц</t>
  </si>
  <si>
    <t>В-12067/КЛ.Транш - 1_В-21082023/Ц</t>
  </si>
  <si>
    <t>В-14816/КЛ.Транш - 1_В-21082023/Ц</t>
  </si>
  <si>
    <t>1314,63</t>
  </si>
  <si>
    <t>208,94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</si>
</sst>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₽_-;\-* #,##0.00\ _₽_-;_-* &quot;-&quot;??\ _₽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43" fontId="3" fillId="2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43" fontId="3" fillId="2" borderId="1" xfId="0" applyNumberFormat="1" applyFont="1" applyFill="1" applyBorder="1" applyAlignment="1">
      <alignment vertical="top"/>
    </xf>
    <xf numFmtId="14" fontId="0" fillId="0" borderId="0" xfId="0" applyNumberFormat="1"/>
    <xf numFmtId="43" fontId="3" fillId="2" borderId="1" xfId="1" applyFont="1" applyFill="1" applyBorder="1" applyAlignment="1" applyProtection="1">
      <alignment horizontal="center" vertical="center"/>
    </xf>
    <xf numFmtId="43" fontId="0" fillId="0" borderId="0" xfId="1" applyFont="1"/>
    <xf numFmtId="2" fontId="3" fillId="2" borderId="1" xfId="0" applyNumberFormat="1" applyFont="1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43" fontId="3" fillId="3" borderId="2" xfId="0" applyNumberFormat="1" applyFont="1" applyFill="1" applyBorder="1" applyAlignment="1">
      <alignment horizontal="center" vertical="top"/>
    </xf>
    <xf numFmtId="43" fontId="3" fillId="0" borderId="2" xfId="0" applyNumberFormat="1" applyFont="1" applyBorder="1" applyAlignment="1">
      <alignment vertical="top"/>
    </xf>
    <xf numFmtId="43" fontId="3" fillId="0" borderId="2" xfId="0" applyNumberFormat="1" applyFont="1" applyBorder="1" applyAlignment="1">
      <alignment horizontal="center" vertical="top"/>
    </xf>
    <xf numFmtId="0" fontId="0" fillId="0" borderId="2" xfId="0" applyBorder="1"/>
    <xf numFmtId="14" fontId="0" fillId="0" borderId="2" xfId="0" applyNumberFormat="1" applyBorder="1"/>
    <xf numFmtId="43" fontId="0" fillId="0" borderId="2" xfId="1" applyFont="1" applyBorder="1"/>
    <xf numFmtId="0" fontId="0" fillId="0" borderId="3" xfId="0" applyBorder="1"/>
    <xf numFmtId="14" fontId="0" fillId="0" borderId="3" xfId="0" applyNumberFormat="1" applyBorder="1"/>
    <xf numFmtId="43" fontId="0" fillId="0" borderId="3" xfId="1" applyFont="1" applyBorder="1"/>
  </cellXfs>
  <cellStyles count="2">
    <cellStyle name="Comma" xfId="1" builtinId="3"/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1339036</xdr:colOff>
      <xdr:row>4</xdr:row>
      <xdr:rowOff>116973</xdr:rowOff>
    </xdr:from>
    <xdr:to>
      <xdr:col>11</xdr:col>
      <xdr:colOff>213543</xdr:colOff>
      <xdr:row>10</xdr:row>
      <xdr:rowOff>102102</xdr:rowOff>
    </xdr:to>
    <xdr:sp macro="[0]!AquiringBuild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988B2EA7-01A6-A4ED-A45E-46A81E760228}"/>
            </a:ext>
          </a:extLst>
        </xdr:cNvPr>
        <xdr:cNvSpPr/>
      </xdr:nvSpPr>
      <xdr:spPr>
        <a:xfrm>
          <a:off x="10530661" y="878973"/>
          <a:ext cx="261783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twoCellAnchor>
  <xdr:twoCellAnchor editAs="absolute">
    <xdr:from>
      <xdr:col>7</xdr:col>
      <xdr:colOff>984200</xdr:colOff>
      <xdr:row>10</xdr:row>
      <xdr:rowOff>69348</xdr:rowOff>
    </xdr:from>
    <xdr:to>
      <xdr:col>11</xdr:col>
      <xdr:colOff>587432</xdr:colOff>
      <xdr:row>15</xdr:row>
      <xdr:rowOff>54477</xdr:rowOff>
    </xdr:to>
    <xdr:sp macro="[0]!reportAquiring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D7ADC5DE-BAEC-E140-2CBC-F3D9555B744F}"/>
            </a:ext>
          </a:extLst>
        </xdr:cNvPr>
        <xdr:cNvSpPr/>
      </xdr:nvSpPr>
      <xdr:spPr>
        <a:xfrm>
          <a:off x="10175825" y="1783848"/>
          <a:ext cx="334655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Отправить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501551</xdr:colOff>
      <xdr:row>0</xdr:row>
      <xdr:rowOff>0</xdr:rowOff>
    </xdr:from>
    <xdr:to>
      <xdr:col>16</xdr:col>
      <xdr:colOff>387560</xdr:colOff>
      <xdr:row>4</xdr:row>
      <xdr:rowOff>175629</xdr:rowOff>
    </xdr:to>
    <xdr:sp macro="[0]!clearshisshee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250B585A-E7AC-46E2-B3F8-D7905BA588EE}"/>
            </a:ext>
          </a:extLst>
        </xdr:cNvPr>
        <xdr:cNvSpPr/>
      </xdr:nvSpPr>
      <xdr:spPr>
        <a:xfrm>
          <a:off x="9397901" y="0"/>
          <a:ext cx="293400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C%20v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еестр просрочников"/>
      <sheetName val="РП (расш)"/>
      <sheetName val="сверка"/>
      <sheetName val="Платежный календарь"/>
      <sheetName val="xforms"/>
    </sheetNames>
    <sheetDataSet>
      <sheetData sheetId="0"/>
      <sheetData sheetId="1"/>
      <sheetData sheetId="2"/>
      <sheetData sheetId="3">
        <row r="1">
          <cell r="D1"/>
        </row>
        <row r="2">
          <cell r="D2"/>
        </row>
        <row r="3">
          <cell r="D3"/>
        </row>
        <row r="4">
          <cell r="B4" t="str">
            <v>Период: 01.08.2024 - 31.08.2024</v>
          </cell>
          <cell r="D4"/>
        </row>
        <row r="5">
          <cell r="B5" t="str">
            <v>Контрагент Не в списке "ВЗАИМНО ООО; АЭК ООО КА; АТЛАС ООО; ИРБИС ООО" И</v>
          </cell>
          <cell r="D5"/>
        </row>
        <row r="6">
          <cell r="B6" t="str">
            <v>Источник данных Равно "Займы предоставленные" И</v>
          </cell>
          <cell r="D6"/>
        </row>
        <row r="7">
          <cell r="B7" t="str">
            <v>Состояние Равно "Действует"</v>
          </cell>
          <cell r="D7"/>
        </row>
        <row r="8">
          <cell r="D8"/>
        </row>
        <row r="9">
          <cell r="B9" t="str">
            <v>Займ.Договор №</v>
          </cell>
          <cell r="C9" t="str">
            <v>Дата платежа</v>
          </cell>
          <cell r="D9" t="str">
            <v>Итого</v>
          </cell>
        </row>
        <row r="10">
          <cell r="D10" t="str">
            <v>Сумма планового платежа</v>
          </cell>
        </row>
        <row r="11">
          <cell r="B11" t="str">
            <v>В-28436/АЗ_В-21082023/Ц</v>
          </cell>
          <cell r="C11">
            <v>45505</v>
          </cell>
          <cell r="D11">
            <v>30622.799999999999</v>
          </cell>
        </row>
        <row r="12">
          <cell r="B12" t="str">
            <v>В-12523/КЛ.Транш - 2_В-21082023/Ц</v>
          </cell>
          <cell r="C12">
            <v>45505</v>
          </cell>
          <cell r="D12">
            <v>18575.490000000002</v>
          </cell>
        </row>
        <row r="13">
          <cell r="B13" t="str">
            <v>В-23923/КЛ.Транш - 1_В-21082023/Ц</v>
          </cell>
          <cell r="C13">
            <v>45505</v>
          </cell>
          <cell r="D13">
            <v>19347.96</v>
          </cell>
        </row>
        <row r="14">
          <cell r="B14" t="str">
            <v>В-04724/КЛ.Транш - 3_В-20211230/Ц</v>
          </cell>
          <cell r="C14">
            <v>45506</v>
          </cell>
          <cell r="D14">
            <v>22391.27</v>
          </cell>
        </row>
        <row r="15">
          <cell r="B15" t="str">
            <v>В-27315/КЛ.Транш - 1_В-21082023/Ц</v>
          </cell>
          <cell r="C15">
            <v>45506</v>
          </cell>
          <cell r="D15">
            <v>27818.85</v>
          </cell>
        </row>
        <row r="16">
          <cell r="B16" t="str">
            <v>В-23229/АЗ_В-21082023/Ц</v>
          </cell>
          <cell r="C16">
            <v>45506</v>
          </cell>
          <cell r="D16">
            <v>12492.02</v>
          </cell>
        </row>
        <row r="17">
          <cell r="B17" t="str">
            <v>В-08644/КЛ.Транш - 1_В-21082023/Ц</v>
          </cell>
          <cell r="C17">
            <v>45506</v>
          </cell>
          <cell r="D17">
            <v>6462.97</v>
          </cell>
        </row>
        <row r="18">
          <cell r="B18" t="str">
            <v>В-15138/КЛ.Транш - 1_В-21082023/Ц</v>
          </cell>
          <cell r="C18">
            <v>45506</v>
          </cell>
          <cell r="D18">
            <v>9774.56</v>
          </cell>
        </row>
        <row r="19">
          <cell r="B19" t="str">
            <v>В-28906/КЛ.Транш - 1_В-21082023/Ц</v>
          </cell>
          <cell r="C19">
            <v>45506</v>
          </cell>
          <cell r="D19">
            <v>8796.0300000000007</v>
          </cell>
        </row>
        <row r="20">
          <cell r="B20" t="str">
            <v>В-22205/КЛ.Транш - 1_В-21082023/Ц</v>
          </cell>
          <cell r="C20">
            <v>45506</v>
          </cell>
          <cell r="D20">
            <v>19400.939999999999</v>
          </cell>
        </row>
        <row r="21">
          <cell r="B21" t="str">
            <v>В-10474/КЛ.Транш - 5_В-21082023/Ц</v>
          </cell>
          <cell r="C21">
            <v>45506</v>
          </cell>
          <cell r="D21">
            <v>13829.61</v>
          </cell>
        </row>
        <row r="22">
          <cell r="B22" t="str">
            <v>В-28961/КЛ.Транш - 1_В-21082023/Ц</v>
          </cell>
          <cell r="C22">
            <v>45507</v>
          </cell>
          <cell r="D22">
            <v>17592.11</v>
          </cell>
        </row>
        <row r="23">
          <cell r="B23" t="str">
            <v>В-24350/КЛ.Транш - 1_В-20211230/Ц</v>
          </cell>
          <cell r="C23">
            <v>45507</v>
          </cell>
          <cell r="D23">
            <v>65364.160000000003</v>
          </cell>
        </row>
        <row r="24">
          <cell r="B24" t="str">
            <v>В-21253/КЛ.Транш - 1_В-21082023/Ц</v>
          </cell>
          <cell r="C24">
            <v>45508</v>
          </cell>
          <cell r="D24">
            <v>5511.63</v>
          </cell>
        </row>
        <row r="25">
          <cell r="B25" t="str">
            <v>В-19991/КЛ.Транш - 1_В-21082023/Ц</v>
          </cell>
          <cell r="C25">
            <v>45508</v>
          </cell>
          <cell r="D25">
            <v>2818.68</v>
          </cell>
        </row>
        <row r="26">
          <cell r="B26" t="str">
            <v>В-27914/КЛ.Транш - 1_В-21082023/Ц</v>
          </cell>
          <cell r="C26">
            <v>45508</v>
          </cell>
          <cell r="D26">
            <v>9909.17</v>
          </cell>
        </row>
        <row r="27">
          <cell r="B27" t="str">
            <v>В-27929/КЛ.Транш - 1_В-21082023/Ц</v>
          </cell>
          <cell r="C27">
            <v>45508</v>
          </cell>
          <cell r="D27">
            <v>9909.17</v>
          </cell>
        </row>
        <row r="28">
          <cell r="B28" t="str">
            <v>В-25548/КЛ.Транш - 1_В-21082023/Ц</v>
          </cell>
          <cell r="C28">
            <v>45509</v>
          </cell>
          <cell r="D28">
            <v>35820.83</v>
          </cell>
        </row>
        <row r="29">
          <cell r="B29" t="str">
            <v>В-16455/КЛ.Транш - 1_В-21082023/Ц</v>
          </cell>
          <cell r="C29">
            <v>45509</v>
          </cell>
          <cell r="D29">
            <v>13779.08</v>
          </cell>
        </row>
        <row r="30">
          <cell r="B30" t="str">
            <v>В-19286/КЛ.Транш - 1_В-21082023/Ц</v>
          </cell>
          <cell r="C30">
            <v>45509</v>
          </cell>
          <cell r="D30">
            <v>26502.47</v>
          </cell>
        </row>
        <row r="31">
          <cell r="B31" t="str">
            <v>В-03974/КЛ.Транш - 3_В-21082023/Ц</v>
          </cell>
          <cell r="C31">
            <v>45509</v>
          </cell>
          <cell r="D31">
            <v>18976.150000000001</v>
          </cell>
        </row>
        <row r="32">
          <cell r="B32" t="str">
            <v>В-20035/КЛ.Транш - 1_В-21082023/Ц</v>
          </cell>
          <cell r="C32">
            <v>45509</v>
          </cell>
          <cell r="D32">
            <v>640.47</v>
          </cell>
        </row>
        <row r="33">
          <cell r="B33" t="str">
            <v>В-02064/КЛ.Транш - 4_В-21082023/Ц</v>
          </cell>
          <cell r="C33">
            <v>45510</v>
          </cell>
          <cell r="D33">
            <v>10011.07</v>
          </cell>
        </row>
        <row r="34">
          <cell r="B34" t="str">
            <v>В-25922/КЛ.Транш - 2_В-21082023/Ц</v>
          </cell>
          <cell r="C34">
            <v>45510</v>
          </cell>
          <cell r="D34">
            <v>11131.95</v>
          </cell>
        </row>
        <row r="35">
          <cell r="B35" t="str">
            <v>В-25627/КЛ.Транш - 1_В-21082023/Ц</v>
          </cell>
          <cell r="C35">
            <v>45510</v>
          </cell>
          <cell r="D35">
            <v>48224.05</v>
          </cell>
        </row>
        <row r="36">
          <cell r="B36" t="str">
            <v>В-19740/КЛ.Транш - 5_В-21082023/Ц</v>
          </cell>
          <cell r="C36">
            <v>45510</v>
          </cell>
          <cell r="D36">
            <v>12125.59</v>
          </cell>
        </row>
        <row r="37">
          <cell r="B37" t="str">
            <v>В-10474/КЛ.Транш - 6_В-21082023/Ц</v>
          </cell>
          <cell r="C37">
            <v>45510</v>
          </cell>
          <cell r="D37">
            <v>5531.84</v>
          </cell>
        </row>
        <row r="38">
          <cell r="B38" t="str">
            <v>В-25659/КЛ.Транш - 1_В-20211230/Ц</v>
          </cell>
          <cell r="C38">
            <v>45511</v>
          </cell>
          <cell r="D38">
            <v>6606.07</v>
          </cell>
        </row>
        <row r="39">
          <cell r="B39" t="str">
            <v>В-23919/КЛ.Транш - 1_В-21082023/Ц</v>
          </cell>
          <cell r="C39">
            <v>45511</v>
          </cell>
          <cell r="D39">
            <v>34154.120000000003</v>
          </cell>
        </row>
        <row r="40">
          <cell r="B40" t="str">
            <v>В-12067/КЛ.Транш - 1_В-21082023/Ц</v>
          </cell>
          <cell r="C40">
            <v>45511</v>
          </cell>
          <cell r="D40">
            <v>6551.44</v>
          </cell>
        </row>
        <row r="41">
          <cell r="B41" t="str">
            <v>В-12066/КЛ.Транш - 1_В-21082023/Ц</v>
          </cell>
          <cell r="C41">
            <v>45511</v>
          </cell>
          <cell r="D41">
            <v>5901.58</v>
          </cell>
        </row>
        <row r="42">
          <cell r="B42" t="str">
            <v>В-18921/КЛ.Транш - 1_В-21082023/Ц</v>
          </cell>
          <cell r="C42">
            <v>45512</v>
          </cell>
          <cell r="D42">
            <v>74580.59</v>
          </cell>
        </row>
        <row r="43">
          <cell r="B43" t="str">
            <v>В-12113/КЛ.Транш - 1_В-20211230/Ц</v>
          </cell>
          <cell r="C43">
            <v>45512</v>
          </cell>
          <cell r="D43">
            <v>7275.35</v>
          </cell>
        </row>
        <row r="44">
          <cell r="B44" t="str">
            <v>В-12098/КЛ.Транш - 2_В-21082023/Ц</v>
          </cell>
          <cell r="C44">
            <v>45512</v>
          </cell>
          <cell r="D44">
            <v>7778.33</v>
          </cell>
        </row>
        <row r="45">
          <cell r="B45" t="str">
            <v>В-13449/КЛ.Транш - 1_В-21082023/Ц</v>
          </cell>
          <cell r="C45">
            <v>45513</v>
          </cell>
          <cell r="D45">
            <v>6536.42</v>
          </cell>
        </row>
        <row r="46">
          <cell r="B46" t="str">
            <v>В-28090/АЗ_В-20211230/Ц</v>
          </cell>
          <cell r="C46">
            <v>45513</v>
          </cell>
          <cell r="D46">
            <v>54732.2</v>
          </cell>
        </row>
        <row r="47">
          <cell r="B47" t="str">
            <v>В-22935/КЛ.Транш - 2_В-21082023/Ц</v>
          </cell>
          <cell r="C47">
            <v>45513</v>
          </cell>
          <cell r="D47">
            <v>4850.24</v>
          </cell>
        </row>
        <row r="48">
          <cell r="B48" t="str">
            <v>В-19740/КЛ.Транш - 6_В-21082023/Ц</v>
          </cell>
          <cell r="C48">
            <v>45513</v>
          </cell>
          <cell r="D48">
            <v>14550.71</v>
          </cell>
        </row>
        <row r="49">
          <cell r="B49" t="str">
            <v>В-23410/КЛ.Транш - 1_В-20211230/Ц</v>
          </cell>
          <cell r="C49">
            <v>45513</v>
          </cell>
          <cell r="D49">
            <v>23121.33</v>
          </cell>
        </row>
        <row r="50">
          <cell r="B50" t="str">
            <v>В-18548/КЛ.Транш - 2_В-20211230/Ц</v>
          </cell>
          <cell r="C50">
            <v>45513</v>
          </cell>
          <cell r="D50">
            <v>31755.91</v>
          </cell>
        </row>
        <row r="51">
          <cell r="B51" t="str">
            <v>В-12098/КЛ.Транш - 1_В-21082023/Ц</v>
          </cell>
          <cell r="C51">
            <v>45514</v>
          </cell>
          <cell r="D51">
            <v>35735.129999999997</v>
          </cell>
        </row>
        <row r="52">
          <cell r="B52" t="str">
            <v>В-25807/АЗ_В-21082023/Ц</v>
          </cell>
          <cell r="C52">
            <v>45514</v>
          </cell>
          <cell r="D52">
            <v>56771.17</v>
          </cell>
        </row>
        <row r="53">
          <cell r="B53" t="str">
            <v>В-25810/АЗ_В-21082023/Ц</v>
          </cell>
          <cell r="C53">
            <v>45514</v>
          </cell>
          <cell r="D53">
            <v>69757.990000000005</v>
          </cell>
        </row>
        <row r="54">
          <cell r="B54" t="str">
            <v>В-25306/КЛ.Транш - 1_В-21082023/Ц</v>
          </cell>
          <cell r="C54">
            <v>45514</v>
          </cell>
          <cell r="D54">
            <v>75532.92</v>
          </cell>
        </row>
        <row r="55">
          <cell r="B55" t="str">
            <v>В-22205/КЛ.Транш - 2_В-21082023/Ц</v>
          </cell>
          <cell r="C55">
            <v>45514</v>
          </cell>
          <cell r="D55">
            <v>12885.93</v>
          </cell>
        </row>
        <row r="56">
          <cell r="B56" t="str">
            <v>В-10039/КЛ.Транш - 1_В-20211230/Ц</v>
          </cell>
          <cell r="C56">
            <v>45514</v>
          </cell>
          <cell r="D56">
            <v>41891.230000000003</v>
          </cell>
        </row>
        <row r="57">
          <cell r="B57" t="str">
            <v>В-20133/КЛ.Транш - 1_В-21082023/Ц</v>
          </cell>
          <cell r="C57">
            <v>45515</v>
          </cell>
          <cell r="D57">
            <v>11045.52</v>
          </cell>
        </row>
        <row r="58">
          <cell r="B58" t="str">
            <v>В-16057/КЛ.Транш - 6_В-21082023/Ц</v>
          </cell>
          <cell r="C58">
            <v>45515</v>
          </cell>
          <cell r="D58">
            <v>28547.77</v>
          </cell>
        </row>
        <row r="59">
          <cell r="B59" t="str">
            <v>В-01038/АЗ_В-21082023/Ц</v>
          </cell>
          <cell r="C59">
            <v>45516</v>
          </cell>
          <cell r="D59">
            <v>64629.7</v>
          </cell>
        </row>
        <row r="60">
          <cell r="B60" t="str">
            <v>В-28159/КЛ.Транш - 1_В-20211230/Ц</v>
          </cell>
          <cell r="C60">
            <v>45516</v>
          </cell>
          <cell r="D60">
            <v>43698.42</v>
          </cell>
        </row>
        <row r="61">
          <cell r="B61" t="str">
            <v>В-17469/КЛ.Транш - 1_В-21082023/Ц</v>
          </cell>
          <cell r="C61">
            <v>45516</v>
          </cell>
          <cell r="D61">
            <v>63626.82</v>
          </cell>
        </row>
        <row r="62">
          <cell r="B62" t="str">
            <v>В-27105/КЛ.Транш - 1_В-20211230/Ц</v>
          </cell>
          <cell r="C62">
            <v>45516</v>
          </cell>
          <cell r="D62">
            <v>26424.41</v>
          </cell>
        </row>
        <row r="63">
          <cell r="B63" t="str">
            <v>В-10474/КЛ.Транш - 4_В-21082023/Ц</v>
          </cell>
          <cell r="C63">
            <v>45516</v>
          </cell>
          <cell r="D63">
            <v>16595.53</v>
          </cell>
        </row>
        <row r="64">
          <cell r="B64" t="str">
            <v>В-01039/АЗ_В-21082023/Ц</v>
          </cell>
          <cell r="C64">
            <v>45516</v>
          </cell>
          <cell r="D64">
            <v>69818.720000000001</v>
          </cell>
        </row>
        <row r="65">
          <cell r="B65" t="str">
            <v>В-25922/КЛ.Транш - 1_В-21082023/Ц</v>
          </cell>
          <cell r="C65">
            <v>45517</v>
          </cell>
          <cell r="D65">
            <v>7275.35</v>
          </cell>
        </row>
        <row r="66">
          <cell r="B66" t="str">
            <v>В-23555/КЛ.Транш - 1_В-21082023/Ц</v>
          </cell>
          <cell r="C66">
            <v>45517</v>
          </cell>
          <cell r="D66">
            <v>43398.11</v>
          </cell>
        </row>
        <row r="67">
          <cell r="B67" t="str">
            <v>В-28235/АЗ_В-21082023/Ц</v>
          </cell>
          <cell r="C67">
            <v>45517</v>
          </cell>
          <cell r="D67">
            <v>12756.77</v>
          </cell>
        </row>
        <row r="68">
          <cell r="B68" t="str">
            <v>В-26422/КЛ.Транш - 1_В-21082023/Ц</v>
          </cell>
          <cell r="C68">
            <v>45518</v>
          </cell>
          <cell r="D68">
            <v>41342.53</v>
          </cell>
        </row>
        <row r="69">
          <cell r="B69" t="str">
            <v>В-16067/КЛ.Транш - 1_В-21082023/Ц</v>
          </cell>
          <cell r="C69">
            <v>45518</v>
          </cell>
          <cell r="D69">
            <v>2507.8200000000002</v>
          </cell>
        </row>
        <row r="70">
          <cell r="B70" t="str">
            <v>В-22309/АЗ_В-21082023/Ц</v>
          </cell>
          <cell r="C70">
            <v>45518</v>
          </cell>
          <cell r="D70">
            <v>14993.72</v>
          </cell>
        </row>
        <row r="71">
          <cell r="B71" t="str">
            <v>В-25950/КЛ.Транш - 1_В-20211230/Ц</v>
          </cell>
          <cell r="C71">
            <v>45518</v>
          </cell>
          <cell r="D71">
            <v>14533.41</v>
          </cell>
        </row>
        <row r="72">
          <cell r="B72" t="str">
            <v>В-25764/КЛ.Транш - 1_В-21082023/Ц</v>
          </cell>
          <cell r="C72">
            <v>45518</v>
          </cell>
          <cell r="D72">
            <v>2647.58</v>
          </cell>
        </row>
        <row r="73">
          <cell r="B73" t="str">
            <v>В-10204/КЛ.Транш - 1_В-21082023/Ц</v>
          </cell>
          <cell r="C73">
            <v>45519</v>
          </cell>
          <cell r="D73">
            <v>7549.99</v>
          </cell>
        </row>
        <row r="74">
          <cell r="B74" t="str">
            <v>В-11396/КЛ.Транш - 2_В-21082023/Ц</v>
          </cell>
          <cell r="C74">
            <v>45519</v>
          </cell>
          <cell r="D74">
            <v>23751.89</v>
          </cell>
        </row>
        <row r="75">
          <cell r="B75" t="str">
            <v>В-19740/КЛ.Транш - 7_В-21082023/Ц</v>
          </cell>
          <cell r="C75">
            <v>45519</v>
          </cell>
          <cell r="D75">
            <v>5820.28</v>
          </cell>
        </row>
        <row r="76">
          <cell r="B76" t="str">
            <v>В-21306/КЛ.Транш - 1_В-21082023/Ц</v>
          </cell>
          <cell r="C76">
            <v>45519</v>
          </cell>
          <cell r="D76">
            <v>9647.94</v>
          </cell>
        </row>
        <row r="77">
          <cell r="B77" t="str">
            <v>В-14198/КЛ.Транш - 1_В-21082023/Ц</v>
          </cell>
          <cell r="C77">
            <v>45520</v>
          </cell>
          <cell r="D77">
            <v>17977.990000000002</v>
          </cell>
        </row>
        <row r="78">
          <cell r="B78" t="str">
            <v>В-11277/КЛ.Транш - 1_В-21082023/Ц</v>
          </cell>
          <cell r="C78">
            <v>45520</v>
          </cell>
          <cell r="D78">
            <v>23173.17</v>
          </cell>
        </row>
        <row r="79">
          <cell r="B79" t="str">
            <v>В-22677/КЛ.Транш - 1_В-21082023/Ц</v>
          </cell>
          <cell r="C79">
            <v>45521</v>
          </cell>
          <cell r="D79">
            <v>11023.26</v>
          </cell>
        </row>
        <row r="80">
          <cell r="B80" t="str">
            <v>В-25659/КЛ.Транш - 2_В-20211230/Ц</v>
          </cell>
          <cell r="C80">
            <v>45521</v>
          </cell>
          <cell r="D80">
            <v>7927.33</v>
          </cell>
        </row>
        <row r="81">
          <cell r="B81" t="str">
            <v>В-28358/КЛ.Транш - 1_В-21082023/Ц</v>
          </cell>
          <cell r="C81">
            <v>45521</v>
          </cell>
          <cell r="D81">
            <v>53546.3</v>
          </cell>
        </row>
        <row r="82">
          <cell r="B82" t="str">
            <v>В-12574/КЛ.Транш - 1_В-21082023/Ц</v>
          </cell>
          <cell r="C82">
            <v>45521</v>
          </cell>
          <cell r="D82">
            <v>4850.24</v>
          </cell>
        </row>
        <row r="83">
          <cell r="B83" t="str">
            <v>В-26114/КЛ.Транш - 1_В-21082023/Ц</v>
          </cell>
          <cell r="C83">
            <v>45521</v>
          </cell>
          <cell r="D83">
            <v>17247.080000000002</v>
          </cell>
        </row>
        <row r="84">
          <cell r="B84" t="str">
            <v>В-20251/КЛ.Транш - 2_В-20211230/Ц</v>
          </cell>
          <cell r="C84">
            <v>45521</v>
          </cell>
          <cell r="D84">
            <v>9700.4699999999993</v>
          </cell>
        </row>
        <row r="85">
          <cell r="B85" t="str">
            <v>В-27788/КЛ.Транш - 1_В-21082023/Ц</v>
          </cell>
          <cell r="C85">
            <v>45521</v>
          </cell>
          <cell r="D85">
            <v>28367.23</v>
          </cell>
        </row>
        <row r="86">
          <cell r="B86" t="str">
            <v>В-20952/КЛ.Транш - 4_В-21082023/Ц</v>
          </cell>
          <cell r="C86">
            <v>45521</v>
          </cell>
          <cell r="D86">
            <v>6716.69</v>
          </cell>
        </row>
        <row r="87">
          <cell r="B87" t="str">
            <v>В-12662/КЛ.Транш - 1_В-21082023/Ц</v>
          </cell>
          <cell r="C87">
            <v>45522</v>
          </cell>
          <cell r="D87">
            <v>4196.76</v>
          </cell>
        </row>
        <row r="88">
          <cell r="B88" t="str">
            <v>В-19355/КЛ.Транш - 1_В-21082023/Ц</v>
          </cell>
          <cell r="C88">
            <v>45522</v>
          </cell>
          <cell r="D88">
            <v>8905.7800000000007</v>
          </cell>
        </row>
        <row r="89">
          <cell r="B89" t="str">
            <v>В-09100/КЛ.Транш - 1_В-21082023/Ц</v>
          </cell>
          <cell r="C89">
            <v>45522</v>
          </cell>
          <cell r="D89">
            <v>4850.24</v>
          </cell>
        </row>
        <row r="90">
          <cell r="B90" t="str">
            <v>В-14216/КЛ.Транш - 2_В-21082023/Ц</v>
          </cell>
          <cell r="C90">
            <v>45522</v>
          </cell>
          <cell r="D90">
            <v>6113.61</v>
          </cell>
        </row>
        <row r="91">
          <cell r="B91" t="str">
            <v>В-01109/АЗ_В-21082023/Ц</v>
          </cell>
          <cell r="C91">
            <v>45523</v>
          </cell>
          <cell r="D91">
            <v>5531.84</v>
          </cell>
        </row>
        <row r="92">
          <cell r="B92" t="str">
            <v>В-24983/КЛ.Транш - 1_В-20211230/Ц</v>
          </cell>
          <cell r="C92">
            <v>45523</v>
          </cell>
          <cell r="D92">
            <v>65364.160000000003</v>
          </cell>
        </row>
        <row r="93">
          <cell r="B93" t="str">
            <v>В-12574/КЛ.Транш - 3_В-21082023/Ц</v>
          </cell>
          <cell r="C93">
            <v>45523</v>
          </cell>
          <cell r="D93">
            <v>6027.51</v>
          </cell>
        </row>
        <row r="94">
          <cell r="B94" t="str">
            <v>В-21568/КЛ.Транш - 1_В-21082023/Ц</v>
          </cell>
          <cell r="C94">
            <v>45524</v>
          </cell>
          <cell r="D94">
            <v>14839.24</v>
          </cell>
        </row>
        <row r="95">
          <cell r="B95" t="str">
            <v>В-22409/КЛ.Транш - 1_В-21082023/Ц</v>
          </cell>
          <cell r="C95">
            <v>45524</v>
          </cell>
          <cell r="D95">
            <v>17908.47</v>
          </cell>
        </row>
        <row r="96">
          <cell r="B96" t="str">
            <v>В-14818/КЛ.Транш - 1_В-20211230/Ц</v>
          </cell>
          <cell r="C96">
            <v>45524</v>
          </cell>
          <cell r="D96">
            <v>19609.25</v>
          </cell>
        </row>
        <row r="97">
          <cell r="B97" t="str">
            <v>В-08348/КЛ.Транш - 7_В-21082023/Ц</v>
          </cell>
          <cell r="C97">
            <v>45525</v>
          </cell>
          <cell r="D97">
            <v>2998.92</v>
          </cell>
        </row>
        <row r="98">
          <cell r="B98" t="str">
            <v>В-01217/АЗ_В-20211230/Ц</v>
          </cell>
          <cell r="C98">
            <v>45525</v>
          </cell>
          <cell r="D98">
            <v>25085.14</v>
          </cell>
        </row>
        <row r="99">
          <cell r="B99" t="str">
            <v>В-12256/КЛ.Транш - 1_В-21082023/Ц</v>
          </cell>
          <cell r="C99">
            <v>45525</v>
          </cell>
          <cell r="D99">
            <v>13549.48</v>
          </cell>
        </row>
        <row r="100">
          <cell r="B100" t="str">
            <v>В-28549/АЗ_В-21082023/Ц</v>
          </cell>
          <cell r="C100">
            <v>45525</v>
          </cell>
          <cell r="D100">
            <v>11452.74</v>
          </cell>
        </row>
        <row r="101">
          <cell r="B101" t="str">
            <v>В-23555/КЛ.Транш - 2_В-21082023/Ц</v>
          </cell>
          <cell r="C101">
            <v>45525</v>
          </cell>
          <cell r="D101">
            <v>8198.15</v>
          </cell>
        </row>
        <row r="102">
          <cell r="B102" t="str">
            <v>В-23901/КЛ.Транш - 1_В-21082023/Ц</v>
          </cell>
          <cell r="C102">
            <v>45525</v>
          </cell>
          <cell r="D102">
            <v>26424.38</v>
          </cell>
        </row>
        <row r="103">
          <cell r="B103" t="str">
            <v>В-14816/КЛ.Транш - 1_В-21082023/Ц</v>
          </cell>
          <cell r="C103">
            <v>45525</v>
          </cell>
          <cell r="D103">
            <v>2107.13</v>
          </cell>
        </row>
        <row r="104">
          <cell r="B104" t="str">
            <v>В-14216/КЛ.Транш - 4_В-21082023/Ц</v>
          </cell>
          <cell r="C104">
            <v>45525</v>
          </cell>
          <cell r="D104">
            <v>6536.42</v>
          </cell>
        </row>
        <row r="105">
          <cell r="B105" t="str">
            <v>В-01174/АЗ_В-21082023/Ц</v>
          </cell>
          <cell r="C105">
            <v>45526</v>
          </cell>
          <cell r="D105">
            <v>26356.77</v>
          </cell>
        </row>
        <row r="106">
          <cell r="B106" t="str">
            <v>В-16242/КЛ.Транш - 2_В-21082023/Ц</v>
          </cell>
          <cell r="C106">
            <v>45526</v>
          </cell>
          <cell r="D106">
            <v>18082.54</v>
          </cell>
        </row>
        <row r="107">
          <cell r="B107" t="str">
            <v>В-10474/КЛ.Транш - 3_В-21082023/Ц</v>
          </cell>
          <cell r="C107">
            <v>45526</v>
          </cell>
          <cell r="D107">
            <v>10646.94</v>
          </cell>
        </row>
        <row r="108">
          <cell r="B108" t="str">
            <v>В-09172/КЛ.Транш - 1_В-21082023/Ц</v>
          </cell>
          <cell r="C108">
            <v>45527</v>
          </cell>
          <cell r="D108">
            <v>8730.42</v>
          </cell>
        </row>
        <row r="109">
          <cell r="B109" t="str">
            <v>В-18894/КЛ.Транш - 1_В-21082023/Ц</v>
          </cell>
          <cell r="C109">
            <v>45527</v>
          </cell>
          <cell r="D109">
            <v>13779.08</v>
          </cell>
        </row>
        <row r="110">
          <cell r="B110" t="str">
            <v>В-10495/КЛ.Транш - 1_В-21082023/Ц</v>
          </cell>
          <cell r="C110">
            <v>45527</v>
          </cell>
          <cell r="D110">
            <v>10476.51</v>
          </cell>
        </row>
        <row r="111">
          <cell r="B111" t="str">
            <v>В-28598/КЛ.Транш - 1_В-21082023/Ц</v>
          </cell>
          <cell r="C111">
            <v>45527</v>
          </cell>
          <cell r="D111">
            <v>58264.56</v>
          </cell>
        </row>
        <row r="112">
          <cell r="B112" t="str">
            <v>В-26950/КЛ.Транш - 1_В-21082023/Ц</v>
          </cell>
          <cell r="C112">
            <v>45527</v>
          </cell>
          <cell r="D112">
            <v>10692.98</v>
          </cell>
        </row>
        <row r="113">
          <cell r="B113" t="str">
            <v>В-15954/КЛ.Транш - 1_В-21082023/Ц</v>
          </cell>
          <cell r="C113">
            <v>45527</v>
          </cell>
          <cell r="D113">
            <v>33191.06</v>
          </cell>
        </row>
        <row r="114">
          <cell r="B114" t="str">
            <v>В-20952/КЛ.Транш - 3_В-21082023/Ц</v>
          </cell>
          <cell r="C114">
            <v>45527</v>
          </cell>
          <cell r="D114">
            <v>6388.31</v>
          </cell>
        </row>
        <row r="115">
          <cell r="B115" t="str">
            <v>В-12912/КЛ.Транш - 1_В-21082023/Ц</v>
          </cell>
          <cell r="C115">
            <v>45528</v>
          </cell>
          <cell r="D115">
            <v>29779.27</v>
          </cell>
        </row>
        <row r="116">
          <cell r="B116" t="str">
            <v>В-22935/КЛ.Транш - 1_В-21082023/Ц</v>
          </cell>
          <cell r="C116">
            <v>45528</v>
          </cell>
          <cell r="D116">
            <v>13212.19</v>
          </cell>
        </row>
        <row r="117">
          <cell r="B117" t="str">
            <v>В-26450/АЗ_В-20211230/Ц</v>
          </cell>
          <cell r="C117">
            <v>45528</v>
          </cell>
          <cell r="D117">
            <v>29736.99</v>
          </cell>
        </row>
        <row r="118">
          <cell r="B118" t="str">
            <v>В-22449/КЛ.Транш - 1_В-21082023/Ц</v>
          </cell>
          <cell r="C118">
            <v>45528</v>
          </cell>
          <cell r="D118">
            <v>14846.75</v>
          </cell>
        </row>
        <row r="119">
          <cell r="B119" t="str">
            <v>В-26449/АЗ_В-20211230/Ц</v>
          </cell>
          <cell r="C119">
            <v>45528</v>
          </cell>
          <cell r="D119">
            <v>49561.65</v>
          </cell>
        </row>
        <row r="120">
          <cell r="B120" t="str">
            <v>В-24580/КЛ.Транш - 1_В-21082023/Ц</v>
          </cell>
          <cell r="C120">
            <v>45528</v>
          </cell>
          <cell r="D120">
            <v>9225.35</v>
          </cell>
        </row>
        <row r="121">
          <cell r="B121" t="str">
            <v>В-14216/КЛ.Транш - 3_В-21082023/Ц</v>
          </cell>
          <cell r="C121">
            <v>45528</v>
          </cell>
          <cell r="D121">
            <v>6536.42</v>
          </cell>
        </row>
        <row r="122">
          <cell r="B122" t="str">
            <v>В-23370/КЛ.Транш - 2_В-21082023/Ц</v>
          </cell>
          <cell r="C122">
            <v>45529</v>
          </cell>
          <cell r="D122">
            <v>6584.59</v>
          </cell>
        </row>
        <row r="123">
          <cell r="B123" t="str">
            <v>В-17469/КЛ.Транш - 2_В-21082023/Ц</v>
          </cell>
          <cell r="C123">
            <v>45529</v>
          </cell>
          <cell r="D123">
            <v>5531.84</v>
          </cell>
        </row>
        <row r="124">
          <cell r="B124" t="str">
            <v>В-19740/КЛ.Транш - 8_В-21082023/Ц</v>
          </cell>
          <cell r="C124">
            <v>45529</v>
          </cell>
          <cell r="D124">
            <v>8245.4</v>
          </cell>
        </row>
        <row r="125">
          <cell r="B125" t="str">
            <v>В-19548/КЛ.Транш - 1_В-21082023/Ц</v>
          </cell>
          <cell r="C125">
            <v>45529</v>
          </cell>
          <cell r="D125">
            <v>27558.16</v>
          </cell>
        </row>
        <row r="126">
          <cell r="B126" t="str">
            <v>В-28539/КЛ.Транш - 1_В-21082023/Ц</v>
          </cell>
          <cell r="C126">
            <v>45529</v>
          </cell>
          <cell r="D126">
            <v>13790.66</v>
          </cell>
        </row>
        <row r="127">
          <cell r="B127" t="str">
            <v>В-22979/КЛ.Транш - 1_В-21082023/Ц</v>
          </cell>
          <cell r="C127">
            <v>45529</v>
          </cell>
          <cell r="D127">
            <v>20560.46</v>
          </cell>
        </row>
        <row r="128">
          <cell r="B128" t="str">
            <v>В-12553/КЛ.Транш - 1_В-21082023/Ц</v>
          </cell>
          <cell r="C128">
            <v>45530</v>
          </cell>
          <cell r="D128">
            <v>16149.73</v>
          </cell>
        </row>
        <row r="129">
          <cell r="B129" t="str">
            <v>В-08270/КЛ.Транш - 1_В-21082023/Ц</v>
          </cell>
          <cell r="C129">
            <v>45530</v>
          </cell>
          <cell r="D129">
            <v>9688.5499999999993</v>
          </cell>
        </row>
        <row r="130">
          <cell r="B130" t="str">
            <v>В-12574/КЛ.Транш - 2_В-21082023/Ц</v>
          </cell>
          <cell r="C130">
            <v>45530</v>
          </cell>
          <cell r="D130">
            <v>6027.51</v>
          </cell>
        </row>
        <row r="131">
          <cell r="B131" t="str">
            <v>В-12269/КЛ.Транш - 1_В-21082023/Ц</v>
          </cell>
          <cell r="C131">
            <v>45530</v>
          </cell>
          <cell r="D131">
            <v>2425.17</v>
          </cell>
        </row>
        <row r="132">
          <cell r="B132" t="str">
            <v>В-27646/КЛ.Транш - 1_В-21082023/Ц</v>
          </cell>
          <cell r="C132">
            <v>45531</v>
          </cell>
          <cell r="D132">
            <v>25986.97</v>
          </cell>
        </row>
        <row r="133">
          <cell r="B133" t="str">
            <v>В-17916/КЛ.Транш - 1_В-21082023/Ц</v>
          </cell>
          <cell r="C133">
            <v>45531</v>
          </cell>
          <cell r="D133">
            <v>10140.92</v>
          </cell>
        </row>
        <row r="134">
          <cell r="B134" t="str">
            <v>В-21911/КЛ.Транш - 1_В-21082023/Ц</v>
          </cell>
          <cell r="C134">
            <v>45531</v>
          </cell>
          <cell r="D134">
            <v>30003.07</v>
          </cell>
        </row>
        <row r="135">
          <cell r="B135" t="str">
            <v>В-18414/КЛ.Транш - 1_В-21082023/Ц</v>
          </cell>
          <cell r="C135">
            <v>45531</v>
          </cell>
          <cell r="D135">
            <v>26455.83</v>
          </cell>
        </row>
        <row r="136">
          <cell r="B136" t="str">
            <v>В-28360/КЛ.Транш - 1_В-20211230/Ц</v>
          </cell>
          <cell r="C136">
            <v>45532</v>
          </cell>
          <cell r="D136">
            <v>13078.35</v>
          </cell>
        </row>
        <row r="137">
          <cell r="B137" t="str">
            <v>В-02064/КЛ.Транш - 3_В-21082023/Ц</v>
          </cell>
          <cell r="C137">
            <v>45532</v>
          </cell>
          <cell r="D137">
            <v>19592.36</v>
          </cell>
        </row>
        <row r="138">
          <cell r="B138" t="str">
            <v>В-18536/КЛ.Транш - 1_В-21082023/Ц</v>
          </cell>
          <cell r="C138">
            <v>45532</v>
          </cell>
          <cell r="D138">
            <v>12125.59</v>
          </cell>
        </row>
        <row r="139">
          <cell r="B139" t="str">
            <v>В-11716/КЛ.Транш - 1_В-21082023/Ц</v>
          </cell>
          <cell r="C139">
            <v>45532</v>
          </cell>
          <cell r="D139">
            <v>6462.97</v>
          </cell>
        </row>
        <row r="140">
          <cell r="B140" t="str">
            <v>В-26649/АЗ_В-20211230/Ц</v>
          </cell>
          <cell r="C140">
            <v>45532</v>
          </cell>
          <cell r="D140">
            <v>71605.53</v>
          </cell>
        </row>
        <row r="141">
          <cell r="B141" t="str">
            <v>В-26651/АЗ_В-20211230/Ц</v>
          </cell>
          <cell r="C141">
            <v>45532</v>
          </cell>
          <cell r="D141">
            <v>57284.42</v>
          </cell>
        </row>
        <row r="142">
          <cell r="B142" t="str">
            <v>В-26664/КЛ.Транш - 1_В-21082023/Ц</v>
          </cell>
          <cell r="C142">
            <v>45532</v>
          </cell>
          <cell r="D142">
            <v>13212.2</v>
          </cell>
        </row>
        <row r="143">
          <cell r="B143" t="str">
            <v>В-13136/КЛ.Транш - 1_В-20211230/Ц</v>
          </cell>
          <cell r="C143">
            <v>45532</v>
          </cell>
          <cell r="D143">
            <v>6043.76</v>
          </cell>
        </row>
        <row r="144">
          <cell r="B144" t="str">
            <v>В-08454/КЛ.Транш - 1_В-21082023/Ц</v>
          </cell>
          <cell r="C144">
            <v>45532</v>
          </cell>
          <cell r="D144">
            <v>3154.31</v>
          </cell>
        </row>
        <row r="145">
          <cell r="B145" t="str">
            <v>В-26733/КЛ.Транш - 1_В-21082023/Ц</v>
          </cell>
          <cell r="C145">
            <v>45533</v>
          </cell>
          <cell r="D145">
            <v>14550.71</v>
          </cell>
        </row>
        <row r="146">
          <cell r="B146" t="str">
            <v>В-13235/КЛ.Транш - 1_В-21082023/Ц</v>
          </cell>
          <cell r="C146">
            <v>45533</v>
          </cell>
          <cell r="D146">
            <v>6760.02</v>
          </cell>
        </row>
        <row r="147">
          <cell r="B147" t="str">
            <v>В-18548/КЛ.Транш - 1_В-20211230/Ц</v>
          </cell>
          <cell r="C147">
            <v>45533</v>
          </cell>
          <cell r="D147">
            <v>27558.15</v>
          </cell>
        </row>
        <row r="148">
          <cell r="B148" t="str">
            <v>В-26816/КЛ.Транш - 1_В-20211230/Ц</v>
          </cell>
          <cell r="C148">
            <v>45534</v>
          </cell>
          <cell r="D148">
            <v>27745.61</v>
          </cell>
        </row>
        <row r="149">
          <cell r="B149" t="str">
            <v>В-28587/КЛ.Транш - 1_В-21082023/Ц</v>
          </cell>
          <cell r="C149">
            <v>45535</v>
          </cell>
          <cell r="D149">
            <v>25203.85</v>
          </cell>
        </row>
        <row r="150">
          <cell r="B150" t="str">
            <v>В-20952/КЛ.Транш - 6_В-21082023/Ц</v>
          </cell>
          <cell r="C150">
            <v>45535</v>
          </cell>
          <cell r="D150">
            <v>6536.42</v>
          </cell>
        </row>
        <row r="151">
          <cell r="D151">
            <v>2864741.74</v>
          </cell>
        </row>
        <row r="152">
          <cell r="D152"/>
        </row>
        <row r="153">
          <cell r="D153"/>
        </row>
        <row r="154">
          <cell r="D154"/>
        </row>
        <row r="155">
          <cell r="D155"/>
        </row>
        <row r="156">
          <cell r="D156"/>
        </row>
        <row r="157">
          <cell r="D157"/>
        </row>
        <row r="158">
          <cell r="D158"/>
        </row>
        <row r="159">
          <cell r="D159"/>
        </row>
        <row r="160">
          <cell r="D160"/>
        </row>
        <row r="161">
          <cell r="D161"/>
        </row>
        <row r="162">
          <cell r="D162"/>
        </row>
        <row r="163">
          <cell r="D163"/>
        </row>
        <row r="164">
          <cell r="D164"/>
        </row>
        <row r="165">
          <cell r="D165"/>
        </row>
        <row r="166">
          <cell r="D166"/>
        </row>
        <row r="167">
          <cell r="D167"/>
        </row>
        <row r="168">
          <cell r="D168"/>
        </row>
        <row r="169">
          <cell r="D169"/>
        </row>
        <row r="170">
          <cell r="D170"/>
        </row>
        <row r="171">
          <cell r="D171"/>
        </row>
        <row r="172">
          <cell r="D172"/>
        </row>
        <row r="173">
          <cell r="D173"/>
        </row>
        <row r="174">
          <cell r="D174"/>
        </row>
        <row r="175">
          <cell r="D175"/>
        </row>
        <row r="176">
          <cell r="D176"/>
        </row>
        <row r="177">
          <cell r="D177"/>
        </row>
        <row r="178">
          <cell r="D178"/>
        </row>
        <row r="179">
          <cell r="D179"/>
        </row>
        <row r="180">
          <cell r="D180"/>
        </row>
        <row r="181">
          <cell r="D181"/>
        </row>
        <row r="182">
          <cell r="D182"/>
        </row>
        <row r="183">
          <cell r="D183"/>
        </row>
        <row r="184">
          <cell r="D184"/>
        </row>
        <row r="185">
          <cell r="D185"/>
        </row>
        <row r="186">
          <cell r="D186"/>
        </row>
        <row r="187">
          <cell r="D187"/>
        </row>
        <row r="188">
          <cell r="D188"/>
        </row>
        <row r="189">
          <cell r="D189"/>
        </row>
        <row r="190">
          <cell r="D190"/>
        </row>
        <row r="191">
          <cell r="D191"/>
        </row>
        <row r="192">
          <cell r="D192"/>
        </row>
        <row r="193">
          <cell r="D193"/>
        </row>
        <row r="194">
          <cell r="D194"/>
        </row>
        <row r="195">
          <cell r="D195"/>
        </row>
        <row r="196">
          <cell r="D196"/>
        </row>
        <row r="197">
          <cell r="D197"/>
        </row>
        <row r="198">
          <cell r="D198"/>
        </row>
        <row r="199">
          <cell r="D199"/>
        </row>
        <row r="200">
          <cell r="D200"/>
        </row>
        <row r="201">
          <cell r="D201"/>
        </row>
        <row r="202">
          <cell r="D202"/>
        </row>
        <row r="203">
          <cell r="D203"/>
        </row>
        <row r="204">
          <cell r="D204"/>
        </row>
        <row r="205">
          <cell r="D205"/>
        </row>
        <row r="206">
          <cell r="D206"/>
        </row>
        <row r="207">
          <cell r="D207"/>
        </row>
        <row r="208">
          <cell r="D208"/>
        </row>
        <row r="209">
          <cell r="D209"/>
        </row>
        <row r="210">
          <cell r="D210"/>
        </row>
        <row r="211">
          <cell r="D211"/>
        </row>
        <row r="212">
          <cell r="D212"/>
        </row>
        <row r="213">
          <cell r="D213"/>
        </row>
        <row r="214">
          <cell r="D214"/>
        </row>
        <row r="215">
          <cell r="D215"/>
        </row>
        <row r="216">
          <cell r="D216"/>
        </row>
        <row r="217">
          <cell r="D217"/>
        </row>
        <row r="218">
          <cell r="D218"/>
        </row>
        <row r="219">
          <cell r="D219"/>
        </row>
        <row r="220">
          <cell r="D220"/>
        </row>
        <row r="221">
          <cell r="D221"/>
        </row>
        <row r="222">
          <cell r="D222"/>
        </row>
        <row r="223">
          <cell r="D223"/>
        </row>
        <row r="224">
          <cell r="D224"/>
        </row>
        <row r="225">
          <cell r="D225"/>
        </row>
        <row r="226">
          <cell r="D226"/>
        </row>
        <row r="227">
          <cell r="D227"/>
        </row>
        <row r="228">
          <cell r="D228"/>
        </row>
        <row r="229">
          <cell r="D229"/>
        </row>
        <row r="230">
          <cell r="D230"/>
        </row>
        <row r="231">
          <cell r="D231"/>
        </row>
        <row r="232">
          <cell r="D232"/>
        </row>
        <row r="233">
          <cell r="D233"/>
        </row>
        <row r="234">
          <cell r="D234"/>
        </row>
        <row r="235">
          <cell r="D235"/>
        </row>
        <row r="236">
          <cell r="D236"/>
        </row>
        <row r="237">
          <cell r="D237"/>
        </row>
        <row r="238">
          <cell r="D238"/>
        </row>
        <row r="239">
          <cell r="D239"/>
        </row>
        <row r="240">
          <cell r="D240"/>
        </row>
        <row r="241">
          <cell r="D241"/>
        </row>
        <row r="242">
          <cell r="D242"/>
        </row>
        <row r="243">
          <cell r="D243"/>
        </row>
        <row r="244">
          <cell r="D244"/>
        </row>
        <row r="245">
          <cell r="D245"/>
        </row>
        <row r="246">
          <cell r="D246"/>
        </row>
        <row r="247">
          <cell r="D247"/>
        </row>
        <row r="248">
          <cell r="D248"/>
        </row>
        <row r="249">
          <cell r="D249"/>
        </row>
        <row r="250">
          <cell r="D250"/>
        </row>
        <row r="251">
          <cell r="D251"/>
        </row>
        <row r="252">
          <cell r="D252"/>
        </row>
        <row r="253">
          <cell r="D253"/>
        </row>
        <row r="254">
          <cell r="D254"/>
        </row>
        <row r="255">
          <cell r="D255"/>
        </row>
        <row r="256">
          <cell r="D256"/>
        </row>
        <row r="257">
          <cell r="D257"/>
        </row>
        <row r="258">
          <cell r="D258"/>
        </row>
        <row r="259">
          <cell r="D259"/>
        </row>
        <row r="260">
          <cell r="D260"/>
        </row>
        <row r="261">
          <cell r="D261"/>
        </row>
        <row r="262">
          <cell r="D262"/>
        </row>
        <row r="263">
          <cell r="D263"/>
        </row>
        <row r="264">
          <cell r="D264"/>
        </row>
        <row r="265">
          <cell r="D265"/>
        </row>
        <row r="266">
          <cell r="D266"/>
        </row>
        <row r="267">
          <cell r="D267"/>
        </row>
        <row r="268">
          <cell r="D268"/>
        </row>
        <row r="269">
          <cell r="D269"/>
        </row>
        <row r="270">
          <cell r="D270"/>
        </row>
        <row r="271">
          <cell r="D271"/>
        </row>
        <row r="272">
          <cell r="D272"/>
        </row>
        <row r="273">
          <cell r="D273"/>
        </row>
        <row r="274">
          <cell r="D274"/>
        </row>
        <row r="275">
          <cell r="D275"/>
        </row>
        <row r="276">
          <cell r="D276"/>
        </row>
        <row r="277">
          <cell r="D277"/>
        </row>
        <row r="278">
          <cell r="D278"/>
        </row>
        <row r="279">
          <cell r="D279"/>
        </row>
        <row r="280">
          <cell r="D280"/>
        </row>
        <row r="281">
          <cell r="D281"/>
        </row>
        <row r="282">
          <cell r="D282"/>
        </row>
        <row r="283">
          <cell r="D283"/>
        </row>
        <row r="284">
          <cell r="D284"/>
        </row>
        <row r="285">
          <cell r="D285"/>
        </row>
        <row r="286">
          <cell r="D286"/>
        </row>
        <row r="287">
          <cell r="D287"/>
        </row>
        <row r="288">
          <cell r="D288"/>
        </row>
        <row r="289">
          <cell r="D289"/>
        </row>
        <row r="290">
          <cell r="D290"/>
        </row>
        <row r="291">
          <cell r="D291"/>
        </row>
        <row r="292">
          <cell r="D292"/>
        </row>
        <row r="293">
          <cell r="D293"/>
        </row>
        <row r="294">
          <cell r="D294"/>
        </row>
        <row r="295">
          <cell r="D295"/>
        </row>
        <row r="296">
          <cell r="D296"/>
        </row>
        <row r="297">
          <cell r="D297"/>
        </row>
        <row r="298">
          <cell r="D298"/>
        </row>
        <row r="299">
          <cell r="D299"/>
        </row>
        <row r="300">
          <cell r="D300"/>
        </row>
        <row r="301">
          <cell r="D301"/>
        </row>
        <row r="302">
          <cell r="D302"/>
        </row>
        <row r="303">
          <cell r="D303"/>
        </row>
        <row r="304">
          <cell r="D304"/>
        </row>
        <row r="305">
          <cell r="D305"/>
        </row>
        <row r="306">
          <cell r="D306"/>
        </row>
        <row r="307">
          <cell r="D307"/>
        </row>
        <row r="308">
          <cell r="D308"/>
        </row>
        <row r="309">
          <cell r="D309"/>
        </row>
        <row r="310">
          <cell r="D310"/>
        </row>
        <row r="311">
          <cell r="D311"/>
        </row>
        <row r="312">
          <cell r="D312"/>
        </row>
        <row r="313">
          <cell r="D313"/>
        </row>
        <row r="314">
          <cell r="D314"/>
        </row>
        <row r="315">
          <cell r="D315"/>
        </row>
        <row r="316">
          <cell r="D316"/>
        </row>
        <row r="317">
          <cell r="D317"/>
        </row>
        <row r="318">
          <cell r="D318"/>
        </row>
        <row r="319">
          <cell r="D319"/>
        </row>
        <row r="320">
          <cell r="D320"/>
        </row>
        <row r="321">
          <cell r="D321"/>
        </row>
        <row r="322">
          <cell r="D322"/>
        </row>
        <row r="323">
          <cell r="D323"/>
        </row>
        <row r="324">
          <cell r="D324"/>
        </row>
        <row r="325">
          <cell r="D325"/>
        </row>
        <row r="326">
          <cell r="D326"/>
        </row>
        <row r="327">
          <cell r="D327"/>
        </row>
        <row r="328">
          <cell r="D328"/>
        </row>
        <row r="329">
          <cell r="D329"/>
        </row>
        <row r="330">
          <cell r="D330"/>
        </row>
        <row r="331">
          <cell r="D331"/>
        </row>
        <row r="332">
          <cell r="D332"/>
        </row>
        <row r="333">
          <cell r="D333"/>
        </row>
        <row r="334">
          <cell r="D334"/>
        </row>
        <row r="335">
          <cell r="D335"/>
        </row>
        <row r="336">
          <cell r="D336"/>
        </row>
        <row r="337">
          <cell r="D337"/>
        </row>
        <row r="338">
          <cell r="D338"/>
        </row>
        <row r="339">
          <cell r="D339"/>
        </row>
        <row r="340">
          <cell r="D340"/>
        </row>
        <row r="341">
          <cell r="D341"/>
        </row>
        <row r="342">
          <cell r="D342"/>
        </row>
        <row r="343">
          <cell r="D343"/>
        </row>
        <row r="344">
          <cell r="D344"/>
        </row>
        <row r="345">
          <cell r="D345"/>
        </row>
        <row r="346">
          <cell r="D346"/>
        </row>
        <row r="347">
          <cell r="D347"/>
        </row>
        <row r="348">
          <cell r="D348"/>
        </row>
        <row r="349">
          <cell r="D349"/>
        </row>
        <row r="350">
          <cell r="D350"/>
        </row>
        <row r="351">
          <cell r="D351"/>
        </row>
        <row r="352">
          <cell r="D352"/>
        </row>
        <row r="353">
          <cell r="D353"/>
        </row>
        <row r="354">
          <cell r="D354"/>
        </row>
        <row r="355">
          <cell r="D355"/>
        </row>
        <row r="356">
          <cell r="D356"/>
        </row>
        <row r="357">
          <cell r="D357"/>
        </row>
        <row r="358">
          <cell r="D358"/>
        </row>
        <row r="359">
          <cell r="D359"/>
        </row>
        <row r="360">
          <cell r="D360"/>
        </row>
        <row r="361">
          <cell r="D361"/>
        </row>
        <row r="362">
          <cell r="D362"/>
        </row>
        <row r="363">
          <cell r="D363"/>
        </row>
        <row r="364">
          <cell r="D364"/>
        </row>
        <row r="365">
          <cell r="D365"/>
        </row>
        <row r="366">
          <cell r="D366"/>
        </row>
        <row r="367">
          <cell r="D367"/>
        </row>
        <row r="368">
          <cell r="D368"/>
        </row>
        <row r="369">
          <cell r="D369"/>
        </row>
        <row r="370">
          <cell r="D370"/>
        </row>
        <row r="371">
          <cell r="D371"/>
        </row>
        <row r="372">
          <cell r="D372"/>
        </row>
        <row r="373">
          <cell r="D373"/>
        </row>
        <row r="374">
          <cell r="D374"/>
        </row>
        <row r="375">
          <cell r="D375"/>
        </row>
        <row r="376">
          <cell r="D376"/>
        </row>
        <row r="377">
          <cell r="D377"/>
        </row>
        <row r="378">
          <cell r="D378"/>
        </row>
        <row r="379">
          <cell r="D379"/>
        </row>
        <row r="380">
          <cell r="D380"/>
        </row>
        <row r="381">
          <cell r="D381"/>
        </row>
        <row r="382">
          <cell r="D382"/>
        </row>
        <row r="383">
          <cell r="D383"/>
        </row>
        <row r="384">
          <cell r="D384"/>
        </row>
        <row r="385">
          <cell r="D385"/>
        </row>
        <row r="386">
          <cell r="D386"/>
        </row>
        <row r="387">
          <cell r="D387"/>
        </row>
        <row r="388">
          <cell r="D388"/>
        </row>
        <row r="389">
          <cell r="D389"/>
        </row>
        <row r="390">
          <cell r="D390"/>
        </row>
        <row r="391">
          <cell r="D391"/>
        </row>
        <row r="392">
          <cell r="D392"/>
        </row>
        <row r="393">
          <cell r="D393"/>
        </row>
        <row r="394">
          <cell r="D394"/>
        </row>
        <row r="395">
          <cell r="D395"/>
        </row>
        <row r="396">
          <cell r="D396"/>
        </row>
        <row r="397">
          <cell r="D397"/>
        </row>
        <row r="398">
          <cell r="D398"/>
        </row>
        <row r="399">
          <cell r="D399"/>
        </row>
        <row r="400">
          <cell r="D400"/>
        </row>
        <row r="401">
          <cell r="D401"/>
        </row>
        <row r="402">
          <cell r="D402"/>
        </row>
        <row r="403">
          <cell r="D403"/>
        </row>
        <row r="404">
          <cell r="D404"/>
        </row>
        <row r="405">
          <cell r="D405"/>
        </row>
        <row r="406">
          <cell r="D406"/>
        </row>
        <row r="407">
          <cell r="D407"/>
        </row>
        <row r="408">
          <cell r="D408"/>
        </row>
        <row r="409">
          <cell r="D409"/>
        </row>
        <row r="410">
          <cell r="D410"/>
        </row>
        <row r="411">
          <cell r="D411"/>
        </row>
        <row r="412">
          <cell r="D412"/>
        </row>
        <row r="413">
          <cell r="D413"/>
        </row>
        <row r="414">
          <cell r="D414"/>
        </row>
        <row r="415">
          <cell r="D415"/>
        </row>
        <row r="416">
          <cell r="D416"/>
        </row>
        <row r="417">
          <cell r="D417"/>
        </row>
        <row r="418">
          <cell r="D418"/>
        </row>
        <row r="419">
          <cell r="D419"/>
        </row>
        <row r="420">
          <cell r="D420"/>
        </row>
        <row r="421">
          <cell r="D421"/>
        </row>
        <row r="422">
          <cell r="D422"/>
        </row>
        <row r="423">
          <cell r="D423"/>
        </row>
        <row r="424">
          <cell r="D424"/>
        </row>
        <row r="425">
          <cell r="D425"/>
        </row>
        <row r="426">
          <cell r="D426"/>
        </row>
        <row r="427">
          <cell r="D427"/>
        </row>
        <row r="428">
          <cell r="D428"/>
        </row>
        <row r="429">
          <cell r="D429"/>
        </row>
        <row r="430">
          <cell r="D430"/>
        </row>
        <row r="431">
          <cell r="D431"/>
        </row>
        <row r="432">
          <cell r="D432"/>
        </row>
        <row r="433">
          <cell r="D433"/>
        </row>
        <row r="434">
          <cell r="D434"/>
        </row>
        <row r="435">
          <cell r="D435"/>
        </row>
        <row r="436">
          <cell r="D436"/>
        </row>
        <row r="437">
          <cell r="D437"/>
        </row>
        <row r="438">
          <cell r="D438"/>
        </row>
        <row r="439">
          <cell r="D439"/>
        </row>
        <row r="440">
          <cell r="D440"/>
        </row>
        <row r="441">
          <cell r="D441"/>
        </row>
        <row r="442">
          <cell r="D442"/>
        </row>
        <row r="443">
          <cell r="D443"/>
        </row>
        <row r="444">
          <cell r="D444"/>
        </row>
        <row r="445">
          <cell r="D445"/>
        </row>
        <row r="446">
          <cell r="D446"/>
        </row>
        <row r="447">
          <cell r="D447"/>
        </row>
        <row r="448">
          <cell r="D448"/>
        </row>
        <row r="449">
          <cell r="D449"/>
        </row>
        <row r="450">
          <cell r="D450"/>
        </row>
        <row r="451">
          <cell r="D451"/>
        </row>
        <row r="452">
          <cell r="D452"/>
        </row>
        <row r="453">
          <cell r="D453"/>
        </row>
        <row r="454">
          <cell r="D454"/>
        </row>
        <row r="455">
          <cell r="D455"/>
        </row>
        <row r="456">
          <cell r="D456"/>
        </row>
        <row r="457">
          <cell r="D457"/>
        </row>
        <row r="458">
          <cell r="D458"/>
        </row>
        <row r="459">
          <cell r="D459"/>
        </row>
        <row r="460">
          <cell r="D460"/>
        </row>
        <row r="461">
          <cell r="D461"/>
        </row>
        <row r="462">
          <cell r="D462"/>
        </row>
        <row r="463">
          <cell r="D463"/>
        </row>
        <row r="464">
          <cell r="D464"/>
        </row>
        <row r="465">
          <cell r="D465"/>
        </row>
        <row r="466">
          <cell r="D466"/>
        </row>
        <row r="467">
          <cell r="D467"/>
        </row>
        <row r="468">
          <cell r="D468"/>
        </row>
        <row r="469">
          <cell r="D469"/>
        </row>
        <row r="470">
          <cell r="D470"/>
        </row>
        <row r="471">
          <cell r="D471"/>
        </row>
        <row r="472">
          <cell r="D472"/>
        </row>
        <row r="473">
          <cell r="D473"/>
        </row>
        <row r="474">
          <cell r="D474"/>
        </row>
        <row r="475">
          <cell r="D475"/>
        </row>
        <row r="476">
          <cell r="D476"/>
        </row>
        <row r="477">
          <cell r="D477"/>
        </row>
        <row r="478">
          <cell r="D478"/>
        </row>
        <row r="479">
          <cell r="D479"/>
        </row>
        <row r="480">
          <cell r="D480"/>
        </row>
        <row r="481">
          <cell r="D481"/>
        </row>
        <row r="482">
          <cell r="D482"/>
        </row>
        <row r="483">
          <cell r="D483"/>
        </row>
        <row r="484">
          <cell r="D484"/>
        </row>
        <row r="485">
          <cell r="D485"/>
        </row>
        <row r="486">
          <cell r="D486"/>
        </row>
        <row r="487">
          <cell r="D487"/>
        </row>
        <row r="488">
          <cell r="D488"/>
        </row>
        <row r="489">
          <cell r="D489"/>
        </row>
        <row r="490">
          <cell r="D490"/>
        </row>
        <row r="491">
          <cell r="D491"/>
        </row>
        <row r="492">
          <cell r="D492"/>
        </row>
        <row r="493">
          <cell r="D493"/>
        </row>
        <row r="494">
          <cell r="D494"/>
        </row>
        <row r="495">
          <cell r="D495"/>
        </row>
        <row r="496">
          <cell r="D496"/>
        </row>
        <row r="497">
          <cell r="D497"/>
        </row>
        <row r="498">
          <cell r="D498"/>
        </row>
        <row r="499">
          <cell r="D499"/>
        </row>
        <row r="500">
          <cell r="D500"/>
        </row>
        <row r="501">
          <cell r="D501"/>
        </row>
        <row r="502">
          <cell r="D502"/>
        </row>
        <row r="503">
          <cell r="D503"/>
        </row>
        <row r="504">
          <cell r="D504"/>
        </row>
        <row r="505">
          <cell r="D505"/>
        </row>
        <row r="506">
          <cell r="D506"/>
        </row>
        <row r="507">
          <cell r="D507"/>
        </row>
        <row r="508">
          <cell r="D508"/>
        </row>
        <row r="509">
          <cell r="D509"/>
        </row>
        <row r="510">
          <cell r="D510"/>
        </row>
        <row r="511">
          <cell r="D511"/>
        </row>
        <row r="512">
          <cell r="D512"/>
        </row>
        <row r="513">
          <cell r="D513"/>
        </row>
        <row r="514">
          <cell r="D514"/>
        </row>
        <row r="515">
          <cell r="D515"/>
        </row>
        <row r="516">
          <cell r="D516"/>
        </row>
        <row r="517">
          <cell r="D517"/>
        </row>
        <row r="518">
          <cell r="D518"/>
        </row>
        <row r="519">
          <cell r="D519"/>
        </row>
        <row r="520">
          <cell r="D520"/>
        </row>
        <row r="521">
          <cell r="D521"/>
        </row>
        <row r="522">
          <cell r="D522"/>
        </row>
        <row r="523">
          <cell r="D523"/>
        </row>
        <row r="524">
          <cell r="D524"/>
        </row>
        <row r="525">
          <cell r="D525"/>
        </row>
        <row r="526">
          <cell r="D526"/>
        </row>
        <row r="527">
          <cell r="D527"/>
        </row>
        <row r="528">
          <cell r="D528"/>
        </row>
        <row r="529">
          <cell r="D529"/>
        </row>
        <row r="530">
          <cell r="D530"/>
        </row>
        <row r="531">
          <cell r="D531"/>
        </row>
        <row r="532">
          <cell r="D532"/>
        </row>
        <row r="533">
          <cell r="D533"/>
        </row>
        <row r="534">
          <cell r="D534"/>
        </row>
        <row r="535">
          <cell r="D535"/>
        </row>
        <row r="536">
          <cell r="D536"/>
        </row>
        <row r="537">
          <cell r="D537"/>
        </row>
        <row r="538">
          <cell r="D538"/>
        </row>
        <row r="539">
          <cell r="D539"/>
        </row>
        <row r="540">
          <cell r="D540"/>
        </row>
        <row r="541">
          <cell r="D541"/>
        </row>
        <row r="542">
          <cell r="D542"/>
        </row>
        <row r="543">
          <cell r="D543"/>
        </row>
        <row r="544">
          <cell r="D544"/>
        </row>
        <row r="545">
          <cell r="D545"/>
        </row>
        <row r="546">
          <cell r="D546"/>
        </row>
        <row r="547">
          <cell r="D547"/>
        </row>
        <row r="548">
          <cell r="D548"/>
        </row>
        <row r="549">
          <cell r="D549"/>
        </row>
        <row r="550">
          <cell r="D550"/>
        </row>
        <row r="551">
          <cell r="D551"/>
        </row>
        <row r="552">
          <cell r="D552"/>
        </row>
        <row r="553">
          <cell r="D553"/>
        </row>
        <row r="554">
          <cell r="D554"/>
        </row>
        <row r="555">
          <cell r="D555"/>
        </row>
        <row r="556">
          <cell r="D556"/>
        </row>
        <row r="557">
          <cell r="D557"/>
        </row>
        <row r="558">
          <cell r="D558"/>
        </row>
        <row r="559">
          <cell r="D559"/>
        </row>
        <row r="560">
          <cell r="D560"/>
        </row>
        <row r="561">
          <cell r="D561"/>
        </row>
        <row r="562">
          <cell r="D562"/>
        </row>
        <row r="563">
          <cell r="D563"/>
        </row>
        <row r="564">
          <cell r="D564"/>
        </row>
        <row r="565">
          <cell r="D565"/>
        </row>
        <row r="566">
          <cell r="D566"/>
        </row>
        <row r="567">
          <cell r="D567"/>
        </row>
        <row r="568">
          <cell r="D568"/>
        </row>
        <row r="569">
          <cell r="D569"/>
        </row>
        <row r="570">
          <cell r="D570"/>
        </row>
        <row r="571">
          <cell r="D571"/>
        </row>
        <row r="572">
          <cell r="D572"/>
        </row>
        <row r="573">
          <cell r="D573"/>
        </row>
        <row r="574">
          <cell r="D574"/>
        </row>
        <row r="575">
          <cell r="D575"/>
        </row>
        <row r="576">
          <cell r="D576"/>
        </row>
        <row r="577">
          <cell r="D577"/>
        </row>
        <row r="578">
          <cell r="D578"/>
        </row>
        <row r="579">
          <cell r="D579"/>
        </row>
        <row r="580">
          <cell r="D580"/>
        </row>
        <row r="581">
          <cell r="D581"/>
        </row>
        <row r="582">
          <cell r="D582"/>
        </row>
        <row r="583">
          <cell r="D583"/>
        </row>
        <row r="584">
          <cell r="D584"/>
        </row>
        <row r="585">
          <cell r="D585"/>
        </row>
        <row r="586">
          <cell r="D586"/>
        </row>
        <row r="587">
          <cell r="D587"/>
        </row>
        <row r="588">
          <cell r="D588"/>
        </row>
        <row r="589">
          <cell r="D589"/>
        </row>
        <row r="590">
          <cell r="D590"/>
        </row>
        <row r="591">
          <cell r="D591"/>
        </row>
        <row r="592">
          <cell r="D592"/>
        </row>
        <row r="593">
          <cell r="D593"/>
        </row>
        <row r="594">
          <cell r="D594"/>
        </row>
        <row r="595">
          <cell r="D595"/>
        </row>
        <row r="596">
          <cell r="D596"/>
        </row>
        <row r="597">
          <cell r="D597"/>
        </row>
        <row r="598">
          <cell r="D598"/>
        </row>
        <row r="599">
          <cell r="D599"/>
        </row>
        <row r="600">
          <cell r="D600"/>
        </row>
        <row r="601">
          <cell r="D601"/>
        </row>
        <row r="602">
          <cell r="D602"/>
        </row>
        <row r="603">
          <cell r="D603"/>
        </row>
        <row r="604">
          <cell r="D604"/>
        </row>
        <row r="605">
          <cell r="D605"/>
        </row>
        <row r="606">
          <cell r="D606"/>
        </row>
        <row r="607">
          <cell r="D607"/>
        </row>
        <row r="608">
          <cell r="D608"/>
        </row>
        <row r="609">
          <cell r="D609"/>
        </row>
        <row r="610">
          <cell r="D610"/>
        </row>
        <row r="611">
          <cell r="D611"/>
        </row>
        <row r="612">
          <cell r="D612"/>
        </row>
        <row r="613">
          <cell r="D613"/>
        </row>
        <row r="614">
          <cell r="D614"/>
        </row>
        <row r="615">
          <cell r="D615"/>
        </row>
        <row r="616">
          <cell r="D616"/>
        </row>
        <row r="617">
          <cell r="D617"/>
        </row>
        <row r="618">
          <cell r="D618"/>
        </row>
        <row r="619">
          <cell r="D619"/>
        </row>
        <row r="620">
          <cell r="D620"/>
        </row>
        <row r="621">
          <cell r="D621"/>
        </row>
        <row r="622">
          <cell r="D622"/>
        </row>
        <row r="623">
          <cell r="D623"/>
        </row>
        <row r="624">
          <cell r="D624"/>
        </row>
        <row r="625">
          <cell r="D625"/>
        </row>
        <row r="626">
          <cell r="D626"/>
        </row>
        <row r="627">
          <cell r="D627"/>
        </row>
        <row r="628">
          <cell r="D628"/>
        </row>
        <row r="629">
          <cell r="D629"/>
        </row>
        <row r="630">
          <cell r="D630"/>
        </row>
        <row r="631">
          <cell r="D631"/>
        </row>
        <row r="632">
          <cell r="D632"/>
        </row>
        <row r="633">
          <cell r="D633"/>
        </row>
        <row r="634">
          <cell r="D634"/>
        </row>
        <row r="635">
          <cell r="D635"/>
        </row>
        <row r="636">
          <cell r="D636"/>
        </row>
        <row r="637">
          <cell r="D637"/>
        </row>
        <row r="638">
          <cell r="D638"/>
        </row>
        <row r="639">
          <cell r="D639"/>
        </row>
        <row r="640">
          <cell r="D640"/>
        </row>
        <row r="641">
          <cell r="D641"/>
        </row>
        <row r="642">
          <cell r="D642"/>
        </row>
        <row r="643">
          <cell r="D643"/>
        </row>
        <row r="644">
          <cell r="D644"/>
        </row>
        <row r="645">
          <cell r="D645"/>
        </row>
        <row r="646">
          <cell r="D646"/>
        </row>
        <row r="647">
          <cell r="D647"/>
        </row>
        <row r="648">
          <cell r="D648"/>
        </row>
        <row r="649">
          <cell r="D649"/>
        </row>
        <row r="650">
          <cell r="D650"/>
        </row>
        <row r="651">
          <cell r="D651"/>
        </row>
        <row r="652">
          <cell r="D652"/>
        </row>
        <row r="653">
          <cell r="D653"/>
        </row>
        <row r="654">
          <cell r="D654"/>
        </row>
        <row r="655">
          <cell r="D655"/>
        </row>
        <row r="656">
          <cell r="D656"/>
        </row>
        <row r="657">
          <cell r="D657"/>
        </row>
        <row r="658">
          <cell r="D658"/>
        </row>
        <row r="659">
          <cell r="D659"/>
        </row>
        <row r="660">
          <cell r="D660"/>
        </row>
        <row r="661">
          <cell r="D661"/>
        </row>
        <row r="662">
          <cell r="D662"/>
        </row>
        <row r="663">
          <cell r="D663"/>
        </row>
        <row r="664">
          <cell r="D664"/>
        </row>
        <row r="665">
          <cell r="D665"/>
        </row>
        <row r="666">
          <cell r="D666"/>
        </row>
        <row r="667">
          <cell r="D667"/>
        </row>
        <row r="668">
          <cell r="D668"/>
        </row>
        <row r="669">
          <cell r="D669"/>
        </row>
        <row r="670">
          <cell r="D670"/>
        </row>
        <row r="671">
          <cell r="D671"/>
        </row>
        <row r="672">
          <cell r="D672"/>
        </row>
        <row r="673">
          <cell r="D673"/>
        </row>
        <row r="674">
          <cell r="D674"/>
        </row>
        <row r="675">
          <cell r="D675"/>
        </row>
        <row r="676">
          <cell r="D676"/>
        </row>
        <row r="677">
          <cell r="D677"/>
        </row>
        <row r="678">
          <cell r="D678"/>
        </row>
        <row r="679">
          <cell r="D679"/>
        </row>
        <row r="680">
          <cell r="D680"/>
        </row>
        <row r="681">
          <cell r="D681"/>
        </row>
        <row r="682">
          <cell r="D682"/>
        </row>
        <row r="683">
          <cell r="D683"/>
        </row>
        <row r="684">
          <cell r="D684"/>
        </row>
        <row r="685">
          <cell r="D685"/>
        </row>
        <row r="686">
          <cell r="D686"/>
        </row>
        <row r="687">
          <cell r="D687"/>
        </row>
        <row r="688">
          <cell r="D688"/>
        </row>
        <row r="689">
          <cell r="D689"/>
        </row>
        <row r="690">
          <cell r="D690"/>
        </row>
        <row r="691">
          <cell r="D691"/>
        </row>
        <row r="692">
          <cell r="D692"/>
        </row>
        <row r="693">
          <cell r="D693"/>
        </row>
        <row r="694">
          <cell r="D694"/>
        </row>
        <row r="695">
          <cell r="D695"/>
        </row>
        <row r="696">
          <cell r="D696"/>
        </row>
        <row r="697">
          <cell r="D697"/>
        </row>
        <row r="698">
          <cell r="D698"/>
        </row>
        <row r="699">
          <cell r="D699"/>
        </row>
        <row r="700">
          <cell r="D700"/>
        </row>
        <row r="701">
          <cell r="D701"/>
        </row>
        <row r="702">
          <cell r="D702"/>
        </row>
        <row r="703">
          <cell r="D703"/>
        </row>
        <row r="704">
          <cell r="D704"/>
        </row>
        <row r="705">
          <cell r="D705"/>
        </row>
        <row r="706">
          <cell r="D706"/>
        </row>
        <row r="707">
          <cell r="D707"/>
        </row>
        <row r="708">
          <cell r="D708"/>
        </row>
        <row r="709">
          <cell r="D709"/>
        </row>
        <row r="710">
          <cell r="D710"/>
        </row>
        <row r="711">
          <cell r="D711"/>
        </row>
        <row r="712">
          <cell r="D712"/>
        </row>
        <row r="713">
          <cell r="D713"/>
        </row>
        <row r="714">
          <cell r="D714"/>
        </row>
        <row r="715">
          <cell r="D715"/>
        </row>
        <row r="716">
          <cell r="D716"/>
        </row>
        <row r="717">
          <cell r="D717"/>
        </row>
        <row r="718">
          <cell r="D718"/>
        </row>
        <row r="719">
          <cell r="D719"/>
        </row>
        <row r="720">
          <cell r="D720"/>
        </row>
        <row r="721">
          <cell r="D721"/>
        </row>
        <row r="722">
          <cell r="D722"/>
        </row>
        <row r="723">
          <cell r="D723"/>
        </row>
        <row r="724">
          <cell r="D724"/>
        </row>
        <row r="725">
          <cell r="D725"/>
        </row>
        <row r="726">
          <cell r="D726"/>
        </row>
        <row r="727">
          <cell r="D727"/>
        </row>
        <row r="728">
          <cell r="D728"/>
        </row>
        <row r="729">
          <cell r="D729"/>
        </row>
        <row r="730">
          <cell r="D730"/>
        </row>
        <row r="731">
          <cell r="D731"/>
        </row>
        <row r="732">
          <cell r="D732"/>
        </row>
        <row r="733">
          <cell r="D733"/>
        </row>
        <row r="734">
          <cell r="D734"/>
        </row>
        <row r="735">
          <cell r="D735"/>
        </row>
        <row r="736">
          <cell r="D736"/>
        </row>
        <row r="737">
          <cell r="D737"/>
        </row>
        <row r="738">
          <cell r="D738"/>
        </row>
        <row r="739">
          <cell r="D739"/>
        </row>
        <row r="740">
          <cell r="D740"/>
        </row>
        <row r="741">
          <cell r="D741"/>
        </row>
        <row r="742">
          <cell r="D742"/>
        </row>
        <row r="743">
          <cell r="D743"/>
        </row>
        <row r="744">
          <cell r="D744"/>
        </row>
        <row r="745">
          <cell r="D745"/>
        </row>
        <row r="746">
          <cell r="D746"/>
        </row>
        <row r="747">
          <cell r="D747"/>
        </row>
        <row r="748">
          <cell r="D748"/>
        </row>
        <row r="749">
          <cell r="D749"/>
        </row>
        <row r="750">
          <cell r="D750"/>
        </row>
        <row r="751">
          <cell r="D751"/>
        </row>
        <row r="752">
          <cell r="D752"/>
        </row>
        <row r="753">
          <cell r="D753"/>
        </row>
        <row r="754">
          <cell r="D754"/>
        </row>
        <row r="755">
          <cell r="D755"/>
        </row>
        <row r="756">
          <cell r="D756"/>
        </row>
        <row r="757">
          <cell r="D757"/>
        </row>
        <row r="758">
          <cell r="D758"/>
        </row>
        <row r="759">
          <cell r="D759"/>
        </row>
        <row r="760">
          <cell r="D760"/>
        </row>
        <row r="761">
          <cell r="D761"/>
        </row>
        <row r="762">
          <cell r="D762"/>
        </row>
        <row r="763">
          <cell r="D763"/>
        </row>
        <row r="764">
          <cell r="D764"/>
        </row>
        <row r="765">
          <cell r="D765"/>
        </row>
        <row r="766">
          <cell r="D766"/>
        </row>
        <row r="767">
          <cell r="D767"/>
        </row>
        <row r="768">
          <cell r="D768"/>
        </row>
        <row r="769">
          <cell r="D769"/>
        </row>
        <row r="770">
          <cell r="D770"/>
        </row>
        <row r="771">
          <cell r="D771"/>
        </row>
        <row r="772">
          <cell r="D772"/>
        </row>
        <row r="773">
          <cell r="D773"/>
        </row>
        <row r="774">
          <cell r="D774"/>
        </row>
        <row r="775">
          <cell r="D775"/>
        </row>
        <row r="776">
          <cell r="D776"/>
        </row>
        <row r="777">
          <cell r="D777"/>
        </row>
        <row r="778">
          <cell r="D778"/>
        </row>
        <row r="779">
          <cell r="D779"/>
        </row>
        <row r="780">
          <cell r="D780"/>
        </row>
        <row r="781">
          <cell r="D781"/>
        </row>
        <row r="782">
          <cell r="D782"/>
        </row>
        <row r="783">
          <cell r="D783"/>
        </row>
        <row r="784">
          <cell r="D784"/>
        </row>
        <row r="785">
          <cell r="D785"/>
        </row>
        <row r="786">
          <cell r="D786"/>
        </row>
        <row r="787">
          <cell r="D787"/>
        </row>
        <row r="788">
          <cell r="D788"/>
        </row>
        <row r="789">
          <cell r="D789"/>
        </row>
        <row r="790">
          <cell r="D790"/>
        </row>
        <row r="791">
          <cell r="D791"/>
        </row>
        <row r="792">
          <cell r="D792"/>
        </row>
        <row r="793">
          <cell r="D793"/>
        </row>
        <row r="794">
          <cell r="D794"/>
        </row>
        <row r="795">
          <cell r="D795"/>
        </row>
        <row r="796">
          <cell r="D796"/>
        </row>
        <row r="797">
          <cell r="D797"/>
        </row>
        <row r="798">
          <cell r="D798"/>
        </row>
        <row r="799">
          <cell r="D799"/>
        </row>
        <row r="800">
          <cell r="D800"/>
        </row>
        <row r="801">
          <cell r="D801"/>
        </row>
        <row r="802">
          <cell r="D802"/>
        </row>
        <row r="803">
          <cell r="D803"/>
        </row>
        <row r="804">
          <cell r="D804"/>
        </row>
        <row r="805">
          <cell r="D805"/>
        </row>
        <row r="806">
          <cell r="D806"/>
        </row>
        <row r="807">
          <cell r="D807"/>
        </row>
        <row r="808">
          <cell r="D808"/>
        </row>
        <row r="809">
          <cell r="D809"/>
        </row>
        <row r="810">
          <cell r="D810"/>
        </row>
        <row r="811">
          <cell r="D811"/>
        </row>
        <row r="812">
          <cell r="D812"/>
        </row>
        <row r="813">
          <cell r="D813"/>
        </row>
        <row r="814">
          <cell r="D814"/>
        </row>
        <row r="815">
          <cell r="D815"/>
        </row>
        <row r="816">
          <cell r="D816"/>
        </row>
        <row r="817">
          <cell r="D817"/>
        </row>
        <row r="818">
          <cell r="D818"/>
        </row>
        <row r="819">
          <cell r="D819"/>
        </row>
        <row r="820">
          <cell r="D820"/>
        </row>
        <row r="821">
          <cell r="D821"/>
        </row>
        <row r="822">
          <cell r="D822"/>
        </row>
        <row r="823">
          <cell r="D823"/>
        </row>
        <row r="824">
          <cell r="D824"/>
        </row>
        <row r="825">
          <cell r="D825"/>
        </row>
        <row r="826">
          <cell r="D826"/>
        </row>
        <row r="827">
          <cell r="D827"/>
        </row>
        <row r="828">
          <cell r="D828"/>
        </row>
        <row r="829">
          <cell r="D829"/>
        </row>
        <row r="830">
          <cell r="D830"/>
        </row>
        <row r="831">
          <cell r="D831"/>
        </row>
        <row r="832">
          <cell r="D832"/>
        </row>
        <row r="833">
          <cell r="D833"/>
        </row>
        <row r="834">
          <cell r="D834"/>
        </row>
        <row r="835">
          <cell r="D835"/>
        </row>
        <row r="836">
          <cell r="D836"/>
        </row>
        <row r="837">
          <cell r="D837"/>
        </row>
        <row r="838">
          <cell r="D838"/>
        </row>
        <row r="839">
          <cell r="D839"/>
        </row>
        <row r="840">
          <cell r="D840"/>
        </row>
        <row r="841">
          <cell r="D841"/>
        </row>
        <row r="842">
          <cell r="D842"/>
        </row>
        <row r="843">
          <cell r="D843"/>
        </row>
        <row r="844">
          <cell r="D844"/>
        </row>
        <row r="845">
          <cell r="D845"/>
        </row>
        <row r="846">
          <cell r="D846"/>
        </row>
        <row r="847">
          <cell r="D847"/>
        </row>
        <row r="848">
          <cell r="D848"/>
        </row>
        <row r="849">
          <cell r="D849"/>
        </row>
        <row r="850">
          <cell r="D850"/>
        </row>
        <row r="851">
          <cell r="D851"/>
        </row>
        <row r="852">
          <cell r="D852"/>
        </row>
        <row r="853">
          <cell r="D853"/>
        </row>
        <row r="854">
          <cell r="D854"/>
        </row>
        <row r="855">
          <cell r="D855"/>
        </row>
        <row r="856">
          <cell r="D856"/>
        </row>
        <row r="857">
          <cell r="D857"/>
        </row>
        <row r="858">
          <cell r="D858"/>
        </row>
        <row r="859">
          <cell r="D859"/>
        </row>
        <row r="860">
          <cell r="D860"/>
        </row>
        <row r="861">
          <cell r="D861"/>
        </row>
        <row r="862">
          <cell r="D862"/>
        </row>
        <row r="863">
          <cell r="D863"/>
        </row>
        <row r="864">
          <cell r="D864"/>
        </row>
        <row r="865">
          <cell r="D865"/>
        </row>
        <row r="866">
          <cell r="D866"/>
        </row>
        <row r="867">
          <cell r="D867"/>
        </row>
        <row r="868">
          <cell r="D868"/>
        </row>
        <row r="869">
          <cell r="D869"/>
        </row>
        <row r="870">
          <cell r="D870"/>
        </row>
        <row r="871">
          <cell r="D871"/>
        </row>
        <row r="872">
          <cell r="D872"/>
        </row>
        <row r="873">
          <cell r="D873"/>
        </row>
        <row r="874">
          <cell r="D874"/>
        </row>
        <row r="875">
          <cell r="D875"/>
        </row>
        <row r="876">
          <cell r="D876"/>
        </row>
        <row r="877">
          <cell r="D877"/>
        </row>
        <row r="878">
          <cell r="D878"/>
        </row>
        <row r="879">
          <cell r="D879"/>
        </row>
        <row r="880">
          <cell r="D880"/>
        </row>
        <row r="881">
          <cell r="D881"/>
        </row>
        <row r="882">
          <cell r="D882"/>
        </row>
        <row r="883">
          <cell r="D883"/>
        </row>
        <row r="884">
          <cell r="D884"/>
        </row>
        <row r="885">
          <cell r="D885"/>
        </row>
        <row r="886">
          <cell r="D886"/>
        </row>
        <row r="887">
          <cell r="D887"/>
        </row>
        <row r="888">
          <cell r="D888"/>
        </row>
        <row r="889">
          <cell r="D889"/>
        </row>
        <row r="890">
          <cell r="D890"/>
        </row>
        <row r="891">
          <cell r="D891"/>
        </row>
        <row r="892">
          <cell r="D892"/>
        </row>
        <row r="893">
          <cell r="D893"/>
        </row>
        <row r="894">
          <cell r="D894"/>
        </row>
        <row r="895">
          <cell r="D895"/>
        </row>
        <row r="896">
          <cell r="D896"/>
        </row>
        <row r="897">
          <cell r="D897"/>
        </row>
        <row r="898">
          <cell r="D898"/>
        </row>
        <row r="899">
          <cell r="D899"/>
        </row>
        <row r="900">
          <cell r="D900"/>
        </row>
        <row r="901">
          <cell r="D901"/>
        </row>
        <row r="902">
          <cell r="D902"/>
        </row>
        <row r="903">
          <cell r="D903"/>
        </row>
        <row r="904">
          <cell r="D904"/>
        </row>
        <row r="905">
          <cell r="D905"/>
        </row>
        <row r="906">
          <cell r="D906"/>
        </row>
        <row r="907">
          <cell r="D907"/>
        </row>
        <row r="908">
          <cell r="D908"/>
        </row>
        <row r="909">
          <cell r="D909"/>
        </row>
        <row r="910">
          <cell r="D910"/>
        </row>
        <row r="911">
          <cell r="D911"/>
        </row>
        <row r="912">
          <cell r="D912"/>
        </row>
        <row r="913">
          <cell r="D913"/>
        </row>
        <row r="914">
          <cell r="D914"/>
        </row>
        <row r="915">
          <cell r="D915"/>
        </row>
        <row r="916">
          <cell r="D916"/>
        </row>
        <row r="917">
          <cell r="D917"/>
        </row>
        <row r="918">
          <cell r="D918"/>
        </row>
        <row r="919">
          <cell r="D919"/>
        </row>
        <row r="920">
          <cell r="D920"/>
        </row>
        <row r="921">
          <cell r="D921"/>
        </row>
        <row r="922">
          <cell r="D922"/>
        </row>
        <row r="923">
          <cell r="D923"/>
        </row>
        <row r="924">
          <cell r="D924"/>
        </row>
        <row r="925">
          <cell r="D925"/>
        </row>
        <row r="926">
          <cell r="D926"/>
        </row>
        <row r="927">
          <cell r="D927"/>
        </row>
        <row r="928">
          <cell r="D928"/>
        </row>
        <row r="929">
          <cell r="D929"/>
        </row>
        <row r="930">
          <cell r="D930"/>
        </row>
        <row r="931">
          <cell r="D931"/>
        </row>
        <row r="932">
          <cell r="D932"/>
        </row>
        <row r="933">
          <cell r="D933"/>
        </row>
        <row r="934">
          <cell r="D934"/>
        </row>
        <row r="935">
          <cell r="D935"/>
        </row>
        <row r="936">
          <cell r="D936"/>
        </row>
        <row r="937">
          <cell r="D937"/>
        </row>
        <row r="938">
          <cell r="D938"/>
        </row>
        <row r="939">
          <cell r="D939"/>
        </row>
        <row r="940">
          <cell r="D940"/>
        </row>
        <row r="941">
          <cell r="D941"/>
        </row>
        <row r="942">
          <cell r="D942"/>
        </row>
        <row r="943">
          <cell r="D943"/>
        </row>
        <row r="944">
          <cell r="D944"/>
        </row>
        <row r="945">
          <cell r="D945"/>
        </row>
        <row r="946">
          <cell r="D946"/>
        </row>
        <row r="947">
          <cell r="D947"/>
        </row>
        <row r="948">
          <cell r="D948"/>
        </row>
        <row r="949">
          <cell r="D949"/>
        </row>
        <row r="950">
          <cell r="D950"/>
        </row>
        <row r="951">
          <cell r="D951"/>
        </row>
        <row r="952">
          <cell r="D952"/>
        </row>
        <row r="953">
          <cell r="D953"/>
        </row>
        <row r="954">
          <cell r="D954"/>
        </row>
        <row r="955">
          <cell r="D955"/>
        </row>
        <row r="956">
          <cell r="D956"/>
        </row>
        <row r="957">
          <cell r="D957"/>
        </row>
        <row r="958">
          <cell r="D958"/>
        </row>
        <row r="959">
          <cell r="D959"/>
        </row>
        <row r="960">
          <cell r="D960"/>
        </row>
        <row r="961">
          <cell r="D961"/>
        </row>
        <row r="962">
          <cell r="D962"/>
        </row>
        <row r="963">
          <cell r="D963"/>
        </row>
        <row r="964">
          <cell r="D964"/>
        </row>
        <row r="965">
          <cell r="D965"/>
        </row>
        <row r="966">
          <cell r="D966"/>
        </row>
        <row r="967">
          <cell r="D967"/>
        </row>
        <row r="968">
          <cell r="D968"/>
        </row>
        <row r="969">
          <cell r="D969"/>
        </row>
        <row r="970">
          <cell r="D970"/>
        </row>
        <row r="971">
          <cell r="D971"/>
        </row>
        <row r="972">
          <cell r="D972"/>
        </row>
        <row r="973">
          <cell r="D973"/>
        </row>
        <row r="974">
          <cell r="D974"/>
        </row>
        <row r="975">
          <cell r="D975"/>
        </row>
        <row r="976">
          <cell r="D976"/>
        </row>
        <row r="977">
          <cell r="D977"/>
        </row>
        <row r="978">
          <cell r="D978"/>
        </row>
        <row r="979">
          <cell r="D979"/>
        </row>
        <row r="980">
          <cell r="D980"/>
        </row>
        <row r="981">
          <cell r="D981"/>
        </row>
        <row r="982">
          <cell r="D982"/>
        </row>
        <row r="983">
          <cell r="D983"/>
        </row>
        <row r="984">
          <cell r="D984"/>
        </row>
        <row r="985">
          <cell r="D985"/>
        </row>
        <row r="986">
          <cell r="D986"/>
        </row>
        <row r="987">
          <cell r="D987"/>
        </row>
        <row r="988">
          <cell r="D988"/>
        </row>
        <row r="989">
          <cell r="D989"/>
        </row>
        <row r="990">
          <cell r="D990"/>
        </row>
        <row r="991">
          <cell r="D991"/>
        </row>
        <row r="992">
          <cell r="D992"/>
        </row>
        <row r="993">
          <cell r="D993"/>
        </row>
        <row r="994">
          <cell r="D994"/>
        </row>
        <row r="995">
          <cell r="D995"/>
        </row>
        <row r="996">
          <cell r="D996"/>
        </row>
        <row r="997">
          <cell r="D997"/>
        </row>
        <row r="998">
          <cell r="D998"/>
        </row>
        <row r="999">
          <cell r="D999"/>
        </row>
        <row r="1000">
          <cell r="D1000"/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/>
  <dimension ref="A1:J1000"/>
  <sheetViews>
    <sheetView tabSelected="1" workbookViewId="0">
      <selection activeCell="F18" sqref="F18"/>
    </sheetView>
  </sheetViews>
  <sheetFormatPr defaultRowHeight="15" x14ac:dyDescent="0.25"/>
  <cols>
    <col min="1" max="1" width="34.140625" bestFit="1" customWidth="1"/>
    <col min="2" max="2" width="10.140625" style="5" bestFit="1" customWidth="1"/>
    <col min="3" max="3" width="13.28515625" style="7" bestFit="1" customWidth="1"/>
    <col min="4" max="4" width="31.7109375" bestFit="1" customWidth="1"/>
    <col min="5" max="5" width="20.28515625" bestFit="1" customWidth="1"/>
    <col min="6" max="6" width="8" style="9" bestFit="1" customWidth="1"/>
    <col min="7" max="7" width="20.28515625" bestFit="1" customWidth="1"/>
    <col min="8" max="8" width="20.28515625" customWidth="1"/>
    <col min="9" max="9" width="11" bestFit="1" customWidth="1"/>
    <col min="10" max="10" width="10.140625" bestFit="1" customWidth="1"/>
    <col min="11" max="11" width="14.7109375" customWidth="1"/>
  </cols>
  <sheetData>
    <row r="1" spans="1:10" x14ac:dyDescent="0.25">
      <c r="A1" s="2" t="s">
        <v>0</v>
      </c>
      <c r="B1" s="3" t="s">
        <v>1</v>
      </c>
      <c r="C1" s="6" t="s">
        <v>2</v>
      </c>
      <c r="D1" s="4" t="s">
        <v>3</v>
      </c>
      <c r="E1" s="4" t="s">
        <v>4</v>
      </c>
      <c r="F1" s="8" t="s">
        <v>5</v>
      </c>
      <c r="G1" s="4" t="s">
        <v>28</v>
      </c>
      <c r="H1" s="12"/>
      <c r="I1" s="11" t="str">
        <f ca="1">IF(AND(J1-TODAY()&lt;3,J1-TODAY()&gt;1),"Заканчивается",IF(J1-TODAY()=0,"Завтра все!",IF(J1-TODAY()&lt;0,"Обнови платежный календарь","Актуален")))</f>
        <v>Актуален</v>
      </c>
      <c r="J1" t="s">
        <v>30</v>
      </c>
    </row>
    <row r="2" spans="1:10" x14ac:dyDescent="0.25">
      <c r="A2" s="17" t="s">
        <v>41</v>
      </c>
      <c r="B2" s="18">
        <v>45525</v>
      </c>
      <c r="C2" s="19">
        <v>106.51</v>
      </c>
      <c r="D2" s="17" t="s">
        <v>31</v>
      </c>
      <c r="E2" s="17" t="s">
        <v>6</v>
      </c>
      <c r="F2" s="17"/>
      <c r="G2" t="str">
        <f>_xlfn.IFNA(IF(VLOOKUP(LEFT(A2,10),[1]Лист1!$A:$A,1,0)&lt;&gt;"","КО"),_xlfn.IFNA(IF(F2&lt;&gt;"","Просрочка погашена",IF(C2-VLOOKUP(A2,'[2]Платежный календарь'!$B:$D,3,0)&gt;-1,"оплата в срок","частичная оплата")),""))</f>
        <v>КО</v>
      </c>
      <c r="I2" s="13"/>
    </row>
    <row r="3" spans="1:10" x14ac:dyDescent="0.25">
      <c r="A3" s="17" t="s">
        <v>42</v>
      </c>
      <c r="B3" s="18">
        <v>45525</v>
      </c>
      <c r="C3" s="19">
        <v>100000</v>
      </c>
      <c r="D3" s="17" t="s">
        <v>32</v>
      </c>
      <c r="E3" s="17" t="s">
        <v>6</v>
      </c>
      <c r="F3" s="17"/>
      <c r="G3" t="str">
        <f>_xlfn.IFNA(IF(VLOOKUP(LEFT(A3,10),[1]Лист1!$A:$A,1,0)&lt;&gt;"","КО"),_xlfn.IFNA(IF(F3&lt;&gt;"","Просрочка погашена",IF(C3-VLOOKUP(A3,'[2]Платежный календарь'!$B:$D,3,0)&gt;-1,"оплата в срок","частичная оплата")),""))</f>
        <v>КО</v>
      </c>
      <c r="I3" s="10"/>
    </row>
    <row r="4" spans="1:10" x14ac:dyDescent="0.25">
      <c r="A4" s="17" t="s">
        <v>43</v>
      </c>
      <c r="B4" s="18">
        <v>45525</v>
      </c>
      <c r="C4" s="19">
        <v>157695.37</v>
      </c>
      <c r="D4" s="17" t="s">
        <v>33</v>
      </c>
      <c r="E4" s="17" t="s">
        <v>6</v>
      </c>
      <c r="F4" s="17" t="s">
        <v>51</v>
      </c>
      <c r="G4" t="str">
        <f>_xlfn.IFNA(IF(VLOOKUP(LEFT(A4,10),[1]Лист1!$A:$A,1,0)&lt;&gt;"","КО"),_xlfn.IFNA(IF(F4&lt;&gt;"","Просрочка погашена",IF(C4-VLOOKUP(A4,'[2]Платежный календарь'!$B:$D,3,0)&gt;-1,"оплата в срок","частичная оплата")),""))</f>
        <v>КО</v>
      </c>
      <c r="I4" s="10"/>
    </row>
    <row r="5" spans="1:10" x14ac:dyDescent="0.25">
      <c r="A5" s="17" t="s">
        <v>44</v>
      </c>
      <c r="B5" s="18">
        <v>45525</v>
      </c>
      <c r="C5" s="19">
        <v>14238.02</v>
      </c>
      <c r="D5" s="17" t="s">
        <v>34</v>
      </c>
      <c r="E5" s="17" t="s">
        <v>29</v>
      </c>
      <c r="F5" s="17"/>
      <c r="G5" t="str">
        <f>_xlfn.IFNA(IF(VLOOKUP(LEFT(A5,10),[1]Лист1!$A:$A,1,0)&lt;&gt;"","КО"),_xlfn.IFNA(IF(F5&lt;&gt;"","Просрочка погашена",IF(C5-VLOOKUP(A5,'[2]Платежный календарь'!$B:$D,3,0)&gt;-1,"оплата в срок","частичная оплата")),""))</f>
        <v>частичная оплата</v>
      </c>
      <c r="I5" s="10"/>
    </row>
    <row r="6" spans="1:10" hidden="1" x14ac:dyDescent="0.25">
      <c r="A6" s="14" t="s">
        <v>45</v>
      </c>
      <c r="B6" s="15">
        <v>45525</v>
      </c>
      <c r="C6" s="16">
        <v>1845.14</v>
      </c>
      <c r="D6" s="14" t="s">
        <v>35</v>
      </c>
      <c r="E6" t="s">
        <v>6</v>
      </c>
      <c r="F6" s="14"/>
      <c r="G6" t="str">
        <f>_xlfn.IFNA(IF(VLOOKUP(LEFT(A6,10),[1]Лист1!$A:$A,1,0)&lt;&gt;"","КО"),_xlfn.IFNA(IF(F6&lt;&gt;"","Просрочка погашена",IF(C6-VLOOKUP(A6,'[2]Платежный календарь'!$B:$D,3,0)&gt;-1,"оплата в срок","частичная оплата")),""))</f>
        <v>КО</v>
      </c>
      <c r="I6" s="10"/>
    </row>
    <row r="7" spans="1:10" x14ac:dyDescent="0.25">
      <c r="A7" s="17" t="s">
        <v>46</v>
      </c>
      <c r="B7" s="18">
        <v>45525</v>
      </c>
      <c r="C7" s="19">
        <v>33191.06</v>
      </c>
      <c r="D7" s="17" t="s">
        <v>36</v>
      </c>
      <c r="E7" s="17" t="s">
        <v>27</v>
      </c>
      <c r="F7" s="17"/>
      <c r="G7" t="str">
        <f>_xlfn.IFNA(IF(VLOOKUP(LEFT(A7,10),[1]Лист1!$A:$A,1,0)&lt;&gt;"","КО"),_xlfn.IFNA(IF(F7&lt;&gt;"","Просрочка погашена",IF(C7-VLOOKUP(A7,'[2]Платежный календарь'!$B:$D,3,0)&gt;-1,"оплата в срок","частичная оплата")),""))</f>
        <v>оплата в срок</v>
      </c>
      <c r="I7" s="10"/>
    </row>
    <row r="8" spans="1:10" x14ac:dyDescent="0.25">
      <c r="A8" s="17" t="s">
        <v>47</v>
      </c>
      <c r="B8" s="18">
        <v>45525</v>
      </c>
      <c r="C8" s="19">
        <v>25554.69</v>
      </c>
      <c r="D8" s="17" t="s">
        <v>37</v>
      </c>
      <c r="E8" s="17" t="s">
        <v>6</v>
      </c>
      <c r="F8" s="17"/>
      <c r="G8" t="str">
        <f>_xlfn.IFNA(IF(VLOOKUP(LEFT(A8,10),[1]Лист1!$A:$A,1,0)&lt;&gt;"","КО"),_xlfn.IFNA(IF(F8&lt;&gt;"","Просрочка погашена",IF(C8-VLOOKUP(A8,'[2]Платежный календарь'!$B:$D,3,0)&gt;-1,"оплата в срок","частичная оплата")),""))</f>
        <v>КО</v>
      </c>
      <c r="I8" s="10"/>
    </row>
    <row r="9" spans="1:10" x14ac:dyDescent="0.25">
      <c r="A9" s="17" t="s">
        <v>48</v>
      </c>
      <c r="B9" s="18">
        <v>45525</v>
      </c>
      <c r="C9" s="19">
        <v>26424.38</v>
      </c>
      <c r="D9" s="17" t="s">
        <v>38</v>
      </c>
      <c r="E9" s="17" t="s">
        <v>27</v>
      </c>
      <c r="F9" s="17"/>
      <c r="G9" t="str">
        <f>_xlfn.IFNA(IF(VLOOKUP(LEFT(A9,10),[1]Лист1!$A:$A,1,0)&lt;&gt;"","КО"),_xlfn.IFNA(IF(F9&lt;&gt;"","Просрочка погашена",IF(C9-VLOOKUP(A9,'[2]Платежный календарь'!$B:$D,3,0)&gt;-1,"оплата в срок","частичная оплата")),""))</f>
        <v>оплата в срок</v>
      </c>
      <c r="I9" s="10"/>
    </row>
    <row r="10" spans="1:10" x14ac:dyDescent="0.25">
      <c r="A10" s="17" t="s">
        <v>49</v>
      </c>
      <c r="B10" s="18">
        <v>45525</v>
      </c>
      <c r="C10" s="19">
        <v>6886.84</v>
      </c>
      <c r="D10" s="17" t="s">
        <v>39</v>
      </c>
      <c r="E10" s="17" t="s">
        <v>7</v>
      </c>
      <c r="F10" s="17" t="s">
        <v>52</v>
      </c>
      <c r="G10" t="str">
        <f>_xlfn.IFNA(IF(VLOOKUP(LEFT(A10,10),[1]Лист1!$A:$A,1,0)&lt;&gt;"","КО"),_xlfn.IFNA(IF(F10&lt;&gt;"","Просрочка погашена",IF(C10-VLOOKUP(A10,'[2]Платежный календарь'!$B:$D,3,0)&gt;-1,"оплата в срок","частичная оплата")),""))</f>
        <v>Просрочка погашена</v>
      </c>
    </row>
    <row r="11" spans="1:10" x14ac:dyDescent="0.25">
      <c r="A11" s="17" t="s">
        <v>50</v>
      </c>
      <c r="B11" s="18">
        <v>45525</v>
      </c>
      <c r="C11" s="19">
        <v>2107.13</v>
      </c>
      <c r="D11" s="17" t="s">
        <v>40</v>
      </c>
      <c r="E11" s="17" t="s">
        <v>27</v>
      </c>
      <c r="F11" s="17"/>
      <c r="G11" t="str">
        <f>_xlfn.IFNA(IF(VLOOKUP(LEFT(A11,10),[1]Лист1!$A:$A,1,0)&lt;&gt;"","КО"),_xlfn.IFNA(IF(F11&lt;&gt;"","Просрочка погашена",IF(C11-VLOOKUP(A11,'[2]Платежный календарь'!$B:$D,3,0)&gt;-1,"оплата в срок","частичная оплата")),""))</f>
        <v>оплата в срок</v>
      </c>
    </row>
    <row r="12" spans="1:10" x14ac:dyDescent="0.25">
      <c r="F12"/>
    </row>
    <row r="13" spans="1:10" x14ac:dyDescent="0.25">
      <c r="F13"/>
    </row>
    <row r="14" spans="1:10" x14ac:dyDescent="0.25">
      <c r="F14"/>
    </row>
    <row r="15" spans="1:10" x14ac:dyDescent="0.25">
      <c r="F15"/>
    </row>
    <row r="16" spans="1:10" x14ac:dyDescent="0.25">
      <c r="F16"/>
    </row>
    <row r="17" spans="6:6" x14ac:dyDescent="0.25">
      <c r="F17"/>
    </row>
    <row r="18" spans="6:6" x14ac:dyDescent="0.25">
      <c r="F18"/>
    </row>
    <row r="19" spans="6:6" x14ac:dyDescent="0.25">
      <c r="F19"/>
    </row>
    <row r="20" spans="6:6" x14ac:dyDescent="0.25">
      <c r="F20"/>
    </row>
    <row r="21" spans="6:6" x14ac:dyDescent="0.25">
      <c r="F21"/>
    </row>
    <row r="22" spans="6:6" x14ac:dyDescent="0.25">
      <c r="F22"/>
    </row>
    <row r="23" spans="6:6" x14ac:dyDescent="0.25">
      <c r="F23"/>
    </row>
    <row r="24" spans="6:6" x14ac:dyDescent="0.25">
      <c r="F24"/>
    </row>
    <row r="25" spans="6:6" x14ac:dyDescent="0.25">
      <c r="F25"/>
    </row>
    <row r="26" spans="6:6" x14ac:dyDescent="0.25">
      <c r="F26"/>
    </row>
    <row r="27" spans="6:6" x14ac:dyDescent="0.25">
      <c r="F27"/>
    </row>
    <row r="28" spans="6:6" x14ac:dyDescent="0.25">
      <c r="F28"/>
    </row>
    <row r="29" spans="6:6" x14ac:dyDescent="0.25">
      <c r="F29"/>
    </row>
    <row r="30" spans="6:6" x14ac:dyDescent="0.25">
      <c r="F30"/>
    </row>
    <row r="31" spans="6:6" x14ac:dyDescent="0.25">
      <c r="F31"/>
    </row>
    <row r="32" spans="6:6" x14ac:dyDescent="0.25">
      <c r="F32"/>
    </row>
    <row r="33" spans="6:6" x14ac:dyDescent="0.25">
      <c r="F33"/>
    </row>
    <row r="34" spans="6:6" x14ac:dyDescent="0.25">
      <c r="F34"/>
    </row>
    <row r="35" spans="6:6" x14ac:dyDescent="0.25">
      <c r="F35"/>
    </row>
    <row r="36" spans="6:6" x14ac:dyDescent="0.25">
      <c r="F36"/>
    </row>
    <row r="37" spans="6:6" x14ac:dyDescent="0.25">
      <c r="F37"/>
    </row>
    <row r="38" spans="6:6" x14ac:dyDescent="0.25">
      <c r="F38"/>
    </row>
    <row r="39" spans="6:6" x14ac:dyDescent="0.25">
      <c r="F39"/>
    </row>
    <row r="40" spans="6:6" x14ac:dyDescent="0.25">
      <c r="F40"/>
    </row>
    <row r="41" spans="6:6" x14ac:dyDescent="0.25">
      <c r="F41"/>
    </row>
    <row r="42" spans="6:6" x14ac:dyDescent="0.25">
      <c r="F42"/>
    </row>
    <row r="43" spans="6:6" x14ac:dyDescent="0.25">
      <c r="F43"/>
    </row>
    <row r="44" spans="6:6" x14ac:dyDescent="0.25">
      <c r="F44"/>
    </row>
    <row r="45" spans="6:6" x14ac:dyDescent="0.25">
      <c r="F45"/>
    </row>
    <row r="46" spans="6:6" x14ac:dyDescent="0.25">
      <c r="F46"/>
    </row>
    <row r="47" spans="6:6" x14ac:dyDescent="0.25">
      <c r="F47"/>
    </row>
    <row r="48" spans="6:6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autoFilter ref="A1:G1000" xr:uid="{00000000-0001-0000-0000-000000000000}">
    <filterColumn colId="4">
      <filters blank="1">
        <filter val="КО"/>
        <filter val="оплата в срок"/>
        <filter val="Просрочка погашена"/>
        <filter val="частичная оплата"/>
      </filters>
    </filterColumn>
  </autoFilter>
  <conditionalFormatting sqref="I1:I2">
    <cfRule type="expression" dxfId="3" priority="4">
      <formula>IF(I1="Актуален",1)</formula>
    </cfRule>
  </conditionalFormatting>
  <conditionalFormatting sqref="I1">
    <cfRule type="expression" dxfId="2" priority="1">
      <formula>IF(I1="Обнови платежный календарь",1)</formula>
    </cfRule>
    <cfRule type="expression" dxfId="1" priority="2">
      <formula>IF(I1="Завтра все!",1)</formula>
    </cfRule>
    <cfRule type="expression" dxfId="0" priority="3">
      <formula>IF(I1="Заканчивается",1)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90A9B6-9186-4941-9080-27D6C99E6F43}">
          <x14:formula1>
            <xm:f>сохраняем!$A$1:$A$12</xm:f>
          </x14:formula1>
          <xm:sqref>E2:E11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6A808-2A2B-4C17-9F13-5EB5D424F2B2}">
  <sheetPr codeName="Лист2"/>
  <dimension ref="A1:K15"/>
  <sheetViews>
    <sheetView workbookViewId="0">
      <selection sqref="A1:M23"/>
    </sheetView>
  </sheetViews>
  <sheetFormatPr defaultRowHeight="15" x14ac:dyDescent="0.25"/>
  <cols>
    <col min="1" max="1" width="13.5703125" bestFit="1" customWidth="1"/>
    <col min="2" max="2" width="37.5703125" bestFit="1" customWidth="1"/>
  </cols>
  <sheetData>
    <row r="1" spans="1:11" x14ac:dyDescent="0.25">
      <c r="A1" t="s">
        <v>18</v>
      </c>
      <c r="B1" t="s">
        <v>19</v>
      </c>
      <c r="C1" t="s">
        <v>3</v>
      </c>
      <c r="D1" t="s">
        <v>20</v>
      </c>
      <c r="E1" t="s">
        <v>24</v>
      </c>
      <c r="F1" t="s">
        <v>21</v>
      </c>
      <c r="J1" t="s">
        <v>25</v>
      </c>
      <c r="K1" t="s">
        <v>26</v>
      </c>
    </row>
    <row r="2" spans="1:11" x14ac:dyDescent="0.25">
      <c r="A2" s="5">
        <v>45525</v>
      </c>
      <c r="B2" t="s">
        <v>22</v>
      </c>
      <c r="C2" t="s">
        <v>31</v>
      </c>
      <c r="D2" t="s">
        <v>41</v>
      </c>
      <c r="F2">
        <v>106.51</v>
      </c>
      <c r="J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" t="str">
        <f>IF(OR(COUNTIF(D:D,D2)=1,J2&lt;&gt;"",B2="Погашение"),"да",IF(AND(D2&lt;&gt;D1,B1&lt;&gt;"Погашение"),"да",""))</f>
        <v>да</v>
      </c>
    </row>
    <row r="3" spans="1:11" x14ac:dyDescent="0.25">
      <c r="A3" s="5">
        <v>45525</v>
      </c>
      <c r="B3" t="s">
        <v>22</v>
      </c>
      <c r="C3" t="s">
        <v>32</v>
      </c>
      <c r="D3" t="s">
        <v>42</v>
      </c>
      <c r="F3">
        <v>100000</v>
      </c>
      <c r="J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" t="str">
        <f t="shared" ref="K3:K15" si="0">IF(OR(COUNTIF(D:D,D3)=1,J3&lt;&gt;"",B3="Погашение"),"да",IF(AND(D3&lt;&gt;D2,B2&lt;&gt;"Погашение"),"да",""))</f>
        <v>да</v>
      </c>
    </row>
    <row r="4" spans="1:11" x14ac:dyDescent="0.25">
      <c r="A4" s="5">
        <v>45525</v>
      </c>
      <c r="B4" t="s">
        <v>23</v>
      </c>
      <c r="C4" t="s">
        <v>32</v>
      </c>
      <c r="D4" t="s">
        <v>42</v>
      </c>
      <c r="F4">
        <v>100000</v>
      </c>
      <c r="J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" t="str">
        <f t="shared" si="0"/>
        <v/>
      </c>
    </row>
    <row r="5" spans="1:11" x14ac:dyDescent="0.25">
      <c r="A5" s="5">
        <v>45525</v>
      </c>
      <c r="B5" t="s">
        <v>22</v>
      </c>
      <c r="C5" t="s">
        <v>33</v>
      </c>
      <c r="D5" t="s">
        <v>43</v>
      </c>
      <c r="E5">
        <v>1314.63</v>
      </c>
      <c r="F5">
        <v>157695.37</v>
      </c>
      <c r="J5">
        <f>IFERROR(IF(SUM(INDEX($A:$H,ROW(),MATCH("Пеня*",$A$1:$H$1,0)):INDEX($A:$H,ROW(),MATCH("Итого",$A$1:$H$1,0)-1))=0,"",SUM(INDEX($A:$H,ROW(),MATCH("Пеня*",$A$1:$H$1,0)):INDEX($A:$H,ROW(),MATCH("Итого",$A$1:$H$1,0)-1))),"")</f>
        <v>1314.63</v>
      </c>
      <c r="K5" t="str">
        <f t="shared" si="0"/>
        <v>да</v>
      </c>
    </row>
    <row r="6" spans="1:11" x14ac:dyDescent="0.25">
      <c r="A6" s="5">
        <v>45525</v>
      </c>
      <c r="B6" t="s">
        <v>22</v>
      </c>
      <c r="C6" t="s">
        <v>34</v>
      </c>
      <c r="D6" t="s">
        <v>44</v>
      </c>
      <c r="F6">
        <v>14238.02</v>
      </c>
      <c r="J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" t="str">
        <f t="shared" si="0"/>
        <v>да</v>
      </c>
    </row>
    <row r="7" spans="1:11" x14ac:dyDescent="0.25">
      <c r="A7" s="5">
        <v>45525</v>
      </c>
      <c r="B7" t="s">
        <v>23</v>
      </c>
      <c r="C7" t="s">
        <v>34</v>
      </c>
      <c r="D7" t="s">
        <v>44</v>
      </c>
      <c r="F7">
        <v>14500</v>
      </c>
      <c r="J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7" t="str">
        <f t="shared" si="0"/>
        <v/>
      </c>
    </row>
    <row r="8" spans="1:11" x14ac:dyDescent="0.25">
      <c r="A8" s="5">
        <v>45525</v>
      </c>
      <c r="B8" t="s">
        <v>22</v>
      </c>
      <c r="C8" t="s">
        <v>35</v>
      </c>
      <c r="D8" t="s">
        <v>45</v>
      </c>
      <c r="F8">
        <v>1845.14</v>
      </c>
      <c r="J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8" t="str">
        <f t="shared" si="0"/>
        <v>да</v>
      </c>
    </row>
    <row r="9" spans="1:11" x14ac:dyDescent="0.25">
      <c r="A9" s="5">
        <v>45525</v>
      </c>
      <c r="B9" t="s">
        <v>23</v>
      </c>
      <c r="C9" t="s">
        <v>36</v>
      </c>
      <c r="D9" t="s">
        <v>46</v>
      </c>
      <c r="F9">
        <v>33191.06</v>
      </c>
      <c r="J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9" t="str">
        <f t="shared" si="0"/>
        <v>да</v>
      </c>
    </row>
    <row r="10" spans="1:11" x14ac:dyDescent="0.25">
      <c r="A10" s="5">
        <v>45525</v>
      </c>
      <c r="B10" t="s">
        <v>22</v>
      </c>
      <c r="C10" t="s">
        <v>37</v>
      </c>
      <c r="D10" t="s">
        <v>47</v>
      </c>
      <c r="F10">
        <v>25554.69</v>
      </c>
      <c r="J1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0" t="str">
        <f t="shared" si="0"/>
        <v>да</v>
      </c>
    </row>
    <row r="11" spans="1:11" x14ac:dyDescent="0.25">
      <c r="A11" s="5">
        <v>45525</v>
      </c>
      <c r="B11" t="s">
        <v>22</v>
      </c>
      <c r="C11" t="s">
        <v>38</v>
      </c>
      <c r="D11" t="s">
        <v>48</v>
      </c>
      <c r="F11">
        <v>26424.38</v>
      </c>
      <c r="J1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1" t="str">
        <f t="shared" si="0"/>
        <v>да</v>
      </c>
    </row>
    <row r="12" spans="1:11" x14ac:dyDescent="0.25">
      <c r="A12" s="5">
        <v>45525</v>
      </c>
      <c r="B12" t="s">
        <v>23</v>
      </c>
      <c r="C12" t="s">
        <v>38</v>
      </c>
      <c r="D12" t="s">
        <v>48</v>
      </c>
      <c r="F12">
        <v>26424.38</v>
      </c>
      <c r="J1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2" t="str">
        <f t="shared" si="0"/>
        <v/>
      </c>
    </row>
    <row r="13" spans="1:11" x14ac:dyDescent="0.25">
      <c r="A13" s="5">
        <v>45525</v>
      </c>
      <c r="B13" t="s">
        <v>22</v>
      </c>
      <c r="C13" t="s">
        <v>39</v>
      </c>
      <c r="D13" t="s">
        <v>49</v>
      </c>
      <c r="E13">
        <v>208.94</v>
      </c>
      <c r="F13">
        <v>6886.84</v>
      </c>
      <c r="J13">
        <f>IFERROR(IF(SUM(INDEX($A:$H,ROW(),MATCH("Пеня*",$A$1:$H$1,0)):INDEX($A:$H,ROW(),MATCH("Итого",$A$1:$H$1,0)-1))=0,"",SUM(INDEX($A:$H,ROW(),MATCH("Пеня*",$A$1:$H$1,0)):INDEX($A:$H,ROW(),MATCH("Итого",$A$1:$H$1,0)-1))),"")</f>
        <v>208.94</v>
      </c>
      <c r="K13" t="str">
        <f t="shared" si="0"/>
        <v>да</v>
      </c>
    </row>
    <row r="14" spans="1:11" x14ac:dyDescent="0.25">
      <c r="A14" s="5">
        <v>45525</v>
      </c>
      <c r="B14" t="s">
        <v>23</v>
      </c>
      <c r="C14" t="s">
        <v>39</v>
      </c>
      <c r="D14" t="s">
        <v>49</v>
      </c>
      <c r="F14">
        <v>6886.84</v>
      </c>
      <c r="J1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4" t="str">
        <f t="shared" si="0"/>
        <v/>
      </c>
    </row>
    <row r="15" spans="1:11" x14ac:dyDescent="0.25">
      <c r="A15" s="5">
        <v>45525</v>
      </c>
      <c r="B15" t="s">
        <v>22</v>
      </c>
      <c r="C15" t="s">
        <v>40</v>
      </c>
      <c r="D15" t="s">
        <v>50</v>
      </c>
      <c r="F15">
        <v>2107.13</v>
      </c>
      <c r="J1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5" t="str">
        <f t="shared" si="0"/>
        <v>да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D5F9D-C80B-488D-8E52-35FD17ACF85B}">
  <sheetPr codeName="Лист3"/>
  <dimension ref="A1:A12"/>
  <sheetViews>
    <sheetView workbookViewId="0">
      <selection activeCell="E25" sqref="E25"/>
    </sheetView>
  </sheetViews>
  <sheetFormatPr defaultRowHeight="15" x14ac:dyDescent="0.25"/>
  <sheetData>
    <row r="1" spans="1:1" x14ac:dyDescent="0.25">
      <c r="A1" s="1" t="s">
        <v>7</v>
      </c>
    </row>
    <row r="2" spans="1:1" x14ac:dyDescent="0.25">
      <c r="A2" s="1" t="s">
        <v>8</v>
      </c>
    </row>
    <row r="3" spans="1:1" x14ac:dyDescent="0.25">
      <c r="A3" s="1" t="s">
        <v>9</v>
      </c>
    </row>
    <row r="4" spans="1:1" x14ac:dyDescent="0.25">
      <c r="A4" s="1" t="s">
        <v>10</v>
      </c>
    </row>
    <row r="5" spans="1:1" x14ac:dyDescent="0.25">
      <c r="A5" s="1" t="s">
        <v>11</v>
      </c>
    </row>
    <row r="6" spans="1:1" x14ac:dyDescent="0.25">
      <c r="A6" s="1" t="s">
        <v>12</v>
      </c>
    </row>
    <row r="7" spans="1:1" x14ac:dyDescent="0.25">
      <c r="A7" s="1" t="s">
        <v>6</v>
      </c>
    </row>
    <row r="8" spans="1:1" x14ac:dyDescent="0.25">
      <c r="A8" s="1" t="s">
        <v>13</v>
      </c>
    </row>
    <row r="9" spans="1:1" x14ac:dyDescent="0.25">
      <c r="A9" s="1" t="s">
        <v>14</v>
      </c>
    </row>
    <row r="10" spans="1:1" x14ac:dyDescent="0.25">
      <c r="A10" s="1" t="s">
        <v>15</v>
      </c>
    </row>
    <row r="11" spans="1:1" x14ac:dyDescent="0.25">
      <c r="A11" s="1" t="s">
        <v>16</v>
      </c>
    </row>
    <row r="12" spans="1:1" x14ac:dyDescent="0.25">
      <c r="A12" s="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ПЛАТЕЖИ</vt:lpstr>
      <vt:lpstr>1C</vt:lpstr>
      <vt:lpstr>сохраняем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s.kvasko</cp:lastModifiedBy>
  <dcterms:created xsi:type="dcterms:W3CDTF">2015-06-05T18:17:20Z</dcterms:created>
  <dcterms:modified xsi:type="dcterms:W3CDTF">2024-08-22T07:19:13Z</dcterms:modified>
</cp:coreProperties>
</file>
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filterPrivacy="1" codeName="ЭтаКнига" defaultThemeVersion="124226"/>
  <xr:revisionPtr revIDLastSave="0" documentId="13_ncr:1_{2FB86288-38F1-4AC8-9B2E-E92D5B8450E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расчет" sheetId="1" r:id="rId1"/>
    <sheet name="РК" sheetId="5" r:id="rId2"/>
    <sheet name="до" sheetId="12" r:id="rId3"/>
    <sheet name="после" sheetId="13" r:id="rId4"/>
    <sheet name="обработка" sheetId="6" r:id="rId5"/>
    <sheet name="слияние" sheetId="3" r:id="rId6"/>
    <sheet name="Word" sheetId="7" r:id="rId7"/>
    <sheet name="sys" sheetId="11" r:id="rId8"/>
    <sheet name="разное" sheetId="4" r:id="rId9"/>
    <sheet name="xforms" sheetId="2" r:id="rId10"/>
  </sheets>
  <functionGroups builtInGroupCount="19"/>
  <externalReferences>
    <externalReference r:id="rId11"/>
    <externalReference r:id="rId12"/>
  </externalReferences>
  <definedNames>
    <definedName name="_xlnm._FilterDatabase" localSheetId="6" hidden="1">Word!$A$1:$B$33</definedName>
  </definedNames>
  <calcPr calcId="181029"/>
</workbook>
</file>

<file path=xl/calcChain.xml><?xml version="1.0" encoding="utf-8"?>
<calcChain xmlns="http://schemas.openxmlformats.org/spreadsheetml/2006/main">
  <c r="N7" i="6" l="1"/>
  <c r="M7" i="6"/>
  <c r="M6" i="6"/>
  <c r="M5" i="6"/>
  <c r="M4" i="6"/>
  <c r="M3" i="6"/>
  <c r="L7" i="6"/>
  <c r="L6" i="6"/>
  <c r="L5" i="6"/>
  <c r="L4" i="6"/>
  <c r="L3" i="6"/>
  <c r="B12" i="6" a="1"/>
  <c r="B12" i="6" s="1"/>
  <c r="B18" i="7"/>
  <c r="AH2" i="3"/>
  <c r="F40" i="1"/>
  <c r="F41" i="1"/>
  <c r="N5" i="6" l="1"/>
  <c r="B14" i="1" s="1"/>
  <c r="N6" i="6"/>
  <c r="B15" i="1" s="1"/>
  <c r="N3" i="6"/>
  <c r="N4" i="6"/>
  <c r="B13" i="1" s="1"/>
  <c r="H2" i="1"/>
  <c r="E2" i="1"/>
  <c r="B9" i="7"/>
  <c r="L14" i="1"/>
  <c r="B17" i="7" s="1"/>
  <c r="B2" i="7"/>
  <c r="AF2" i="3"/>
  <c r="T2" i="3"/>
  <c r="B8" i="1" l="1"/>
  <c r="B7" i="1"/>
  <c r="B6" i="1"/>
  <c r="B17" i="1" s="1"/>
  <c r="B22" i="1" s="1"/>
  <c r="B5" i="1"/>
  <c r="B4" i="1"/>
  <c r="C2" i="3" s="1"/>
  <c r="B2" i="1"/>
  <c r="F25" i="1"/>
  <c r="B14" i="7" l="1"/>
  <c r="B26" i="7"/>
  <c r="G2" i="3"/>
  <c r="D2" i="1"/>
  <c r="B5" i="7"/>
  <c r="A2" i="3"/>
  <c r="B7" i="7"/>
  <c r="D2" i="3"/>
  <c r="AE2" i="3"/>
  <c r="B8" i="7"/>
  <c r="F2" i="3"/>
  <c r="S2" i="3"/>
  <c r="B17" i="6"/>
  <c r="B16" i="6"/>
  <c r="G2" i="6"/>
  <c r="A6" i="6" s="1"/>
  <c r="G1" i="6"/>
  <c r="B15" i="6"/>
  <c r="B14" i="6"/>
  <c r="I4" i="6"/>
  <c r="I3" i="6"/>
  <c r="I2" i="6"/>
  <c r="B18" i="1" s="1"/>
  <c r="H3" i="1" s="1"/>
  <c r="I1" i="6"/>
  <c r="B10" i="6" l="1"/>
  <c r="B6" i="6"/>
  <c r="B4" i="6"/>
  <c r="N2" i="1"/>
  <c r="A10" i="6"/>
  <c r="D12" i="6"/>
  <c r="A3" i="6"/>
  <c r="A7" i="6"/>
  <c r="B3" i="6"/>
  <c r="B7" i="6"/>
  <c r="A9" i="6"/>
  <c r="A5" i="6"/>
  <c r="B9" i="6"/>
  <c r="B5" i="6"/>
  <c r="A8" i="6"/>
  <c r="A4" i="6"/>
  <c r="B8" i="6"/>
  <c r="K14" i="1"/>
  <c r="B3" i="7" s="1"/>
  <c r="O9" i="1"/>
  <c r="P9" i="1"/>
  <c r="Q9" i="1"/>
  <c r="N9" i="1"/>
  <c r="K9" i="1"/>
  <c r="D25" i="7" s="1"/>
  <c r="C17" i="1"/>
  <c r="K13" i="1"/>
  <c r="C6" i="6" l="1"/>
  <c r="F25" i="7"/>
  <c r="C7" i="6"/>
  <c r="H15" i="1"/>
  <c r="H14" i="1"/>
  <c r="L9" i="1"/>
  <c r="M9" i="1" s="1"/>
  <c r="C5" i="6"/>
  <c r="C10" i="6"/>
  <c r="C9" i="6"/>
  <c r="K11" i="1"/>
  <c r="C4" i="6"/>
  <c r="C8" i="6"/>
  <c r="B22" i="7"/>
  <c r="H2" i="3"/>
  <c r="B19" i="1"/>
  <c r="B82" i="1" s="1"/>
  <c r="N3" i="1"/>
  <c r="D2" i="6"/>
  <c r="L13" i="1"/>
  <c r="M13" i="1" s="1"/>
  <c r="D81" i="1"/>
  <c r="D80" i="1"/>
  <c r="E47" i="1"/>
  <c r="E48" i="1"/>
  <c r="E49" i="1"/>
  <c r="E50" i="1"/>
  <c r="E51" i="1"/>
  <c r="E52" i="1"/>
  <c r="E44" i="1"/>
  <c r="C82" i="1"/>
  <c r="F75" i="1"/>
  <c r="C75" i="1"/>
  <c r="F74" i="1"/>
  <c r="C74" i="1"/>
  <c r="F73" i="1"/>
  <c r="C73" i="1"/>
  <c r="C72" i="1"/>
  <c r="F72" i="1" s="1"/>
  <c r="F71" i="1"/>
  <c r="C71" i="1"/>
  <c r="A71" i="1"/>
  <c r="F70" i="1"/>
  <c r="C70" i="1"/>
  <c r="A70" i="1"/>
  <c r="F69" i="1"/>
  <c r="C69" i="1"/>
  <c r="A69" i="1"/>
  <c r="F68" i="1"/>
  <c r="C68" i="1"/>
  <c r="A60" i="1"/>
  <c r="A61" i="1"/>
  <c r="A59" i="1"/>
  <c r="A4" i="2"/>
  <c r="B27" i="1"/>
  <c r="B28" i="1" s="1"/>
  <c r="F65" i="1"/>
  <c r="C65" i="1"/>
  <c r="F64" i="1"/>
  <c r="C64" i="1"/>
  <c r="I61" i="1"/>
  <c r="F63" i="1"/>
  <c r="C63" i="1"/>
  <c r="F62" i="1"/>
  <c r="C62" i="1"/>
  <c r="F61" i="1"/>
  <c r="C61" i="1"/>
  <c r="F60" i="1"/>
  <c r="C60" i="1"/>
  <c r="C59" i="1"/>
  <c r="F59" i="1" s="1"/>
  <c r="C58" i="1"/>
  <c r="F58" i="1" s="1"/>
  <c r="F52" i="1"/>
  <c r="C52" i="1"/>
  <c r="F51" i="1"/>
  <c r="C51" i="1"/>
  <c r="F50" i="1"/>
  <c r="C50" i="1"/>
  <c r="F49" i="1"/>
  <c r="C49" i="1"/>
  <c r="A49" i="1"/>
  <c r="A48" i="1"/>
  <c r="C48" i="1" s="1"/>
  <c r="C47" i="1"/>
  <c r="C41" i="1"/>
  <c r="C40" i="1"/>
  <c r="C39" i="1"/>
  <c r="F39" i="1" s="1"/>
  <c r="C38" i="1"/>
  <c r="F38" i="1" s="1"/>
  <c r="C37" i="1"/>
  <c r="F37" i="1" s="1"/>
  <c r="C36" i="1"/>
  <c r="F36" i="1" s="1"/>
  <c r="E17" i="1"/>
  <c r="J25" i="7" s="1"/>
  <c r="D17" i="1"/>
  <c r="H25" i="7" s="1"/>
  <c r="G26" i="1" l="1"/>
  <c r="H13" i="1"/>
  <c r="K3" i="1"/>
  <c r="F48" i="1"/>
  <c r="F47" i="1"/>
  <c r="K4" i="1"/>
  <c r="L4" i="1" s="1"/>
  <c r="M4" i="1" s="1"/>
  <c r="B12" i="7" s="1"/>
  <c r="B16" i="1"/>
  <c r="B29" i="7"/>
  <c r="U2" i="3"/>
  <c r="E2" i="3"/>
  <c r="B19" i="7"/>
  <c r="B4" i="7"/>
  <c r="B2" i="3"/>
  <c r="F42" i="1"/>
  <c r="D4" i="6"/>
  <c r="D10" i="6"/>
  <c r="D7" i="6"/>
  <c r="D5" i="6"/>
  <c r="D9" i="6"/>
  <c r="D6" i="6"/>
  <c r="D8" i="6"/>
  <c r="F76" i="1"/>
  <c r="F66" i="1"/>
  <c r="K2" i="1"/>
  <c r="L2" i="1" s="1"/>
  <c r="F53" i="1" l="1"/>
  <c r="L2" i="3"/>
  <c r="AB2" i="3"/>
  <c r="C33" i="1"/>
  <c r="B20" i="1" l="1"/>
  <c r="B20" i="7" l="1"/>
  <c r="V2" i="3"/>
  <c r="K5" i="1"/>
  <c r="L5" i="1" s="1"/>
  <c r="B15" i="7"/>
  <c r="L3" i="1" l="1"/>
  <c r="M3" i="1" s="1"/>
  <c r="B11" i="7" s="1"/>
  <c r="K2" i="3"/>
  <c r="M5" i="1"/>
  <c r="B13" i="7" s="1"/>
  <c r="J2" i="3" l="1"/>
  <c r="M2" i="3"/>
  <c r="AC2" i="3"/>
  <c r="C44" i="1"/>
  <c r="B21" i="1" l="1"/>
  <c r="W2" i="3" l="1"/>
  <c r="B27" i="7"/>
  <c r="K7" i="1"/>
  <c r="B23" i="7" s="1"/>
  <c r="M2" i="1"/>
  <c r="B23" i="1" l="1"/>
  <c r="B31" i="7" s="1"/>
  <c r="B6" i="7"/>
  <c r="R2" i="3"/>
  <c r="O2" i="3"/>
  <c r="L7" i="1"/>
  <c r="M7" i="1" s="1"/>
  <c r="B16" i="7" s="1"/>
  <c r="F33" i="1"/>
  <c r="F44" i="1"/>
  <c r="F45" i="1" s="1"/>
  <c r="D6" i="1"/>
  <c r="E6" i="1" s="1"/>
  <c r="N2" i="3" l="1"/>
  <c r="Q2" i="3"/>
  <c r="F34" i="1"/>
  <c r="D84" i="1"/>
  <c r="E84" i="1" s="1"/>
  <c r="E81" i="1" s="1"/>
  <c r="G28" i="1"/>
  <c r="F6" i="1"/>
  <c r="C23" i="1"/>
  <c r="D23" i="1" s="1"/>
  <c r="B28" i="7" s="1"/>
  <c r="D83" i="1" l="1"/>
  <c r="E83" i="1" s="1"/>
  <c r="E80" i="1" s="1"/>
  <c r="K8" i="1"/>
  <c r="L8" i="1" s="1"/>
  <c r="M8" i="1" s="1"/>
  <c r="B21" i="7" s="1"/>
  <c r="G27" i="1"/>
  <c r="K10" i="1"/>
  <c r="L10" i="1" s="1"/>
  <c r="M10" i="1" s="1"/>
  <c r="B24" i="7" s="1"/>
  <c r="Z2" i="3"/>
  <c r="K6" i="1"/>
  <c r="C26" i="1" l="1"/>
  <c r="D26" i="1" s="1"/>
  <c r="E26" i="1" s="1"/>
  <c r="B32" i="7" s="1"/>
  <c r="D7" i="1"/>
  <c r="E7" i="1" s="1"/>
  <c r="F7" i="1" s="1"/>
  <c r="B30" i="7"/>
  <c r="P2" i="3"/>
  <c r="Y2" i="3"/>
  <c r="AI2" i="3" s="1"/>
  <c r="X2" i="3"/>
  <c r="L6" i="1"/>
  <c r="M6" i="1" s="1"/>
  <c r="B10" i="7" s="1"/>
  <c r="D8" i="1" l="1"/>
  <c r="E8" i="1" s="1"/>
  <c r="F8" i="1" s="1"/>
  <c r="C27" i="1"/>
  <c r="C28" i="1" s="1"/>
  <c r="B25" i="7"/>
  <c r="L25" i="7"/>
  <c r="AD2" i="3"/>
  <c r="I2" i="3"/>
  <c r="AA2" i="3"/>
  <c r="D27" i="1" l="1"/>
  <c r="E27" i="1" s="1"/>
  <c r="B33" i="7" s="1"/>
  <c r="D28" i="1"/>
  <c r="E28" i="1" s="1"/>
  <c r="AG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N2" authorId="0" shapeId="0" xr:uid="{9891C24F-3540-422A-BC94-7A3670791972}">
      <text>
        <r>
          <rPr>
            <sz val="9"/>
            <color indexed="81"/>
            <rFont val="Tahoma"/>
            <family val="2"/>
            <charset val="204"/>
          </rPr>
          <t>дата последнего оплаченного платежа + 1 день</t>
        </r>
      </text>
    </comment>
    <comment ref="N3" authorId="0" shapeId="0" xr:uid="{F7E7107F-3A5C-4DBE-B875-C344C1C09816}">
      <text>
        <r>
          <rPr>
            <b/>
            <sz val="9"/>
            <color indexed="81"/>
            <rFont val="Tahoma"/>
            <family val="2"/>
            <charset val="204"/>
          </rPr>
          <t xml:space="preserve">дата платежа + 1 день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9" authorId="0" shapeId="0" xr:uid="{94AA1CDF-DED1-4C5D-821A-DF6BBC61823E}">
      <text>
        <r>
          <rPr>
            <b/>
            <sz val="9"/>
            <color indexed="81"/>
            <rFont val="Tahoma"/>
            <family val="2"/>
            <charset val="204"/>
          </rPr>
          <t>сумма частично оплаченных процентов</t>
        </r>
      </text>
    </comment>
    <comment ref="N9" authorId="0" shapeId="0" xr:uid="{BA71DAA9-5C8F-47C8-ADDC-72A83B2887D3}">
      <text>
        <r>
          <rPr>
            <sz val="9"/>
            <color indexed="81"/>
            <rFont val="Tahoma"/>
            <family val="2"/>
            <charset val="204"/>
          </rPr>
          <t xml:space="preserve">сумма частичных платежей
С18
</t>
        </r>
      </text>
    </comment>
    <comment ref="O9" authorId="0" shapeId="0" xr:uid="{6229E2D4-0D08-4DB4-8C1D-BDE7E38E50FC}">
      <text>
        <r>
          <rPr>
            <sz val="9"/>
            <color indexed="81"/>
            <rFont val="Tahoma"/>
            <family val="2"/>
            <charset val="204"/>
          </rPr>
          <t>сумма частичной оплаты D18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</text>
    </comment>
    <comment ref="C18" authorId="0" shapeId="0" xr:uid="{03A5B9CB-8B0F-49AF-8396-19CD142FAA89}">
      <text>
        <r>
          <rPr>
            <b/>
            <sz val="9"/>
            <color indexed="81"/>
            <rFont val="Tahoma"/>
            <family val="2"/>
            <charset val="204"/>
          </rPr>
          <t>Сумма внесения</t>
        </r>
      </text>
    </comment>
    <comment ref="C19" authorId="0" shapeId="0" xr:uid="{29C540B6-FECE-43F9-86DD-C1B3CAA7961A}">
      <text>
        <r>
          <rPr>
            <b/>
            <sz val="9"/>
            <color indexed="81"/>
            <rFont val="Tahoma"/>
            <family val="2"/>
            <charset val="204"/>
          </rPr>
          <t>Дата внесения</t>
        </r>
      </text>
    </comment>
    <comment ref="C21" authorId="0" shapeId="0" xr:uid="{1C6FE631-0990-4784-A5F8-00D8EDD31E0F}">
      <text>
        <r>
          <rPr>
            <b/>
            <sz val="9"/>
            <color indexed="81"/>
            <rFont val="Tahoma"/>
            <family val="2"/>
            <charset val="204"/>
          </rPr>
          <t xml:space="preserve">Ставка 
</t>
        </r>
      </text>
    </comment>
    <comment ref="B22" authorId="0" shapeId="0" xr:uid="{853D6F4A-8F71-4925-9231-4CC9508083D9}">
      <text>
        <r>
          <rPr>
            <sz val="9"/>
            <color indexed="81"/>
            <rFont val="Tahoma"/>
            <family val="2"/>
            <charset val="204"/>
          </rPr>
          <t xml:space="preserve">
всего % за период
</t>
        </r>
      </text>
    </comment>
    <comment ref="C22" authorId="0" shapeId="0" xr:uid="{430C95D7-99F7-4E5D-BE89-BDE45E3C6103}">
      <text>
        <r>
          <rPr>
            <b/>
            <sz val="9"/>
            <color indexed="81"/>
            <rFont val="Tahoma"/>
            <family val="2"/>
            <charset val="204"/>
          </rPr>
          <t xml:space="preserve">Дата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C299B-A8A5-42A2-BADE-BB2EDE2C139F}" keepAlive="1" name="Запрос — Document" description="Соединение с запросом &quot;Document&quot; в книге." type="5" refreshedVersion="8" background="1" saveData="1">
    <dbPr connection="Provider=Microsoft.Mashup.OleDb.1;Data Source=$Workbook$;Location=Document;Extended Properties=&quot;&quot;" command="SELECT * FROM [Document]"/>
  </connection>
</connections>
</file>

<file path=xl/sharedStrings.xml><?xml version="1.0" encoding="utf-8"?>
<sst xmlns="http://schemas.openxmlformats.org/spreadsheetml/2006/main" count="883" uniqueCount="346">
  <si>
    <t>дата начала срока неоплаченных процентов</t>
  </si>
  <si>
    <t>сумма для начисления процентов (остаток по кредиту)</t>
  </si>
  <si>
    <t>дата расчета</t>
  </si>
  <si>
    <t>дата первого просроченного платежа</t>
  </si>
  <si>
    <t>сумма оплаченого ОД</t>
  </si>
  <si>
    <t>ФИО</t>
  </si>
  <si>
    <t>№ Договора</t>
  </si>
  <si>
    <t>Дата договора</t>
  </si>
  <si>
    <t>% по займу</t>
  </si>
  <si>
    <t>% пени</t>
  </si>
  <si>
    <t>кол-во дней просрочки по %</t>
  </si>
  <si>
    <t>кол-во дней просрочки по пеням</t>
  </si>
  <si>
    <t>Общая сумма долга</t>
  </si>
  <si>
    <t>№ договора</t>
  </si>
  <si>
    <t>дата договора</t>
  </si>
  <si>
    <t>дата начала срока неоплач.процентов</t>
  </si>
  <si>
    <t>сумма для начисления процентов</t>
  </si>
  <si>
    <t>сумма выданого займа</t>
  </si>
  <si>
    <t>дата первого просроч платежа</t>
  </si>
  <si>
    <t>кол-во дней просрочки %</t>
  </si>
  <si>
    <t>кол-во дней просрочки пени</t>
  </si>
  <si>
    <t>общая сумма начислен.пеней</t>
  </si>
  <si>
    <t>общая сумма долга</t>
  </si>
  <si>
    <t>сумма оплаченых %</t>
  </si>
  <si>
    <t>сумма оплаченых пеней</t>
  </si>
  <si>
    <t>Оплачено всего по договору</t>
  </si>
  <si>
    <t>сумма оплаченых процентов</t>
  </si>
  <si>
    <t>Срок договора</t>
  </si>
  <si>
    <t>сумма выданного займа</t>
  </si>
  <si>
    <t>оплачено всего по договору</t>
  </si>
  <si>
    <t>Сумма госпошлины</t>
  </si>
  <si>
    <t>дата поплаты по требованию</t>
  </si>
  <si>
    <t>дата оплаты по треб.</t>
  </si>
  <si>
    <t>гос.пошлина</t>
  </si>
  <si>
    <t>Предел начислений</t>
  </si>
  <si>
    <t>% с пределом</t>
  </si>
  <si>
    <t>пени с пределом</t>
  </si>
  <si>
    <t>всего % + пени</t>
  </si>
  <si>
    <t>=ЕСЛИ(A1=1;"рубль";ЕСЛИ(ОТБР(ЛЕВСИМВ(ПРАВСИМВ(A1;2);1))=1;"рублей";ЕСЛИ(ОТБР(ПРАВСИМВ(A1;1))=1;"рубль ";ЕСЛИ(ИЛИ(ОТБР(ПРАВСИМВ(A1;1))=2;ОТБР(ПРАВСИМВ(A1;1))=3;ОТБР(ПРАВСИМВ(A1;1))=4);"рубля ";"рублей "))))</t>
  </si>
  <si>
    <t>Сумма госпошлины с залогом</t>
  </si>
  <si>
    <t>остаток ОД</t>
  </si>
  <si>
    <t>остаток %</t>
  </si>
  <si>
    <t>остаток пени</t>
  </si>
  <si>
    <t>=ЕСЛИ(И(ОСТАТ(A2;100)&gt;=11;ОСТАТ(A2;100)&lt;=14);"месяцев";ВПР(ОСТАТ(A2;10);{0;"месяцев":1;"месяц":2;"месяца":5;"месяцев"};2))</t>
  </si>
  <si>
    <t>сумма займа</t>
  </si>
  <si>
    <t>ОД оплачено</t>
  </si>
  <si>
    <t>ЧО%</t>
  </si>
  <si>
    <t>РК</t>
  </si>
  <si>
    <t>=ЕСЛИ(расчет!B19&lt;&gt;0;"Однако, частично задолженность по процентам за пользование суммой займа погашена:"&amp;СИМВОЛ(10)&amp;"- "&amp;ТЕКСТ(расчет!H20;"ДД.ММ.ГГГГ")&amp;" г. – внесено "&amp;ТЕКСТ(расчет!H19;"# ##,00")&amp;" "&amp;расчет!H18&amp;ЕСЛИ(расчет!J19&lt;&gt;"";СИМВОЛ(10)&amp;"- "&amp;ТЕКСТ(расчет!J20;"ДД.ММ.ГГГГ")&amp;" г. – внесено "&amp;ТЕКСТ(расчет!J19;"# ##,00")&amp;" "&amp;расчет!J18;"")&amp;ЕСЛИ(расчет!L19&lt;&gt;"";СИМВОЛ(10)&amp;"- "&amp;ТЕКСТ(расчет!L20;"ДД.ММ.ГГГГ")&amp;" г. – внесено "&amp;ТЕКСТ(расчет!L19;"# ##,00")&amp;" "&amp;расчет!L18;"")&amp;СИМВОЛ(10)&amp;СИМВОЛ(11)&amp;"Таким образом, итоговая сумма задолженности составляет: "&amp;СИМВОЛ(10)&amp;СИМВОЛ(9)&amp;СИМВОЛ(9)&amp;СИМВОЛ(9)&amp;СИМВОЛ(32)&amp;СИМВОЛ(32)&amp;ТЕКСТ(расчет!C19;"# ##,00")&amp;" - "&amp;ТЕКСТ(расчет!B19;"# ##,00")&amp;" = "&amp;слияние!W2&amp;".";"")</t>
  </si>
  <si>
    <t>Дополнительные соглашения</t>
  </si>
  <si>
    <t>Внесенные платежи</t>
  </si>
  <si>
    <t xml:space="preserve">Лимит по % + пени </t>
  </si>
  <si>
    <t>ОД</t>
  </si>
  <si>
    <t>%</t>
  </si>
  <si>
    <t>%СР</t>
  </si>
  <si>
    <t>%+</t>
  </si>
  <si>
    <t>ПЕНИ</t>
  </si>
  <si>
    <t>ПОШЛИНА</t>
  </si>
  <si>
    <t>итого</t>
  </si>
  <si>
    <t>Дата начала периода начисления %</t>
  </si>
  <si>
    <t>Дата окончания периода начисления %</t>
  </si>
  <si>
    <t>Количество дней просрочки</t>
  </si>
  <si>
    <t>Сумма основного долга</t>
  </si>
  <si>
    <t>Процентная ставка</t>
  </si>
  <si>
    <t>Начислено</t>
  </si>
  <si>
    <t>Дата начала периода начисления пеней</t>
  </si>
  <si>
    <t>Дата окончания периода начисления пеней</t>
  </si>
  <si>
    <t>итог</t>
  </si>
  <si>
    <t>1С ручной расчет проценты/пени</t>
  </si>
  <si>
    <t>пени</t>
  </si>
  <si>
    <t>расчет</t>
  </si>
  <si>
    <t>до цессии (1С)</t>
  </si>
  <si>
    <t>после цессии (1С)</t>
  </si>
  <si>
    <t>разница 1С-расчет</t>
  </si>
  <si>
    <t>Иное</t>
  </si>
  <si>
    <t>https://my.arbitr.ru/#commission</t>
  </si>
  <si>
    <t>сумма пени за пениод</t>
  </si>
  <si>
    <t>сумма просроч.% всего</t>
  </si>
  <si>
    <t>сумма просроч.% с учетом платежей</t>
  </si>
  <si>
    <t>Внесенные платежи %</t>
  </si>
  <si>
    <t>Итого</t>
  </si>
  <si>
    <t>Договор</t>
  </si>
  <si>
    <t>Рассчет</t>
  </si>
  <si>
    <t>Банкротство ручной расчет проценты / пени</t>
  </si>
  <si>
    <t>проверка</t>
  </si>
  <si>
    <t>первичный + цессия</t>
  </si>
  <si>
    <t>Списание</t>
  </si>
  <si>
    <t>Дата</t>
  </si>
  <si>
    <t>Сумма</t>
  </si>
  <si>
    <t>Тело</t>
  </si>
  <si>
    <t>Проценты</t>
  </si>
  <si>
    <t>Пени</t>
  </si>
  <si>
    <t>Итого:</t>
  </si>
  <si>
    <t>Заемщик</t>
  </si>
  <si>
    <t>сумма оплаченного ОД</t>
  </si>
  <si>
    <t>сумма оплаченных %</t>
  </si>
  <si>
    <t>Сумма оплаченных пени</t>
  </si>
  <si>
    <t>оплачено всего</t>
  </si>
  <si>
    <t>сумма частично оплаченных %</t>
  </si>
  <si>
    <t>всего начислено %</t>
  </si>
  <si>
    <t>Сумма % с учетом платежей</t>
  </si>
  <si>
    <t>преобразование договора</t>
  </si>
  <si>
    <t xml:space="preserve"> =ЕСЛИОШИБКА(ЕСЛИ(ТЕКСТ(K2;"# #")=1;"рубль";ЕСЛИ(ОТБР(ЛЕВСИМВ(ПРАВСИМВ(ТЕКСТ(ЦЕЛОЕ(K2);"# #");2);1))=1;"рублей";ЕСЛИ(ОТБР(ПРАВСИМВ(ТЕКСТ(ЦЕЛОЕ(K2);"# #");1))=1;"рубль ";ЕСЛИ(ИЛИ(ОТБР(ПРАВСИМВ(ТЕКСТ(ЦЕЛОЕ(K2);"# #");1))=2;ОТБР(ПРАВСИМВ(ТЕКСТ(ЦЕЛОЕ(K2);"# #");1))=3;ОТБР(ПРАВСИМВ(ТЕКСТ(ЦЕЛОЕ(K2);"# #");1))=4);"рубля ";"рублей "))));"")</t>
  </si>
  <si>
    <t>текущая ставка</t>
  </si>
  <si>
    <t>Тип договора</t>
  </si>
  <si>
    <t>В соответствии с п.2.1 Общих условий Договора потребительского займа (далее по тексту «Общие условия») Заемщик обязуется возвратить полученный займ и уплатить проценты за его пользование без востребования со стороны Кредитора в размерах и сроки, установленные п.п. 4.1. договором займа, в том числе Графиком платежей. В соответствии с п. 4 Индивидуальных условий потребительского займа (далее по тексту «Индивидуальные условия») процентная ставка годовых составляет</t>
  </si>
  <si>
    <t>В соответствии с п.7.1 Общих условий Договора потребительского займа (далее по тексту «Общие условия») Заемщик обязуется возвратить полученный займ и уплатить проценты за его пользование без востребования со стороны Кредитора в размерах и сроки, установленные п.п. 4 Индивидуальных условий потребительского займа (далее по тексту «Индивидуальные условия»), в том числе Графиком платежей. В соответствии с п. 4 Индивидуальных условий потребительского займа процентная ставка годовых составляет</t>
  </si>
  <si>
    <t>КЛ</t>
  </si>
  <si>
    <t>АЗ</t>
  </si>
  <si>
    <t>Кваско Сергей [ Выход ]</t>
  </si>
  <si>
    <t>Прогноз визитов (66)</t>
  </si>
  <si>
    <t>   TTY (6/116)</t>
  </si>
  <si>
    <t>   Проверка анкет</t>
  </si>
  <si>
    <t>   ОСК</t>
  </si>
  <si>
    <t>   Агенты</t>
  </si>
  <si>
    <t>   Займы</t>
  </si>
  <si>
    <t>   Юротдел</t>
  </si>
  <si>
    <t>   Документы на сайт</t>
  </si>
  <si>
    <t>   Поддержка</t>
  </si>
  <si>
    <t>События TTY</t>
  </si>
  <si>
    <t>Нет событий</t>
  </si>
  <si>
    <t>Данные по договорам</t>
  </si>
  <si>
    <t>Договора</t>
  </si>
  <si>
    <t>Страховки</t>
  </si>
  <si>
    <t>Экспорт</t>
  </si>
  <si>
    <t>Id</t>
  </si>
  <si>
    <t>Номер</t>
  </si>
  <si>
    <t>Дата закрытия</t>
  </si>
  <si>
    <t>ДОГОВОР</t>
  </si>
  <si>
    <t>Процентная ставка:</t>
  </si>
  <si>
    <t>ССЫЛКА НА ОПЛАТУСумма к оплате  Получить ссылку</t>
  </si>
  <si>
    <t>ЗАЕМЩИК</t>
  </si>
  <si>
    <t>КОДОВОЕ СЛОВОПоказать</t>
  </si>
  <si>
    <t>ЗАЛОГ</t>
  </si>
  <si>
    <t>СЧЕТ ДОГОВОРА</t>
  </si>
  <si>
    <t>На счету договора: 0</t>
  </si>
  <si>
    <t>ЗАДОЛЖЕННОСТЬ НА ДАТУ...Вперед</t>
  </si>
  <si>
    <t>ПОЛНАЯ ЗАДОЛЖЕННОСТЬ</t>
  </si>
  <si>
    <t>ПРОСРОЧЕННАЯ ЗАДОЛЖЕННОСТЬ</t>
  </si>
  <si>
    <t>Статус платежа</t>
  </si>
  <si>
    <t>План</t>
  </si>
  <si>
    <t>Факт</t>
  </si>
  <si>
    <t>Дата платежа</t>
  </si>
  <si>
    <t>Сумма платежа</t>
  </si>
  <si>
    <t>Тело долга</t>
  </si>
  <si>
    <t>Остаток долга</t>
  </si>
  <si>
    <t>Оплачен</t>
  </si>
  <si>
    <t>Просрочен Оплачен</t>
  </si>
  <si>
    <t>Посчитать</t>
  </si>
  <si>
    <t>Просрочен</t>
  </si>
  <si>
    <t>ПЛАТЕЖИ</t>
  </si>
  <si>
    <t>ИСКОВЫЕ ЗАЯВЛЕНИЯ</t>
  </si>
  <si>
    <t>Отсутствуют</t>
  </si>
  <si>
    <t>ПС:</t>
  </si>
  <si>
    <t xml:space="preserve">даты </t>
  </si>
  <si>
    <t>ставка</t>
  </si>
  <si>
    <t>начальная ставка</t>
  </si>
  <si>
    <t>дата изменения</t>
  </si>
  <si>
    <t>новая ставка</t>
  </si>
  <si>
    <t>платежи</t>
  </si>
  <si>
    <t>дата ПОП</t>
  </si>
  <si>
    <t>Просрочен ч оплачен</t>
  </si>
  <si>
    <t xml:space="preserve">просрочка с </t>
  </si>
  <si>
    <t>сумма платежей</t>
  </si>
  <si>
    <t>ВСЕГО</t>
  </si>
  <si>
    <t>Разница с ЦРМ</t>
  </si>
  <si>
    <t>ССЫЛКА НА ОПЛАТУ*</t>
  </si>
  <si>
    <t>Разница</t>
  </si>
  <si>
    <t>Звонки (0/0/1/1)</t>
  </si>
  <si>
    <t>Дата расчета {DateCalculation} date</t>
  </si>
  <si>
    <t>Тип договора {TypeOfLoan} str</t>
  </si>
  <si>
    <t>№ договора  {Loan} str</t>
  </si>
  <si>
    <t>ФИО {FIO} str</t>
  </si>
  <si>
    <t>Сумма займа {SumLoan} str</t>
  </si>
  <si>
    <t>ПС при выдаче {percentLoan} int</t>
  </si>
  <si>
    <t>Дата требования {DateOfRequirement} date</t>
  </si>
  <si>
    <t>Срок договора {TermLoan} str</t>
  </si>
  <si>
    <t>Всего оплачено {PayAll} str</t>
  </si>
  <si>
    <t>ОД оплачено {odPay} str</t>
  </si>
  <si>
    <t>% оплачено {PercentPay} str</t>
  </si>
  <si>
    <t>Пени оплачено {FinePay} str</t>
  </si>
  <si>
    <t>Сумма займа {SumLoanInt} int</t>
  </si>
  <si>
    <t>ОД оплачено {odPayInt} int</t>
  </si>
  <si>
    <t>Остаток ОД {PrincipalBalance} str</t>
  </si>
  <si>
    <t>Пункn ОУ {Punkt} str</t>
  </si>
  <si>
    <t xml:space="preserve">РК {Restructuring} </t>
  </si>
  <si>
    <t>Всего начислено % {PercentALL} str</t>
  </si>
  <si>
    <t>Дата последнего оплаченного платежа {DateofLastPaymentPaid} date</t>
  </si>
  <si>
    <t>текущая ставка {CurrentIntereStrate} int</t>
  </si>
  <si>
    <t>Дней % {DayCountPercent} int</t>
  </si>
  <si>
    <t>ОД остаток {PrincipalBalanceInt} int</t>
  </si>
  <si>
    <t>Ставка пени {FineRate} int</t>
  </si>
  <si>
    <t>Сумма Пени всего {FineSumAll} str</t>
  </si>
  <si>
    <t>Дней просрочки {DaysofDelay}  int</t>
  </si>
  <si>
    <t>дата первого просроч платежа 
{DateofFirstLatePayment} date</t>
  </si>
  <si>
    <t>Пени итог {FineFinal} int</t>
  </si>
  <si>
    <t>общая сумма долга {TotalDept} str</t>
  </si>
  <si>
    <t>% финал {PercentFinal} str</t>
  </si>
  <si>
    <t>% итог {PercenctFinalInt} int</t>
  </si>
  <si>
    <t>гос.пошлина {GovernmentDuty} str</t>
  </si>
  <si>
    <t>Блок частично оплаченных процентов {BlockofPartiallyPaidInterest} str</t>
  </si>
  <si>
    <t xml:space="preserve">Наименование </t>
  </si>
  <si>
    <t>Значение</t>
  </si>
  <si>
    <t>=ИНДЕКС(ЦРМ!B:B;МАКС(ЕСЛИ(ЦРМ!A:A="Просрочен Оплачен";СТРОКА(ЦРМ!A:A))))</t>
  </si>
  <si>
    <t>сошлось</t>
  </si>
  <si>
    <t>РучРас</t>
  </si>
  <si>
    <t>Списание / Проценты</t>
  </si>
  <si>
    <t>{BPPIheader} str</t>
  </si>
  <si>
    <t>{BPPIPay1} str</t>
  </si>
  <si>
    <t>{BPPIPay3} str</t>
  </si>
  <si>
    <t>{BPPIFinal} str</t>
  </si>
  <si>
    <t>Ок</t>
  </si>
  <si>
    <t>сумма просроченых процентов (начислено)</t>
  </si>
  <si>
    <t xml:space="preserve">_x000B_Таким образом, итоговая сумма задолженности составляет: </t>
  </si>
  <si>
    <t>реструктуризация</t>
  </si>
  <si>
    <t xml:space="preserve">- 01.12.2022 г. – внесено 1 000,00 рублей </t>
  </si>
  <si>
    <t xml:space="preserve">- 02.12.2022 г. – внесено 1 000,00 рублей </t>
  </si>
  <si>
    <t xml:space="preserve">- 03.12.2022 г. – внесено 5 000,00 рублей </t>
  </si>
  <si>
    <t xml:space="preserve">			  48 961,55 - 7 000,00 = 41 961,55 рубль .</t>
  </si>
  <si>
    <t>Однако, частично задолженность по процентам за пользование суммой займа погашена:</t>
  </si>
  <si>
    <t>Основной долг: 0</t>
  </si>
  <si>
    <t>РЕСТРУКТУРИЗАЦИИ</t>
  </si>
  <si>
    <t>Дата заявления</t>
  </si>
  <si>
    <t>Номер заявления</t>
  </si>
  <si>
    <t>Текст заявления</t>
  </si>
  <si>
    <t>Файл графика</t>
  </si>
  <si>
    <t>Скачать</t>
  </si>
  <si>
    <t>Сформировать графикГРАФИКОбновить данные Выгрузить в excel</t>
  </si>
  <si>
    <t>Showing 1 to 3 of 3 results</t>
  </si>
  <si>
    <t>Previous1Next</t>
  </si>
  <si>
    <t>Дата закрытия: 21.08.2023</t>
  </si>
  <si>
    <t>Проценты: 0</t>
  </si>
  <si>
    <t>Сумма: 0</t>
  </si>
  <si>
    <t>Основной долг:</t>
  </si>
  <si>
    <t>Проценты:</t>
  </si>
  <si>
    <t>Пени:</t>
  </si>
  <si>
    <t>Сумма:</t>
  </si>
  <si>
    <t>ДО</t>
  </si>
  <si>
    <t>ПОСЛЕ</t>
  </si>
  <si>
    <t>ИТОГ</t>
  </si>
  <si>
    <t>дата плат</t>
  </si>
  <si>
    <t>задвоение платежей</t>
  </si>
  <si>
    <t>Част погашение ?</t>
  </si>
  <si>
    <t>В-18164/КЛ.Транш - 1_В-21082023/Ц</t>
  </si>
  <si>
    <t>В-18164/КЛ.Транш-1_В-21082023/Ц</t>
  </si>
  <si>
    <t>Гилаев Флюс Фаусович</t>
  </si>
  <si>
    <t>В-18164/КЛ.Транш-1</t>
  </si>
  <si>
    <t>В-18164/КЛ</t>
  </si>
  <si>
    <t>Данные по займу В-18164/КЛ.Транш-1</t>
  </si>
  <si>
    <t>Дата: 20.05.2021 10:11 Срок: 24мес</t>
  </si>
  <si>
    <t>Сумма: 284 090,9</t>
  </si>
  <si>
    <t>19.03.2022: 55%</t>
  </si>
  <si>
    <t>27.01.2022: 50%</t>
  </si>
  <si>
    <t>19.06.2021: 50%</t>
  </si>
  <si>
    <t>20.05.2021: 50%</t>
  </si>
  <si>
    <t>ФИО: Гилаев Флюс Фаусович </t>
  </si>
  <si>
    <t>Телефоны: 79279436825,</t>
  </si>
  <si>
    <t>Марка, год: VOLKSWAGEN POLO, 2014, Гос.номер: А532КВ702, VIN: XW8ZZZ61ZFG018832</t>
  </si>
  <si>
    <t>Оценочная стоимость: 340000 руб</t>
  </si>
  <si>
    <t>Пени: -0</t>
  </si>
  <si>
    <t>Перенести даты возврата всех платежей на 26 число каждого месяца</t>
  </si>
  <si>
    <t>Предоставить льготный период (оплата только процентов) на срок 1 мес</t>
  </si>
  <si>
    <t>Предоставить льготный период (оплата только процентов) на срок 4 мес ПС +5%</t>
  </si>
  <si>
    <t>Актуальность графика: 29.09.2023 19:01</t>
  </si>
  <si>
    <t>Актуальность платежей: 29.09.2023 19:01</t>
  </si>
  <si>
    <t>21 551,92</t>
  </si>
  <si>
    <t>7 152,8</t>
  </si>
  <si>
    <t>14 399,12</t>
  </si>
  <si>
    <t>276 938,1</t>
  </si>
  <si>
    <t>18 951,92</t>
  </si>
  <si>
    <t>7 570,9</t>
  </si>
  <si>
    <t>11 381,02</t>
  </si>
  <si>
    <t>269 367,2</t>
  </si>
  <si>
    <t>7 513,04</t>
  </si>
  <si>
    <t>11 438,88</t>
  </si>
  <si>
    <t>261 854,16</t>
  </si>
  <si>
    <t>7 832,09</t>
  </si>
  <si>
    <t>11 119,83</t>
  </si>
  <si>
    <t>254 022,07</t>
  </si>
  <si>
    <t>8 512,66</t>
  </si>
  <si>
    <t>10 439,26</t>
  </si>
  <si>
    <t>245 509,41</t>
  </si>
  <si>
    <t>8 526,18</t>
  </si>
  <si>
    <t>10 425,74</t>
  </si>
  <si>
    <t>236 983,23</t>
  </si>
  <si>
    <t>9 212,88</t>
  </si>
  <si>
    <t>9 739,04</t>
  </si>
  <si>
    <t>227 770,35</t>
  </si>
  <si>
    <t>9 672,44</t>
  </si>
  <si>
    <t>9 680,41</t>
  </si>
  <si>
    <t>227 762,38</t>
  </si>
  <si>
    <t>12 417,48</t>
  </si>
  <si>
    <t>9 949,59</t>
  </si>
  <si>
    <t>2 459,92</t>
  </si>
  <si>
    <t>8 708,77</t>
  </si>
  <si>
    <t>11 168,6</t>
  </si>
  <si>
    <t>2 459,83</t>
  </si>
  <si>
    <t>10 639,31</t>
  </si>
  <si>
    <t>10 885,29</t>
  </si>
  <si>
    <t>10 296,11</t>
  </si>
  <si>
    <t>25 097,05</t>
  </si>
  <si>
    <t>14 457,74</t>
  </si>
  <si>
    <t>213 304,64</t>
  </si>
  <si>
    <t>15 454,51</t>
  </si>
  <si>
    <t>9 642,54</t>
  </si>
  <si>
    <t>197 850,13</t>
  </si>
  <si>
    <t>15 855,01</t>
  </si>
  <si>
    <t>9 242,04</t>
  </si>
  <si>
    <t>181 995,12</t>
  </si>
  <si>
    <t>16 595,63</t>
  </si>
  <si>
    <t>8 501,42</t>
  </si>
  <si>
    <t>165 399,49</t>
  </si>
  <si>
    <t>17 620,09</t>
  </si>
  <si>
    <t>7 476,96</t>
  </si>
  <si>
    <t>147 779,4</t>
  </si>
  <si>
    <t>18 193,93</t>
  </si>
  <si>
    <t>6 903,12</t>
  </si>
  <si>
    <t>129 585,47</t>
  </si>
  <si>
    <t>19 239,08</t>
  </si>
  <si>
    <t>5 857,97</t>
  </si>
  <si>
    <t>110 346,39</t>
  </si>
  <si>
    <t>19 942,51</t>
  </si>
  <si>
    <t>5 154,54</t>
  </si>
  <si>
    <t>90 403,88</t>
  </si>
  <si>
    <t>20 874,07</t>
  </si>
  <si>
    <t>4 222,98</t>
  </si>
  <si>
    <t>69 529,81</t>
  </si>
  <si>
    <t>22 163,46</t>
  </si>
  <si>
    <t>2 933,59</t>
  </si>
  <si>
    <t>47 366,35</t>
  </si>
  <si>
    <t>22 884,46</t>
  </si>
  <si>
    <t>2 212,59</t>
  </si>
  <si>
    <t>24 481,89</t>
  </si>
  <si>
    <t>25 588,61</t>
  </si>
  <si>
    <t>1 106,72</t>
  </si>
  <si>
    <t>9 950</t>
  </si>
  <si>
    <t>9 942,03</t>
  </si>
  <si>
    <t>10 000</t>
  </si>
  <si>
    <t>8 608,77</t>
  </si>
  <si>
    <t>1 391,23</t>
  </si>
  <si>
    <t>14 413,81</t>
  </si>
  <si>
    <t>3 774,5</t>
  </si>
  <si>
    <t>179 407,25</t>
  </si>
  <si>
    <t>56 328,52</t>
  </si>
  <si>
    <t>117 913</t>
  </si>
  <si>
    <t>5 165,73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</si>
</sst>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d/mm/yy;@"/>
    <numFmt numFmtId="165" formatCode="0.000%"/>
    <numFmt numFmtId="166" formatCode="_-* #,##0.00\ _₽_-;\-* #,##0.00\ _₽_-;_-* &quot;-&quot;??\ _₽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name val="Cambria"/>
      <family val="1"/>
      <charset val="204"/>
      <scheme val="maj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2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95">
    <xf numFmtId="0" fontId="0" fillId="0" borderId="0" xfId="0"/>
    <xf numFmtId="4" fontId="4" fillId="2" borderId="1" xfId="0" applyNumberFormat="1" applyFont="1" applyFill="1" applyBorder="1" applyAlignment="1">
      <alignment horizontal="center" vertical="center" wrapText="1"/>
    </xf>
    <xf numFmtId="0" fontId="0" fillId="0" borderId="1" xfId="0" applyBorder="1"/>
    <xf numFmtId="4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6" fontId="0" fillId="0" borderId="0" xfId="0" applyNumberFormat="1"/>
    <xf numFmtId="14" fontId="4" fillId="0" borderId="0" xfId="0" applyNumberFormat="1" applyFont="1" applyAlignment="1">
      <alignment horizontal="center" vertical="center" wrapText="1"/>
    </xf>
    <xf numFmtId="14" fontId="0" fillId="4" borderId="1" xfId="0" applyNumberFormat="1" applyFill="1" applyBorder="1"/>
    <xf numFmtId="0" fontId="0" fillId="4" borderId="1" xfId="0" applyFill="1" applyBorder="1"/>
    <xf numFmtId="4" fontId="0" fillId="4" borderId="1" xfId="0" applyNumberFormat="1" applyFill="1" applyBorder="1"/>
    <xf numFmtId="14" fontId="0" fillId="5" borderId="1" xfId="0" applyNumberFormat="1" applyFill="1" applyBorder="1"/>
    <xf numFmtId="0" fontId="0" fillId="5" borderId="1" xfId="0" applyFill="1" applyBorder="1"/>
    <xf numFmtId="4" fontId="0" fillId="5" borderId="1" xfId="0" applyNumberFormat="1" applyFill="1" applyBorder="1"/>
    <xf numFmtId="10" fontId="0" fillId="5" borderId="1" xfId="0" applyNumberFormat="1" applyFill="1" applyBorder="1"/>
    <xf numFmtId="165" fontId="0" fillId="4" borderId="1" xfId="0" applyNumberFormat="1" applyFill="1" applyBorder="1"/>
    <xf numFmtId="2" fontId="5" fillId="0" borderId="0" xfId="0" applyNumberFormat="1" applyFont="1" applyAlignment="1">
      <alignment horizontal="left"/>
    </xf>
    <xf numFmtId="2" fontId="6" fillId="0" borderId="0" xfId="0" applyNumberFormat="1" applyFont="1" applyAlignment="1">
      <alignment horizontal="left"/>
    </xf>
    <xf numFmtId="0" fontId="0" fillId="0" borderId="0" xfId="0" quotePrefix="1"/>
    <xf numFmtId="0" fontId="0" fillId="0" borderId="15" xfId="0" applyBorder="1"/>
    <xf numFmtId="0" fontId="7" fillId="7" borderId="17" xfId="0" applyFont="1" applyFill="1" applyBorder="1" applyAlignment="1">
      <alignment wrapText="1"/>
    </xf>
    <xf numFmtId="0" fontId="7" fillId="7" borderId="18" xfId="0" applyFont="1" applyFill="1" applyBorder="1" applyAlignment="1">
      <alignment wrapText="1"/>
    </xf>
    <xf numFmtId="0" fontId="7" fillId="7" borderId="19" xfId="0" applyFont="1" applyFill="1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43" fontId="0" fillId="0" borderId="1" xfId="1" applyFont="1" applyBorder="1"/>
    <xf numFmtId="0" fontId="12" fillId="0" borderId="1" xfId="0" applyFont="1" applyBorder="1" applyAlignment="1">
      <alignment horizontal="center" vertical="center" wrapText="1"/>
    </xf>
    <xf numFmtId="14" fontId="0" fillId="5" borderId="6" xfId="0" applyNumberFormat="1" applyFill="1" applyBorder="1"/>
    <xf numFmtId="4" fontId="0" fillId="5" borderId="7" xfId="0" applyNumberFormat="1" applyFill="1" applyBorder="1"/>
    <xf numFmtId="14" fontId="0" fillId="4" borderId="6" xfId="0" applyNumberFormat="1" applyFill="1" applyBorder="1"/>
    <xf numFmtId="4" fontId="0" fillId="4" borderId="7" xfId="0" applyNumberFormat="1" applyFill="1" applyBorder="1"/>
    <xf numFmtId="0" fontId="3" fillId="0" borderId="1" xfId="0" applyFont="1" applyBorder="1"/>
    <xf numFmtId="43" fontId="9" fillId="0" borderId="1" xfId="1" applyFont="1" applyBorder="1"/>
    <xf numFmtId="0" fontId="0" fillId="0" borderId="23" xfId="0" applyBorder="1"/>
    <xf numFmtId="43" fontId="0" fillId="0" borderId="23" xfId="1" applyFont="1" applyBorder="1"/>
    <xf numFmtId="0" fontId="12" fillId="0" borderId="30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14" fontId="9" fillId="3" borderId="8" xfId="0" applyNumberFormat="1" applyFont="1" applyFill="1" applyBorder="1"/>
    <xf numFmtId="14" fontId="9" fillId="3" borderId="11" xfId="0" applyNumberFormat="1" applyFont="1" applyFill="1" applyBorder="1"/>
    <xf numFmtId="0" fontId="9" fillId="3" borderId="11" xfId="0" applyFont="1" applyFill="1" applyBorder="1"/>
    <xf numFmtId="10" fontId="9" fillId="3" borderId="11" xfId="0" applyNumberFormat="1" applyFont="1" applyFill="1" applyBorder="1"/>
    <xf numFmtId="4" fontId="9" fillId="3" borderId="9" xfId="0" applyNumberFormat="1" applyFont="1" applyFill="1" applyBorder="1"/>
    <xf numFmtId="14" fontId="9" fillId="6" borderId="8" xfId="0" applyNumberFormat="1" applyFont="1" applyFill="1" applyBorder="1"/>
    <xf numFmtId="14" fontId="9" fillId="6" borderId="11" xfId="0" applyNumberFormat="1" applyFont="1" applyFill="1" applyBorder="1"/>
    <xf numFmtId="0" fontId="9" fillId="6" borderId="11" xfId="0" applyFont="1" applyFill="1" applyBorder="1"/>
    <xf numFmtId="4" fontId="9" fillId="6" borderId="9" xfId="0" applyNumberFormat="1" applyFont="1" applyFill="1" applyBorder="1"/>
    <xf numFmtId="14" fontId="9" fillId="3" borderId="6" xfId="0" applyNumberFormat="1" applyFont="1" applyFill="1" applyBorder="1"/>
    <xf numFmtId="14" fontId="9" fillId="3" borderId="1" xfId="0" applyNumberFormat="1" applyFont="1" applyFill="1" applyBorder="1"/>
    <xf numFmtId="0" fontId="9" fillId="3" borderId="1" xfId="0" applyFont="1" applyFill="1" applyBorder="1"/>
    <xf numFmtId="10" fontId="9" fillId="3" borderId="1" xfId="0" applyNumberFormat="1" applyFont="1" applyFill="1" applyBorder="1"/>
    <xf numFmtId="4" fontId="9" fillId="3" borderId="7" xfId="0" applyNumberFormat="1" applyFont="1" applyFill="1" applyBorder="1"/>
    <xf numFmtId="165" fontId="9" fillId="6" borderId="11" xfId="0" applyNumberFormat="1" applyFont="1" applyFill="1" applyBorder="1"/>
    <xf numFmtId="4" fontId="0" fillId="0" borderId="1" xfId="0" applyNumberFormat="1" applyBorder="1"/>
    <xf numFmtId="43" fontId="12" fillId="0" borderId="1" xfId="1" applyFont="1" applyBorder="1" applyAlignment="1">
      <alignment horizontal="center" vertical="center" wrapText="1"/>
    </xf>
    <xf numFmtId="43" fontId="13" fillId="0" borderId="1" xfId="1" applyFont="1" applyBorder="1" applyAlignment="1">
      <alignment horizontal="center" vertical="center" wrapText="1"/>
    </xf>
    <xf numFmtId="166" fontId="0" fillId="0" borderId="1" xfId="0" applyNumberFormat="1" applyBorder="1"/>
    <xf numFmtId="4" fontId="0" fillId="0" borderId="0" xfId="0" applyNumberFormat="1" applyAlignment="1">
      <alignment wrapText="1"/>
    </xf>
    <xf numFmtId="43" fontId="0" fillId="0" borderId="0" xfId="1" applyFont="1"/>
    <xf numFmtId="166" fontId="0" fillId="0" borderId="0" xfId="0" applyNumberFormat="1"/>
    <xf numFmtId="4" fontId="4" fillId="8" borderId="7" xfId="0" applyNumberFormat="1" applyFont="1" applyFill="1" applyBorder="1" applyAlignment="1">
      <alignment horizontal="center" vertical="center" wrapText="1"/>
    </xf>
    <xf numFmtId="4" fontId="4" fillId="8" borderId="3" xfId="0" applyNumberFormat="1" applyFont="1" applyFill="1" applyBorder="1" applyAlignment="1">
      <alignment horizontal="center" vertical="center" wrapText="1"/>
    </xf>
    <xf numFmtId="4" fontId="4" fillId="8" borderId="9" xfId="0" applyNumberFormat="1" applyFont="1" applyFill="1" applyBorder="1" applyAlignment="1">
      <alignment horizontal="center" vertical="center" wrapText="1"/>
    </xf>
    <xf numFmtId="4" fontId="4" fillId="8" borderId="16" xfId="0" applyNumberFormat="1" applyFont="1" applyFill="1" applyBorder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4" fontId="4" fillId="8" borderId="1" xfId="0" applyNumberFormat="1" applyFont="1" applyFill="1" applyBorder="1" applyAlignment="1">
      <alignment horizontal="center" vertical="center" wrapText="1"/>
    </xf>
    <xf numFmtId="4" fontId="4" fillId="8" borderId="2" xfId="0" applyNumberFormat="1" applyFont="1" applyFill="1" applyBorder="1" applyAlignment="1">
      <alignment horizontal="center" vertical="center" wrapText="1"/>
    </xf>
    <xf numFmtId="4" fontId="3" fillId="10" borderId="1" xfId="0" applyNumberFormat="1" applyFont="1" applyFill="1" applyBorder="1" applyAlignment="1">
      <alignment horizontal="center" vertical="center"/>
    </xf>
    <xf numFmtId="14" fontId="3" fillId="10" borderId="1" xfId="0" applyNumberFormat="1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 wrapText="1"/>
    </xf>
    <xf numFmtId="165" fontId="0" fillId="0" borderId="0" xfId="2" applyNumberFormat="1" applyFont="1"/>
    <xf numFmtId="14" fontId="4" fillId="8" borderId="7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" fontId="4" fillId="0" borderId="0" xfId="0" applyNumberFormat="1" applyFont="1" applyAlignment="1">
      <alignment horizontal="center" vertical="center" wrapText="1"/>
    </xf>
    <xf numFmtId="2" fontId="4" fillId="8" borderId="7" xfId="0" applyNumberFormat="1" applyFont="1" applyFill="1" applyBorder="1" applyAlignment="1">
      <alignment horizontal="center" vertical="center" wrapText="1"/>
    </xf>
    <xf numFmtId="2" fontId="4" fillId="10" borderId="7" xfId="0" applyNumberFormat="1" applyFont="1" applyFill="1" applyBorder="1" applyAlignment="1">
      <alignment horizontal="center" vertical="center" wrapText="1"/>
    </xf>
    <xf numFmtId="10" fontId="0" fillId="4" borderId="1" xfId="0" applyNumberFormat="1" applyFill="1" applyBorder="1"/>
    <xf numFmtId="14" fontId="9" fillId="6" borderId="6" xfId="0" applyNumberFormat="1" applyFont="1" applyFill="1" applyBorder="1"/>
    <xf numFmtId="14" fontId="9" fillId="6" borderId="1" xfId="0" applyNumberFormat="1" applyFont="1" applyFill="1" applyBorder="1"/>
    <xf numFmtId="0" fontId="9" fillId="6" borderId="1" xfId="0" applyFont="1" applyFill="1" applyBorder="1"/>
    <xf numFmtId="10" fontId="9" fillId="6" borderId="1" xfId="0" applyNumberFormat="1" applyFont="1" applyFill="1" applyBorder="1"/>
    <xf numFmtId="4" fontId="9" fillId="6" borderId="7" xfId="0" applyNumberFormat="1" applyFont="1" applyFill="1" applyBorder="1"/>
    <xf numFmtId="0" fontId="0" fillId="0" borderId="7" xfId="0" applyBorder="1"/>
    <xf numFmtId="0" fontId="3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4" fontId="4" fillId="8" borderId="11" xfId="0" applyNumberFormat="1" applyFont="1" applyFill="1" applyBorder="1" applyAlignment="1">
      <alignment horizontal="center" vertical="center" wrapText="1"/>
    </xf>
    <xf numFmtId="0" fontId="0" fillId="0" borderId="32" xfId="0" applyBorder="1"/>
    <xf numFmtId="0" fontId="0" fillId="0" borderId="33" xfId="0" applyBorder="1"/>
    <xf numFmtId="0" fontId="2" fillId="9" borderId="6" xfId="0" applyFont="1" applyFill="1" applyBorder="1" applyAlignment="1">
      <alignment horizontal="left" vertical="center"/>
    </xf>
    <xf numFmtId="0" fontId="4" fillId="9" borderId="6" xfId="0" applyFont="1" applyFill="1" applyBorder="1" applyAlignment="1">
      <alignment horizontal="left" vertical="center" wrapText="1"/>
    </xf>
    <xf numFmtId="0" fontId="2" fillId="9" borderId="8" xfId="0" applyFont="1" applyFill="1" applyBorder="1" applyAlignment="1">
      <alignment horizontal="left" vertical="center"/>
    </xf>
    <xf numFmtId="0" fontId="4" fillId="9" borderId="8" xfId="0" applyFont="1" applyFill="1" applyBorder="1" applyAlignment="1">
      <alignment horizontal="left" vertical="center" wrapText="1"/>
    </xf>
    <xf numFmtId="4" fontId="3" fillId="9" borderId="1" xfId="0" applyNumberFormat="1" applyFont="1" applyFill="1" applyBorder="1" applyAlignment="1">
      <alignment horizontal="left" vertical="center"/>
    </xf>
    <xf numFmtId="4" fontId="3" fillId="9" borderId="11" xfId="0" applyNumberFormat="1" applyFont="1" applyFill="1" applyBorder="1" applyAlignment="1">
      <alignment horizontal="left" vertical="center"/>
    </xf>
    <xf numFmtId="0" fontId="4" fillId="9" borderId="7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center" vertical="center" wrapText="1"/>
    </xf>
    <xf numFmtId="0" fontId="12" fillId="9" borderId="10" xfId="0" applyFont="1" applyFill="1" applyBorder="1" applyAlignment="1">
      <alignment horizontal="center" vertical="center" wrapText="1"/>
    </xf>
    <xf numFmtId="0" fontId="12" fillId="9" borderId="5" xfId="0" applyFont="1" applyFill="1" applyBorder="1" applyAlignment="1">
      <alignment horizontal="center" vertical="center" wrapText="1"/>
    </xf>
    <xf numFmtId="0" fontId="12" fillId="9" borderId="30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3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0" fontId="2" fillId="9" borderId="1" xfId="0" applyFont="1" applyFill="1" applyBorder="1" applyAlignment="1">
      <alignment horizontal="left" vertical="center"/>
    </xf>
    <xf numFmtId="0" fontId="2" fillId="9" borderId="11" xfId="0" applyFont="1" applyFill="1" applyBorder="1" applyAlignment="1">
      <alignment horizontal="left" vertical="center"/>
    </xf>
    <xf numFmtId="165" fontId="3" fillId="0" borderId="1" xfId="0" applyNumberFormat="1" applyFont="1" applyBorder="1" applyAlignment="1">
      <alignment horizontal="center" vertical="center"/>
    </xf>
    <xf numFmtId="0" fontId="4" fillId="9" borderId="34" xfId="0" applyFont="1" applyFill="1" applyBorder="1" applyAlignment="1">
      <alignment horizontal="left" vertical="center" wrapText="1"/>
    </xf>
    <xf numFmtId="14" fontId="4" fillId="0" borderId="35" xfId="0" applyNumberFormat="1" applyFont="1" applyBorder="1" applyAlignment="1">
      <alignment horizontal="center" vertical="center" wrapText="1"/>
    </xf>
    <xf numFmtId="0" fontId="4" fillId="9" borderId="30" xfId="0" applyFont="1" applyFill="1" applyBorder="1" applyAlignment="1">
      <alignment horizontal="left" vertical="center" wrapText="1"/>
    </xf>
    <xf numFmtId="4" fontId="3" fillId="0" borderId="23" xfId="0" applyNumberFormat="1" applyFont="1" applyBorder="1" applyAlignment="1">
      <alignment horizontal="center" vertical="center" wrapText="1"/>
    </xf>
    <xf numFmtId="0" fontId="4" fillId="9" borderId="4" xfId="0" applyFont="1" applyFill="1" applyBorder="1" applyAlignment="1">
      <alignment horizontal="left" vertical="center" wrapText="1"/>
    </xf>
    <xf numFmtId="4" fontId="3" fillId="0" borderId="10" xfId="0" applyNumberFormat="1" applyFont="1" applyBorder="1" applyAlignment="1">
      <alignment horizontal="center" vertical="center" wrapText="1"/>
    </xf>
    <xf numFmtId="4" fontId="3" fillId="10" borderId="10" xfId="0" applyNumberFormat="1" applyFont="1" applyFill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 wrapText="1"/>
    </xf>
    <xf numFmtId="4" fontId="3" fillId="10" borderId="11" xfId="0" applyNumberFormat="1" applyFont="1" applyFill="1" applyBorder="1" applyAlignment="1">
      <alignment horizontal="center" vertical="center"/>
    </xf>
    <xf numFmtId="4" fontId="3" fillId="9" borderId="10" xfId="0" applyNumberFormat="1" applyFont="1" applyFill="1" applyBorder="1" applyAlignment="1">
      <alignment horizontal="left" vertical="center"/>
    </xf>
    <xf numFmtId="0" fontId="2" fillId="9" borderId="37" xfId="0" applyFont="1" applyFill="1" applyBorder="1" applyAlignment="1">
      <alignment horizontal="left" vertical="center"/>
    </xf>
    <xf numFmtId="0" fontId="2" fillId="9" borderId="34" xfId="0" applyFont="1" applyFill="1" applyBorder="1" applyAlignment="1">
      <alignment vertical="center"/>
    </xf>
    <xf numFmtId="0" fontId="2" fillId="9" borderId="30" xfId="0" applyFont="1" applyFill="1" applyBorder="1" applyAlignment="1">
      <alignment vertical="center"/>
    </xf>
    <xf numFmtId="4" fontId="3" fillId="10" borderId="38" xfId="0" applyNumberFormat="1" applyFont="1" applyFill="1" applyBorder="1" applyAlignment="1">
      <alignment horizontal="center" vertical="center"/>
    </xf>
    <xf numFmtId="4" fontId="3" fillId="10" borderId="2" xfId="0" applyNumberFormat="1" applyFont="1" applyFill="1" applyBorder="1" applyAlignment="1">
      <alignment horizontal="center" vertical="center"/>
    </xf>
    <xf numFmtId="4" fontId="3" fillId="10" borderId="39" xfId="0" applyNumberFormat="1" applyFont="1" applyFill="1" applyBorder="1" applyAlignment="1">
      <alignment horizontal="center" vertical="center"/>
    </xf>
    <xf numFmtId="0" fontId="11" fillId="11" borderId="4" xfId="0" applyFont="1" applyFill="1" applyBorder="1"/>
    <xf numFmtId="0" fontId="11" fillId="11" borderId="5" xfId="0" applyFont="1" applyFill="1" applyBorder="1"/>
    <xf numFmtId="0" fontId="0" fillId="0" borderId="6" xfId="0" applyBorder="1"/>
    <xf numFmtId="0" fontId="0" fillId="0" borderId="8" xfId="0" applyBorder="1"/>
    <xf numFmtId="0" fontId="3" fillId="10" borderId="1" xfId="0" applyFont="1" applyFill="1" applyBorder="1" applyAlignment="1">
      <alignment horizontal="center" vertical="center"/>
    </xf>
    <xf numFmtId="10" fontId="4" fillId="8" borderId="1" xfId="0" applyNumberFormat="1" applyFont="1" applyFill="1" applyBorder="1" applyAlignment="1">
      <alignment horizontal="center" vertical="center" wrapText="1"/>
    </xf>
    <xf numFmtId="0" fontId="13" fillId="9" borderId="40" xfId="0" applyFont="1" applyFill="1" applyBorder="1" applyAlignment="1">
      <alignment horizontal="center" vertical="center" wrapText="1"/>
    </xf>
    <xf numFmtId="14" fontId="0" fillId="0" borderId="20" xfId="0" applyNumberFormat="1" applyBorder="1" applyAlignment="1">
      <alignment wrapText="1"/>
    </xf>
    <xf numFmtId="164" fontId="0" fillId="0" borderId="21" xfId="0" applyNumberFormat="1" applyBorder="1" applyAlignment="1">
      <alignment wrapText="1"/>
    </xf>
    <xf numFmtId="9" fontId="0" fillId="0" borderId="21" xfId="0" applyNumberFormat="1" applyBorder="1" applyAlignment="1">
      <alignment wrapText="1"/>
    </xf>
    <xf numFmtId="2" fontId="0" fillId="0" borderId="21" xfId="0" applyNumberFormat="1" applyBorder="1" applyAlignment="1">
      <alignment wrapText="1"/>
    </xf>
    <xf numFmtId="165" fontId="0" fillId="0" borderId="21" xfId="0" applyNumberFormat="1" applyBorder="1" applyAlignment="1">
      <alignment wrapText="1"/>
    </xf>
    <xf numFmtId="14" fontId="0" fillId="0" borderId="21" xfId="0" applyNumberFormat="1" applyBorder="1" applyAlignment="1">
      <alignment wrapText="1"/>
    </xf>
    <xf numFmtId="43" fontId="0" fillId="0" borderId="21" xfId="1" applyFont="1" applyBorder="1" applyAlignment="1">
      <alignment wrapText="1"/>
    </xf>
    <xf numFmtId="1" fontId="0" fillId="0" borderId="21" xfId="0" applyNumberFormat="1" applyBorder="1" applyAlignment="1">
      <alignment wrapText="1"/>
    </xf>
    <xf numFmtId="0" fontId="7" fillId="7" borderId="6" xfId="0" applyFont="1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0" fillId="0" borderId="7" xfId="0" applyBorder="1" applyAlignment="1">
      <alignment wrapText="1"/>
    </xf>
    <xf numFmtId="2" fontId="0" fillId="0" borderId="7" xfId="0" applyNumberFormat="1" applyBorder="1" applyAlignment="1">
      <alignment wrapText="1"/>
    </xf>
    <xf numFmtId="43" fontId="0" fillId="0" borderId="7" xfId="1" applyFont="1" applyBorder="1" applyAlignment="1">
      <alignment wrapText="1"/>
    </xf>
    <xf numFmtId="0" fontId="7" fillId="7" borderId="8" xfId="0" applyFont="1" applyFill="1" applyBorder="1" applyAlignment="1">
      <alignment wrapText="1"/>
    </xf>
    <xf numFmtId="2" fontId="0" fillId="0" borderId="9" xfId="0" applyNumberFormat="1" applyBorder="1" applyAlignment="1">
      <alignment wrapText="1"/>
    </xf>
    <xf numFmtId="0" fontId="3" fillId="12" borderId="4" xfId="0" applyFont="1" applyFill="1" applyBorder="1" applyAlignment="1">
      <alignment horizontal="center" wrapText="1"/>
    </xf>
    <xf numFmtId="0" fontId="3" fillId="12" borderId="5" xfId="0" applyFont="1" applyFill="1" applyBorder="1" applyAlignment="1">
      <alignment horizontal="center" wrapText="1"/>
    </xf>
    <xf numFmtId="14" fontId="0" fillId="0" borderId="0" xfId="0" quotePrefix="1" applyNumberFormat="1"/>
    <xf numFmtId="0" fontId="1" fillId="0" borderId="0" xfId="0" applyFont="1" applyAlignment="1">
      <alignment wrapText="1"/>
    </xf>
    <xf numFmtId="43" fontId="0" fillId="0" borderId="0" xfId="1" applyFont="1" applyAlignment="1"/>
    <xf numFmtId="14" fontId="0" fillId="0" borderId="0" xfId="1" applyNumberFormat="1" applyFont="1"/>
    <xf numFmtId="14" fontId="0" fillId="0" borderId="1" xfId="0" applyNumberFormat="1" applyBorder="1"/>
    <xf numFmtId="0" fontId="11" fillId="11" borderId="12" xfId="0" applyFont="1" applyFill="1" applyBorder="1" applyAlignment="1">
      <alignment horizontal="center"/>
    </xf>
    <xf numFmtId="0" fontId="11" fillId="11" borderId="13" xfId="0" applyFont="1" applyFill="1" applyBorder="1" applyAlignment="1">
      <alignment horizontal="center"/>
    </xf>
    <xf numFmtId="2" fontId="3" fillId="0" borderId="24" xfId="0" applyNumberFormat="1" applyFont="1" applyBorder="1" applyAlignment="1">
      <alignment horizontal="center"/>
    </xf>
    <xf numFmtId="2" fontId="3" fillId="0" borderId="25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/>
    </xf>
    <xf numFmtId="0" fontId="11" fillId="11" borderId="27" xfId="0" applyFont="1" applyFill="1" applyBorder="1" applyAlignment="1">
      <alignment horizontal="center"/>
    </xf>
    <xf numFmtId="0" fontId="11" fillId="11" borderId="28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0" fontId="11" fillId="11" borderId="1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/>
    </xf>
    <xf numFmtId="0" fontId="11" fillId="7" borderId="5" xfId="0" applyFont="1" applyFill="1" applyBorder="1" applyAlignment="1">
      <alignment horizontal="center"/>
    </xf>
    <xf numFmtId="0" fontId="9" fillId="3" borderId="41" xfId="0" applyFont="1" applyFill="1" applyBorder="1" applyAlignment="1">
      <alignment horizontal="left"/>
    </xf>
    <xf numFmtId="0" fontId="9" fillId="3" borderId="42" xfId="0" applyFont="1" applyFill="1" applyBorder="1" applyAlignment="1">
      <alignment horizontal="left"/>
    </xf>
    <xf numFmtId="0" fontId="9" fillId="3" borderId="16" xfId="0" applyFont="1" applyFill="1" applyBorder="1" applyAlignment="1">
      <alignment horizontal="left"/>
    </xf>
    <xf numFmtId="0" fontId="9" fillId="6" borderId="41" xfId="0" applyFont="1" applyFill="1" applyBorder="1" applyAlignment="1">
      <alignment horizontal="center"/>
    </xf>
    <xf numFmtId="0" fontId="9" fillId="6" borderId="42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11" fillId="7" borderId="12" xfId="0" applyFont="1" applyFill="1" applyBorder="1" applyAlignment="1">
      <alignment horizontal="center" vertical="center"/>
    </xf>
    <xf numFmtId="0" fontId="11" fillId="7" borderId="13" xfId="0" applyFont="1" applyFill="1" applyBorder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5" fillId="11" borderId="12" xfId="0" applyFont="1" applyFill="1" applyBorder="1" applyAlignment="1">
      <alignment horizontal="center"/>
    </xf>
    <xf numFmtId="0" fontId="15" fillId="11" borderId="13" xfId="0" applyFont="1" applyFill="1" applyBorder="1" applyAlignment="1">
      <alignment horizontal="center"/>
    </xf>
    <xf numFmtId="0" fontId="15" fillId="11" borderId="14" xfId="0" applyFont="1" applyFill="1" applyBorder="1" applyAlignment="1">
      <alignment horizontal="center"/>
    </xf>
    <xf numFmtId="0" fontId="11" fillId="11" borderId="36" xfId="0" applyFont="1" applyFill="1" applyBorder="1" applyAlignment="1">
      <alignment horizontal="center" vertical="center"/>
    </xf>
    <xf numFmtId="0" fontId="11" fillId="11" borderId="32" xfId="0" applyFont="1" applyFill="1" applyBorder="1" applyAlignment="1">
      <alignment horizontal="center" vertical="center"/>
    </xf>
    <xf numFmtId="0" fontId="11" fillId="11" borderId="33" xfId="0" applyFont="1" applyFill="1" applyBorder="1" applyAlignment="1">
      <alignment horizontal="center" vertical="center"/>
    </xf>
    <xf numFmtId="2" fontId="3" fillId="0" borderId="27" xfId="0" applyNumberFormat="1" applyFont="1" applyBorder="1" applyAlignment="1">
      <alignment horizontal="center"/>
    </xf>
    <xf numFmtId="2" fontId="3" fillId="0" borderId="28" xfId="0" applyNumberFormat="1" applyFont="1" applyBorder="1" applyAlignment="1">
      <alignment horizontal="center"/>
    </xf>
    <xf numFmtId="2" fontId="3" fillId="0" borderId="29" xfId="0" applyNumberFormat="1" applyFont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18" xfId="0" applyFont="1" applyFill="1" applyBorder="1" applyAlignment="1">
      <alignment horizontal="center"/>
    </xf>
    <xf numFmtId="0" fontId="7" fillId="11" borderId="19" xfId="0" applyFont="1" applyFill="1" applyBorder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">
    <dxf>
      <fill>
        <patternFill>
          <bgColor rgb="FFFFC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ta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6;&#1073;&#1091;&#1095;&#1077;&#1085;&#1080;&#1077;%2023\&#1041;&#1072;&#1079;&#1072;%20&#1076;&#1083;&#1103;%20&#1089;&#1083;&#1080;&#1103;&#1085;&#1080;&#1103;.xlsx" TargetMode="External"/><Relationship Id="rId1" Type="http://schemas.openxmlformats.org/officeDocument/2006/relationships/externalLinkPath" Target="&#1041;&#1072;&#1079;&#1072;%20&#1076;&#1083;&#1103;%20&#1089;&#1083;&#1080;&#1103;&#1085;&#1080;&#1103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data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80;&#1079;%201&#1057;.xlsm" TargetMode="External"/><Relationship Id="rId1" Type="http://schemas.openxmlformats.org/officeDocument/2006/relationships/externalLinkPath" Target="/&#1054;&#1090;&#1076;&#1077;&#1083;%20&#1089;&#1086;&#1087;&#1088;&#1086;&#1074;&#1086;&#1078;&#1076;&#1077;&#1085;&#1080;&#1103;%20&#1082;&#1088;&#1077;&#1076;&#1080;&#1090;&#1086;&#1074;&#1072;&#1085;&#1080;&#1103;/&#1056;&#1072;&#1073;&#1086;&#1090;&#1072;%20&#1089;%20&#1087;&#1088;&#1086;&#1089;&#1088;&#1086;&#1095;&#1082;&#1086;&#1081;/&#1050;&#1057;&#1052;/&#1087;&#1086;&#1076;&#1074;&#1072;&#1083;/&#1080;&#1079;%201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Списание"/>
    </sheetNames>
    <sheetDataSet>
      <sheetData sheetId="0">
        <row r="1">
          <cell r="A1" t="str">
            <v>Номер договора</v>
          </cell>
          <cell r="B1" t="str">
            <v>Заемщик</v>
          </cell>
          <cell r="C1" t="str">
            <v>Дата выдачи</v>
          </cell>
          <cell r="D1" t="str">
            <v>Процентная ставка</v>
          </cell>
          <cell r="E1" t="str">
            <v>Срок займа</v>
          </cell>
          <cell r="F1" t="str">
            <v>Процентная ставка</v>
          </cell>
          <cell r="G1" t="str">
            <v>Пени, штрафы</v>
          </cell>
          <cell r="H1" t="str">
            <v>Сумма займа</v>
          </cell>
        </row>
        <row r="2">
          <cell r="A2" t="str">
            <v>Т-10003/КЭ_Т-20211028/Ц</v>
          </cell>
          <cell r="B2" t="str">
            <v>"ВИВАР" ООО</v>
          </cell>
          <cell r="C2">
            <v>43931</v>
          </cell>
          <cell r="D2">
            <v>30</v>
          </cell>
          <cell r="E2">
            <v>24</v>
          </cell>
          <cell r="F2" t="str">
            <v>30% годовых</v>
          </cell>
          <cell r="G2">
            <v>0.5</v>
          </cell>
          <cell r="H2">
            <v>386153.29</v>
          </cell>
        </row>
        <row r="3">
          <cell r="A3" t="str">
            <v>А-10081/КЭ.Транш - 4</v>
          </cell>
          <cell r="B3" t="str">
            <v>"Хорошо" ООО</v>
          </cell>
          <cell r="C3">
            <v>43742</v>
          </cell>
          <cell r="D3">
            <v>65</v>
          </cell>
          <cell r="E3">
            <v>6</v>
          </cell>
          <cell r="F3" t="str">
            <v>65% годовых</v>
          </cell>
          <cell r="G3">
            <v>1</v>
          </cell>
          <cell r="H3">
            <v>116000</v>
          </cell>
        </row>
        <row r="4">
          <cell r="A4" t="str">
            <v>В-28360/КЛ.Транш - 1_В-20211230/Ц</v>
          </cell>
          <cell r="B4" t="str">
            <v>Абакумов Вадим Михайлович</v>
          </cell>
          <cell r="C4">
            <v>44620</v>
          </cell>
          <cell r="D4">
            <v>84</v>
          </cell>
          <cell r="E4">
            <v>730</v>
          </cell>
          <cell r="F4" t="str">
            <v>До 221 дн. 84%; от 222 до 434 дн. 55%; от 435 и более дн. 84%.</v>
          </cell>
          <cell r="G4">
            <v>5.3999999999999999E-2</v>
          </cell>
          <cell r="H4">
            <v>150000</v>
          </cell>
        </row>
        <row r="5">
          <cell r="A5" t="str">
            <v>В-28383/КЛ.Транш - 1_В-20211230/Ц</v>
          </cell>
          <cell r="B5" t="str">
            <v>Абдуллин Азат Мазитович</v>
          </cell>
          <cell r="C5">
            <v>44609</v>
          </cell>
          <cell r="D5">
            <v>57</v>
          </cell>
          <cell r="E5">
            <v>48</v>
          </cell>
          <cell r="F5" t="str">
            <v>57% годовых</v>
          </cell>
          <cell r="G5">
            <v>5.3999999999999999E-2</v>
          </cell>
          <cell r="H5">
            <v>454546</v>
          </cell>
        </row>
        <row r="6">
          <cell r="A6" t="str">
            <v>В-08251/КЛ.Транш - 1_В-21082023/Ц</v>
          </cell>
          <cell r="B6" t="str">
            <v>Абдуллин Игорь Эдуардович</v>
          </cell>
          <cell r="C6">
            <v>44064</v>
          </cell>
          <cell r="D6">
            <v>73</v>
          </cell>
          <cell r="E6">
            <v>48</v>
          </cell>
          <cell r="F6" t="str">
            <v>73% годовых</v>
          </cell>
          <cell r="G6">
            <v>5.3999999999999999E-2</v>
          </cell>
          <cell r="H6">
            <v>500000</v>
          </cell>
        </row>
        <row r="7">
          <cell r="A7" t="str">
            <v>В-11521/КЛ.Транш - 1_В-21082023/Ц</v>
          </cell>
          <cell r="B7" t="str">
            <v>Абдульманова Ангелина Рамилевна</v>
          </cell>
          <cell r="C7">
            <v>44161</v>
          </cell>
          <cell r="D7">
            <v>80</v>
          </cell>
          <cell r="E7">
            <v>12</v>
          </cell>
          <cell r="F7" t="str">
            <v>80% годовых</v>
          </cell>
          <cell r="G7">
            <v>5.3999999999999999E-2</v>
          </cell>
          <cell r="H7">
            <v>150000</v>
          </cell>
        </row>
        <row r="8">
          <cell r="A8" t="str">
            <v>В-25132/КЛ.Транш - 2_В-21082023/Ц</v>
          </cell>
          <cell r="B8" t="str">
            <v>Абдурашитов Озодбек Мавланжанович</v>
          </cell>
          <cell r="C8">
            <v>44607</v>
          </cell>
          <cell r="D8">
            <v>56</v>
          </cell>
          <cell r="E8">
            <v>24</v>
          </cell>
          <cell r="F8" t="str">
            <v>56% годовых</v>
          </cell>
          <cell r="G8">
            <v>5.3999999999999999E-2</v>
          </cell>
          <cell r="H8">
            <v>100000</v>
          </cell>
        </row>
        <row r="9">
          <cell r="A9" t="str">
            <v>В-09625/КЛ.Транш - 1_В-21082023/Ц</v>
          </cell>
          <cell r="B9" t="str">
            <v>Аблязизов Эдем Рустемович</v>
          </cell>
          <cell r="C9">
            <v>44102</v>
          </cell>
          <cell r="D9">
            <v>80</v>
          </cell>
          <cell r="E9">
            <v>48</v>
          </cell>
          <cell r="F9" t="str">
            <v>80% годовых</v>
          </cell>
          <cell r="G9">
            <v>5.3999999999999999E-2</v>
          </cell>
          <cell r="H9">
            <v>250000</v>
          </cell>
        </row>
        <row r="10">
          <cell r="A10" t="str">
            <v>В-08416/КЛ.Транш - 1_В-21082023/Ц</v>
          </cell>
          <cell r="B10" t="str">
            <v>Абраменко Александр Владимирович</v>
          </cell>
          <cell r="C10">
            <v>44070</v>
          </cell>
          <cell r="D10">
            <v>73</v>
          </cell>
          <cell r="E10">
            <v>12</v>
          </cell>
          <cell r="F10" t="str">
            <v>73% годовых</v>
          </cell>
          <cell r="G10">
            <v>5.3999999999999999E-2</v>
          </cell>
          <cell r="H10">
            <v>120000</v>
          </cell>
        </row>
        <row r="11">
          <cell r="A11" t="str">
            <v>А-04275/АЗ</v>
          </cell>
          <cell r="B11" t="str">
            <v>Абубакиров Бату Асхарович</v>
          </cell>
          <cell r="C11">
            <v>43314</v>
          </cell>
          <cell r="D11">
            <v>88</v>
          </cell>
          <cell r="E11">
            <v>2</v>
          </cell>
          <cell r="F11" t="str">
            <v>88% годовых</v>
          </cell>
          <cell r="G11">
            <v>5.3999999999999999E-2</v>
          </cell>
          <cell r="H11">
            <v>315000</v>
          </cell>
        </row>
        <row r="12">
          <cell r="A12" t="str">
            <v>Т-01875/АЗ_Т-20211028/Ц</v>
          </cell>
          <cell r="B12" t="str">
            <v>Авагян Арман Аветикович</v>
          </cell>
          <cell r="C12">
            <v>43937</v>
          </cell>
          <cell r="D12">
            <v>30</v>
          </cell>
          <cell r="E12">
            <v>36</v>
          </cell>
          <cell r="F12" t="str">
            <v>30% годовых</v>
          </cell>
          <cell r="G12">
            <v>5.3999999999999999E-2</v>
          </cell>
          <cell r="H12">
            <v>151737.85</v>
          </cell>
        </row>
        <row r="13">
          <cell r="A13" t="str">
            <v>В-02064/КЛ.Транш - 2_В-21082023/Ц</v>
          </cell>
          <cell r="B13" t="str">
            <v>Авагян Тигран Агванович</v>
          </cell>
          <cell r="C13">
            <v>44361</v>
          </cell>
          <cell r="D13">
            <v>60</v>
          </cell>
          <cell r="E13">
            <v>36</v>
          </cell>
          <cell r="F13" t="str">
            <v>60% годовых</v>
          </cell>
          <cell r="G13">
            <v>5.3999999999999999E-2</v>
          </cell>
          <cell r="H13">
            <v>500000</v>
          </cell>
        </row>
        <row r="14">
          <cell r="A14" t="str">
            <v>В-02064/КЛ.Транш - 3_В-21082023/Ц</v>
          </cell>
          <cell r="B14" t="str">
            <v>Авагян Тигран Агванович</v>
          </cell>
          <cell r="C14">
            <v>44467</v>
          </cell>
          <cell r="D14">
            <v>53</v>
          </cell>
          <cell r="E14">
            <v>36</v>
          </cell>
          <cell r="F14" t="str">
            <v>53% годовых</v>
          </cell>
          <cell r="G14">
            <v>5.3999999999999999E-2</v>
          </cell>
          <cell r="H14">
            <v>350000</v>
          </cell>
        </row>
        <row r="15">
          <cell r="A15" t="str">
            <v>В-02064/КЛ.Транш - 4_В-21082023/Ц</v>
          </cell>
          <cell r="B15" t="str">
            <v>Авагян Тигран Агванович</v>
          </cell>
          <cell r="C15">
            <v>44536</v>
          </cell>
          <cell r="D15">
            <v>50</v>
          </cell>
          <cell r="E15">
            <v>36</v>
          </cell>
          <cell r="F15" t="str">
            <v>50% годовых</v>
          </cell>
          <cell r="G15">
            <v>5.3999999999999999E-2</v>
          </cell>
          <cell r="H15">
            <v>185000</v>
          </cell>
        </row>
        <row r="16">
          <cell r="A16" t="str">
            <v>В-00046/АЗ_В-21082023/Ц</v>
          </cell>
          <cell r="B16" t="str">
            <v>Аванесян Виген Эмикович</v>
          </cell>
          <cell r="C16">
            <v>43572</v>
          </cell>
          <cell r="D16">
            <v>84</v>
          </cell>
          <cell r="E16">
            <v>36</v>
          </cell>
          <cell r="F16" t="str">
            <v>84% годовых</v>
          </cell>
          <cell r="G16">
            <v>5.3999999999999999E-2</v>
          </cell>
          <cell r="H16">
            <v>250000</v>
          </cell>
        </row>
        <row r="17">
          <cell r="A17" t="str">
            <v>В-18791/КЛ.Транш - 1_В-21082023/Ц</v>
          </cell>
          <cell r="B17" t="str">
            <v>Агаджанян Самвел Амаякович</v>
          </cell>
          <cell r="C17">
            <v>44351</v>
          </cell>
          <cell r="D17">
            <v>81</v>
          </cell>
          <cell r="E17">
            <v>12</v>
          </cell>
          <cell r="F17" t="str">
            <v>81% годовых</v>
          </cell>
          <cell r="G17">
            <v>5.3999999999999999E-2</v>
          </cell>
          <cell r="H17">
            <v>180000</v>
          </cell>
        </row>
        <row r="18">
          <cell r="A18" t="str">
            <v>А-04839/АЗ_В-21082023/Ц</v>
          </cell>
          <cell r="B18" t="str">
            <v>Агафонов Алексей Юрьевич</v>
          </cell>
          <cell r="C18">
            <v>43452</v>
          </cell>
          <cell r="D18">
            <v>77</v>
          </cell>
          <cell r="E18">
            <v>36</v>
          </cell>
          <cell r="F18" t="str">
            <v>30% годовых</v>
          </cell>
          <cell r="G18">
            <v>5.3999999999999999E-2</v>
          </cell>
          <cell r="H18">
            <v>447500</v>
          </cell>
        </row>
        <row r="19">
          <cell r="A19" t="str">
            <v>Т-01675/АЗ_В-21082023/Ц</v>
          </cell>
          <cell r="B19" t="str">
            <v>Агафонов Алексей Юрьевич</v>
          </cell>
          <cell r="C19">
            <v>43452</v>
          </cell>
          <cell r="D19">
            <v>77</v>
          </cell>
          <cell r="E19">
            <v>36</v>
          </cell>
          <cell r="F19" t="str">
            <v>30% годовых</v>
          </cell>
          <cell r="G19">
            <v>5.3999999999999999E-2</v>
          </cell>
          <cell r="H19">
            <v>447500</v>
          </cell>
        </row>
        <row r="20">
          <cell r="A20" t="str">
            <v>В-01211/АЗ_В-21082023/Ц</v>
          </cell>
          <cell r="B20" t="str">
            <v>Азиева Милана Зайнуладаевна</v>
          </cell>
          <cell r="C20">
            <v>44418</v>
          </cell>
          <cell r="D20">
            <v>50</v>
          </cell>
          <cell r="E20">
            <v>48</v>
          </cell>
          <cell r="F20" t="str">
            <v>50% годовых</v>
          </cell>
          <cell r="G20">
            <v>5.3999999999999999E-2</v>
          </cell>
          <cell r="H20">
            <v>1000000</v>
          </cell>
        </row>
        <row r="21">
          <cell r="A21" t="str">
            <v>В-01035/КЛ.Транш - 1_В-20211230/Ц</v>
          </cell>
          <cell r="B21" t="str">
            <v>Азоев Стаматис Рудикович</v>
          </cell>
          <cell r="C21">
            <v>43762</v>
          </cell>
          <cell r="D21">
            <v>94</v>
          </cell>
          <cell r="E21">
            <v>36</v>
          </cell>
          <cell r="F21" t="str">
            <v>94% годовых</v>
          </cell>
          <cell r="G21">
            <v>5.3999999999999999E-2</v>
          </cell>
          <cell r="H21">
            <v>300000</v>
          </cell>
        </row>
        <row r="22">
          <cell r="A22" t="str">
            <v>В-25131/КЛ.Транш - 1_В-20211230/Ц</v>
          </cell>
          <cell r="B22" t="str">
            <v>Айрапетян Нарек Гайкович</v>
          </cell>
          <cell r="C22">
            <v>44524</v>
          </cell>
          <cell r="D22">
            <v>64</v>
          </cell>
          <cell r="E22">
            <v>48</v>
          </cell>
          <cell r="F22" t="str">
            <v>64% годовых</v>
          </cell>
          <cell r="G22">
            <v>5.3999999999999999E-2</v>
          </cell>
          <cell r="H22">
            <v>454545.5</v>
          </cell>
        </row>
        <row r="23">
          <cell r="A23" t="str">
            <v>В-01271/КЛ.Транш - 4_В-20211230/Ц</v>
          </cell>
          <cell r="B23" t="str">
            <v>Айриян Николай Эрнестович</v>
          </cell>
          <cell r="C23">
            <v>44348</v>
          </cell>
          <cell r="D23">
            <v>53</v>
          </cell>
          <cell r="E23">
            <v>12</v>
          </cell>
          <cell r="F23" t="str">
            <v>53% годовых</v>
          </cell>
          <cell r="G23">
            <v>5.3999999999999999E-2</v>
          </cell>
          <cell r="H23">
            <v>300000</v>
          </cell>
        </row>
        <row r="24">
          <cell r="A24" t="str">
            <v>В-01271/КЛ.Транш - 5_В-20211230/Ц</v>
          </cell>
          <cell r="B24" t="str">
            <v>Айриян Николай Эрнестович</v>
          </cell>
          <cell r="C24">
            <v>44398</v>
          </cell>
          <cell r="D24">
            <v>67</v>
          </cell>
          <cell r="E24">
            <v>12</v>
          </cell>
          <cell r="F24" t="str">
            <v>67% годовых</v>
          </cell>
          <cell r="G24">
            <v>5.3999999999999999E-2</v>
          </cell>
          <cell r="H24">
            <v>260000</v>
          </cell>
        </row>
        <row r="25">
          <cell r="A25" t="str">
            <v>В-01271/КЛ.Транш - 6_В-20211230/Ц</v>
          </cell>
          <cell r="B25" t="str">
            <v>Айриян Николай Эрнестович</v>
          </cell>
          <cell r="C25">
            <v>44405</v>
          </cell>
          <cell r="D25">
            <v>60</v>
          </cell>
          <cell r="E25">
            <v>12</v>
          </cell>
          <cell r="F25" t="str">
            <v>60% годовых</v>
          </cell>
          <cell r="G25">
            <v>5.3999999999999999E-2</v>
          </cell>
          <cell r="H25">
            <v>147000</v>
          </cell>
        </row>
        <row r="26">
          <cell r="A26" t="str">
            <v>В-01271/КЛ.Транш - 3_В-20211230/Ц</v>
          </cell>
          <cell r="B26" t="str">
            <v>Айриян Николай Эрнестович</v>
          </cell>
          <cell r="C26">
            <v>44127</v>
          </cell>
          <cell r="D26">
            <v>66</v>
          </cell>
          <cell r="E26">
            <v>12</v>
          </cell>
          <cell r="F26" t="str">
            <v>66% годовых</v>
          </cell>
          <cell r="G26">
            <v>5.3999999999999999E-2</v>
          </cell>
          <cell r="H26">
            <v>1000000</v>
          </cell>
        </row>
        <row r="27">
          <cell r="A27" t="str">
            <v>В-18334/КЛ.Транш - 1_В-20211230/Ц</v>
          </cell>
          <cell r="B27" t="str">
            <v>Акиньшин Олег Алексеевич</v>
          </cell>
          <cell r="C27">
            <v>44341</v>
          </cell>
          <cell r="D27">
            <v>81</v>
          </cell>
          <cell r="E27">
            <v>12</v>
          </cell>
          <cell r="F27" t="str">
            <v>81% годовых</v>
          </cell>
          <cell r="G27">
            <v>5.3999999999999999E-2</v>
          </cell>
          <cell r="H27">
            <v>100000</v>
          </cell>
        </row>
        <row r="28">
          <cell r="A28" t="str">
            <v>В-19354/КЛ.Транш - 1_В-21082023/Ц</v>
          </cell>
          <cell r="B28" t="str">
            <v>Аксенчук Александр Вячеславович</v>
          </cell>
          <cell r="C28">
            <v>44368</v>
          </cell>
          <cell r="D28">
            <v>50</v>
          </cell>
          <cell r="E28">
            <v>36</v>
          </cell>
          <cell r="F28" t="str">
            <v>50% годовых</v>
          </cell>
          <cell r="G28">
            <v>5.3999999999999999E-2</v>
          </cell>
          <cell r="H28">
            <v>170454.5</v>
          </cell>
        </row>
        <row r="29">
          <cell r="A29" t="str">
            <v>В-00538/АЗ</v>
          </cell>
          <cell r="B29" t="str">
            <v>Алексанян Карине Размиковна</v>
          </cell>
          <cell r="C29">
            <v>43729</v>
          </cell>
          <cell r="D29">
            <v>84</v>
          </cell>
          <cell r="E29">
            <v>36</v>
          </cell>
          <cell r="F29" t="str">
            <v>84% годовых</v>
          </cell>
          <cell r="G29">
            <v>5.3999999999999999E-2</v>
          </cell>
          <cell r="H29">
            <v>180000</v>
          </cell>
        </row>
        <row r="30">
          <cell r="A30" t="str">
            <v>В-24336/КЛ.Транш - 2_В-21082023/Ц</v>
          </cell>
          <cell r="B30" t="str">
            <v>Алексанян Роберт Робертович</v>
          </cell>
          <cell r="C30">
            <v>44505</v>
          </cell>
          <cell r="D30">
            <v>88</v>
          </cell>
          <cell r="E30">
            <v>24</v>
          </cell>
          <cell r="F30" t="str">
            <v>88% годовых</v>
          </cell>
          <cell r="G30">
            <v>5.3999999999999999E-2</v>
          </cell>
          <cell r="H30">
            <v>250000</v>
          </cell>
        </row>
        <row r="31">
          <cell r="A31" t="str">
            <v>В-24336/КЛ.Транш - 3_В-21082023/Ц</v>
          </cell>
          <cell r="B31" t="str">
            <v>Алексанян Роберт Робертович</v>
          </cell>
          <cell r="C31">
            <v>44515</v>
          </cell>
          <cell r="D31">
            <v>88</v>
          </cell>
          <cell r="E31">
            <v>24</v>
          </cell>
          <cell r="F31" t="str">
            <v>88% годовых</v>
          </cell>
          <cell r="G31">
            <v>5.3999999999999999E-2</v>
          </cell>
          <cell r="H31">
            <v>250000</v>
          </cell>
        </row>
        <row r="32">
          <cell r="A32" t="str">
            <v>В-24336/КЛ.Транш - 1_В-21082023/Ц</v>
          </cell>
          <cell r="B32" t="str">
            <v>Алексанян Роберт Робертович</v>
          </cell>
          <cell r="C32">
            <v>44502</v>
          </cell>
          <cell r="D32">
            <v>88</v>
          </cell>
          <cell r="E32">
            <v>24</v>
          </cell>
          <cell r="F32" t="str">
            <v>88% годовых</v>
          </cell>
          <cell r="G32">
            <v>5.3999999999999999E-2</v>
          </cell>
          <cell r="H32">
            <v>300000</v>
          </cell>
        </row>
        <row r="33">
          <cell r="A33" t="str">
            <v>В-24336/КЛ.Транш - 4_В-21082023/Ц</v>
          </cell>
          <cell r="B33" t="str">
            <v>Алексанян Роберт Робертович</v>
          </cell>
          <cell r="C33">
            <v>44518</v>
          </cell>
          <cell r="D33">
            <v>81</v>
          </cell>
          <cell r="E33">
            <v>24</v>
          </cell>
          <cell r="F33" t="str">
            <v>81% годовых</v>
          </cell>
          <cell r="G33">
            <v>5.3999999999999999E-2</v>
          </cell>
          <cell r="H33">
            <v>200000</v>
          </cell>
        </row>
        <row r="34">
          <cell r="A34" t="str">
            <v>А-04668/АЗ_В-21082023/Ц</v>
          </cell>
          <cell r="B34" t="str">
            <v>Алексеев Юрий Сергеевич</v>
          </cell>
          <cell r="C34">
            <v>43410</v>
          </cell>
          <cell r="D34">
            <v>88</v>
          </cell>
          <cell r="E34">
            <v>36</v>
          </cell>
          <cell r="F34" t="str">
            <v>88% годовых</v>
          </cell>
          <cell r="G34">
            <v>5.3999999999999999E-2</v>
          </cell>
          <cell r="H34">
            <v>400000</v>
          </cell>
        </row>
        <row r="35">
          <cell r="A35" t="str">
            <v>Т-01642/АЗ_В-21082023/Ц</v>
          </cell>
          <cell r="B35" t="str">
            <v>Алексеев Юрий Сергеевич</v>
          </cell>
          <cell r="C35">
            <v>43410</v>
          </cell>
          <cell r="D35">
            <v>88</v>
          </cell>
          <cell r="E35">
            <v>36</v>
          </cell>
          <cell r="F35" t="str">
            <v>88% годовых</v>
          </cell>
          <cell r="G35">
            <v>5.3999999999999999E-2</v>
          </cell>
          <cell r="H35">
            <v>400000</v>
          </cell>
        </row>
        <row r="36">
          <cell r="A36" t="str">
            <v>В-11085/КЛ.Транш - 1</v>
          </cell>
          <cell r="B36" t="str">
            <v>Алешин Эдуард Александрович</v>
          </cell>
          <cell r="C36">
            <v>44145</v>
          </cell>
          <cell r="D36">
            <v>66</v>
          </cell>
          <cell r="E36">
            <v>48</v>
          </cell>
          <cell r="F36" t="str">
            <v>66% годовых</v>
          </cell>
          <cell r="G36">
            <v>5.3999999999999999E-2</v>
          </cell>
          <cell r="H36">
            <v>160000</v>
          </cell>
        </row>
        <row r="37">
          <cell r="A37" t="str">
            <v>В-23370/КЛ.Транш - 2_В-21082023/Ц</v>
          </cell>
          <cell r="B37" t="str">
            <v>Алешкевич Алексей Викторович</v>
          </cell>
          <cell r="C37">
            <v>44572</v>
          </cell>
          <cell r="D37">
            <v>64</v>
          </cell>
          <cell r="E37">
            <v>48</v>
          </cell>
          <cell r="F37" t="str">
            <v>64% годовых</v>
          </cell>
          <cell r="G37">
            <v>5.3999999999999999E-2</v>
          </cell>
          <cell r="H37">
            <v>113636</v>
          </cell>
        </row>
        <row r="38">
          <cell r="A38" t="str">
            <v>В-23370/КЛ.Транш - 1_В-21082023/Ц</v>
          </cell>
          <cell r="B38" t="str">
            <v>Алешкевич Алексей Викторович</v>
          </cell>
          <cell r="C38">
            <v>44476</v>
          </cell>
          <cell r="D38">
            <v>88</v>
          </cell>
          <cell r="E38">
            <v>48</v>
          </cell>
          <cell r="F38" t="str">
            <v>88% годовых</v>
          </cell>
          <cell r="G38">
            <v>5.3999999999999999E-2</v>
          </cell>
          <cell r="H38">
            <v>100000</v>
          </cell>
        </row>
        <row r="39">
          <cell r="A39" t="str">
            <v>В-27251/КЛ.Транш - 1_В-21082023/Ц</v>
          </cell>
          <cell r="B39" t="str">
            <v>Алешкин Алексей Владиславович</v>
          </cell>
          <cell r="C39">
            <v>44579</v>
          </cell>
          <cell r="D39">
            <v>84</v>
          </cell>
          <cell r="E39">
            <v>24</v>
          </cell>
          <cell r="F39" t="str">
            <v>89% годовых</v>
          </cell>
          <cell r="G39">
            <v>5.3999999999999999E-2</v>
          </cell>
          <cell r="H39">
            <v>500000</v>
          </cell>
        </row>
        <row r="40">
          <cell r="A40" t="str">
            <v>В-00428/АЗ_В-21082023/Ц</v>
          </cell>
          <cell r="B40" t="str">
            <v>Алимирзаев Мурад Нурмагомедович</v>
          </cell>
          <cell r="C40">
            <v>43686</v>
          </cell>
          <cell r="D40">
            <v>84</v>
          </cell>
          <cell r="E40">
            <v>12</v>
          </cell>
          <cell r="F40" t="str">
            <v>84% годовых</v>
          </cell>
          <cell r="G40">
            <v>5.3999999999999999E-2</v>
          </cell>
          <cell r="H40">
            <v>125000</v>
          </cell>
        </row>
        <row r="41">
          <cell r="A41" t="str">
            <v>В-13336/КЛ.Транш - 2_В-21082023/Ц</v>
          </cell>
          <cell r="B41" t="str">
            <v>Алыбаев Долеткельди Ягудович</v>
          </cell>
          <cell r="C41">
            <v>44522</v>
          </cell>
          <cell r="D41">
            <v>67</v>
          </cell>
          <cell r="E41">
            <v>48</v>
          </cell>
          <cell r="F41" t="str">
            <v>67% годовых</v>
          </cell>
          <cell r="G41">
            <v>5.3999999999999999E-2</v>
          </cell>
          <cell r="H41">
            <v>200000</v>
          </cell>
        </row>
        <row r="42">
          <cell r="A42" t="str">
            <v>В-13336/КЛ.Транш - 1_В-21082023/Ц</v>
          </cell>
          <cell r="B42" t="str">
            <v>Алыбаев Долеткельди Ягудович</v>
          </cell>
          <cell r="C42">
            <v>44205</v>
          </cell>
          <cell r="D42">
            <v>74</v>
          </cell>
          <cell r="E42">
            <v>48</v>
          </cell>
          <cell r="F42" t="str">
            <v>74% годовых</v>
          </cell>
          <cell r="G42">
            <v>5.3999999999999999E-2</v>
          </cell>
          <cell r="H42">
            <v>200000</v>
          </cell>
        </row>
        <row r="43">
          <cell r="A43" t="str">
            <v>А-00328/КЭ.Транш - 1</v>
          </cell>
          <cell r="B43" t="str">
            <v>АЛЬЯНС НЕДВИЖИМОСТИ ООО</v>
          </cell>
          <cell r="C43">
            <v>43325</v>
          </cell>
          <cell r="D43">
            <v>65</v>
          </cell>
          <cell r="E43">
            <v>1</v>
          </cell>
          <cell r="F43" t="str">
            <v>65% годовых</v>
          </cell>
          <cell r="G43">
            <v>1</v>
          </cell>
          <cell r="H43">
            <v>150000</v>
          </cell>
        </row>
        <row r="44">
          <cell r="A44" t="str">
            <v>В-18890/КЛ.Транш - 1_В-20211230/Ц</v>
          </cell>
          <cell r="B44" t="str">
            <v>Аманниязова Гулистан Атаевна</v>
          </cell>
          <cell r="C44">
            <v>44368</v>
          </cell>
          <cell r="D44">
            <v>50</v>
          </cell>
          <cell r="E44">
            <v>48</v>
          </cell>
          <cell r="F44" t="str">
            <v>50% годовых</v>
          </cell>
          <cell r="G44">
            <v>5.3999999999999999E-2</v>
          </cell>
          <cell r="H44">
            <v>500000</v>
          </cell>
        </row>
        <row r="45">
          <cell r="A45" t="str">
            <v>В-00038/АЗ_В-21082023/Ц</v>
          </cell>
          <cell r="B45" t="str">
            <v>Ананчев Ефим Иванович</v>
          </cell>
          <cell r="C45">
            <v>43570</v>
          </cell>
          <cell r="D45">
            <v>84</v>
          </cell>
          <cell r="E45">
            <v>36</v>
          </cell>
          <cell r="F45" t="str">
            <v>84% годовых</v>
          </cell>
          <cell r="G45">
            <v>5.3999999999999999E-2</v>
          </cell>
          <cell r="H45">
            <v>250000</v>
          </cell>
        </row>
        <row r="46">
          <cell r="A46" t="str">
            <v>В-17318/КЛ.Транш - 1_В-21082023/Ц</v>
          </cell>
          <cell r="B46" t="str">
            <v>Анищенкова Оксана Михайловна</v>
          </cell>
          <cell r="C46">
            <v>44320</v>
          </cell>
          <cell r="D46">
            <v>50</v>
          </cell>
          <cell r="E46">
            <v>48</v>
          </cell>
          <cell r="F46" t="str">
            <v>50% годовых</v>
          </cell>
          <cell r="G46">
            <v>5.3999999999999999E-2</v>
          </cell>
          <cell r="H46">
            <v>1000000</v>
          </cell>
        </row>
        <row r="47">
          <cell r="A47" t="str">
            <v>В-12246/КЛ.Транш - 1_В-20211230/Ц</v>
          </cell>
          <cell r="B47" t="str">
            <v>Антонов Сергей Петрович</v>
          </cell>
          <cell r="C47">
            <v>44176</v>
          </cell>
          <cell r="D47">
            <v>73</v>
          </cell>
          <cell r="E47">
            <v>48</v>
          </cell>
          <cell r="F47" t="str">
            <v>73% годовых</v>
          </cell>
          <cell r="G47">
            <v>5.3999999999999999E-2</v>
          </cell>
          <cell r="H47">
            <v>100000</v>
          </cell>
        </row>
        <row r="48">
          <cell r="A48" t="str">
            <v>В-14569/КЛ.Транш - 1_А-20210929/Ц</v>
          </cell>
          <cell r="B48" t="str">
            <v>Ануфриенко Сергей Владимирович</v>
          </cell>
          <cell r="C48">
            <v>44241</v>
          </cell>
          <cell r="D48">
            <v>67</v>
          </cell>
          <cell r="E48">
            <v>48</v>
          </cell>
          <cell r="F48" t="str">
            <v>67% годовых</v>
          </cell>
          <cell r="G48">
            <v>5.3999999999999999E-2</v>
          </cell>
          <cell r="H48">
            <v>900000</v>
          </cell>
        </row>
        <row r="49">
          <cell r="A49" t="str">
            <v>В-14907/КЛ.Транш - 1_В-20211230/Ц</v>
          </cell>
          <cell r="B49" t="str">
            <v>Аперян Любовь Артуровна</v>
          </cell>
          <cell r="C49">
            <v>44251</v>
          </cell>
          <cell r="D49">
            <v>67</v>
          </cell>
          <cell r="E49">
            <v>12</v>
          </cell>
          <cell r="F49" t="str">
            <v>67% годовых</v>
          </cell>
          <cell r="G49">
            <v>5.3999999999999999E-2</v>
          </cell>
          <cell r="H49">
            <v>150000</v>
          </cell>
        </row>
        <row r="50">
          <cell r="A50" t="str">
            <v>В-14907/КЛ.Транш - 2_В-20211230/Ц</v>
          </cell>
          <cell r="B50" t="str">
            <v>Аперян Любовь Артуровна</v>
          </cell>
          <cell r="C50">
            <v>44604</v>
          </cell>
          <cell r="D50">
            <v>74</v>
          </cell>
          <cell r="E50">
            <v>48</v>
          </cell>
          <cell r="F50" t="str">
            <v>74% годовых</v>
          </cell>
          <cell r="G50">
            <v>5.3999999999999999E-2</v>
          </cell>
          <cell r="H50">
            <v>585600</v>
          </cell>
        </row>
        <row r="51">
          <cell r="A51" t="str">
            <v>В-17805/КЛ.Транш - 1_В-20211230/Ц</v>
          </cell>
          <cell r="B51" t="str">
            <v>Апухтина Виолетта Байрамовна</v>
          </cell>
          <cell r="C51">
            <v>44327</v>
          </cell>
          <cell r="D51">
            <v>50</v>
          </cell>
          <cell r="E51">
            <v>36</v>
          </cell>
          <cell r="F51" t="str">
            <v>50% годовых</v>
          </cell>
          <cell r="G51">
            <v>5.3999999999999999E-2</v>
          </cell>
          <cell r="H51">
            <v>170454.5</v>
          </cell>
        </row>
        <row r="52">
          <cell r="A52" t="str">
            <v>В-17805/КЛ.Транш - 3_В-20211230/Ц</v>
          </cell>
          <cell r="B52" t="str">
            <v>Апухтина Виолетта Байрамовна</v>
          </cell>
          <cell r="C52">
            <v>44505</v>
          </cell>
          <cell r="D52">
            <v>50</v>
          </cell>
          <cell r="E52">
            <v>36</v>
          </cell>
          <cell r="F52" t="str">
            <v>50% годовых</v>
          </cell>
          <cell r="G52">
            <v>5.3999999999999999E-2</v>
          </cell>
          <cell r="H52">
            <v>113636.4</v>
          </cell>
        </row>
        <row r="53">
          <cell r="A53" t="str">
            <v>В-17805/КЛ.Транш - 2_В-20211230/Ц</v>
          </cell>
          <cell r="B53" t="str">
            <v>Апухтина Виолетта Байрамовна</v>
          </cell>
          <cell r="C53">
            <v>44389</v>
          </cell>
          <cell r="D53">
            <v>50</v>
          </cell>
          <cell r="E53">
            <v>36</v>
          </cell>
          <cell r="F53" t="str">
            <v>50% годовых</v>
          </cell>
          <cell r="G53">
            <v>5.3999999999999999E-2</v>
          </cell>
          <cell r="H53">
            <v>227272.7</v>
          </cell>
        </row>
        <row r="54">
          <cell r="A54" t="str">
            <v>В-28694/КЛ.Транш - 1_В-21082023/Ц</v>
          </cell>
          <cell r="B54" t="str">
            <v>Аракелян Лусине Вардановна</v>
          </cell>
          <cell r="C54">
            <v>44616</v>
          </cell>
          <cell r="D54">
            <v>84</v>
          </cell>
          <cell r="E54">
            <v>24</v>
          </cell>
          <cell r="F54" t="str">
            <v>89% годовых</v>
          </cell>
          <cell r="G54">
            <v>5.3999999999999999E-2</v>
          </cell>
          <cell r="H54">
            <v>342000</v>
          </cell>
        </row>
        <row r="55">
          <cell r="A55" t="str">
            <v>В-25806/КЛ.Транш - 1_В-20211230/Ц</v>
          </cell>
          <cell r="B55" t="str">
            <v>Армяновский Сергей Владимирович</v>
          </cell>
          <cell r="C55">
            <v>44540</v>
          </cell>
          <cell r="D55">
            <v>64</v>
          </cell>
          <cell r="E55">
            <v>48</v>
          </cell>
          <cell r="F55" t="str">
            <v>64% годовых</v>
          </cell>
          <cell r="G55">
            <v>5.3999999999999999E-2</v>
          </cell>
          <cell r="H55">
            <v>227273</v>
          </cell>
        </row>
        <row r="56">
          <cell r="A56" t="str">
            <v>В-10012/КЭ.Транш - 1_В-20211230/Ц</v>
          </cell>
          <cell r="B56" t="str">
            <v>АРТЭС ООО</v>
          </cell>
          <cell r="C56">
            <v>44194</v>
          </cell>
          <cell r="D56">
            <v>65</v>
          </cell>
          <cell r="E56">
            <v>24</v>
          </cell>
          <cell r="F56" t="str">
            <v>65% годовых</v>
          </cell>
          <cell r="G56">
            <v>1</v>
          </cell>
          <cell r="H56">
            <v>300000</v>
          </cell>
        </row>
        <row r="57">
          <cell r="A57" t="str">
            <v>В-14453/КЛ.Транш - 1_В-21082023/Ц</v>
          </cell>
          <cell r="B57" t="str">
            <v>Архипов Данил Алексеевич</v>
          </cell>
          <cell r="C57">
            <v>44239</v>
          </cell>
          <cell r="D57">
            <v>67</v>
          </cell>
          <cell r="E57">
            <v>24</v>
          </cell>
          <cell r="F57" t="str">
            <v>67% годовых</v>
          </cell>
          <cell r="G57">
            <v>5.3999999999999999E-2</v>
          </cell>
          <cell r="H57">
            <v>450000</v>
          </cell>
        </row>
        <row r="58">
          <cell r="A58" t="str">
            <v>В-10020/КЭ.Транш - 1_В-20211230/Ц</v>
          </cell>
          <cell r="B58" t="str">
            <v>АС ООО</v>
          </cell>
          <cell r="C58">
            <v>44531</v>
          </cell>
          <cell r="D58">
            <v>65</v>
          </cell>
          <cell r="E58">
            <v>24</v>
          </cell>
          <cell r="F58" t="str">
            <v>65% годовых</v>
          </cell>
          <cell r="G58">
            <v>1</v>
          </cell>
          <cell r="H58">
            <v>1000000</v>
          </cell>
        </row>
        <row r="59">
          <cell r="A59" t="str">
            <v>В-09172/КЛ.Транш - 1_В-21082023/Ц</v>
          </cell>
          <cell r="B59" t="str">
            <v>Атабоев Каримжон Валижонович</v>
          </cell>
          <cell r="C59">
            <v>45159</v>
          </cell>
          <cell r="D59">
            <v>50</v>
          </cell>
          <cell r="E59">
            <v>48</v>
          </cell>
          <cell r="F59" t="str">
            <v>50% годовых</v>
          </cell>
          <cell r="G59">
            <v>5.3999999999999999E-2</v>
          </cell>
          <cell r="H59">
            <v>90714.07</v>
          </cell>
        </row>
        <row r="60">
          <cell r="A60" t="str">
            <v>В-08288/КЛ.Транш - 2_В-21082023/Ц</v>
          </cell>
          <cell r="B60" t="str">
            <v>Атаманов Максим Владимирович</v>
          </cell>
          <cell r="C60">
            <v>44250</v>
          </cell>
          <cell r="D60">
            <v>67</v>
          </cell>
          <cell r="E60">
            <v>36</v>
          </cell>
          <cell r="F60" t="str">
            <v>67% годовых</v>
          </cell>
          <cell r="G60">
            <v>5.3999999999999999E-2</v>
          </cell>
          <cell r="H60">
            <v>350000</v>
          </cell>
        </row>
        <row r="61">
          <cell r="A61" t="str">
            <v>В-16186/КЛ.Транш - 1_В-21082023/Ц</v>
          </cell>
          <cell r="B61" t="str">
            <v>Атцаев Ахмед Шахитович</v>
          </cell>
          <cell r="C61">
            <v>44283</v>
          </cell>
          <cell r="D61">
            <v>67</v>
          </cell>
          <cell r="E61">
            <v>12</v>
          </cell>
          <cell r="F61" t="str">
            <v>67% годовых</v>
          </cell>
          <cell r="G61">
            <v>5.3999999999999999E-2</v>
          </cell>
          <cell r="H61">
            <v>150000</v>
          </cell>
        </row>
        <row r="62">
          <cell r="A62" t="str">
            <v>В-08361/КЛ.Транш - 1_В-20211230/Ц</v>
          </cell>
          <cell r="B62" t="str">
            <v>Афонин Николай Юрьевич</v>
          </cell>
          <cell r="C62">
            <v>44068</v>
          </cell>
          <cell r="D62">
            <v>66</v>
          </cell>
          <cell r="E62">
            <v>48</v>
          </cell>
          <cell r="F62" t="str">
            <v>66% годовых</v>
          </cell>
          <cell r="G62">
            <v>5.3999999999999999E-2</v>
          </cell>
          <cell r="H62">
            <v>280000</v>
          </cell>
        </row>
        <row r="63">
          <cell r="A63" t="str">
            <v>В-10204/КЛ.Транш - 1_В-21082023/Ц</v>
          </cell>
          <cell r="B63" t="str">
            <v>Афонин Сергей Юрьевич</v>
          </cell>
          <cell r="C63">
            <v>44119</v>
          </cell>
          <cell r="D63">
            <v>50</v>
          </cell>
          <cell r="E63">
            <v>48</v>
          </cell>
          <cell r="F63" t="str">
            <v>50% годовых</v>
          </cell>
          <cell r="G63">
            <v>5.3999999999999999E-2</v>
          </cell>
          <cell r="H63">
            <v>150000</v>
          </cell>
        </row>
        <row r="64">
          <cell r="A64" t="str">
            <v>В-26422/КЛ.Транш - 1_В-21082023/Ц</v>
          </cell>
          <cell r="B64" t="str">
            <v>Ахмедов Магомедрасул Камаладинович</v>
          </cell>
          <cell r="C64">
            <v>44554</v>
          </cell>
          <cell r="D64">
            <v>74</v>
          </cell>
          <cell r="E64">
            <v>48</v>
          </cell>
          <cell r="F64" t="str">
            <v>79% годовых</v>
          </cell>
          <cell r="G64">
            <v>5.3999999999999999E-2</v>
          </cell>
          <cell r="H64">
            <v>600000</v>
          </cell>
        </row>
        <row r="65">
          <cell r="A65" t="str">
            <v>В-21253/КЛ.Транш - 1_В-21082023/Ц</v>
          </cell>
          <cell r="B65" t="str">
            <v>Ахметова Елена Леонидовна</v>
          </cell>
          <cell r="C65">
            <v>44412</v>
          </cell>
          <cell r="D65">
            <v>50</v>
          </cell>
          <cell r="E65">
            <v>48</v>
          </cell>
          <cell r="F65" t="str">
            <v>50% годовых</v>
          </cell>
          <cell r="G65">
            <v>5.3999999999999999E-2</v>
          </cell>
          <cell r="H65">
            <v>113636.4</v>
          </cell>
        </row>
        <row r="66">
          <cell r="A66" t="str">
            <v>В-19736/КЛ.Транш - 1_В-21082023/Ц</v>
          </cell>
          <cell r="B66" t="str">
            <v>Бабенышева Наталия Григорьевна</v>
          </cell>
          <cell r="C66">
            <v>44375</v>
          </cell>
          <cell r="D66">
            <v>57</v>
          </cell>
          <cell r="E66">
            <v>36</v>
          </cell>
          <cell r="F66" t="str">
            <v>57% годовых</v>
          </cell>
          <cell r="G66">
            <v>5.3999999999999999E-2</v>
          </cell>
          <cell r="H66">
            <v>681818</v>
          </cell>
        </row>
        <row r="67">
          <cell r="A67" t="str">
            <v>В-15465/КЛ.Транш - 1_В-20211230/Ц</v>
          </cell>
          <cell r="B67" t="str">
            <v>Бабичев Андрей Юрьевич</v>
          </cell>
          <cell r="C67">
            <v>44265</v>
          </cell>
          <cell r="D67">
            <v>67</v>
          </cell>
          <cell r="E67">
            <v>48</v>
          </cell>
          <cell r="F67" t="str">
            <v>67% годовых</v>
          </cell>
          <cell r="G67">
            <v>5.3999999999999999E-2</v>
          </cell>
          <cell r="H67">
            <v>370000</v>
          </cell>
        </row>
        <row r="68">
          <cell r="A68" t="str">
            <v>В-08393/КЛ.Транш - 1_В-20211230/Ц</v>
          </cell>
          <cell r="B68" t="str">
            <v>Бажуткин Николай Владимирович</v>
          </cell>
          <cell r="C68">
            <v>44070</v>
          </cell>
          <cell r="D68">
            <v>73</v>
          </cell>
          <cell r="E68">
            <v>48</v>
          </cell>
          <cell r="F68" t="str">
            <v>73% годовых</v>
          </cell>
          <cell r="G68">
            <v>5.3999999999999999E-2</v>
          </cell>
          <cell r="H68">
            <v>136000</v>
          </cell>
        </row>
        <row r="69">
          <cell r="A69" t="str">
            <v>А-05138/АЗ</v>
          </cell>
          <cell r="B69" t="str">
            <v>Базаров Бахтиёр Асрорович</v>
          </cell>
          <cell r="C69">
            <v>43535</v>
          </cell>
          <cell r="D69">
            <v>84</v>
          </cell>
          <cell r="E69">
            <v>36</v>
          </cell>
          <cell r="F69" t="str">
            <v>До 1 мес. 0%; от 2 и более мес. 84%.</v>
          </cell>
          <cell r="G69">
            <v>5.3999999999999999E-2</v>
          </cell>
          <cell r="H69">
            <v>252000</v>
          </cell>
        </row>
        <row r="70">
          <cell r="A70" t="str">
            <v>В-15908/КЛ.Транш - 1_В-20211230/Ц</v>
          </cell>
          <cell r="B70" t="str">
            <v>Базарова Нафиса Ибрагимжановна</v>
          </cell>
          <cell r="C70">
            <v>44276</v>
          </cell>
          <cell r="D70">
            <v>67</v>
          </cell>
          <cell r="E70">
            <v>24</v>
          </cell>
          <cell r="F70" t="str">
            <v>67% годовых</v>
          </cell>
          <cell r="G70">
            <v>5.3999999999999999E-2</v>
          </cell>
          <cell r="H70">
            <v>210000</v>
          </cell>
        </row>
        <row r="71">
          <cell r="A71" t="str">
            <v>В-22173/КЛ.Транш - 1_В-20211230/Ц</v>
          </cell>
          <cell r="B71" t="str">
            <v>Байтемиров Ахметхан Магарамович</v>
          </cell>
          <cell r="C71">
            <v>44439</v>
          </cell>
          <cell r="D71">
            <v>50</v>
          </cell>
          <cell r="E71">
            <v>48</v>
          </cell>
          <cell r="F71" t="str">
            <v>50% годовых</v>
          </cell>
          <cell r="G71">
            <v>5.3999999999999999E-2</v>
          </cell>
          <cell r="H71">
            <v>284090.90000000002</v>
          </cell>
        </row>
        <row r="72">
          <cell r="A72" t="str">
            <v>В-25792/КЛ.Транш - 2_В-20211230/Ц</v>
          </cell>
          <cell r="B72" t="str">
            <v>Бакласова Мирабелла Викторовна</v>
          </cell>
          <cell r="C72">
            <v>44629</v>
          </cell>
          <cell r="D72">
            <v>110</v>
          </cell>
          <cell r="E72">
            <v>24</v>
          </cell>
          <cell r="F72" t="str">
            <v>110% годовых</v>
          </cell>
          <cell r="G72">
            <v>5.3999999999999999E-2</v>
          </cell>
          <cell r="H72">
            <v>210000</v>
          </cell>
        </row>
        <row r="73">
          <cell r="A73" t="str">
            <v>В-25792/КЛ.Транш - 1_В-20211230/Ц</v>
          </cell>
          <cell r="B73" t="str">
            <v>Бакласова Мирабелла Викторовна</v>
          </cell>
          <cell r="C73">
            <v>44539</v>
          </cell>
          <cell r="D73">
            <v>88</v>
          </cell>
          <cell r="E73">
            <v>24</v>
          </cell>
          <cell r="F73" t="str">
            <v>88% годовых</v>
          </cell>
          <cell r="G73">
            <v>5.3999999999999999E-2</v>
          </cell>
          <cell r="H73">
            <v>700000</v>
          </cell>
        </row>
        <row r="74">
          <cell r="A74" t="str">
            <v>В-19093/КЛ.Транш - 1_В-20211230/Ц</v>
          </cell>
          <cell r="B74" t="str">
            <v>Баранов Аркадий Александрович</v>
          </cell>
          <cell r="C74">
            <v>44358</v>
          </cell>
          <cell r="D74">
            <v>81</v>
          </cell>
          <cell r="E74">
            <v>24</v>
          </cell>
          <cell r="F74" t="str">
            <v>81% годовых</v>
          </cell>
          <cell r="G74">
            <v>5.3999999999999999E-2</v>
          </cell>
          <cell r="H74">
            <v>612000</v>
          </cell>
        </row>
        <row r="75">
          <cell r="A75" t="str">
            <v>В-03541/КЛ.Транш - 1_В-21082023/Ц</v>
          </cell>
          <cell r="B75" t="str">
            <v>Баранов Сергей Алексеевич</v>
          </cell>
          <cell r="C75">
            <v>43906</v>
          </cell>
          <cell r="D75">
            <v>87</v>
          </cell>
          <cell r="E75">
            <v>36</v>
          </cell>
          <cell r="F75" t="str">
            <v>87% годовых</v>
          </cell>
          <cell r="G75">
            <v>5.3999999999999999E-2</v>
          </cell>
          <cell r="H75">
            <v>240000</v>
          </cell>
        </row>
        <row r="76">
          <cell r="A76" t="str">
            <v>В-00319/КЛ.Транш - 2_В-20211230/Ц</v>
          </cell>
          <cell r="B76" t="str">
            <v>Бардин Андрей Юрьевич</v>
          </cell>
          <cell r="C76">
            <v>43864</v>
          </cell>
          <cell r="D76">
            <v>73</v>
          </cell>
          <cell r="E76">
            <v>18</v>
          </cell>
          <cell r="F76" t="str">
            <v>73% годовых</v>
          </cell>
          <cell r="G76">
            <v>5.3999999999999999E-2</v>
          </cell>
          <cell r="H76">
            <v>100000</v>
          </cell>
        </row>
        <row r="77">
          <cell r="A77" t="str">
            <v>В-01174/АЗ_В-21082023/Ц</v>
          </cell>
          <cell r="B77" t="str">
            <v>Барт Денис Михайлович</v>
          </cell>
          <cell r="C77">
            <v>44324</v>
          </cell>
          <cell r="D77">
            <v>77</v>
          </cell>
          <cell r="E77">
            <v>48</v>
          </cell>
          <cell r="F77" t="str">
            <v>77% годовых</v>
          </cell>
          <cell r="G77">
            <v>5.3999999999999999E-2</v>
          </cell>
          <cell r="H77">
            <v>390000</v>
          </cell>
        </row>
        <row r="78">
          <cell r="A78" t="str">
            <v>В-00614/АЗ_В-21082023/Ц</v>
          </cell>
          <cell r="B78" t="str">
            <v>Барчукова Марина Алексеевна</v>
          </cell>
          <cell r="C78">
            <v>43759</v>
          </cell>
          <cell r="D78">
            <v>77</v>
          </cell>
          <cell r="E78">
            <v>36</v>
          </cell>
          <cell r="F78" t="str">
            <v>82% годовых</v>
          </cell>
          <cell r="G78">
            <v>5.3999999999999999E-2</v>
          </cell>
          <cell r="H78">
            <v>300000</v>
          </cell>
        </row>
        <row r="79">
          <cell r="A79" t="str">
            <v>В-00840/АЗ_В-21082023/Ц</v>
          </cell>
          <cell r="B79" t="str">
            <v>Батурин Василий Михайлович</v>
          </cell>
          <cell r="C79">
            <v>43852</v>
          </cell>
          <cell r="D79">
            <v>77</v>
          </cell>
          <cell r="E79">
            <v>36</v>
          </cell>
          <cell r="F79" t="str">
            <v>77% годовых</v>
          </cell>
          <cell r="G79">
            <v>5.3999999999999999E-2</v>
          </cell>
          <cell r="H79">
            <v>350000</v>
          </cell>
        </row>
        <row r="80">
          <cell r="A80" t="str">
            <v>А-05346/АЗ_Т-20211028/Ц</v>
          </cell>
          <cell r="B80" t="str">
            <v>Баханцов Семен Владимирович</v>
          </cell>
          <cell r="C80">
            <v>43649</v>
          </cell>
          <cell r="D80">
            <v>50</v>
          </cell>
          <cell r="E80">
            <v>36</v>
          </cell>
          <cell r="F80" t="str">
            <v>50% годовых</v>
          </cell>
          <cell r="G80">
            <v>5.3999999999999999E-2</v>
          </cell>
          <cell r="H80">
            <v>478000</v>
          </cell>
        </row>
        <row r="81">
          <cell r="A81" t="str">
            <v>Т-01805/АЗ_Т-20211028/Ц</v>
          </cell>
          <cell r="B81" t="str">
            <v>Баханцов Семен Владимирович</v>
          </cell>
          <cell r="C81">
            <v>43649</v>
          </cell>
          <cell r="D81">
            <v>50</v>
          </cell>
          <cell r="E81">
            <v>36</v>
          </cell>
          <cell r="F81" t="str">
            <v>50% годовых</v>
          </cell>
          <cell r="G81">
            <v>5.3999999999999999E-2</v>
          </cell>
          <cell r="H81">
            <v>100000</v>
          </cell>
        </row>
        <row r="82">
          <cell r="A82" t="str">
            <v>В-00313/АЗ_Т-20211028/Ц</v>
          </cell>
          <cell r="B82" t="str">
            <v>Баханцов Семен Владимирович</v>
          </cell>
          <cell r="C82">
            <v>43649</v>
          </cell>
          <cell r="D82">
            <v>77</v>
          </cell>
          <cell r="E82">
            <v>24</v>
          </cell>
          <cell r="F82" t="str">
            <v>77% годовых</v>
          </cell>
          <cell r="G82">
            <v>5.3999999999999999E-2</v>
          </cell>
          <cell r="H82">
            <v>142000</v>
          </cell>
        </row>
        <row r="83">
          <cell r="A83" t="str">
            <v>В-00970/АЗ_В-21082023/Ц</v>
          </cell>
          <cell r="B83" t="str">
            <v>Башкатов Егор Иванович</v>
          </cell>
          <cell r="C83">
            <v>44041</v>
          </cell>
          <cell r="D83">
            <v>50</v>
          </cell>
          <cell r="E83">
            <v>48</v>
          </cell>
          <cell r="F83" t="str">
            <v>50% годовых</v>
          </cell>
          <cell r="G83">
            <v>5.3999999999999999E-2</v>
          </cell>
          <cell r="H83">
            <v>500000</v>
          </cell>
        </row>
        <row r="84">
          <cell r="A84" t="str">
            <v>В-19655/КЛ.Транш - 1_В-20211230/Ц</v>
          </cell>
          <cell r="B84" t="str">
            <v>Башленко Илья Васильевич</v>
          </cell>
          <cell r="C84">
            <v>44374</v>
          </cell>
          <cell r="D84">
            <v>81</v>
          </cell>
          <cell r="E84">
            <v>12</v>
          </cell>
          <cell r="F84" t="str">
            <v>81% годовых</v>
          </cell>
          <cell r="G84">
            <v>5.3999999999999999E-2</v>
          </cell>
          <cell r="H84">
            <v>100000</v>
          </cell>
        </row>
        <row r="85">
          <cell r="A85" t="str">
            <v>В-04724/КЛ.Транш - 3_В-20211230/Ц</v>
          </cell>
          <cell r="B85" t="str">
            <v>Белан Надежда Александровна</v>
          </cell>
          <cell r="C85">
            <v>44441</v>
          </cell>
          <cell r="D85">
            <v>53</v>
          </cell>
          <cell r="E85">
            <v>36</v>
          </cell>
          <cell r="F85" t="str">
            <v>58% годовых</v>
          </cell>
          <cell r="G85">
            <v>5.3999999999999999E-2</v>
          </cell>
          <cell r="H85">
            <v>400000</v>
          </cell>
        </row>
        <row r="86">
          <cell r="A86" t="str">
            <v>В-00806/АЗ_В-20211230/Ц</v>
          </cell>
          <cell r="B86" t="str">
            <v>Белинский Сергей Игоревич</v>
          </cell>
          <cell r="C86">
            <v>43830</v>
          </cell>
          <cell r="D86">
            <v>77</v>
          </cell>
          <cell r="E86">
            <v>36</v>
          </cell>
          <cell r="F86" t="str">
            <v>77% годовых</v>
          </cell>
          <cell r="G86">
            <v>5.3999999999999999E-2</v>
          </cell>
          <cell r="H86">
            <v>930000</v>
          </cell>
        </row>
        <row r="87">
          <cell r="A87" t="str">
            <v>В-17458/КЛ.Транш - 1_В-20211230/Ц</v>
          </cell>
          <cell r="B87" t="str">
            <v>Белолипцев Дмитрий Олегович</v>
          </cell>
          <cell r="C87">
            <v>44314</v>
          </cell>
          <cell r="D87">
            <v>81</v>
          </cell>
          <cell r="E87">
            <v>48</v>
          </cell>
          <cell r="F87" t="str">
            <v>81% годовых</v>
          </cell>
          <cell r="G87">
            <v>5.3999999999999999E-2</v>
          </cell>
          <cell r="H87">
            <v>220000</v>
          </cell>
        </row>
        <row r="88">
          <cell r="A88" t="str">
            <v>В-19684/КЛ.Транш - 1_В-21082023/Ц</v>
          </cell>
          <cell r="B88" t="str">
            <v>Белорыбкин Михаил Васильевич</v>
          </cell>
          <cell r="C88">
            <v>44375</v>
          </cell>
          <cell r="D88">
            <v>50</v>
          </cell>
          <cell r="E88">
            <v>48</v>
          </cell>
          <cell r="F88" t="str">
            <v>50% годовых</v>
          </cell>
          <cell r="G88">
            <v>5.3999999999999999E-2</v>
          </cell>
          <cell r="H88">
            <v>284090.90000000002</v>
          </cell>
        </row>
        <row r="89">
          <cell r="A89" t="str">
            <v>В-25922/КЛ.Транш - 1_В-21082023/Ц</v>
          </cell>
          <cell r="B89" t="str">
            <v>Белоусов Валерий Владиславович</v>
          </cell>
          <cell r="C89">
            <v>44543</v>
          </cell>
          <cell r="D89">
            <v>50</v>
          </cell>
          <cell r="E89">
            <v>48</v>
          </cell>
          <cell r="F89" t="str">
            <v>50% годовых</v>
          </cell>
          <cell r="G89">
            <v>5.3999999999999999E-2</v>
          </cell>
          <cell r="H89">
            <v>150000</v>
          </cell>
        </row>
        <row r="90">
          <cell r="A90" t="str">
            <v>В-25922/КЛ.Транш - 2_В-21082023/Ц</v>
          </cell>
          <cell r="B90" t="str">
            <v>Белоусов Валерий Владиславович</v>
          </cell>
          <cell r="C90">
            <v>44567</v>
          </cell>
          <cell r="D90">
            <v>64</v>
          </cell>
          <cell r="E90">
            <v>48</v>
          </cell>
          <cell r="F90" t="str">
            <v>64% годовых</v>
          </cell>
          <cell r="G90">
            <v>5.3999999999999999E-2</v>
          </cell>
          <cell r="H90">
            <v>191489</v>
          </cell>
        </row>
        <row r="91">
          <cell r="A91" t="str">
            <v>В-00948/КЛ.Транш - 1_В-21082023/Ц</v>
          </cell>
          <cell r="B91" t="str">
            <v>Беляев Алексей Васильевич</v>
          </cell>
          <cell r="C91">
            <v>43757</v>
          </cell>
          <cell r="D91">
            <v>77</v>
          </cell>
          <cell r="E91">
            <v>12</v>
          </cell>
          <cell r="F91" t="str">
            <v>77% годовых</v>
          </cell>
          <cell r="G91">
            <v>5.3999999999999999E-2</v>
          </cell>
          <cell r="H91">
            <v>100000</v>
          </cell>
        </row>
        <row r="92">
          <cell r="A92" t="str">
            <v>В-22677/КЛ.Транш - 1_В-21082023/Ц</v>
          </cell>
          <cell r="B92" t="str">
            <v>Белякова Марина Сергеевна</v>
          </cell>
          <cell r="C92">
            <v>44456</v>
          </cell>
          <cell r="D92">
            <v>50</v>
          </cell>
          <cell r="E92">
            <v>48</v>
          </cell>
          <cell r="F92" t="str">
            <v>50% годовых</v>
          </cell>
          <cell r="G92">
            <v>5.3999999999999999E-2</v>
          </cell>
          <cell r="H92">
            <v>227272.7</v>
          </cell>
        </row>
        <row r="93">
          <cell r="A93" t="str">
            <v>В-10934/КЛ.Транш - 2_В-20211230/Ц</v>
          </cell>
          <cell r="B93" t="str">
            <v>Бендас Евгений Васильевич</v>
          </cell>
          <cell r="C93">
            <v>44164</v>
          </cell>
          <cell r="D93">
            <v>73</v>
          </cell>
          <cell r="E93">
            <v>36</v>
          </cell>
          <cell r="F93" t="str">
            <v>73% годовых</v>
          </cell>
          <cell r="G93">
            <v>5.3999999999999999E-2</v>
          </cell>
          <cell r="H93">
            <v>100000</v>
          </cell>
        </row>
        <row r="94">
          <cell r="A94" t="str">
            <v>В-10934/КЛ.Транш - 1_В-20211230/Ц</v>
          </cell>
          <cell r="B94" t="str">
            <v>Бендас Евгений Васильевич</v>
          </cell>
          <cell r="C94">
            <v>44141</v>
          </cell>
          <cell r="D94">
            <v>66</v>
          </cell>
          <cell r="E94">
            <v>36</v>
          </cell>
          <cell r="F94" t="str">
            <v>66% годовых</v>
          </cell>
          <cell r="G94">
            <v>5.3999999999999999E-2</v>
          </cell>
          <cell r="H94">
            <v>100000</v>
          </cell>
        </row>
        <row r="95">
          <cell r="A95" t="str">
            <v>В-00068/КЭ.Транш - 1_В-20211230/Ц</v>
          </cell>
          <cell r="B95" t="str">
            <v>Бизнес Бухгалтер ООО</v>
          </cell>
          <cell r="C95">
            <v>44530</v>
          </cell>
          <cell r="D95">
            <v>65</v>
          </cell>
          <cell r="E95">
            <v>6</v>
          </cell>
          <cell r="F95" t="str">
            <v>65% годовых</v>
          </cell>
          <cell r="G95">
            <v>1</v>
          </cell>
          <cell r="H95">
            <v>364000</v>
          </cell>
        </row>
        <row r="96">
          <cell r="A96" t="str">
            <v>В-01024/АЗ_В-21082023/Ц</v>
          </cell>
          <cell r="B96" t="str">
            <v>Билалов Имам Исламович</v>
          </cell>
          <cell r="C96">
            <v>44133</v>
          </cell>
          <cell r="D96">
            <v>50</v>
          </cell>
          <cell r="E96">
            <v>48</v>
          </cell>
          <cell r="F96" t="str">
            <v>50% годовых</v>
          </cell>
          <cell r="G96">
            <v>5.3999999999999999E-2</v>
          </cell>
          <cell r="H96">
            <v>1000000</v>
          </cell>
        </row>
        <row r="97">
          <cell r="A97" t="str">
            <v>Т-01914/АЗ_Т-20211028/Ц</v>
          </cell>
          <cell r="B97" t="str">
            <v>Битюцких Александр Александрович</v>
          </cell>
          <cell r="C97">
            <v>43965</v>
          </cell>
          <cell r="D97">
            <v>50</v>
          </cell>
          <cell r="E97">
            <v>24</v>
          </cell>
          <cell r="F97" t="str">
            <v>50% годовых</v>
          </cell>
          <cell r="G97">
            <v>5.3999999999999999E-2</v>
          </cell>
          <cell r="H97">
            <v>293042.52</v>
          </cell>
        </row>
        <row r="98">
          <cell r="A98" t="str">
            <v>В-14005/КЛ.Транш - 2_В-20211230/Ц</v>
          </cell>
          <cell r="B98" t="str">
            <v>Биятов Малик Серекович</v>
          </cell>
          <cell r="C98">
            <v>44238</v>
          </cell>
          <cell r="D98">
            <v>74</v>
          </cell>
          <cell r="E98">
            <v>12</v>
          </cell>
          <cell r="F98" t="str">
            <v>74% годовых</v>
          </cell>
          <cell r="G98">
            <v>5.3999999999999999E-2</v>
          </cell>
          <cell r="H98">
            <v>100000</v>
          </cell>
        </row>
        <row r="99">
          <cell r="A99" t="str">
            <v>В-14005/КЛ.Транш - 1_В-20211230/Ц</v>
          </cell>
          <cell r="B99" t="str">
            <v>Биятов Малик Серекович</v>
          </cell>
          <cell r="C99">
            <v>44223</v>
          </cell>
          <cell r="D99">
            <v>67</v>
          </cell>
          <cell r="E99">
            <v>12</v>
          </cell>
          <cell r="F99" t="str">
            <v>67% годовых</v>
          </cell>
          <cell r="G99">
            <v>5.3999999999999999E-2</v>
          </cell>
          <cell r="H99">
            <v>100000</v>
          </cell>
        </row>
        <row r="100">
          <cell r="A100" t="str">
            <v>В-14005/КЛ.Транш - 3_В-20211230/Ц</v>
          </cell>
          <cell r="B100" t="str">
            <v>Биятов Малик Серекович</v>
          </cell>
          <cell r="C100">
            <v>44326</v>
          </cell>
          <cell r="D100">
            <v>74</v>
          </cell>
          <cell r="E100">
            <v>12</v>
          </cell>
          <cell r="F100" t="str">
            <v>74% годовых</v>
          </cell>
          <cell r="G100">
            <v>5.3999999999999999E-2</v>
          </cell>
          <cell r="H100">
            <v>200000</v>
          </cell>
        </row>
        <row r="101">
          <cell r="A101" t="str">
            <v>В-25548/КЛ.Транш - 1_В-21082023/Ц</v>
          </cell>
          <cell r="B101" t="str">
            <v>Блинов Сергей Владимирович</v>
          </cell>
          <cell r="C101">
            <v>44535</v>
          </cell>
          <cell r="D101">
            <v>64</v>
          </cell>
          <cell r="E101">
            <v>36</v>
          </cell>
          <cell r="F101" t="str">
            <v>64% годовых</v>
          </cell>
          <cell r="G101">
            <v>5.3999999999999999E-2</v>
          </cell>
          <cell r="H101">
            <v>568181.80000000005</v>
          </cell>
        </row>
        <row r="102">
          <cell r="A102" t="str">
            <v>В-17506/КЛ.Транш - 1_В-21082023/Ц</v>
          </cell>
          <cell r="B102" t="str">
            <v>Богачук Сергей Прокопьевич</v>
          </cell>
          <cell r="C102">
            <v>44315</v>
          </cell>
          <cell r="D102">
            <v>50</v>
          </cell>
          <cell r="E102">
            <v>48</v>
          </cell>
          <cell r="F102" t="str">
            <v>50% годовых</v>
          </cell>
          <cell r="G102">
            <v>5.3999999999999999E-2</v>
          </cell>
          <cell r="H102">
            <v>795454.5</v>
          </cell>
        </row>
        <row r="103">
          <cell r="A103" t="str">
            <v>В-18370/КЛ.Транш - 1_В-20211230/Ц</v>
          </cell>
          <cell r="B103" t="str">
            <v>Богданов Борис Владимирович</v>
          </cell>
          <cell r="C103">
            <v>44341</v>
          </cell>
          <cell r="D103">
            <v>50</v>
          </cell>
          <cell r="E103">
            <v>24</v>
          </cell>
          <cell r="F103" t="str">
            <v>50% годовых</v>
          </cell>
          <cell r="G103">
            <v>5.3999999999999999E-2</v>
          </cell>
          <cell r="H103">
            <v>397727.3</v>
          </cell>
        </row>
        <row r="104">
          <cell r="A104" t="str">
            <v>В-00708/АЗ_В-21082023/Ц</v>
          </cell>
          <cell r="B104" t="str">
            <v>Богданова Марина Алексеевна</v>
          </cell>
          <cell r="C104">
            <v>43794</v>
          </cell>
          <cell r="D104">
            <v>84</v>
          </cell>
          <cell r="E104">
            <v>36</v>
          </cell>
          <cell r="F104" t="str">
            <v>84% годовых</v>
          </cell>
          <cell r="G104">
            <v>5.3999999999999999E-2</v>
          </cell>
          <cell r="H104">
            <v>200000</v>
          </cell>
        </row>
        <row r="105">
          <cell r="A105" t="str">
            <v>В-18536/КЛ.Транш - 1_В-21082023/Ц</v>
          </cell>
          <cell r="B105" t="str">
            <v>Богданова Ольга Геннадиевна</v>
          </cell>
          <cell r="C105">
            <v>44344</v>
          </cell>
          <cell r="D105">
            <v>50</v>
          </cell>
          <cell r="E105">
            <v>48</v>
          </cell>
          <cell r="F105" t="str">
            <v>50% годовых</v>
          </cell>
          <cell r="G105">
            <v>5.3999999999999999E-2</v>
          </cell>
          <cell r="H105">
            <v>250000</v>
          </cell>
        </row>
        <row r="106">
          <cell r="A106" t="str">
            <v>А-04793/АЗ</v>
          </cell>
          <cell r="B106" t="str">
            <v>Богомилов Михаил Михайлович</v>
          </cell>
          <cell r="C106">
            <v>43441</v>
          </cell>
          <cell r="D106">
            <v>88</v>
          </cell>
          <cell r="E106">
            <v>36</v>
          </cell>
          <cell r="F106" t="str">
            <v>30% годовых</v>
          </cell>
          <cell r="G106">
            <v>5.3999999999999999E-2</v>
          </cell>
          <cell r="H106">
            <v>100000</v>
          </cell>
        </row>
        <row r="107">
          <cell r="A107" t="str">
            <v>В-25659/КЛ.Транш - 1_В-20211230/Ц</v>
          </cell>
          <cell r="B107" t="str">
            <v>Бондаренко Александр Александрович</v>
          </cell>
          <cell r="C107">
            <v>44537</v>
          </cell>
          <cell r="D107">
            <v>64</v>
          </cell>
          <cell r="E107">
            <v>48</v>
          </cell>
          <cell r="F107" t="str">
            <v>До 324 дн. 64%; от 325 до 537 дн. 55%; от 538 до 576 дн. 64%; от 577 до 760 дн. 52%; от 761 и более</v>
          </cell>
          <cell r="G107">
            <v>5.3999999999999999E-2</v>
          </cell>
          <cell r="H107">
            <v>113636</v>
          </cell>
        </row>
        <row r="108">
          <cell r="A108" t="str">
            <v>В-25659/КЛ.Транш - 2_В-20211230/Ц</v>
          </cell>
          <cell r="B108" t="str">
            <v>Бондаренко Александр Александрович</v>
          </cell>
          <cell r="C108">
            <v>44609</v>
          </cell>
          <cell r="D108">
            <v>64</v>
          </cell>
          <cell r="E108">
            <v>48</v>
          </cell>
          <cell r="F108" t="str">
            <v>До 252 дн. 64%; от 253 до 465 дн. 55%; от 466 до 514 дн. 64%; от 515 до 698 дн. 52%; от 699 и более</v>
          </cell>
          <cell r="G108">
            <v>5.3999999999999999E-2</v>
          </cell>
          <cell r="H108">
            <v>136364</v>
          </cell>
        </row>
        <row r="109">
          <cell r="A109" t="str">
            <v>В-28062/КЛ.Транш - 1_В-21082023/Ц</v>
          </cell>
          <cell r="B109" t="str">
            <v>Бондаренко Светлана Евгеньевна</v>
          </cell>
          <cell r="C109">
            <v>44600</v>
          </cell>
          <cell r="D109">
            <v>64</v>
          </cell>
          <cell r="E109">
            <v>24</v>
          </cell>
          <cell r="F109" t="str">
            <v>64% годовых</v>
          </cell>
          <cell r="G109">
            <v>5.3999999999999999E-2</v>
          </cell>
          <cell r="H109">
            <v>909091</v>
          </cell>
        </row>
        <row r="110">
          <cell r="A110" t="str">
            <v>В-14198/КЛ.Транш - 1_В-21082023/Ц</v>
          </cell>
          <cell r="B110" t="str">
            <v>Борисов Андрей Сергеевич</v>
          </cell>
          <cell r="C110">
            <v>44229</v>
          </cell>
          <cell r="D110">
            <v>74</v>
          </cell>
          <cell r="E110">
            <v>36</v>
          </cell>
          <cell r="F110" t="str">
            <v>74% годовых</v>
          </cell>
          <cell r="G110">
            <v>5.3999999999999999E-2</v>
          </cell>
          <cell r="H110">
            <v>350000</v>
          </cell>
        </row>
        <row r="111">
          <cell r="A111" t="str">
            <v>В-27410/КЛ.Транш - 1_В-21082023/Ц</v>
          </cell>
          <cell r="B111" t="str">
            <v>Бунаков Алексей Вячеславович</v>
          </cell>
          <cell r="C111">
            <v>44583</v>
          </cell>
          <cell r="D111">
            <v>56</v>
          </cell>
          <cell r="E111">
            <v>24</v>
          </cell>
          <cell r="F111" t="str">
            <v>56% годовых</v>
          </cell>
          <cell r="G111">
            <v>5.3999999999999999E-2</v>
          </cell>
          <cell r="H111">
            <v>500000</v>
          </cell>
        </row>
        <row r="112">
          <cell r="A112" t="str">
            <v>В-19179/КЛ.Транш - 1_В-20211230/Ц</v>
          </cell>
          <cell r="B112" t="str">
            <v>Буренкова Екатерина Сергеевна</v>
          </cell>
          <cell r="C112">
            <v>44360</v>
          </cell>
          <cell r="D112">
            <v>50</v>
          </cell>
          <cell r="E112">
            <v>48</v>
          </cell>
          <cell r="F112" t="str">
            <v>50% годовых</v>
          </cell>
          <cell r="G112">
            <v>5.3999999999999999E-2</v>
          </cell>
          <cell r="H112">
            <v>227272.7</v>
          </cell>
        </row>
        <row r="113">
          <cell r="A113" t="str">
            <v>В-19179/КЛ.Транш - 2_В-20211230/Ц</v>
          </cell>
          <cell r="B113" t="str">
            <v>Буренкова Екатерина Сергеевна</v>
          </cell>
          <cell r="C113">
            <v>44506</v>
          </cell>
          <cell r="D113">
            <v>50</v>
          </cell>
          <cell r="E113">
            <v>48</v>
          </cell>
          <cell r="F113" t="str">
            <v>50% годовых</v>
          </cell>
          <cell r="G113">
            <v>5.3999999999999999E-2</v>
          </cell>
          <cell r="H113">
            <v>147727.29999999999</v>
          </cell>
        </row>
        <row r="114">
          <cell r="A114" t="str">
            <v>В-26733/КЛ.Транш - 1_В-21082023/Ц</v>
          </cell>
          <cell r="B114" t="str">
            <v>Бурма Мария Георгиевна</v>
          </cell>
          <cell r="C114">
            <v>44559</v>
          </cell>
          <cell r="D114">
            <v>50</v>
          </cell>
          <cell r="E114">
            <v>48</v>
          </cell>
          <cell r="F114" t="str">
            <v>50% годовых</v>
          </cell>
          <cell r="G114">
            <v>5.3999999999999999E-2</v>
          </cell>
          <cell r="H114">
            <v>300000</v>
          </cell>
        </row>
        <row r="115">
          <cell r="A115" t="str">
            <v>В-27050/АЗ_В-20211230/Ц</v>
          </cell>
          <cell r="B115" t="str">
            <v>Бутурлакин Марк Николаевич</v>
          </cell>
          <cell r="C115">
            <v>44573</v>
          </cell>
          <cell r="D115">
            <v>77</v>
          </cell>
          <cell r="E115">
            <v>48</v>
          </cell>
          <cell r="F115" t="str">
            <v>77% годовых</v>
          </cell>
          <cell r="G115">
            <v>5.3999999999999999E-2</v>
          </cell>
          <cell r="H115">
            <v>414000</v>
          </cell>
        </row>
        <row r="116">
          <cell r="A116" t="str">
            <v>В-02644/КЛ.Транш - 1_В-20211230/Ц</v>
          </cell>
          <cell r="B116" t="str">
            <v>Быстров Михаил Владимирович</v>
          </cell>
          <cell r="C116">
            <v>43845</v>
          </cell>
          <cell r="D116">
            <v>73</v>
          </cell>
          <cell r="E116">
            <v>12</v>
          </cell>
          <cell r="F116" t="str">
            <v>73% годовых</v>
          </cell>
          <cell r="G116">
            <v>5.3999999999999999E-2</v>
          </cell>
          <cell r="H116">
            <v>500000</v>
          </cell>
        </row>
        <row r="117">
          <cell r="A117" t="str">
            <v>В-11603/КЛ.Транш - 1_В-21082023/Ц</v>
          </cell>
          <cell r="B117" t="str">
            <v>Вакорина Екатерина Валентиновна</v>
          </cell>
          <cell r="C117">
            <v>44161</v>
          </cell>
          <cell r="D117">
            <v>50</v>
          </cell>
          <cell r="E117">
            <v>36</v>
          </cell>
          <cell r="F117" t="str">
            <v>50% годовых</v>
          </cell>
          <cell r="G117">
            <v>5.3999999999999999E-2</v>
          </cell>
          <cell r="H117">
            <v>270000</v>
          </cell>
        </row>
        <row r="118">
          <cell r="A118" t="str">
            <v>В-11716/КЛ.Транш - 1_В-21082023/Ц</v>
          </cell>
          <cell r="B118" t="str">
            <v>Валеев Рамиль Равилович</v>
          </cell>
          <cell r="C118">
            <v>44163</v>
          </cell>
          <cell r="D118">
            <v>73</v>
          </cell>
          <cell r="E118">
            <v>48</v>
          </cell>
          <cell r="F118" t="str">
            <v>73% годовых</v>
          </cell>
          <cell r="G118">
            <v>5.3999999999999999E-2</v>
          </cell>
          <cell r="H118">
            <v>100000</v>
          </cell>
        </row>
        <row r="119">
          <cell r="A119" t="str">
            <v>В-27006/КЛ.Транш - 1_В-20211230/Ц</v>
          </cell>
          <cell r="B119" t="str">
            <v>Валиков Алексей Анатольевич</v>
          </cell>
          <cell r="C119">
            <v>44571</v>
          </cell>
          <cell r="D119">
            <v>64</v>
          </cell>
          <cell r="E119">
            <v>48</v>
          </cell>
          <cell r="F119" t="str">
            <v>64% годовых</v>
          </cell>
          <cell r="G119">
            <v>5.3999999999999999E-2</v>
          </cell>
          <cell r="H119">
            <v>204546</v>
          </cell>
        </row>
        <row r="120">
          <cell r="A120" t="str">
            <v>В-20766/КЛ.Транш - 1_В-20211230/Ц</v>
          </cell>
          <cell r="B120" t="str">
            <v>Васильев Сергей Владимирович</v>
          </cell>
          <cell r="C120">
            <v>44399</v>
          </cell>
          <cell r="D120">
            <v>50</v>
          </cell>
          <cell r="E120">
            <v>12</v>
          </cell>
          <cell r="F120" t="str">
            <v>50% годовых</v>
          </cell>
          <cell r="G120">
            <v>5.3999999999999999E-2</v>
          </cell>
          <cell r="H120">
            <v>113636.4</v>
          </cell>
        </row>
        <row r="121">
          <cell r="A121" t="str">
            <v>В-01175/КЛ.Транш - 1_В-20211230/Ц</v>
          </cell>
          <cell r="B121" t="str">
            <v>Васильева Екатерина Николаевна</v>
          </cell>
          <cell r="C121">
            <v>43770</v>
          </cell>
          <cell r="D121">
            <v>84</v>
          </cell>
          <cell r="E121">
            <v>36</v>
          </cell>
          <cell r="F121" t="str">
            <v>89% годовых</v>
          </cell>
          <cell r="G121">
            <v>5.3999999999999999E-2</v>
          </cell>
          <cell r="H121">
            <v>700000</v>
          </cell>
        </row>
        <row r="122">
          <cell r="A122" t="str">
            <v>А-00379/КЭ.Транш - 2</v>
          </cell>
          <cell r="B122" t="str">
            <v>ВВТ-строй ООО</v>
          </cell>
          <cell r="C122">
            <v>43640</v>
          </cell>
          <cell r="D122">
            <v>65</v>
          </cell>
          <cell r="E122">
            <v>6</v>
          </cell>
          <cell r="F122" t="str">
            <v>65% годовых</v>
          </cell>
          <cell r="G122">
            <v>1</v>
          </cell>
          <cell r="H122">
            <v>337000</v>
          </cell>
        </row>
        <row r="123">
          <cell r="A123" t="str">
            <v>В-15448/КЛ.Транш - 1_В-20211230/Ц</v>
          </cell>
          <cell r="B123" t="str">
            <v>Ведешин Максим Сергеевич</v>
          </cell>
          <cell r="C123">
            <v>44265</v>
          </cell>
          <cell r="D123">
            <v>67</v>
          </cell>
          <cell r="E123">
            <v>36</v>
          </cell>
          <cell r="F123" t="str">
            <v>67% годовых</v>
          </cell>
          <cell r="G123">
            <v>5.3999999999999999E-2</v>
          </cell>
          <cell r="H123">
            <v>240000</v>
          </cell>
        </row>
        <row r="124">
          <cell r="A124" t="str">
            <v>В-13507/КЛ.Транш - 1_В-21082023/Ц</v>
          </cell>
          <cell r="B124" t="str">
            <v>Векилянц Екатерина Николаевна</v>
          </cell>
          <cell r="C124">
            <v>44208</v>
          </cell>
          <cell r="D124">
            <v>50</v>
          </cell>
          <cell r="E124">
            <v>48</v>
          </cell>
          <cell r="F124" t="str">
            <v>50% годовых</v>
          </cell>
          <cell r="G124">
            <v>5.3999999999999999E-2</v>
          </cell>
          <cell r="H124">
            <v>500000</v>
          </cell>
        </row>
        <row r="125">
          <cell r="A125" t="str">
            <v>В-28587/КЛ.Транш - 1_В-21082023/Ц</v>
          </cell>
          <cell r="B125" t="str">
            <v>Видяков Денис Сергеевич</v>
          </cell>
          <cell r="C125">
            <v>44614</v>
          </cell>
          <cell r="D125">
            <v>64</v>
          </cell>
          <cell r="E125">
            <v>36</v>
          </cell>
          <cell r="F125" t="str">
            <v>69% годовых</v>
          </cell>
          <cell r="G125">
            <v>5.3999999999999999E-2</v>
          </cell>
          <cell r="H125">
            <v>340909</v>
          </cell>
        </row>
        <row r="126">
          <cell r="A126" t="str">
            <v>В-21731/КЛ.Транш - 2_В-21082023/Ц</v>
          </cell>
          <cell r="B126" t="str">
            <v>Виноградова Светлана Витальевна</v>
          </cell>
          <cell r="C126">
            <v>44593</v>
          </cell>
          <cell r="D126">
            <v>50</v>
          </cell>
          <cell r="E126">
            <v>24</v>
          </cell>
          <cell r="F126" t="str">
            <v>50% годовых</v>
          </cell>
          <cell r="G126">
            <v>5.3999999999999999E-2</v>
          </cell>
          <cell r="H126">
            <v>170455</v>
          </cell>
        </row>
        <row r="127">
          <cell r="A127" t="str">
            <v>В-09037/КЛ.Транш - 1_В-21082023/Ц</v>
          </cell>
          <cell r="B127" t="str">
            <v>Волегов Николай Владиславович</v>
          </cell>
          <cell r="C127">
            <v>44087</v>
          </cell>
          <cell r="D127">
            <v>73</v>
          </cell>
          <cell r="E127">
            <v>36</v>
          </cell>
          <cell r="F127" t="str">
            <v>73% годовых</v>
          </cell>
          <cell r="G127">
            <v>5.3999999999999999E-2</v>
          </cell>
          <cell r="H127">
            <v>200000</v>
          </cell>
        </row>
        <row r="128">
          <cell r="A128" t="str">
            <v>В-13886/КЛ.Транш - 1_В-21082023/Ц</v>
          </cell>
          <cell r="B128" t="str">
            <v>Волков Василий Валерьевич</v>
          </cell>
          <cell r="C128">
            <v>44219</v>
          </cell>
          <cell r="D128">
            <v>74</v>
          </cell>
          <cell r="E128">
            <v>48</v>
          </cell>
          <cell r="F128" t="str">
            <v>74% годовых</v>
          </cell>
          <cell r="G128">
            <v>5.3999999999999999E-2</v>
          </cell>
          <cell r="H128">
            <v>300000</v>
          </cell>
        </row>
        <row r="129">
          <cell r="A129" t="str">
            <v>В-16023/КЛ.Транш - 1_В-20211230/Ц</v>
          </cell>
          <cell r="B129" t="str">
            <v>Волохов Юрий Викторович</v>
          </cell>
          <cell r="C129">
            <v>44279</v>
          </cell>
          <cell r="D129">
            <v>60</v>
          </cell>
          <cell r="E129">
            <v>36</v>
          </cell>
          <cell r="F129" t="str">
            <v>60% годовых</v>
          </cell>
          <cell r="G129">
            <v>5.3999999999999999E-2</v>
          </cell>
          <cell r="H129">
            <v>800000</v>
          </cell>
        </row>
        <row r="130">
          <cell r="A130" t="str">
            <v>В-24071/КЛ.Транш - 1_В-21082023/Ц</v>
          </cell>
          <cell r="B130" t="str">
            <v>Воробьев Андрей Владимирович</v>
          </cell>
          <cell r="C130">
            <v>44496</v>
          </cell>
          <cell r="D130">
            <v>74</v>
          </cell>
          <cell r="E130">
            <v>36</v>
          </cell>
          <cell r="F130" t="str">
            <v>74% годовых</v>
          </cell>
          <cell r="G130">
            <v>5.3999999999999999E-2</v>
          </cell>
          <cell r="H130">
            <v>1000000</v>
          </cell>
        </row>
        <row r="131">
          <cell r="A131" t="str">
            <v>В-18600/КЛ.Транш - 1_В-21082023/Ц</v>
          </cell>
          <cell r="B131" t="str">
            <v>Ворошилин Владимир Игоревич</v>
          </cell>
          <cell r="C131">
            <v>44347</v>
          </cell>
          <cell r="D131">
            <v>74</v>
          </cell>
          <cell r="E131">
            <v>48</v>
          </cell>
          <cell r="F131" t="str">
            <v>74% годовых</v>
          </cell>
          <cell r="G131">
            <v>5.3999999999999999E-2</v>
          </cell>
          <cell r="H131">
            <v>1000000</v>
          </cell>
        </row>
        <row r="132">
          <cell r="A132" t="str">
            <v>В-02707/КЛ.Транш - 1_В-21082023/Ц</v>
          </cell>
          <cell r="B132" t="str">
            <v>Гавриленко Денис Владимирович</v>
          </cell>
          <cell r="C132">
            <v>43847</v>
          </cell>
          <cell r="D132">
            <v>80</v>
          </cell>
          <cell r="E132">
            <v>12</v>
          </cell>
          <cell r="F132" t="str">
            <v>80% годовых</v>
          </cell>
          <cell r="G132">
            <v>5.3999999999999999E-2</v>
          </cell>
          <cell r="H132">
            <v>200000</v>
          </cell>
        </row>
        <row r="133">
          <cell r="A133" t="str">
            <v>В-25304/АЗ_В-20211230/Ц</v>
          </cell>
          <cell r="B133" t="str">
            <v>Гаврин Валентин Николаевич</v>
          </cell>
          <cell r="C133">
            <v>44529</v>
          </cell>
          <cell r="D133">
            <v>74</v>
          </cell>
          <cell r="E133">
            <v>48</v>
          </cell>
          <cell r="F133" t="str">
            <v>74% годовых</v>
          </cell>
          <cell r="G133">
            <v>5.3999999999999999E-2</v>
          </cell>
          <cell r="H133">
            <v>1000000</v>
          </cell>
        </row>
        <row r="134">
          <cell r="A134" t="str">
            <v>В-28961/КЛ.Транш - 1_В-21082023/Ц</v>
          </cell>
          <cell r="B134" t="str">
            <v>Гагарин Юрий Александрович</v>
          </cell>
          <cell r="C134">
            <v>44623</v>
          </cell>
          <cell r="D134">
            <v>90</v>
          </cell>
          <cell r="E134">
            <v>48</v>
          </cell>
          <cell r="F134" t="str">
            <v>90% годовых</v>
          </cell>
          <cell r="G134">
            <v>5.3999999999999999E-2</v>
          </cell>
          <cell r="H134">
            <v>227272.7</v>
          </cell>
        </row>
        <row r="135">
          <cell r="A135" t="str">
            <v>В-11186/КЛ.Транш - 2_В-21082023/Ц</v>
          </cell>
          <cell r="B135" t="str">
            <v>Гадян Артак Андраникович</v>
          </cell>
          <cell r="C135">
            <v>44154</v>
          </cell>
          <cell r="D135">
            <v>87</v>
          </cell>
          <cell r="E135">
            <v>12</v>
          </cell>
          <cell r="F135" t="str">
            <v>87% годовых</v>
          </cell>
          <cell r="G135">
            <v>5.3999999999999999E-2</v>
          </cell>
          <cell r="H135">
            <v>400000</v>
          </cell>
        </row>
        <row r="136">
          <cell r="A136" t="str">
            <v>В-11186/КЛ.Транш - 1_В-21082023/Ц</v>
          </cell>
          <cell r="B136" t="str">
            <v>Гадян Артак Андраникович</v>
          </cell>
          <cell r="C136">
            <v>44148</v>
          </cell>
          <cell r="D136">
            <v>80</v>
          </cell>
          <cell r="E136">
            <v>12</v>
          </cell>
          <cell r="F136" t="str">
            <v>80% годовых</v>
          </cell>
          <cell r="G136">
            <v>5.3999999999999999E-2</v>
          </cell>
          <cell r="H136">
            <v>350000</v>
          </cell>
        </row>
        <row r="137">
          <cell r="A137" t="str">
            <v>А-10122/КЭ.Транш - 1</v>
          </cell>
          <cell r="B137" t="str">
            <v>ГАЛАКТИКА ООО</v>
          </cell>
          <cell r="C137">
            <v>44061</v>
          </cell>
          <cell r="D137">
            <v>65</v>
          </cell>
          <cell r="E137">
            <v>24</v>
          </cell>
          <cell r="F137" t="str">
            <v>65% годовых</v>
          </cell>
          <cell r="G137">
            <v>1</v>
          </cell>
          <cell r="H137">
            <v>300000</v>
          </cell>
        </row>
        <row r="138">
          <cell r="A138" t="str">
            <v>В-10141/КЛ.Транш - 1_В-20211230/Ц</v>
          </cell>
          <cell r="B138" t="str">
            <v>Галеев Александр Ринатович</v>
          </cell>
          <cell r="C138">
            <v>44117</v>
          </cell>
          <cell r="D138">
            <v>50</v>
          </cell>
          <cell r="E138">
            <v>24</v>
          </cell>
          <cell r="F138" t="str">
            <v>50% годовых</v>
          </cell>
          <cell r="G138">
            <v>5.3999999999999999E-2</v>
          </cell>
          <cell r="H138">
            <v>300000</v>
          </cell>
        </row>
        <row r="139">
          <cell r="A139" t="str">
            <v>В-10141/КЛ.Транш - 2_В-20211230/Ц</v>
          </cell>
          <cell r="B139" t="str">
            <v>Галеев Александр Ринатович</v>
          </cell>
          <cell r="C139">
            <v>44503</v>
          </cell>
          <cell r="D139">
            <v>67</v>
          </cell>
          <cell r="E139">
            <v>12</v>
          </cell>
          <cell r="F139" t="str">
            <v>67% годовых</v>
          </cell>
          <cell r="G139">
            <v>5.3999999999999999E-2</v>
          </cell>
          <cell r="H139">
            <v>203000</v>
          </cell>
        </row>
        <row r="140">
          <cell r="A140" t="str">
            <v>Т-01867/АЗ_Т-20211028/Ц</v>
          </cell>
          <cell r="B140" t="str">
            <v>Гальчук Илья Анатольевич</v>
          </cell>
          <cell r="C140">
            <v>43934</v>
          </cell>
          <cell r="E140">
            <v>13</v>
          </cell>
          <cell r="F140" t="str">
            <v>До 4 мес. 50%; от 5 и более мес. 84%.</v>
          </cell>
          <cell r="G140">
            <v>5.3999999999999999E-2</v>
          </cell>
          <cell r="H140">
            <v>111783.21</v>
          </cell>
        </row>
        <row r="141">
          <cell r="A141" t="str">
            <v>В-13177/КЛ.Транш - 1_А-20210929/Ц</v>
          </cell>
          <cell r="B141" t="str">
            <v>Гараев Ровшан Гасымович</v>
          </cell>
          <cell r="C141">
            <v>44193</v>
          </cell>
          <cell r="D141">
            <v>50</v>
          </cell>
          <cell r="E141">
            <v>48</v>
          </cell>
          <cell r="F141" t="str">
            <v>50% годовых</v>
          </cell>
          <cell r="G141">
            <v>5.3999999999999999E-2</v>
          </cell>
          <cell r="H141">
            <v>1000000</v>
          </cell>
        </row>
        <row r="142">
          <cell r="A142" t="str">
            <v>В-18171/КЛ.Транш - 1_В-20211230/Ц</v>
          </cell>
          <cell r="B142" t="str">
            <v>Гачегов Дмитрий Сергеевич</v>
          </cell>
          <cell r="C142">
            <v>44336</v>
          </cell>
          <cell r="D142">
            <v>50</v>
          </cell>
          <cell r="E142">
            <v>36</v>
          </cell>
          <cell r="F142" t="str">
            <v>50% годовых</v>
          </cell>
          <cell r="G142">
            <v>5.3999999999999999E-2</v>
          </cell>
          <cell r="H142">
            <v>181818.2</v>
          </cell>
        </row>
        <row r="143">
          <cell r="A143" t="str">
            <v>В-17494/КЛ.Транш - 1_В-21082023/Ц</v>
          </cell>
          <cell r="B143" t="str">
            <v>Герейханов Фаик Гуснеддинович</v>
          </cell>
          <cell r="C143">
            <v>44315</v>
          </cell>
          <cell r="D143">
            <v>88</v>
          </cell>
          <cell r="E143">
            <v>12</v>
          </cell>
          <cell r="F143" t="str">
            <v>88% годовых</v>
          </cell>
          <cell r="G143">
            <v>5.3999999999999999E-2</v>
          </cell>
          <cell r="H143">
            <v>400000</v>
          </cell>
        </row>
        <row r="144">
          <cell r="A144" t="str">
            <v>В-00041/АЗ_В-21082023/Ц</v>
          </cell>
          <cell r="B144" t="str">
            <v>Герюгов Расул Азнаурович</v>
          </cell>
          <cell r="C144">
            <v>43571</v>
          </cell>
          <cell r="D144">
            <v>77</v>
          </cell>
          <cell r="E144">
            <v>24</v>
          </cell>
          <cell r="F144" t="str">
            <v>77% годовых</v>
          </cell>
          <cell r="G144">
            <v>5.3999999999999999E-2</v>
          </cell>
          <cell r="H144">
            <v>600000</v>
          </cell>
        </row>
        <row r="145">
          <cell r="A145" t="str">
            <v>В-18164/КЛ.Транш - 1_В-21082023/Ц</v>
          </cell>
          <cell r="B145" t="str">
            <v>Гилаев Флюс Фаусович</v>
          </cell>
          <cell r="C145">
            <v>44336</v>
          </cell>
          <cell r="D145">
            <v>50</v>
          </cell>
          <cell r="E145">
            <v>24</v>
          </cell>
          <cell r="F145" t="str">
            <v>55% годовых</v>
          </cell>
          <cell r="G145">
            <v>5.3999999999999999E-2</v>
          </cell>
          <cell r="H145">
            <v>284090.90000000002</v>
          </cell>
        </row>
        <row r="146">
          <cell r="A146" t="str">
            <v>А-00386/КЭ.Транш - 1</v>
          </cell>
          <cell r="B146" t="str">
            <v>ГК АкоЛет ООО</v>
          </cell>
          <cell r="C146">
            <v>43621</v>
          </cell>
          <cell r="D146">
            <v>65</v>
          </cell>
          <cell r="E146">
            <v>24</v>
          </cell>
          <cell r="F146" t="str">
            <v>65% годовых</v>
          </cell>
          <cell r="G146">
            <v>1</v>
          </cell>
          <cell r="H146">
            <v>147000</v>
          </cell>
        </row>
        <row r="147">
          <cell r="A147" t="str">
            <v>А-00267/КЭ.Транш - 2</v>
          </cell>
          <cell r="B147" t="str">
            <v>ГК АкоЛет ООО</v>
          </cell>
          <cell r="C147">
            <v>43218</v>
          </cell>
          <cell r="D147">
            <v>65</v>
          </cell>
          <cell r="E147">
            <v>24</v>
          </cell>
          <cell r="F147" t="str">
            <v>65% годовых</v>
          </cell>
          <cell r="G147">
            <v>1</v>
          </cell>
          <cell r="H147">
            <v>150000</v>
          </cell>
        </row>
        <row r="148">
          <cell r="A148" t="str">
            <v>В-21568/КЛ.Транш - 1_В-21082023/Ц</v>
          </cell>
          <cell r="B148" t="str">
            <v>Говоруха Андрей Михайлович</v>
          </cell>
          <cell r="C148">
            <v>44445</v>
          </cell>
          <cell r="D148">
            <v>81</v>
          </cell>
          <cell r="E148">
            <v>36</v>
          </cell>
          <cell r="F148" t="str">
            <v>81% годовых</v>
          </cell>
          <cell r="G148">
            <v>5.3999999999999999E-2</v>
          </cell>
          <cell r="H148">
            <v>200000</v>
          </cell>
        </row>
        <row r="149">
          <cell r="A149" t="str">
            <v>В-27315/КЛ.Транш - 1_В-21082023/Ц</v>
          </cell>
          <cell r="B149" t="str">
            <v>Годуйко Николай Николаевич</v>
          </cell>
          <cell r="C149">
            <v>44580</v>
          </cell>
          <cell r="D149">
            <v>64</v>
          </cell>
          <cell r="E149">
            <v>48</v>
          </cell>
          <cell r="F149" t="str">
            <v>64% годовых</v>
          </cell>
          <cell r="G149">
            <v>5.3999999999999999E-2</v>
          </cell>
          <cell r="H149">
            <v>454546</v>
          </cell>
        </row>
        <row r="150">
          <cell r="A150" t="str">
            <v>А-04404/АЗ</v>
          </cell>
          <cell r="B150" t="str">
            <v>Головатинский Лев Витальевич</v>
          </cell>
          <cell r="C150">
            <v>43347</v>
          </cell>
          <cell r="D150">
            <v>82</v>
          </cell>
          <cell r="E150">
            <v>12</v>
          </cell>
          <cell r="F150" t="str">
            <v>82% годовых</v>
          </cell>
          <cell r="G150">
            <v>5.3999999999999999E-2</v>
          </cell>
          <cell r="H150">
            <v>200000</v>
          </cell>
        </row>
        <row r="151">
          <cell r="A151" t="str">
            <v>В-01072/КЛ.Транш - 1_В-21082023/Ц</v>
          </cell>
          <cell r="B151" t="str">
            <v>Головина Екатерина Давидовна</v>
          </cell>
          <cell r="C151">
            <v>43764</v>
          </cell>
          <cell r="D151">
            <v>84</v>
          </cell>
          <cell r="E151">
            <v>36</v>
          </cell>
          <cell r="F151" t="str">
            <v>84% годовых</v>
          </cell>
          <cell r="G151">
            <v>5.3999999999999999E-2</v>
          </cell>
          <cell r="H151">
            <v>200000</v>
          </cell>
        </row>
        <row r="152">
          <cell r="A152" t="str">
            <v>В-08348/КЛ.Транш - 7_В-21082023/Ц</v>
          </cell>
          <cell r="B152" t="str">
            <v>Голосенин Тимофей Васильевич</v>
          </cell>
          <cell r="C152">
            <v>44460</v>
          </cell>
          <cell r="D152">
            <v>60</v>
          </cell>
          <cell r="E152">
            <v>48</v>
          </cell>
          <cell r="F152" t="str">
            <v>60% годовых</v>
          </cell>
          <cell r="G152">
            <v>5.3999999999999999E-2</v>
          </cell>
          <cell r="H152">
            <v>295000</v>
          </cell>
        </row>
        <row r="153">
          <cell r="A153" t="str">
            <v>В-00359/КЛ.Транш - 2_В-20211230/Ц</v>
          </cell>
          <cell r="B153" t="str">
            <v>Голота Илья Викторович</v>
          </cell>
          <cell r="C153">
            <v>43772</v>
          </cell>
          <cell r="D153">
            <v>84</v>
          </cell>
          <cell r="E153">
            <v>12</v>
          </cell>
          <cell r="F153" t="str">
            <v>84% годовых</v>
          </cell>
          <cell r="G153">
            <v>5.3999999999999999E-2</v>
          </cell>
          <cell r="H153">
            <v>100000</v>
          </cell>
        </row>
        <row r="154">
          <cell r="A154" t="str">
            <v>В-15560/КЛ.Транш - 1_В-20211230/Ц</v>
          </cell>
          <cell r="B154" t="str">
            <v>Голубева Ольга Петровна</v>
          </cell>
          <cell r="C154">
            <v>44267</v>
          </cell>
          <cell r="D154">
            <v>67</v>
          </cell>
          <cell r="E154">
            <v>36</v>
          </cell>
          <cell r="F154" t="str">
            <v>67% годовых</v>
          </cell>
          <cell r="G154">
            <v>5.3999999999999999E-2</v>
          </cell>
          <cell r="H154">
            <v>1000000</v>
          </cell>
        </row>
        <row r="155">
          <cell r="A155" t="str">
            <v>В-18958/КЛ.Транш - 1_В-21082023/Ц</v>
          </cell>
          <cell r="B155" t="str">
            <v>Голубь Елена Николаевна</v>
          </cell>
          <cell r="C155">
            <v>44356</v>
          </cell>
          <cell r="D155">
            <v>50</v>
          </cell>
          <cell r="E155">
            <v>48</v>
          </cell>
          <cell r="F155" t="str">
            <v>50% годовых</v>
          </cell>
          <cell r="G155">
            <v>5.3999999999999999E-2</v>
          </cell>
          <cell r="H155">
            <v>454545.5</v>
          </cell>
        </row>
        <row r="156">
          <cell r="A156" t="str">
            <v>В-23229/АЗ_В-21082023/Ц</v>
          </cell>
          <cell r="B156" t="str">
            <v>Горбачев Иван Эдуардович</v>
          </cell>
          <cell r="C156">
            <v>44471</v>
          </cell>
          <cell r="D156">
            <v>59</v>
          </cell>
          <cell r="E156">
            <v>48</v>
          </cell>
          <cell r="F156" t="str">
            <v>59% годовых</v>
          </cell>
          <cell r="G156">
            <v>5.3999999999999999E-2</v>
          </cell>
          <cell r="H156">
            <v>228698.71</v>
          </cell>
        </row>
        <row r="157">
          <cell r="A157" t="str">
            <v>В-00009/АЗ</v>
          </cell>
          <cell r="B157" t="str">
            <v>Городенок Дмитрий Петрович</v>
          </cell>
          <cell r="C157">
            <v>43560</v>
          </cell>
          <cell r="D157">
            <v>84</v>
          </cell>
          <cell r="E157">
            <v>36</v>
          </cell>
          <cell r="F157" t="str">
            <v>84% годовых</v>
          </cell>
          <cell r="G157">
            <v>5.3999999999999999E-2</v>
          </cell>
          <cell r="H157">
            <v>325000</v>
          </cell>
        </row>
        <row r="158">
          <cell r="A158" t="str">
            <v>В-00065/АЗ_В-21082023/Ц</v>
          </cell>
          <cell r="B158" t="str">
            <v>Горохов Сергей Владимирович 2</v>
          </cell>
          <cell r="C158">
            <v>43577</v>
          </cell>
          <cell r="D158">
            <v>84</v>
          </cell>
          <cell r="E158">
            <v>24</v>
          </cell>
          <cell r="F158" t="str">
            <v>84% годовых</v>
          </cell>
          <cell r="G158">
            <v>5.3999999999999999E-2</v>
          </cell>
          <cell r="H158">
            <v>100000</v>
          </cell>
        </row>
        <row r="159">
          <cell r="A159" t="str">
            <v>А-05165/АЗ_В-21082023/Ц</v>
          </cell>
          <cell r="B159" t="str">
            <v>Грачев Сергей Владимирович</v>
          </cell>
          <cell r="C159">
            <v>43538</v>
          </cell>
          <cell r="D159">
            <v>73</v>
          </cell>
          <cell r="E159">
            <v>12</v>
          </cell>
          <cell r="F159" t="str">
            <v>До 1 мес. 0%; от 2 и более мес. 84%.</v>
          </cell>
          <cell r="G159">
            <v>5.3999999999999999E-2</v>
          </cell>
          <cell r="H159">
            <v>400000</v>
          </cell>
        </row>
        <row r="160">
          <cell r="A160" t="str">
            <v>В-00838/АЗ_В-21082023/Ц</v>
          </cell>
          <cell r="B160" t="str">
            <v>Гребнев Юрий Александрович</v>
          </cell>
          <cell r="C160">
            <v>43850</v>
          </cell>
          <cell r="D160">
            <v>77</v>
          </cell>
          <cell r="E160">
            <v>36</v>
          </cell>
          <cell r="F160" t="str">
            <v>77% годовых</v>
          </cell>
          <cell r="G160">
            <v>5.3999999999999999E-2</v>
          </cell>
          <cell r="H160">
            <v>282000</v>
          </cell>
        </row>
        <row r="161">
          <cell r="A161" t="str">
            <v>В-00837/АЗ_В-21082023/Ц</v>
          </cell>
          <cell r="B161" t="str">
            <v>Гребнев Юрий Александрович</v>
          </cell>
          <cell r="C161">
            <v>43850</v>
          </cell>
          <cell r="D161">
            <v>65</v>
          </cell>
          <cell r="E161">
            <v>36</v>
          </cell>
          <cell r="F161" t="str">
            <v>65% годовых</v>
          </cell>
          <cell r="G161">
            <v>5.3999999999999999E-2</v>
          </cell>
          <cell r="H161">
            <v>525000</v>
          </cell>
        </row>
        <row r="162">
          <cell r="A162" t="str">
            <v>В-22026/КЛ.Транш - 1_В-20211230/Ц</v>
          </cell>
          <cell r="B162" t="str">
            <v>Гречкин Сергей Петрович</v>
          </cell>
          <cell r="C162">
            <v>44445</v>
          </cell>
          <cell r="D162">
            <v>64</v>
          </cell>
          <cell r="E162">
            <v>48</v>
          </cell>
          <cell r="F162" t="str">
            <v>64% годовых</v>
          </cell>
          <cell r="G162">
            <v>5.3999999999999999E-2</v>
          </cell>
          <cell r="H162">
            <v>227272.7</v>
          </cell>
        </row>
        <row r="163">
          <cell r="A163" t="str">
            <v>В-00693/АЗ_В-21082023/Ц</v>
          </cell>
          <cell r="B163" t="str">
            <v>Григоренко Андрей Николаевич</v>
          </cell>
          <cell r="C163">
            <v>43785</v>
          </cell>
          <cell r="D163">
            <v>73</v>
          </cell>
          <cell r="E163">
            <v>36</v>
          </cell>
          <cell r="F163" t="str">
            <v>73% годовых</v>
          </cell>
          <cell r="G163">
            <v>5.3999999999999999E-2</v>
          </cell>
          <cell r="H163">
            <v>244000</v>
          </cell>
        </row>
        <row r="164">
          <cell r="A164" t="str">
            <v>В-18894/КЛ.Транш - 1_В-21082023/Ц</v>
          </cell>
          <cell r="B164" t="str">
            <v>Григорьев Олег Вячеславович</v>
          </cell>
          <cell r="C164">
            <v>44370</v>
          </cell>
          <cell r="D164">
            <v>50</v>
          </cell>
          <cell r="E164">
            <v>48</v>
          </cell>
          <cell r="F164" t="str">
            <v>50% годовых</v>
          </cell>
          <cell r="G164">
            <v>5.3999999999999999E-2</v>
          </cell>
          <cell r="H164">
            <v>284090.90000000002</v>
          </cell>
        </row>
        <row r="165">
          <cell r="A165" t="str">
            <v>В-03686/КЛ.Транш - 1_В-20211230/Ц</v>
          </cell>
          <cell r="B165" t="str">
            <v>Григорян Артур Амраги</v>
          </cell>
          <cell r="C165">
            <v>43882</v>
          </cell>
          <cell r="D165">
            <v>66</v>
          </cell>
          <cell r="E165">
            <v>12</v>
          </cell>
          <cell r="F165" t="str">
            <v>66% годовых</v>
          </cell>
          <cell r="G165">
            <v>5.3999999999999999E-2</v>
          </cell>
          <cell r="H165">
            <v>350000</v>
          </cell>
        </row>
        <row r="166">
          <cell r="A166" t="str">
            <v>В-12484/КЛ.Транш - 1_В-21082023/Ц</v>
          </cell>
          <cell r="B166" t="str">
            <v>Гриднева Татьяна Николаевна</v>
          </cell>
          <cell r="C166">
            <v>44216</v>
          </cell>
          <cell r="D166">
            <v>50</v>
          </cell>
          <cell r="E166">
            <v>12</v>
          </cell>
          <cell r="F166" t="str">
            <v>50% годовых</v>
          </cell>
          <cell r="G166">
            <v>5.3999999999999999E-2</v>
          </cell>
          <cell r="H166">
            <v>200000</v>
          </cell>
        </row>
        <row r="167">
          <cell r="A167" t="str">
            <v>В-25530/КЛ.Транш - 1_В-21082023/Ц</v>
          </cell>
          <cell r="B167" t="str">
            <v>Гридяева Лариса Павловна</v>
          </cell>
          <cell r="C167">
            <v>44533</v>
          </cell>
          <cell r="D167">
            <v>64</v>
          </cell>
          <cell r="E167">
            <v>24</v>
          </cell>
          <cell r="F167" t="str">
            <v>64% годовых</v>
          </cell>
          <cell r="G167">
            <v>5.3999999999999999E-2</v>
          </cell>
          <cell r="H167">
            <v>227272.7</v>
          </cell>
        </row>
        <row r="168">
          <cell r="A168" t="str">
            <v>В-17051/КЛ.Транш - 1_В-20211230/Ц</v>
          </cell>
          <cell r="B168" t="str">
            <v>Гринь Юлия Владимировна</v>
          </cell>
          <cell r="C168">
            <v>44306</v>
          </cell>
          <cell r="D168">
            <v>50</v>
          </cell>
          <cell r="E168">
            <v>12</v>
          </cell>
          <cell r="F168" t="str">
            <v>50% годовых</v>
          </cell>
          <cell r="G168">
            <v>5.3999999999999999E-2</v>
          </cell>
          <cell r="H168">
            <v>227272.7</v>
          </cell>
        </row>
        <row r="169">
          <cell r="A169" t="str">
            <v>А-05139/АЗ_В-21082023/Ц</v>
          </cell>
          <cell r="B169" t="str">
            <v>Гришенков Николай Викторович</v>
          </cell>
          <cell r="C169">
            <v>43535</v>
          </cell>
          <cell r="D169">
            <v>77</v>
          </cell>
          <cell r="E169">
            <v>24</v>
          </cell>
          <cell r="F169" t="str">
            <v>77% годовых</v>
          </cell>
          <cell r="G169">
            <v>5.3999999999999999E-2</v>
          </cell>
          <cell r="H169">
            <v>300000</v>
          </cell>
        </row>
        <row r="170">
          <cell r="A170" t="str">
            <v>В-00951/АЗ_В-20211230/Ц</v>
          </cell>
          <cell r="B170" t="str">
            <v>Громов Вячеслав Александрович</v>
          </cell>
          <cell r="C170">
            <v>44008</v>
          </cell>
          <cell r="D170">
            <v>50</v>
          </cell>
          <cell r="E170">
            <v>48</v>
          </cell>
          <cell r="F170" t="str">
            <v>50% годовых</v>
          </cell>
          <cell r="G170">
            <v>5.3999999999999999E-2</v>
          </cell>
          <cell r="H170">
            <v>1000000</v>
          </cell>
        </row>
        <row r="171">
          <cell r="A171" t="str">
            <v>Т-01931/АЗ_Т-20211028/Ц</v>
          </cell>
          <cell r="B171" t="str">
            <v>Громов Вячеслав Александрович</v>
          </cell>
          <cell r="C171">
            <v>44008</v>
          </cell>
          <cell r="D171">
            <v>50</v>
          </cell>
          <cell r="E171">
            <v>48</v>
          </cell>
          <cell r="F171" t="str">
            <v>50% годовых</v>
          </cell>
          <cell r="G171">
            <v>5.3999999999999999E-2</v>
          </cell>
          <cell r="H171">
            <v>150000</v>
          </cell>
        </row>
        <row r="172">
          <cell r="A172" t="str">
            <v>В-03392/КЛ.Транш - 1</v>
          </cell>
          <cell r="B172" t="str">
            <v>Громов Сергей Дмитриевич</v>
          </cell>
          <cell r="C172">
            <v>43874</v>
          </cell>
          <cell r="D172">
            <v>80</v>
          </cell>
          <cell r="E172">
            <v>24</v>
          </cell>
          <cell r="F172" t="str">
            <v>80% годовых</v>
          </cell>
          <cell r="G172">
            <v>5.3999999999999999E-2</v>
          </cell>
          <cell r="H172">
            <v>400000</v>
          </cell>
        </row>
        <row r="173">
          <cell r="A173" t="str">
            <v>В-00858/АЗ_В-21082023/Ц</v>
          </cell>
          <cell r="B173" t="str">
            <v>Груничев Александр Леонидович</v>
          </cell>
          <cell r="C173">
            <v>43865</v>
          </cell>
          <cell r="D173">
            <v>73</v>
          </cell>
          <cell r="E173">
            <v>36</v>
          </cell>
          <cell r="F173" t="str">
            <v>73% годовых</v>
          </cell>
          <cell r="G173">
            <v>5.3999999999999999E-2</v>
          </cell>
          <cell r="H173">
            <v>475000</v>
          </cell>
        </row>
        <row r="174">
          <cell r="A174" t="str">
            <v>В-11396/КЛ.Транш - 2_В-21082023/Ц</v>
          </cell>
          <cell r="B174" t="str">
            <v>Губская Светлана Анатольевна</v>
          </cell>
          <cell r="C174">
            <v>44545</v>
          </cell>
          <cell r="D174">
            <v>74</v>
          </cell>
          <cell r="E174">
            <v>40</v>
          </cell>
          <cell r="F174" t="str">
            <v>74% годовых</v>
          </cell>
          <cell r="G174">
            <v>5.3999999999999999E-2</v>
          </cell>
          <cell r="H174">
            <v>350000</v>
          </cell>
        </row>
        <row r="175">
          <cell r="A175" t="str">
            <v>В-00161/АЗ_В-21082023/Ц</v>
          </cell>
          <cell r="B175" t="str">
            <v>Гулиев Адиль Джангирович</v>
          </cell>
          <cell r="C175">
            <v>43609</v>
          </cell>
          <cell r="D175">
            <v>84</v>
          </cell>
          <cell r="E175">
            <v>36</v>
          </cell>
          <cell r="F175" t="str">
            <v>84% годовых</v>
          </cell>
          <cell r="G175">
            <v>5.3999999999999999E-2</v>
          </cell>
          <cell r="H175">
            <v>130000</v>
          </cell>
        </row>
        <row r="176">
          <cell r="A176" t="str">
            <v>В-01217/АЗ_В-20211230/Ц</v>
          </cell>
          <cell r="B176" t="str">
            <v>Гупало Илья Александрович</v>
          </cell>
          <cell r="C176">
            <v>44429</v>
          </cell>
          <cell r="D176">
            <v>60</v>
          </cell>
          <cell r="E176">
            <v>36</v>
          </cell>
          <cell r="F176" t="str">
            <v>60% годовых</v>
          </cell>
          <cell r="G176">
            <v>5.3999999999999999E-2</v>
          </cell>
          <cell r="H176">
            <v>400000</v>
          </cell>
        </row>
        <row r="177">
          <cell r="A177" t="str">
            <v>В-00496/АЗ_В-21082023/Ц</v>
          </cell>
          <cell r="B177" t="str">
            <v>Гусев Владимир Николаевич</v>
          </cell>
          <cell r="C177">
            <v>43710</v>
          </cell>
          <cell r="D177">
            <v>50</v>
          </cell>
          <cell r="E177">
            <v>36</v>
          </cell>
          <cell r="F177" t="str">
            <v>50% годовых</v>
          </cell>
          <cell r="G177">
            <v>5.3999999999999999E-2</v>
          </cell>
          <cell r="H177">
            <v>785000</v>
          </cell>
        </row>
        <row r="178">
          <cell r="A178" t="str">
            <v>В-27747/КЛ.Транш - 1_В-20211230/Ц</v>
          </cell>
          <cell r="B178" t="str">
            <v>Гусейнов Магомед Динисламович</v>
          </cell>
          <cell r="C178">
            <v>44591</v>
          </cell>
          <cell r="D178">
            <v>84</v>
          </cell>
          <cell r="E178">
            <v>24</v>
          </cell>
          <cell r="F178" t="str">
            <v>84% годовых</v>
          </cell>
          <cell r="G178">
            <v>5.3999999999999999E-2</v>
          </cell>
          <cell r="H178">
            <v>110000</v>
          </cell>
        </row>
        <row r="179">
          <cell r="A179" t="str">
            <v>А-03641/АЗ</v>
          </cell>
          <cell r="B179" t="str">
            <v>Дам Вихерс Юлия Владимировна</v>
          </cell>
          <cell r="C179">
            <v>43131</v>
          </cell>
          <cell r="D179">
            <v>92</v>
          </cell>
          <cell r="E179">
            <v>24</v>
          </cell>
          <cell r="F179" t="str">
            <v>97% годовых</v>
          </cell>
          <cell r="G179">
            <v>5.3999999999999999E-2</v>
          </cell>
          <cell r="H179">
            <v>130000</v>
          </cell>
        </row>
        <row r="180">
          <cell r="A180" t="str">
            <v>А-04119/АЗ</v>
          </cell>
          <cell r="B180" t="str">
            <v>Данилин Дмитрий Павлович</v>
          </cell>
          <cell r="C180">
            <v>43280</v>
          </cell>
          <cell r="D180">
            <v>82</v>
          </cell>
          <cell r="E180">
            <v>2</v>
          </cell>
          <cell r="F180" t="str">
            <v>87% годовых</v>
          </cell>
          <cell r="G180">
            <v>5.3999999999999999E-2</v>
          </cell>
          <cell r="H180">
            <v>382000</v>
          </cell>
        </row>
        <row r="181">
          <cell r="A181" t="str">
            <v>В-17533/КЛ.Транш - 1_В-20211230/Ц</v>
          </cell>
          <cell r="B181" t="str">
            <v>Даниялов Марат Алавутдинович</v>
          </cell>
          <cell r="C181">
            <v>44316</v>
          </cell>
          <cell r="D181">
            <v>81</v>
          </cell>
          <cell r="E181">
            <v>48</v>
          </cell>
          <cell r="F181" t="str">
            <v>81% годовых</v>
          </cell>
          <cell r="G181">
            <v>5.3999999999999999E-2</v>
          </cell>
          <cell r="H181">
            <v>1000000</v>
          </cell>
        </row>
        <row r="182">
          <cell r="A182" t="str">
            <v>В-00702/АЗ_В-21082023/Ц</v>
          </cell>
          <cell r="B182" t="str">
            <v>Дарвичева Татьяна Викторовна</v>
          </cell>
          <cell r="C182">
            <v>43790</v>
          </cell>
          <cell r="D182">
            <v>77</v>
          </cell>
          <cell r="E182">
            <v>36</v>
          </cell>
          <cell r="F182" t="str">
            <v>77% годовых</v>
          </cell>
          <cell r="G182">
            <v>5.3999999999999999E-2</v>
          </cell>
          <cell r="H182">
            <v>1000000</v>
          </cell>
        </row>
        <row r="183">
          <cell r="A183" t="str">
            <v>А-05421/АЗ_В-21082023/Ц</v>
          </cell>
          <cell r="B183" t="str">
            <v>Дарвичева Татьяна Викторовна</v>
          </cell>
          <cell r="C183">
            <v>43790</v>
          </cell>
          <cell r="D183">
            <v>77</v>
          </cell>
          <cell r="E183">
            <v>36</v>
          </cell>
          <cell r="F183" t="str">
            <v>77% годовых</v>
          </cell>
          <cell r="G183">
            <v>5.3999999999999999E-2</v>
          </cell>
          <cell r="H183">
            <v>500000</v>
          </cell>
        </row>
        <row r="184">
          <cell r="A184" t="str">
            <v>Т-01843/АЗ_В-21082023/Ц</v>
          </cell>
          <cell r="B184" t="str">
            <v>Дарвичева Татьяна Викторовна</v>
          </cell>
          <cell r="C184">
            <v>43790</v>
          </cell>
          <cell r="D184">
            <v>77</v>
          </cell>
          <cell r="E184">
            <v>36</v>
          </cell>
          <cell r="F184" t="str">
            <v>77% годовых</v>
          </cell>
          <cell r="G184">
            <v>5.3999999999999999E-2</v>
          </cell>
          <cell r="H184">
            <v>500000</v>
          </cell>
        </row>
        <row r="185">
          <cell r="A185" t="str">
            <v>В-01050/АЗ_В-20211230/Ц</v>
          </cell>
          <cell r="B185" t="str">
            <v>Демченко Андрей Сергеевич</v>
          </cell>
          <cell r="C185">
            <v>44161</v>
          </cell>
          <cell r="D185">
            <v>50</v>
          </cell>
          <cell r="E185">
            <v>48</v>
          </cell>
          <cell r="F185" t="str">
            <v>50% годовых</v>
          </cell>
          <cell r="G185">
            <v>5.3999999999999999E-2</v>
          </cell>
          <cell r="H185">
            <v>463000</v>
          </cell>
        </row>
        <row r="186">
          <cell r="A186" t="str">
            <v>В-01051/АЗ_В-20211230/Ц</v>
          </cell>
          <cell r="B186" t="str">
            <v>Демченко Андрей Сергеевич</v>
          </cell>
          <cell r="C186">
            <v>44161</v>
          </cell>
          <cell r="D186">
            <v>77</v>
          </cell>
          <cell r="E186">
            <v>48</v>
          </cell>
          <cell r="F186" t="str">
            <v>77% годовых</v>
          </cell>
          <cell r="G186">
            <v>5.3999999999999999E-2</v>
          </cell>
          <cell r="H186">
            <v>537000</v>
          </cell>
        </row>
        <row r="187">
          <cell r="A187" t="str">
            <v>В-12380/КЛ.Транш - 1_В-20211230/Ц</v>
          </cell>
          <cell r="B187" t="str">
            <v>Денисенко Руслана Анатольевна</v>
          </cell>
          <cell r="C187">
            <v>44179</v>
          </cell>
          <cell r="D187">
            <v>66</v>
          </cell>
          <cell r="E187">
            <v>24</v>
          </cell>
          <cell r="F187" t="str">
            <v>66% годовых</v>
          </cell>
          <cell r="G187">
            <v>5.3999999999999999E-2</v>
          </cell>
          <cell r="H187">
            <v>150000</v>
          </cell>
        </row>
        <row r="188">
          <cell r="A188" t="str">
            <v>В-13070/КЛ.Транш - 2_В-21082023/Ц</v>
          </cell>
          <cell r="B188" t="str">
            <v>Деревяга Илья Викторович</v>
          </cell>
          <cell r="C188">
            <v>44200</v>
          </cell>
          <cell r="D188">
            <v>81</v>
          </cell>
          <cell r="E188">
            <v>12</v>
          </cell>
          <cell r="F188" t="str">
            <v>81% годовых</v>
          </cell>
          <cell r="G188">
            <v>5.3999999999999999E-2</v>
          </cell>
          <cell r="H188">
            <v>100000</v>
          </cell>
        </row>
        <row r="189">
          <cell r="A189" t="str">
            <v>В-13070/КЛ.Транш - 3_В-21082023/Ц</v>
          </cell>
          <cell r="B189" t="str">
            <v>Деревяга Илья Викторович</v>
          </cell>
          <cell r="C189">
            <v>44301</v>
          </cell>
          <cell r="D189">
            <v>74</v>
          </cell>
          <cell r="E189">
            <v>12</v>
          </cell>
          <cell r="F189" t="str">
            <v>74% годовых</v>
          </cell>
          <cell r="G189">
            <v>5.3999999999999999E-2</v>
          </cell>
          <cell r="H189">
            <v>100000</v>
          </cell>
        </row>
        <row r="190">
          <cell r="A190" t="str">
            <v>В-12401/КЛ.Транш - 1_В-21082023/Ц</v>
          </cell>
          <cell r="B190" t="str">
            <v>Джабраилов Саид-Хусейн Хасанович</v>
          </cell>
          <cell r="C190">
            <v>44179</v>
          </cell>
          <cell r="D190">
            <v>80</v>
          </cell>
          <cell r="E190">
            <v>12</v>
          </cell>
          <cell r="F190" t="str">
            <v>80% годовых</v>
          </cell>
          <cell r="G190">
            <v>5.3999999999999999E-2</v>
          </cell>
          <cell r="H190">
            <v>250000</v>
          </cell>
        </row>
        <row r="191">
          <cell r="A191" t="str">
            <v>В-12401/КЛ.Транш - 2_В-21082023/Ц</v>
          </cell>
          <cell r="B191" t="str">
            <v>Джабраилов Саид-Хусейн Хасанович</v>
          </cell>
          <cell r="C191">
            <v>44244</v>
          </cell>
          <cell r="D191">
            <v>67</v>
          </cell>
          <cell r="E191">
            <v>12</v>
          </cell>
          <cell r="F191" t="str">
            <v>67% годовых</v>
          </cell>
          <cell r="G191">
            <v>5.3999999999999999E-2</v>
          </cell>
          <cell r="H191">
            <v>250000</v>
          </cell>
        </row>
        <row r="192">
          <cell r="A192" t="str">
            <v>А-10052/КЭ.Транш - 1</v>
          </cell>
          <cell r="B192" t="str">
            <v>Джи Би Пи ООО</v>
          </cell>
          <cell r="C192">
            <v>43256</v>
          </cell>
          <cell r="D192">
            <v>65</v>
          </cell>
          <cell r="E192">
            <v>12</v>
          </cell>
          <cell r="F192" t="str">
            <v>65% годовых</v>
          </cell>
          <cell r="G192">
            <v>1</v>
          </cell>
          <cell r="H192">
            <v>237000</v>
          </cell>
        </row>
        <row r="193">
          <cell r="A193" t="str">
            <v>В-20300/КЛ.Транш - 1_В-20211230/Ц</v>
          </cell>
          <cell r="B193" t="str">
            <v>Дзейтов Муслим Алиевич</v>
          </cell>
          <cell r="C193">
            <v>44404</v>
          </cell>
          <cell r="D193">
            <v>50</v>
          </cell>
          <cell r="E193">
            <v>48</v>
          </cell>
          <cell r="F193" t="str">
            <v>50% годовых</v>
          </cell>
          <cell r="G193">
            <v>5.3999999999999999E-2</v>
          </cell>
          <cell r="H193">
            <v>568181.80000000005</v>
          </cell>
        </row>
        <row r="194">
          <cell r="A194" t="str">
            <v>В-22409/КЛ.Транш - 1_В-21082023/Ц</v>
          </cell>
          <cell r="B194" t="str">
            <v>Дзюба Евгений Григорьевич</v>
          </cell>
          <cell r="C194">
            <v>44448</v>
          </cell>
          <cell r="D194">
            <v>64</v>
          </cell>
          <cell r="E194">
            <v>36</v>
          </cell>
          <cell r="F194" t="str">
            <v>64% годовых</v>
          </cell>
          <cell r="G194">
            <v>5.3999999999999999E-2</v>
          </cell>
          <cell r="H194">
            <v>227272.7</v>
          </cell>
        </row>
        <row r="195">
          <cell r="A195" t="str">
            <v>В-25367/АЗ_В-20211230/Ц</v>
          </cell>
          <cell r="B195" t="str">
            <v>Диакону Сергей Борисович</v>
          </cell>
          <cell r="C195">
            <v>44529</v>
          </cell>
          <cell r="D195">
            <v>74</v>
          </cell>
          <cell r="E195">
            <v>48</v>
          </cell>
          <cell r="F195" t="str">
            <v>74% годовых</v>
          </cell>
          <cell r="G195">
            <v>5.3999999999999999E-2</v>
          </cell>
          <cell r="H195">
            <v>1000000</v>
          </cell>
        </row>
        <row r="196">
          <cell r="A196" t="str">
            <v>В-12256/КЛ.Транш - 1_В-21082023/Ц</v>
          </cell>
          <cell r="B196" t="str">
            <v>Диденко Роман Владимирович</v>
          </cell>
          <cell r="C196">
            <v>44186</v>
          </cell>
          <cell r="D196">
            <v>87</v>
          </cell>
          <cell r="E196">
            <v>48</v>
          </cell>
          <cell r="F196" t="str">
            <v>До 1 мес. 0%; от 2 и более мес. 87%.</v>
          </cell>
          <cell r="G196">
            <v>5.3999999999999999E-2</v>
          </cell>
          <cell r="H196">
            <v>200000</v>
          </cell>
        </row>
        <row r="197">
          <cell r="A197" t="str">
            <v>А-04742/АЗ</v>
          </cell>
          <cell r="B197" t="str">
            <v>Добрица Любовь Анатольевна</v>
          </cell>
          <cell r="C197">
            <v>43430</v>
          </cell>
          <cell r="D197">
            <v>88</v>
          </cell>
          <cell r="E197">
            <v>12</v>
          </cell>
          <cell r="F197" t="str">
            <v>88% годовых</v>
          </cell>
          <cell r="G197">
            <v>5.3999999999999999E-2</v>
          </cell>
          <cell r="H197">
            <v>300000</v>
          </cell>
        </row>
        <row r="198">
          <cell r="A198" t="str">
            <v>В-00272/АЗ_В-20211230/Ц</v>
          </cell>
          <cell r="B198" t="str">
            <v>Додохова Анна Николаевна</v>
          </cell>
          <cell r="C198">
            <v>43640</v>
          </cell>
          <cell r="D198">
            <v>84</v>
          </cell>
          <cell r="E198">
            <v>36</v>
          </cell>
          <cell r="F198" t="str">
            <v>30% годовых</v>
          </cell>
          <cell r="G198">
            <v>5.3999999999999999E-2</v>
          </cell>
          <cell r="H198">
            <v>315000</v>
          </cell>
        </row>
        <row r="199">
          <cell r="A199" t="str">
            <v>В-07544/КЛ.Транш - 1_В-21082023/Ц</v>
          </cell>
          <cell r="B199" t="str">
            <v>Долгополов Сергей Юрьевич</v>
          </cell>
          <cell r="C199">
            <v>44047</v>
          </cell>
          <cell r="D199">
            <v>80</v>
          </cell>
          <cell r="E199">
            <v>24</v>
          </cell>
          <cell r="F199" t="str">
            <v>80% годовых</v>
          </cell>
          <cell r="G199">
            <v>5.3999999999999999E-2</v>
          </cell>
          <cell r="H199">
            <v>200000</v>
          </cell>
        </row>
        <row r="200">
          <cell r="A200" t="str">
            <v>В-23074/КЛ.Транш - 1_В-20211230/Ц</v>
          </cell>
          <cell r="B200" t="str">
            <v>Дорожинская Екатерина Андреевна</v>
          </cell>
          <cell r="C200">
            <v>44469</v>
          </cell>
          <cell r="D200">
            <v>64</v>
          </cell>
          <cell r="E200">
            <v>24</v>
          </cell>
          <cell r="F200" t="str">
            <v>64% годовых</v>
          </cell>
          <cell r="G200">
            <v>5.3999999999999999E-2</v>
          </cell>
          <cell r="H200">
            <v>204545.5</v>
          </cell>
        </row>
        <row r="201">
          <cell r="A201" t="str">
            <v>В-00077/КЭ.Транш - 1_В-20211230/Ц</v>
          </cell>
          <cell r="B201" t="str">
            <v>ДОРРЕМСТРОЙ ООО</v>
          </cell>
          <cell r="C201">
            <v>44553</v>
          </cell>
          <cell r="D201">
            <v>50</v>
          </cell>
          <cell r="E201">
            <v>4</v>
          </cell>
          <cell r="F201" t="str">
            <v>50% годовых</v>
          </cell>
          <cell r="G201">
            <v>1</v>
          </cell>
          <cell r="H201">
            <v>2650000</v>
          </cell>
        </row>
        <row r="202">
          <cell r="A202" t="str">
            <v>В-12943/КЛ.Транш - 1_В-21082023/Ц</v>
          </cell>
          <cell r="B202" t="str">
            <v>Дробот Роман Вячеславович</v>
          </cell>
          <cell r="C202">
            <v>44188</v>
          </cell>
          <cell r="D202">
            <v>50</v>
          </cell>
          <cell r="E202">
            <v>4</v>
          </cell>
          <cell r="F202" t="str">
            <v>50% годовых</v>
          </cell>
          <cell r="G202">
            <v>5.3999999999999999E-2</v>
          </cell>
          <cell r="H202">
            <v>420000</v>
          </cell>
        </row>
        <row r="203">
          <cell r="A203" t="str">
            <v>Т-01631/АЗ_Т-20201019/Ц</v>
          </cell>
          <cell r="B203" t="str">
            <v>Дубовицкий Глеб Романович</v>
          </cell>
          <cell r="C203">
            <v>43398</v>
          </cell>
          <cell r="D203">
            <v>82</v>
          </cell>
          <cell r="E203">
            <v>36</v>
          </cell>
          <cell r="F203" t="str">
            <v>82% годовых</v>
          </cell>
          <cell r="G203">
            <v>5.3999999999999999E-2</v>
          </cell>
          <cell r="H203">
            <v>375000</v>
          </cell>
        </row>
        <row r="204">
          <cell r="A204" t="str">
            <v>В-16067/КЛ.Транш - 1_В-21082023/Ц</v>
          </cell>
          <cell r="B204" t="str">
            <v>Дудин Василий Васильевич</v>
          </cell>
          <cell r="C204">
            <v>44285</v>
          </cell>
          <cell r="D204">
            <v>50</v>
          </cell>
          <cell r="E204">
            <v>48</v>
          </cell>
          <cell r="F204" t="str">
            <v>50% годовых</v>
          </cell>
          <cell r="G204">
            <v>5.3999999999999999E-2</v>
          </cell>
          <cell r="H204">
            <v>147727.29999999999</v>
          </cell>
        </row>
        <row r="205">
          <cell r="A205" t="str">
            <v>В-10492/КЛ.Транш - 1_В-21082023/Ц</v>
          </cell>
          <cell r="B205" t="str">
            <v>Евсеев Сергей Анатольевич</v>
          </cell>
          <cell r="C205">
            <v>44126</v>
          </cell>
          <cell r="D205">
            <v>66</v>
          </cell>
          <cell r="E205">
            <v>12</v>
          </cell>
          <cell r="F205" t="str">
            <v>66% годовых</v>
          </cell>
          <cell r="G205">
            <v>5.3999999999999999E-2</v>
          </cell>
          <cell r="H205">
            <v>100000</v>
          </cell>
        </row>
        <row r="206">
          <cell r="A206" t="str">
            <v>В-01175/АЗ_В-20211230/Ц</v>
          </cell>
          <cell r="B206" t="str">
            <v>Евстигнеев Дмитрий Станиславович</v>
          </cell>
          <cell r="C206">
            <v>44328</v>
          </cell>
          <cell r="D206">
            <v>74</v>
          </cell>
          <cell r="E206">
            <v>48</v>
          </cell>
          <cell r="F206" t="str">
            <v>74% годовых</v>
          </cell>
          <cell r="G206">
            <v>5.3999999999999999E-2</v>
          </cell>
          <cell r="H206">
            <v>660000</v>
          </cell>
        </row>
        <row r="207">
          <cell r="A207" t="str">
            <v>В-28358/КЛ.Транш - 1_В-21082023/Ц</v>
          </cell>
          <cell r="B207" t="str">
            <v>Егиазарян Геворг Рубикович</v>
          </cell>
          <cell r="C207">
            <v>44609</v>
          </cell>
          <cell r="D207">
            <v>57</v>
          </cell>
          <cell r="E207">
            <v>48</v>
          </cell>
          <cell r="F207" t="str">
            <v>57% годовых</v>
          </cell>
          <cell r="G207">
            <v>5.3999999999999999E-2</v>
          </cell>
          <cell r="H207">
            <v>1000000</v>
          </cell>
        </row>
        <row r="208">
          <cell r="A208" t="str">
            <v>В-01038/АЗ_В-21082023/Ц</v>
          </cell>
          <cell r="B208" t="str">
            <v>Егоян Вард Баласанович</v>
          </cell>
          <cell r="C208">
            <v>44147</v>
          </cell>
          <cell r="D208">
            <v>73</v>
          </cell>
          <cell r="E208">
            <v>48</v>
          </cell>
          <cell r="F208" t="str">
            <v>73% годовых</v>
          </cell>
          <cell r="G208">
            <v>5.3999999999999999E-2</v>
          </cell>
          <cell r="H208">
            <v>1000000</v>
          </cell>
        </row>
        <row r="209">
          <cell r="A209" t="str">
            <v>В-28549/АЗ_В-21082023/Ц</v>
          </cell>
          <cell r="B209" t="str">
            <v>Егупов Дмитрий Сергеевич</v>
          </cell>
          <cell r="C209">
            <v>44613</v>
          </cell>
          <cell r="D209">
            <v>55</v>
          </cell>
          <cell r="E209">
            <v>48</v>
          </cell>
          <cell r="F209" t="str">
            <v>55% годовых</v>
          </cell>
          <cell r="G209">
            <v>5.3999999999999999E-2</v>
          </cell>
          <cell r="H209">
            <v>202802.42</v>
          </cell>
        </row>
        <row r="210">
          <cell r="A210" t="str">
            <v>В-28968/АЗ_В-21082023/Ц</v>
          </cell>
          <cell r="B210" t="str">
            <v>Егупов Дмитрий Сергеевич</v>
          </cell>
          <cell r="C210">
            <v>44629</v>
          </cell>
          <cell r="D210">
            <v>110</v>
          </cell>
          <cell r="E210">
            <v>24</v>
          </cell>
          <cell r="F210" t="str">
            <v>110% годовых</v>
          </cell>
          <cell r="G210">
            <v>5.3999999999999999E-2</v>
          </cell>
          <cell r="H210">
            <v>100000</v>
          </cell>
        </row>
        <row r="211">
          <cell r="A211" t="str">
            <v>В-21269/КЛ.Транш - 1_В-20211230/Ц</v>
          </cell>
          <cell r="B211" t="str">
            <v>Елизарова Виктория Андреевна</v>
          </cell>
          <cell r="C211">
            <v>44413</v>
          </cell>
          <cell r="D211">
            <v>67</v>
          </cell>
          <cell r="E211">
            <v>48</v>
          </cell>
          <cell r="F211" t="str">
            <v>67% годовых</v>
          </cell>
          <cell r="G211">
            <v>5.3999999999999999E-2</v>
          </cell>
          <cell r="H211">
            <v>900000</v>
          </cell>
        </row>
        <row r="212">
          <cell r="A212" t="str">
            <v>В-11447/КЛ.Транш - 1_В-21082023/Ц</v>
          </cell>
          <cell r="B212" t="str">
            <v>Елистратов Сергей Викторович</v>
          </cell>
          <cell r="C212">
            <v>44157</v>
          </cell>
          <cell r="D212">
            <v>73</v>
          </cell>
          <cell r="E212">
            <v>48</v>
          </cell>
          <cell r="F212" t="str">
            <v>До 123 дн. 52%; от 124 до 275 дн. 51,55%; от 276 и более дн. 73%.</v>
          </cell>
          <cell r="G212">
            <v>5.3999999999999999E-2</v>
          </cell>
          <cell r="H212">
            <v>180000</v>
          </cell>
        </row>
        <row r="213">
          <cell r="A213" t="str">
            <v>В-14529/КЛ.Транш - 1_В-20211230/Ц</v>
          </cell>
          <cell r="B213" t="str">
            <v>Емельяненко Александр Николаевич</v>
          </cell>
          <cell r="C213">
            <v>44249</v>
          </cell>
          <cell r="D213">
            <v>74</v>
          </cell>
          <cell r="E213">
            <v>48</v>
          </cell>
          <cell r="F213" t="str">
            <v>74% годовых</v>
          </cell>
          <cell r="G213">
            <v>5.3999999999999999E-2</v>
          </cell>
          <cell r="H213">
            <v>880000</v>
          </cell>
        </row>
        <row r="214">
          <cell r="A214" t="str">
            <v>В-12042/КЛ.Транш - 1_В-21082023/Ц</v>
          </cell>
          <cell r="B214" t="str">
            <v>Ергашев Мухаммаджон Абдувалиевич</v>
          </cell>
          <cell r="C214">
            <v>44171</v>
          </cell>
          <cell r="D214">
            <v>66</v>
          </cell>
          <cell r="E214">
            <v>12</v>
          </cell>
          <cell r="F214" t="str">
            <v>66% годовых</v>
          </cell>
          <cell r="G214">
            <v>5.3999999999999999E-2</v>
          </cell>
          <cell r="H214">
            <v>250000</v>
          </cell>
        </row>
        <row r="215">
          <cell r="A215" t="str">
            <v>В-19349/КЛ.Транш - 1_В-20211230/Ц</v>
          </cell>
          <cell r="B215" t="str">
            <v>Еременко Сергей Артурович</v>
          </cell>
          <cell r="C215">
            <v>44365</v>
          </cell>
          <cell r="D215">
            <v>81</v>
          </cell>
          <cell r="E215">
            <v>12</v>
          </cell>
          <cell r="F215" t="str">
            <v>81% годовых</v>
          </cell>
          <cell r="G215">
            <v>5.3999999999999999E-2</v>
          </cell>
          <cell r="H215">
            <v>100000</v>
          </cell>
        </row>
        <row r="216">
          <cell r="A216" t="str">
            <v>В-05135/КЛ.Транш - 1_В-21082023/Ц</v>
          </cell>
          <cell r="B216" t="str">
            <v>Еремян Артур Корюнович</v>
          </cell>
          <cell r="C216">
            <v>43950</v>
          </cell>
          <cell r="D216">
            <v>66</v>
          </cell>
          <cell r="E216">
            <v>24</v>
          </cell>
          <cell r="F216" t="str">
            <v>66% годовых</v>
          </cell>
          <cell r="G216">
            <v>5.3999999999999999E-2</v>
          </cell>
          <cell r="H216">
            <v>242000</v>
          </cell>
        </row>
        <row r="217">
          <cell r="A217" t="str">
            <v>В-23339/АЗ_В-20211230/Ц</v>
          </cell>
          <cell r="B217" t="str">
            <v>Ермаков Владислав Олегович</v>
          </cell>
          <cell r="C217">
            <v>44475</v>
          </cell>
          <cell r="D217">
            <v>74</v>
          </cell>
          <cell r="E217">
            <v>48</v>
          </cell>
          <cell r="F217" t="str">
            <v>74% годовых</v>
          </cell>
          <cell r="G217">
            <v>5.3999999999999999E-2</v>
          </cell>
          <cell r="H217">
            <v>305000</v>
          </cell>
        </row>
        <row r="218">
          <cell r="A218" t="str">
            <v>В-23325/АЗ_В-20211230/Ц</v>
          </cell>
          <cell r="B218" t="str">
            <v>Ермакова Кристина Алексеевна</v>
          </cell>
          <cell r="C218">
            <v>44475</v>
          </cell>
          <cell r="D218">
            <v>67</v>
          </cell>
          <cell r="E218">
            <v>48</v>
          </cell>
          <cell r="F218" t="str">
            <v>67% годовых</v>
          </cell>
          <cell r="G218">
            <v>5.3999999999999999E-2</v>
          </cell>
          <cell r="H218">
            <v>1000000</v>
          </cell>
        </row>
        <row r="219">
          <cell r="A219" t="str">
            <v>В-19901/КЛ.Транш - 1_В-20211230/Ц</v>
          </cell>
          <cell r="B219" t="str">
            <v>Ермилин Виталий Владимирович</v>
          </cell>
          <cell r="C219">
            <v>44379</v>
          </cell>
          <cell r="D219">
            <v>81</v>
          </cell>
          <cell r="E219">
            <v>12</v>
          </cell>
          <cell r="F219" t="str">
            <v>81% годовых</v>
          </cell>
          <cell r="G219">
            <v>5.3999999999999999E-2</v>
          </cell>
          <cell r="H219">
            <v>350000</v>
          </cell>
        </row>
        <row r="220">
          <cell r="A220" t="str">
            <v>В-00085/АЗ_В-21082023/Ц</v>
          </cell>
          <cell r="B220" t="str">
            <v>Ермишин Сергей Михайлович</v>
          </cell>
          <cell r="C220">
            <v>43582</v>
          </cell>
          <cell r="D220">
            <v>84</v>
          </cell>
          <cell r="E220">
            <v>24</v>
          </cell>
          <cell r="F220" t="str">
            <v>84% годовых</v>
          </cell>
          <cell r="G220">
            <v>5.3999999999999999E-2</v>
          </cell>
          <cell r="H220">
            <v>1000000</v>
          </cell>
        </row>
        <row r="221">
          <cell r="A221" t="str">
            <v>А-05305/АЗ_В-21082023/Ц</v>
          </cell>
          <cell r="B221" t="str">
            <v>Ермишин Сергей Михайлович</v>
          </cell>
          <cell r="C221">
            <v>43582</v>
          </cell>
          <cell r="D221">
            <v>84</v>
          </cell>
          <cell r="E221">
            <v>24</v>
          </cell>
          <cell r="F221" t="str">
            <v>84% годовых</v>
          </cell>
          <cell r="G221">
            <v>5.3999999999999999E-2</v>
          </cell>
          <cell r="H221">
            <v>100000</v>
          </cell>
        </row>
        <row r="222">
          <cell r="A222" t="str">
            <v>А-04639/АЗ</v>
          </cell>
          <cell r="B222" t="str">
            <v>Ерохов Андрей Вячеславович</v>
          </cell>
          <cell r="C222">
            <v>43402</v>
          </cell>
          <cell r="D222">
            <v>88</v>
          </cell>
          <cell r="E222">
            <v>24</v>
          </cell>
          <cell r="F222" t="str">
            <v>30% годовых</v>
          </cell>
          <cell r="G222">
            <v>5.3999999999999999E-2</v>
          </cell>
          <cell r="H222">
            <v>275000</v>
          </cell>
        </row>
        <row r="223">
          <cell r="A223" t="str">
            <v>В-04159/КЛ.Транш - 1_В-20211230/Ц</v>
          </cell>
          <cell r="B223" t="str">
            <v>Ерошкин Роман Сергеевич</v>
          </cell>
          <cell r="C223">
            <v>43906</v>
          </cell>
          <cell r="D223">
            <v>73</v>
          </cell>
          <cell r="E223">
            <v>36</v>
          </cell>
          <cell r="F223" t="str">
            <v>73% годовых</v>
          </cell>
          <cell r="G223">
            <v>5.3999999999999999E-2</v>
          </cell>
          <cell r="H223">
            <v>200000</v>
          </cell>
        </row>
        <row r="224">
          <cell r="A224" t="str">
            <v>В-03907/КЛ.Транш - 2</v>
          </cell>
          <cell r="B224" t="str">
            <v>Ерошов Дмитрий Иванович</v>
          </cell>
          <cell r="C224">
            <v>43964</v>
          </cell>
          <cell r="D224">
            <v>73</v>
          </cell>
          <cell r="E224">
            <v>36</v>
          </cell>
          <cell r="F224" t="str">
            <v>73% годовых</v>
          </cell>
          <cell r="G224">
            <v>5.3999999999999999E-2</v>
          </cell>
          <cell r="H224">
            <v>175000</v>
          </cell>
        </row>
        <row r="225">
          <cell r="A225" t="str">
            <v>В-00540/КЛ.Транш - 1_В-21082023/Ц</v>
          </cell>
          <cell r="B225" t="str">
            <v>Ефремов Николай Михайлович</v>
          </cell>
          <cell r="C225">
            <v>43731</v>
          </cell>
          <cell r="D225">
            <v>84</v>
          </cell>
          <cell r="E225">
            <v>36</v>
          </cell>
          <cell r="F225" t="str">
            <v>84% годовых</v>
          </cell>
          <cell r="G225">
            <v>5.3999999999999999E-2</v>
          </cell>
          <cell r="H225">
            <v>280000</v>
          </cell>
        </row>
        <row r="226">
          <cell r="A226" t="str">
            <v>В-00457/АЗ_Т-20211028/Ц</v>
          </cell>
          <cell r="B226" t="str">
            <v>Жарков Камиль Орифжонович</v>
          </cell>
          <cell r="C226">
            <v>43697</v>
          </cell>
          <cell r="D226">
            <v>94</v>
          </cell>
          <cell r="E226">
            <v>12</v>
          </cell>
          <cell r="F226" t="str">
            <v>94% годовых</v>
          </cell>
          <cell r="G226">
            <v>5.3999999999999999E-2</v>
          </cell>
          <cell r="H226">
            <v>500000</v>
          </cell>
        </row>
        <row r="227">
          <cell r="A227" t="str">
            <v>А-04223/АЗ</v>
          </cell>
          <cell r="B227" t="str">
            <v>Желядинов Рустам Максутович</v>
          </cell>
          <cell r="C227">
            <v>43300</v>
          </cell>
          <cell r="D227">
            <v>88</v>
          </cell>
          <cell r="E227">
            <v>36</v>
          </cell>
          <cell r="F227" t="str">
            <v>88% годовых</v>
          </cell>
          <cell r="G227">
            <v>5.3999999999999999E-2</v>
          </cell>
          <cell r="H227">
            <v>100000</v>
          </cell>
        </row>
        <row r="228">
          <cell r="A228" t="str">
            <v>В-08644/КЛ.Транш - 1_В-21082023/Ц</v>
          </cell>
          <cell r="B228" t="str">
            <v>Жирнов Игорь Владимирович</v>
          </cell>
          <cell r="C228">
            <v>44076</v>
          </cell>
          <cell r="D228">
            <v>73</v>
          </cell>
          <cell r="E228">
            <v>48</v>
          </cell>
          <cell r="F228" t="str">
            <v>73% годовых</v>
          </cell>
          <cell r="G228">
            <v>5.3999999999999999E-2</v>
          </cell>
          <cell r="H228">
            <v>100000</v>
          </cell>
        </row>
        <row r="229">
          <cell r="A229" t="str">
            <v>В-10495/КЛ.Транш - 1_В-21082023/Ц</v>
          </cell>
          <cell r="B229" t="str">
            <v>Житаренко Юрий Иванович</v>
          </cell>
          <cell r="C229">
            <v>44127</v>
          </cell>
          <cell r="D229">
            <v>50</v>
          </cell>
          <cell r="E229">
            <v>48</v>
          </cell>
          <cell r="F229" t="str">
            <v>50% годовых</v>
          </cell>
          <cell r="G229">
            <v>5.3999999999999999E-2</v>
          </cell>
          <cell r="H229">
            <v>216000</v>
          </cell>
        </row>
        <row r="230">
          <cell r="A230" t="str">
            <v>В-27416/АЗ_В-20211230/Ц</v>
          </cell>
          <cell r="B230" t="str">
            <v>Жолобов Алексей Юрьевич</v>
          </cell>
          <cell r="C230">
            <v>44582</v>
          </cell>
          <cell r="D230">
            <v>77</v>
          </cell>
          <cell r="E230">
            <v>24</v>
          </cell>
          <cell r="F230" t="str">
            <v>77% годовых</v>
          </cell>
          <cell r="G230">
            <v>5.3999999999999999E-2</v>
          </cell>
          <cell r="H230">
            <v>900000</v>
          </cell>
        </row>
        <row r="231">
          <cell r="A231" t="str">
            <v>В-16541/КЛ.Транш - 1_В-20211230/Ц</v>
          </cell>
          <cell r="B231" t="str">
            <v>Жубоев Дамир Асланович</v>
          </cell>
          <cell r="C231">
            <v>44292</v>
          </cell>
          <cell r="D231">
            <v>50</v>
          </cell>
          <cell r="E231">
            <v>12</v>
          </cell>
          <cell r="F231" t="str">
            <v>50% годовых</v>
          </cell>
          <cell r="G231">
            <v>5.3999999999999999E-2</v>
          </cell>
          <cell r="H231">
            <v>150000</v>
          </cell>
        </row>
        <row r="232">
          <cell r="A232" t="str">
            <v>В-19597/КЛ.Транш - 4_В-20211230/Ц</v>
          </cell>
          <cell r="B232" t="str">
            <v>Жумабаев Умар Сонунбекович</v>
          </cell>
          <cell r="C232">
            <v>44529</v>
          </cell>
          <cell r="D232">
            <v>50</v>
          </cell>
          <cell r="E232">
            <v>12</v>
          </cell>
          <cell r="F232" t="str">
            <v>50% годовых</v>
          </cell>
          <cell r="G232">
            <v>5.3999999999999999E-2</v>
          </cell>
          <cell r="H232">
            <v>113636.4</v>
          </cell>
        </row>
        <row r="233">
          <cell r="A233" t="str">
            <v>В-19597/КЛ.Транш - 6_В-20211230/Ц</v>
          </cell>
          <cell r="B233" t="str">
            <v>Жумабаев Умар Сонунбекович</v>
          </cell>
          <cell r="C233">
            <v>44598</v>
          </cell>
          <cell r="D233">
            <v>50</v>
          </cell>
          <cell r="E233">
            <v>12</v>
          </cell>
          <cell r="F233" t="str">
            <v>50% годовых</v>
          </cell>
          <cell r="G233">
            <v>5.3999999999999999E-2</v>
          </cell>
          <cell r="H233">
            <v>113636</v>
          </cell>
        </row>
        <row r="234">
          <cell r="A234" t="str">
            <v>В-19597/КЛ.Транш - 1_В-20211230/Ц</v>
          </cell>
          <cell r="B234" t="str">
            <v>Жумабаев Умар Сонунбекович</v>
          </cell>
          <cell r="C234">
            <v>44371</v>
          </cell>
          <cell r="D234">
            <v>74</v>
          </cell>
          <cell r="E234">
            <v>12</v>
          </cell>
          <cell r="F234" t="str">
            <v>79% годовых</v>
          </cell>
          <cell r="G234">
            <v>5.3999999999999999E-2</v>
          </cell>
          <cell r="H234">
            <v>700000</v>
          </cell>
        </row>
        <row r="235">
          <cell r="A235" t="str">
            <v>В-19597/КЛ.Транш - 3_В-20211230/Ц</v>
          </cell>
          <cell r="B235" t="str">
            <v>Жумабаев Умар Сонунбекович</v>
          </cell>
          <cell r="C235">
            <v>44497</v>
          </cell>
          <cell r="D235">
            <v>50</v>
          </cell>
          <cell r="E235">
            <v>12</v>
          </cell>
          <cell r="F235" t="str">
            <v>50% годовых</v>
          </cell>
          <cell r="G235">
            <v>5.3999999999999999E-2</v>
          </cell>
          <cell r="H235">
            <v>113636.4</v>
          </cell>
        </row>
        <row r="236">
          <cell r="A236" t="str">
            <v>В-25052/КЛ.Транш - 1_В-21082023/Ц</v>
          </cell>
          <cell r="B236" t="str">
            <v>Журавлёв Денис Сергеевич</v>
          </cell>
          <cell r="C236">
            <v>44525</v>
          </cell>
          <cell r="D236">
            <v>64</v>
          </cell>
          <cell r="E236">
            <v>36</v>
          </cell>
          <cell r="F236" t="str">
            <v>64% годовых</v>
          </cell>
          <cell r="G236">
            <v>5.3999999999999999E-2</v>
          </cell>
          <cell r="H236">
            <v>477272.7</v>
          </cell>
        </row>
        <row r="237">
          <cell r="A237" t="str">
            <v>В-21208/КЛ.Транш - 2_В-20211230/Ц</v>
          </cell>
          <cell r="B237" t="str">
            <v>Журавлева Наталья Юрьевна</v>
          </cell>
          <cell r="C237">
            <v>44456</v>
          </cell>
          <cell r="D237">
            <v>64</v>
          </cell>
          <cell r="E237">
            <v>18</v>
          </cell>
          <cell r="F237" t="str">
            <v>64% годовых</v>
          </cell>
          <cell r="G237">
            <v>5.3999999999999999E-2</v>
          </cell>
          <cell r="H237">
            <v>340909.1</v>
          </cell>
        </row>
        <row r="238">
          <cell r="A238" t="str">
            <v>В-21208/КЛ.Транш - 1_В-20211230/Ц</v>
          </cell>
          <cell r="B238" t="str">
            <v>Журавлева Наталья Юрьевна</v>
          </cell>
          <cell r="C238">
            <v>44410</v>
          </cell>
          <cell r="D238">
            <v>81</v>
          </cell>
          <cell r="E238">
            <v>12</v>
          </cell>
          <cell r="F238" t="str">
            <v>81% годовых</v>
          </cell>
          <cell r="G238">
            <v>5.3999999999999999E-2</v>
          </cell>
          <cell r="H238">
            <v>100000</v>
          </cell>
        </row>
        <row r="239">
          <cell r="A239" t="str">
            <v>В-01179/АЗ_В-20211230/Ц</v>
          </cell>
          <cell r="B239" t="str">
            <v>Забиров Ринат Шавкатович</v>
          </cell>
          <cell r="C239">
            <v>44335</v>
          </cell>
          <cell r="D239">
            <v>66</v>
          </cell>
          <cell r="E239">
            <v>48</v>
          </cell>
          <cell r="F239" t="str">
            <v>66% годовых</v>
          </cell>
          <cell r="G239">
            <v>5.3999999999999999E-2</v>
          </cell>
          <cell r="H239">
            <v>353000</v>
          </cell>
        </row>
        <row r="240">
          <cell r="A240" t="str">
            <v>В-13449/КЛ.Транш - 1_В-21082023/Ц</v>
          </cell>
          <cell r="B240" t="str">
            <v>Зайцев Иван Владимирович</v>
          </cell>
          <cell r="C240">
            <v>44205</v>
          </cell>
          <cell r="D240">
            <v>74</v>
          </cell>
          <cell r="E240">
            <v>48</v>
          </cell>
          <cell r="F240" t="str">
            <v>74% годовых</v>
          </cell>
          <cell r="G240">
            <v>5.3999999999999999E-2</v>
          </cell>
          <cell r="H240">
            <v>100000</v>
          </cell>
        </row>
        <row r="241">
          <cell r="A241" t="str">
            <v>В-22744/КЛ.Транш - 1_В-21082023/Ц</v>
          </cell>
          <cell r="B241" t="str">
            <v>Зайцева Светлана Юрьевна</v>
          </cell>
          <cell r="C241">
            <v>44458</v>
          </cell>
          <cell r="D241">
            <v>64</v>
          </cell>
          <cell r="E241">
            <v>36</v>
          </cell>
          <cell r="F241" t="str">
            <v>64% годовых</v>
          </cell>
          <cell r="G241">
            <v>5.3999999999999999E-2</v>
          </cell>
          <cell r="H241">
            <v>113636.4</v>
          </cell>
        </row>
        <row r="242">
          <cell r="A242" t="str">
            <v>В-00678/КЛ.Транш - 1_В-21082023/Ц</v>
          </cell>
          <cell r="B242" t="str">
            <v>Заргаров Насиб Зияддин Оглы</v>
          </cell>
          <cell r="C242">
            <v>43740</v>
          </cell>
          <cell r="D242">
            <v>84</v>
          </cell>
          <cell r="E242">
            <v>12</v>
          </cell>
          <cell r="F242" t="str">
            <v>84% годовых</v>
          </cell>
          <cell r="G242">
            <v>5.3999999999999999E-2</v>
          </cell>
          <cell r="H242">
            <v>100000</v>
          </cell>
        </row>
        <row r="243">
          <cell r="A243" t="str">
            <v>В-15330/КЛ.Транш - 1_В-20211230/Ц</v>
          </cell>
          <cell r="B243" t="str">
            <v>Заргарян Марианна Марленовна</v>
          </cell>
          <cell r="C243">
            <v>44261</v>
          </cell>
          <cell r="D243">
            <v>67</v>
          </cell>
          <cell r="E243">
            <v>48</v>
          </cell>
          <cell r="F243" t="str">
            <v>67% годовых</v>
          </cell>
          <cell r="G243">
            <v>5.3999999999999999E-2</v>
          </cell>
          <cell r="H243">
            <v>700000</v>
          </cell>
        </row>
        <row r="244">
          <cell r="A244" t="str">
            <v>В-15156/КЛ.Транш - 1_В-20211230/Ц</v>
          </cell>
          <cell r="B244" t="str">
            <v>Зарипов Булат Ульфатович</v>
          </cell>
          <cell r="C244">
            <v>44257</v>
          </cell>
          <cell r="D244">
            <v>67</v>
          </cell>
          <cell r="E244">
            <v>12</v>
          </cell>
          <cell r="F244" t="str">
            <v>67% годовых</v>
          </cell>
          <cell r="G244">
            <v>5.3999999999999999E-2</v>
          </cell>
          <cell r="H244">
            <v>150000</v>
          </cell>
        </row>
        <row r="245">
          <cell r="A245" t="str">
            <v>В-01898/КЛ.Транш - 1_В-20211230/Ц</v>
          </cell>
          <cell r="B245" t="str">
            <v>Захаркин Алексей Викторович</v>
          </cell>
          <cell r="C245">
            <v>43810</v>
          </cell>
          <cell r="D245">
            <v>73</v>
          </cell>
          <cell r="E245">
            <v>12</v>
          </cell>
          <cell r="F245" t="str">
            <v>73% годовых</v>
          </cell>
          <cell r="G245">
            <v>5.3999999999999999E-2</v>
          </cell>
          <cell r="H245">
            <v>800000</v>
          </cell>
        </row>
        <row r="246">
          <cell r="A246" t="str">
            <v>В-00986/КЛ.Транш - 1_В-21082023/Ц</v>
          </cell>
          <cell r="B246" t="str">
            <v>Захаров Евгений Николаевич 2</v>
          </cell>
          <cell r="C246">
            <v>43759</v>
          </cell>
          <cell r="D246">
            <v>84</v>
          </cell>
          <cell r="E246">
            <v>12</v>
          </cell>
          <cell r="F246" t="str">
            <v>84% годовых</v>
          </cell>
          <cell r="G246">
            <v>5.3999999999999999E-2</v>
          </cell>
          <cell r="H246">
            <v>800000</v>
          </cell>
        </row>
        <row r="247">
          <cell r="A247" t="str">
            <v>В-12912/КЛ.Транш - 1_В-21082023/Ц</v>
          </cell>
          <cell r="B247" t="str">
            <v>Захарова Ирина Константиновна</v>
          </cell>
          <cell r="C247">
            <v>44189</v>
          </cell>
          <cell r="D247">
            <v>66</v>
          </cell>
          <cell r="E247">
            <v>48</v>
          </cell>
          <cell r="F247" t="str">
            <v>До 1 мес. 0%; от 2 и более мес. 66%.</v>
          </cell>
          <cell r="G247">
            <v>5.3999999999999999E-2</v>
          </cell>
          <cell r="H247">
            <v>500000</v>
          </cell>
        </row>
        <row r="248">
          <cell r="A248" t="str">
            <v>В-08942/КЛ.Транш - 1_В-21082023/Ц</v>
          </cell>
          <cell r="B248" t="str">
            <v>Зеленков Алексей Владимирович</v>
          </cell>
          <cell r="C248">
            <v>44085</v>
          </cell>
          <cell r="D248">
            <v>80</v>
          </cell>
          <cell r="E248">
            <v>24</v>
          </cell>
          <cell r="F248" t="str">
            <v>80% годовых</v>
          </cell>
          <cell r="G248">
            <v>5.3999999999999999E-2</v>
          </cell>
          <cell r="H248">
            <v>100000</v>
          </cell>
        </row>
        <row r="249">
          <cell r="A249" t="str">
            <v>А-04751/АЗ</v>
          </cell>
          <cell r="B249" t="str">
            <v>Зенин Александр Петрович</v>
          </cell>
          <cell r="C249">
            <v>43432</v>
          </cell>
          <cell r="D249">
            <v>77</v>
          </cell>
          <cell r="E249">
            <v>36</v>
          </cell>
          <cell r="F249" t="str">
            <v>30% годовых</v>
          </cell>
          <cell r="G249">
            <v>5.3999999999999999E-2</v>
          </cell>
          <cell r="H249">
            <v>200000</v>
          </cell>
        </row>
        <row r="250">
          <cell r="A250" t="str">
            <v>В-17167/КЛ.Транш - 1_В-20211230/Ц</v>
          </cell>
          <cell r="B250" t="str">
            <v>Зинкевич Константин Владимирович</v>
          </cell>
          <cell r="C250">
            <v>44309</v>
          </cell>
          <cell r="D250">
            <v>50</v>
          </cell>
          <cell r="E250">
            <v>48</v>
          </cell>
          <cell r="F250" t="str">
            <v>50% годовых</v>
          </cell>
          <cell r="G250">
            <v>5.3999999999999999E-2</v>
          </cell>
          <cell r="H250">
            <v>170454.5</v>
          </cell>
        </row>
        <row r="251">
          <cell r="A251" t="str">
            <v>В-15831/КЛ.Транш - 1_В-21082023/Ц</v>
          </cell>
          <cell r="B251" t="str">
            <v>Зиновьева Елена Николаевна</v>
          </cell>
          <cell r="C251">
            <v>44275</v>
          </cell>
          <cell r="D251">
            <v>67</v>
          </cell>
          <cell r="E251">
            <v>48</v>
          </cell>
          <cell r="F251" t="str">
            <v>67% годовых</v>
          </cell>
          <cell r="G251">
            <v>5.3999999999999999E-2</v>
          </cell>
          <cell r="H251">
            <v>600000</v>
          </cell>
        </row>
        <row r="252">
          <cell r="A252" t="str">
            <v>В-00833/АЗ_В-20211230/Ц</v>
          </cell>
          <cell r="B252" t="str">
            <v>Зияев Азиз Джамшедович</v>
          </cell>
          <cell r="C252">
            <v>43850</v>
          </cell>
          <cell r="D252">
            <v>87</v>
          </cell>
          <cell r="E252">
            <v>12</v>
          </cell>
          <cell r="F252" t="str">
            <v>87% годовых</v>
          </cell>
          <cell r="G252">
            <v>5.3999999999999999E-2</v>
          </cell>
          <cell r="H252">
            <v>256000</v>
          </cell>
        </row>
        <row r="253">
          <cell r="A253" t="str">
            <v>В-00835/АЗ_В-20211230/Ц</v>
          </cell>
          <cell r="B253" t="str">
            <v>Зияев Азиз Джамшедович</v>
          </cell>
          <cell r="C253">
            <v>43850</v>
          </cell>
          <cell r="D253">
            <v>87</v>
          </cell>
          <cell r="E253">
            <v>12</v>
          </cell>
          <cell r="F253" t="str">
            <v>87% годовых</v>
          </cell>
          <cell r="G253">
            <v>5.3999999999999999E-2</v>
          </cell>
          <cell r="H253">
            <v>256000</v>
          </cell>
        </row>
        <row r="254">
          <cell r="A254" t="str">
            <v>В-00832/АЗ_В-20211230/Ц</v>
          </cell>
          <cell r="B254" t="str">
            <v>Зияев Азиз Джамшедович</v>
          </cell>
          <cell r="C254">
            <v>43850</v>
          </cell>
          <cell r="D254">
            <v>87</v>
          </cell>
          <cell r="E254">
            <v>12</v>
          </cell>
          <cell r="F254" t="str">
            <v>87% годовых</v>
          </cell>
          <cell r="G254">
            <v>5.3999999999999999E-2</v>
          </cell>
          <cell r="H254">
            <v>224000</v>
          </cell>
        </row>
        <row r="255">
          <cell r="A255" t="str">
            <v>В-00836/АЗ_В-20211230/Ц</v>
          </cell>
          <cell r="B255" t="str">
            <v>Зияев Азиз Джамшедович</v>
          </cell>
          <cell r="C255">
            <v>43850</v>
          </cell>
          <cell r="D255">
            <v>87</v>
          </cell>
          <cell r="E255">
            <v>12</v>
          </cell>
          <cell r="F255" t="str">
            <v>87% годовых</v>
          </cell>
          <cell r="G255">
            <v>5.3999999999999999E-2</v>
          </cell>
          <cell r="H255">
            <v>256000</v>
          </cell>
        </row>
        <row r="256">
          <cell r="A256" t="str">
            <v>В-24927/КЛ.Транш - 1_В-20211230/Ц</v>
          </cell>
          <cell r="B256" t="str">
            <v>Златин Денис Петрович</v>
          </cell>
          <cell r="C256">
            <v>44522</v>
          </cell>
          <cell r="D256">
            <v>64</v>
          </cell>
          <cell r="E256">
            <v>48</v>
          </cell>
          <cell r="F256" t="str">
            <v>64% годовых</v>
          </cell>
          <cell r="G256">
            <v>5.3999999999999999E-2</v>
          </cell>
          <cell r="H256">
            <v>170454.5</v>
          </cell>
        </row>
        <row r="257">
          <cell r="A257" t="str">
            <v>В-00953/АЗ_В-21082023/Ц</v>
          </cell>
          <cell r="B257" t="str">
            <v>Змиевский Владимир Владимирович</v>
          </cell>
          <cell r="C257">
            <v>44015</v>
          </cell>
          <cell r="D257">
            <v>54</v>
          </cell>
          <cell r="E257">
            <v>48</v>
          </cell>
          <cell r="F257" t="str">
            <v>54% годовых</v>
          </cell>
          <cell r="G257">
            <v>5.3999999999999999E-2</v>
          </cell>
          <cell r="H257">
            <v>480000</v>
          </cell>
        </row>
        <row r="258">
          <cell r="A258" t="str">
            <v>В-23840/КЛ.Транш - 1_В-20211230/Ц</v>
          </cell>
          <cell r="B258" t="str">
            <v>Золотов Олег Владимирович</v>
          </cell>
          <cell r="C258">
            <v>44490</v>
          </cell>
          <cell r="D258">
            <v>74</v>
          </cell>
          <cell r="E258">
            <v>24</v>
          </cell>
          <cell r="F258" t="str">
            <v>74% годовых</v>
          </cell>
          <cell r="G258">
            <v>5.3999999999999999E-2</v>
          </cell>
          <cell r="H258">
            <v>700000</v>
          </cell>
        </row>
        <row r="259">
          <cell r="A259" t="str">
            <v>В-23555/КЛ.Транш - 1_В-21082023/Ц</v>
          </cell>
          <cell r="B259" t="str">
            <v>Зотов Дмитрий Анатольевич</v>
          </cell>
          <cell r="C259">
            <v>44482</v>
          </cell>
          <cell r="D259">
            <v>67</v>
          </cell>
          <cell r="E259">
            <v>48</v>
          </cell>
          <cell r="F259" t="str">
            <v>67% годовых</v>
          </cell>
          <cell r="G259">
            <v>5.3999999999999999E-2</v>
          </cell>
          <cell r="H259">
            <v>720000</v>
          </cell>
        </row>
        <row r="260">
          <cell r="A260" t="str">
            <v>В-23555/КЛ.Транш - 2_В-21082023/Ц</v>
          </cell>
          <cell r="B260" t="str">
            <v>Зотов Дмитрий Анатольевич</v>
          </cell>
          <cell r="C260">
            <v>44613</v>
          </cell>
          <cell r="D260">
            <v>56</v>
          </cell>
          <cell r="E260">
            <v>48</v>
          </cell>
          <cell r="F260" t="str">
            <v>56% годовых</v>
          </cell>
          <cell r="G260">
            <v>5.3999999999999999E-2</v>
          </cell>
          <cell r="H260">
            <v>156000</v>
          </cell>
        </row>
        <row r="261">
          <cell r="A261" t="str">
            <v>В-22996/КЛ.Транш - 3_В-20211230/Ц</v>
          </cell>
          <cell r="B261" t="str">
            <v>Зуева Мария Михайловна</v>
          </cell>
          <cell r="C261">
            <v>44570</v>
          </cell>
          <cell r="D261">
            <v>64</v>
          </cell>
          <cell r="E261">
            <v>48</v>
          </cell>
          <cell r="F261" t="str">
            <v>64% годовых</v>
          </cell>
          <cell r="G261">
            <v>5.3999999999999999E-2</v>
          </cell>
          <cell r="H261">
            <v>136364</v>
          </cell>
        </row>
        <row r="262">
          <cell r="A262" t="str">
            <v>В-22996/КЛ.Транш - 2_В-20211230/Ц</v>
          </cell>
          <cell r="B262" t="str">
            <v>Зуева Мария Михайловна</v>
          </cell>
          <cell r="C262">
            <v>44488</v>
          </cell>
          <cell r="D262">
            <v>64</v>
          </cell>
          <cell r="E262">
            <v>48</v>
          </cell>
          <cell r="F262" t="str">
            <v>64% годовых</v>
          </cell>
          <cell r="G262">
            <v>5.3999999999999999E-2</v>
          </cell>
          <cell r="H262">
            <v>113636.4</v>
          </cell>
        </row>
        <row r="263">
          <cell r="A263" t="str">
            <v>В-22996/КЛ.Транш - 1_В-20211230/Ц</v>
          </cell>
          <cell r="B263" t="str">
            <v>Зуева Мария Михайловна</v>
          </cell>
          <cell r="C263">
            <v>44465</v>
          </cell>
          <cell r="D263">
            <v>64</v>
          </cell>
          <cell r="E263">
            <v>48</v>
          </cell>
          <cell r="F263" t="str">
            <v>64% годовых</v>
          </cell>
          <cell r="G263">
            <v>5.3999999999999999E-2</v>
          </cell>
          <cell r="H263">
            <v>227272.7</v>
          </cell>
        </row>
        <row r="264">
          <cell r="A264" t="str">
            <v>В-22996/КЛ.Транш - 4_В-20211230/Ц</v>
          </cell>
          <cell r="B264" t="str">
            <v>Зуева Мария Михайловна</v>
          </cell>
          <cell r="C264">
            <v>44613</v>
          </cell>
          <cell r="D264">
            <v>64</v>
          </cell>
          <cell r="E264">
            <v>48</v>
          </cell>
          <cell r="F264" t="str">
            <v>64% годовых</v>
          </cell>
          <cell r="G264">
            <v>5.3999999999999999E-2</v>
          </cell>
          <cell r="H264">
            <v>159575</v>
          </cell>
        </row>
        <row r="265">
          <cell r="A265" t="str">
            <v>А-04955/АЗ</v>
          </cell>
          <cell r="B265" t="str">
            <v>Зуева Светлана Григорьевна</v>
          </cell>
          <cell r="C265">
            <v>43480</v>
          </cell>
          <cell r="D265">
            <v>88</v>
          </cell>
          <cell r="E265">
            <v>36</v>
          </cell>
          <cell r="F265" t="str">
            <v>88% годовых</v>
          </cell>
          <cell r="G265">
            <v>5.3999999999999999E-2</v>
          </cell>
          <cell r="H265">
            <v>100000</v>
          </cell>
        </row>
        <row r="266">
          <cell r="A266" t="str">
            <v>В-00823/АЗ_В-21082023/Ц</v>
          </cell>
          <cell r="B266" t="str">
            <v>Иванец Дмитрий Андреевич</v>
          </cell>
          <cell r="C266">
            <v>43846</v>
          </cell>
          <cell r="D266">
            <v>77</v>
          </cell>
          <cell r="E266">
            <v>36</v>
          </cell>
          <cell r="F266" t="str">
            <v>77% годовых</v>
          </cell>
          <cell r="G266">
            <v>5.3999999999999999E-2</v>
          </cell>
          <cell r="H266">
            <v>300000</v>
          </cell>
        </row>
        <row r="267">
          <cell r="A267" t="str">
            <v>В-17095/КЛ.Транш - 1_В-21082023/Ц</v>
          </cell>
          <cell r="B267" t="str">
            <v>Иванов Антон Олегович</v>
          </cell>
          <cell r="C267">
            <v>44312</v>
          </cell>
          <cell r="D267">
            <v>50</v>
          </cell>
          <cell r="E267">
            <v>36</v>
          </cell>
          <cell r="F267" t="str">
            <v>55% годовых</v>
          </cell>
          <cell r="G267">
            <v>5.3999999999999999E-2</v>
          </cell>
          <cell r="H267">
            <v>113636.4</v>
          </cell>
        </row>
        <row r="268">
          <cell r="A268" t="str">
            <v>В-17625/КЛ.Транш - 1_В-20211230/Ц</v>
          </cell>
          <cell r="B268" t="str">
            <v>Иванов Борис Александрович</v>
          </cell>
          <cell r="C268">
            <v>44320</v>
          </cell>
          <cell r="D268">
            <v>81</v>
          </cell>
          <cell r="E268">
            <v>36</v>
          </cell>
          <cell r="F268" t="str">
            <v>81% годовых</v>
          </cell>
          <cell r="G268">
            <v>5.3999999999999999E-2</v>
          </cell>
          <cell r="H268">
            <v>1000000</v>
          </cell>
        </row>
        <row r="269">
          <cell r="A269" t="str">
            <v>В-11534/КЛ.Транш - 1_В-20211230/Ц</v>
          </cell>
          <cell r="B269" t="str">
            <v>Иванов Владимир Леонидович</v>
          </cell>
          <cell r="C269">
            <v>44160</v>
          </cell>
          <cell r="D269">
            <v>50</v>
          </cell>
          <cell r="E269">
            <v>36</v>
          </cell>
          <cell r="F269" t="str">
            <v>50% годовых</v>
          </cell>
          <cell r="G269">
            <v>5.3999999999999999E-2</v>
          </cell>
          <cell r="H269">
            <v>300000</v>
          </cell>
        </row>
        <row r="270">
          <cell r="A270" t="str">
            <v>В-11534/КЛ.Транш - 2_В-20211230/Ц</v>
          </cell>
          <cell r="B270" t="str">
            <v>Иванов Владимир Леонидович</v>
          </cell>
          <cell r="C270">
            <v>44247</v>
          </cell>
          <cell r="D270">
            <v>74</v>
          </cell>
          <cell r="E270">
            <v>48</v>
          </cell>
          <cell r="F270" t="str">
            <v>74% годовых</v>
          </cell>
          <cell r="G270">
            <v>5.3999999999999999E-2</v>
          </cell>
          <cell r="H270">
            <v>200000</v>
          </cell>
        </row>
        <row r="271">
          <cell r="A271" t="str">
            <v>А-00063/БЭ</v>
          </cell>
          <cell r="B271" t="str">
            <v>Иванов Евгений Владимирович</v>
          </cell>
          <cell r="C271">
            <v>43893</v>
          </cell>
          <cell r="D271">
            <v>120</v>
          </cell>
          <cell r="E271">
            <v>1</v>
          </cell>
          <cell r="F271" t="str">
            <v>120% годовых</v>
          </cell>
          <cell r="G271">
            <v>5.3999999999999999E-2</v>
          </cell>
          <cell r="H271">
            <v>500000</v>
          </cell>
        </row>
        <row r="272">
          <cell r="A272" t="str">
            <v>Т-00038/БЭ_Т-20211028/Ц</v>
          </cell>
          <cell r="B272" t="str">
            <v>Иванов Евгений Владимирович</v>
          </cell>
          <cell r="C272">
            <v>43893</v>
          </cell>
          <cell r="D272">
            <v>120</v>
          </cell>
          <cell r="E272">
            <v>1</v>
          </cell>
          <cell r="F272" t="str">
            <v>120% годовых</v>
          </cell>
          <cell r="G272">
            <v>5.3999999999999999E-2</v>
          </cell>
          <cell r="H272">
            <v>500000</v>
          </cell>
        </row>
        <row r="273">
          <cell r="A273" t="str">
            <v>В-18216/КЛ.Транш - 1_В-20211230/Ц</v>
          </cell>
          <cell r="B273" t="str">
            <v>Иванов Илья Андреевич</v>
          </cell>
          <cell r="C273">
            <v>44337</v>
          </cell>
          <cell r="D273">
            <v>81</v>
          </cell>
          <cell r="E273">
            <v>24</v>
          </cell>
          <cell r="F273" t="str">
            <v>81% годовых</v>
          </cell>
          <cell r="G273">
            <v>5.3999999999999999E-2</v>
          </cell>
          <cell r="H273">
            <v>100000</v>
          </cell>
        </row>
        <row r="274">
          <cell r="A274" t="str">
            <v>В-12551/КЛ.Транш - 1_В-20211230/Ц</v>
          </cell>
          <cell r="B274" t="str">
            <v>Иванченко Сергей Александрович</v>
          </cell>
          <cell r="C274">
            <v>44188</v>
          </cell>
          <cell r="D274">
            <v>50</v>
          </cell>
          <cell r="E274">
            <v>48</v>
          </cell>
          <cell r="F274" t="str">
            <v>50% годовых</v>
          </cell>
          <cell r="G274">
            <v>5.3999999999999999E-2</v>
          </cell>
          <cell r="H274">
            <v>180000</v>
          </cell>
        </row>
        <row r="275">
          <cell r="A275" t="str">
            <v>В-00972/АЗ</v>
          </cell>
          <cell r="B275" t="str">
            <v>Ивлева Ольга Николаевна</v>
          </cell>
          <cell r="C275">
            <v>44041</v>
          </cell>
          <cell r="D275">
            <v>80</v>
          </cell>
          <cell r="E275">
            <v>24</v>
          </cell>
          <cell r="F275" t="str">
            <v>80% годовых</v>
          </cell>
          <cell r="G275">
            <v>5.3999999999999999E-2</v>
          </cell>
          <cell r="H275">
            <v>150000</v>
          </cell>
        </row>
        <row r="276">
          <cell r="A276" t="str">
            <v>А-05208/АЗ</v>
          </cell>
          <cell r="B276" t="str">
            <v>Иджян Соломон Сергеевич</v>
          </cell>
          <cell r="C276">
            <v>43546</v>
          </cell>
          <cell r="D276">
            <v>84</v>
          </cell>
          <cell r="E276">
            <v>36</v>
          </cell>
          <cell r="F276" t="str">
            <v>84% годовых</v>
          </cell>
          <cell r="G276">
            <v>5.3999999999999999E-2</v>
          </cell>
          <cell r="H276">
            <v>500000</v>
          </cell>
        </row>
        <row r="277">
          <cell r="A277" t="str">
            <v>Т-01758/АЗ_В-21082023/Ц</v>
          </cell>
          <cell r="B277" t="str">
            <v>Иджян Соломон Сергеевич</v>
          </cell>
          <cell r="C277">
            <v>43546</v>
          </cell>
          <cell r="D277">
            <v>84</v>
          </cell>
          <cell r="E277">
            <v>36</v>
          </cell>
          <cell r="F277" t="str">
            <v>84% годовых</v>
          </cell>
          <cell r="G277">
            <v>5.3999999999999999E-2</v>
          </cell>
          <cell r="H277">
            <v>500000</v>
          </cell>
        </row>
        <row r="278">
          <cell r="A278" t="str">
            <v>В-16915/КЛ.Транш - 1_В-20211230/Ц</v>
          </cell>
          <cell r="B278" t="str">
            <v>Ильинский Владимир Юрьевич</v>
          </cell>
          <cell r="C278">
            <v>44303</v>
          </cell>
          <cell r="D278">
            <v>74</v>
          </cell>
          <cell r="E278">
            <v>12</v>
          </cell>
          <cell r="F278" t="str">
            <v>74% годовых</v>
          </cell>
          <cell r="G278">
            <v>5.3999999999999999E-2</v>
          </cell>
          <cell r="H278">
            <v>1000000</v>
          </cell>
        </row>
        <row r="279">
          <cell r="A279" t="str">
            <v>В-10278/КЛ.Транш - 1_В-21082023/Ц</v>
          </cell>
          <cell r="B279" t="str">
            <v>Инджелер Фатих</v>
          </cell>
          <cell r="C279">
            <v>44123</v>
          </cell>
          <cell r="D279">
            <v>87</v>
          </cell>
          <cell r="E279">
            <v>36</v>
          </cell>
          <cell r="F279" t="str">
            <v>50% годовых</v>
          </cell>
          <cell r="G279">
            <v>5.3999999999999999E-2</v>
          </cell>
          <cell r="H279">
            <v>680000</v>
          </cell>
        </row>
        <row r="280">
          <cell r="A280" t="str">
            <v>В-25747/КЛ.Транш - 1_В-20211230/Ц</v>
          </cell>
          <cell r="B280" t="str">
            <v>Инютин Никита Александрович</v>
          </cell>
          <cell r="C280">
            <v>44538</v>
          </cell>
          <cell r="D280">
            <v>88</v>
          </cell>
          <cell r="E280">
            <v>24</v>
          </cell>
          <cell r="F280" t="str">
            <v>88% годовых</v>
          </cell>
          <cell r="G280">
            <v>5.3999999999999999E-2</v>
          </cell>
          <cell r="H280">
            <v>665000</v>
          </cell>
        </row>
        <row r="281">
          <cell r="A281" t="str">
            <v>А-10045/КЭ.Транш - 2</v>
          </cell>
          <cell r="B281" t="str">
            <v>ИП Аббасов Амин Тофиг Оглы</v>
          </cell>
          <cell r="C281">
            <v>43458</v>
          </cell>
          <cell r="D281">
            <v>65</v>
          </cell>
          <cell r="E281">
            <v>24</v>
          </cell>
          <cell r="F281" t="str">
            <v>65% годовых</v>
          </cell>
          <cell r="G281">
            <v>1</v>
          </cell>
          <cell r="H281">
            <v>130000</v>
          </cell>
        </row>
        <row r="282">
          <cell r="A282" t="str">
            <v>А-10061/КЭ.Транш - 1</v>
          </cell>
          <cell r="B282" t="str">
            <v>ИП Акулич Александр Сергеевич</v>
          </cell>
          <cell r="C282">
            <v>43356</v>
          </cell>
          <cell r="D282">
            <v>65</v>
          </cell>
          <cell r="E282">
            <v>3</v>
          </cell>
          <cell r="F282" t="str">
            <v>65% годовых</v>
          </cell>
          <cell r="G282">
            <v>1</v>
          </cell>
          <cell r="H282">
            <v>150000</v>
          </cell>
        </row>
        <row r="283">
          <cell r="A283" t="str">
            <v>А-10100/КЭ.Транш - 2</v>
          </cell>
          <cell r="B283" t="str">
            <v>ИП Антонов Павел Владимирович</v>
          </cell>
          <cell r="C283">
            <v>43825</v>
          </cell>
          <cell r="D283">
            <v>65</v>
          </cell>
          <cell r="E283">
            <v>6</v>
          </cell>
          <cell r="F283" t="str">
            <v>65% годовых</v>
          </cell>
          <cell r="G283">
            <v>1</v>
          </cell>
          <cell r="H283">
            <v>85000</v>
          </cell>
        </row>
        <row r="284">
          <cell r="A284" t="str">
            <v>А-10100/КЭ.Транш - 3</v>
          </cell>
          <cell r="B284" t="str">
            <v>ИП Антонов Павел Владимирович</v>
          </cell>
          <cell r="C284">
            <v>43875</v>
          </cell>
          <cell r="D284">
            <v>65</v>
          </cell>
          <cell r="E284">
            <v>6</v>
          </cell>
          <cell r="F284" t="str">
            <v>65% годовых</v>
          </cell>
          <cell r="G284">
            <v>1</v>
          </cell>
          <cell r="H284">
            <v>77000</v>
          </cell>
        </row>
        <row r="285">
          <cell r="A285" t="str">
            <v>А-00292/КЭ.Транш - 1</v>
          </cell>
          <cell r="B285" t="str">
            <v>ИП Аристакесян Анна Николаевна</v>
          </cell>
          <cell r="C285">
            <v>43185</v>
          </cell>
          <cell r="D285">
            <v>65</v>
          </cell>
          <cell r="E285">
            <v>24</v>
          </cell>
          <cell r="F285" t="str">
            <v>65% годовых</v>
          </cell>
          <cell r="G285">
            <v>1</v>
          </cell>
          <cell r="H285">
            <v>150000</v>
          </cell>
        </row>
        <row r="286">
          <cell r="A286" t="str">
            <v>В-30007/КЭ.Транш - 1_В-20211230/Ц</v>
          </cell>
          <cell r="B286" t="str">
            <v>ИП Артемов Александр Викторович</v>
          </cell>
          <cell r="C286">
            <v>44396</v>
          </cell>
          <cell r="D286">
            <v>50</v>
          </cell>
          <cell r="E286">
            <v>24</v>
          </cell>
          <cell r="F286" t="str">
            <v>50% годовых</v>
          </cell>
          <cell r="G286">
            <v>1</v>
          </cell>
          <cell r="H286">
            <v>1500000</v>
          </cell>
        </row>
        <row r="287">
          <cell r="A287" t="str">
            <v>В-00021/КЭ.Транш - 1_В-20211230/Ц</v>
          </cell>
          <cell r="B287" t="str">
            <v>ИП Арутюнян Ваге Андреасович</v>
          </cell>
          <cell r="C287">
            <v>44180</v>
          </cell>
          <cell r="D287">
            <v>65</v>
          </cell>
          <cell r="E287">
            <v>12</v>
          </cell>
          <cell r="F287" t="str">
            <v>65% годовых</v>
          </cell>
          <cell r="G287">
            <v>1</v>
          </cell>
          <cell r="H287">
            <v>300000</v>
          </cell>
        </row>
        <row r="288">
          <cell r="A288" t="str">
            <v>В-30001/КЭ.Транш - 1_В-20211230/Ц</v>
          </cell>
          <cell r="B288" t="str">
            <v>ИП Белан Надежда Александровна</v>
          </cell>
          <cell r="C288">
            <v>44096</v>
          </cell>
          <cell r="D288">
            <v>65</v>
          </cell>
          <cell r="E288">
            <v>24</v>
          </cell>
          <cell r="F288" t="str">
            <v>65% годовых</v>
          </cell>
          <cell r="G288">
            <v>1</v>
          </cell>
          <cell r="H288">
            <v>300000</v>
          </cell>
        </row>
        <row r="289">
          <cell r="A289" t="str">
            <v>Т-10005/КЭ_Т-20211028/Ц</v>
          </cell>
          <cell r="B289" t="str">
            <v>ИП Богданова Лариса Анатольевна</v>
          </cell>
          <cell r="C289">
            <v>43936</v>
          </cell>
          <cell r="D289">
            <v>18</v>
          </cell>
          <cell r="E289">
            <v>15</v>
          </cell>
          <cell r="F289" t="str">
            <v>18% годовых</v>
          </cell>
          <cell r="G289">
            <v>0.5</v>
          </cell>
          <cell r="H289">
            <v>170687.58</v>
          </cell>
        </row>
        <row r="290">
          <cell r="A290" t="str">
            <v>Т-00004/КЭ_Т-20211028/Ц</v>
          </cell>
          <cell r="B290" t="str">
            <v>ИП Бойко Василий Анатольевич</v>
          </cell>
          <cell r="C290">
            <v>43942</v>
          </cell>
          <cell r="D290">
            <v>30</v>
          </cell>
          <cell r="E290">
            <v>24</v>
          </cell>
          <cell r="F290" t="str">
            <v>До 3 мес. 30%; от 4 и более мес. 65%.</v>
          </cell>
          <cell r="G290">
            <v>0.5</v>
          </cell>
          <cell r="H290">
            <v>154775.73000000001</v>
          </cell>
        </row>
        <row r="291">
          <cell r="A291" t="str">
            <v>А-10087/КЭ.Транш - 1</v>
          </cell>
          <cell r="B291" t="str">
            <v>ИП Быданов Кирилл Владимирович</v>
          </cell>
          <cell r="C291">
            <v>43514</v>
          </cell>
          <cell r="D291">
            <v>65</v>
          </cell>
          <cell r="E291">
            <v>24</v>
          </cell>
          <cell r="F291" t="str">
            <v>65% годовых</v>
          </cell>
          <cell r="G291">
            <v>1</v>
          </cell>
          <cell r="H291">
            <v>150000</v>
          </cell>
        </row>
        <row r="292">
          <cell r="A292" t="str">
            <v>В-30003/КЭ.Транш - 1_В-21082023/Ц</v>
          </cell>
          <cell r="B292" t="str">
            <v>ИП Вертейко Алексей Михайлович</v>
          </cell>
          <cell r="C292">
            <v>44229</v>
          </cell>
          <cell r="D292">
            <v>65</v>
          </cell>
          <cell r="E292">
            <v>730</v>
          </cell>
          <cell r="F292" t="str">
            <v>65% годовых</v>
          </cell>
          <cell r="G292">
            <v>1</v>
          </cell>
          <cell r="H292">
            <v>150000</v>
          </cell>
        </row>
        <row r="293">
          <cell r="A293" t="str">
            <v>А-00389/КЭ.Транш - 2</v>
          </cell>
          <cell r="B293" t="str">
            <v>ИП Грозин Андрей Викторович</v>
          </cell>
          <cell r="C293">
            <v>43664</v>
          </cell>
          <cell r="D293">
            <v>65</v>
          </cell>
          <cell r="E293">
            <v>24</v>
          </cell>
          <cell r="F293" t="str">
            <v>65% годовых</v>
          </cell>
          <cell r="G293">
            <v>1</v>
          </cell>
          <cell r="H293">
            <v>160000</v>
          </cell>
        </row>
        <row r="294">
          <cell r="A294" t="str">
            <v>А-00389/КЭ.Транш - 1</v>
          </cell>
          <cell r="B294" t="str">
            <v>ИП Грозин Андрей Викторович</v>
          </cell>
          <cell r="C294">
            <v>43633</v>
          </cell>
          <cell r="D294">
            <v>65</v>
          </cell>
          <cell r="E294">
            <v>24</v>
          </cell>
          <cell r="F294" t="str">
            <v>65% годовых</v>
          </cell>
          <cell r="G294">
            <v>1</v>
          </cell>
          <cell r="H294">
            <v>200000</v>
          </cell>
        </row>
        <row r="295">
          <cell r="A295" t="str">
            <v>А-00281/КЭ.Транш - 3</v>
          </cell>
          <cell r="B295" t="str">
            <v>ИП Грозин Андрей Викторович</v>
          </cell>
          <cell r="C295">
            <v>43462</v>
          </cell>
          <cell r="D295">
            <v>65</v>
          </cell>
          <cell r="E295">
            <v>24</v>
          </cell>
          <cell r="F295" t="str">
            <v>65% годовых</v>
          </cell>
          <cell r="G295">
            <v>1</v>
          </cell>
          <cell r="H295">
            <v>165000</v>
          </cell>
        </row>
        <row r="296">
          <cell r="A296" t="str">
            <v>А-30002/КЭ.Транш - 1</v>
          </cell>
          <cell r="B296" t="str">
            <v>ИП Клименченко Ирина Анатольевна</v>
          </cell>
          <cell r="C296">
            <v>43537</v>
          </cell>
          <cell r="D296">
            <v>65</v>
          </cell>
          <cell r="E296">
            <v>24</v>
          </cell>
          <cell r="F296" t="str">
            <v>65% годовых</v>
          </cell>
          <cell r="G296">
            <v>1</v>
          </cell>
          <cell r="H296">
            <v>300000</v>
          </cell>
        </row>
        <row r="297">
          <cell r="A297" t="str">
            <v>Т-00002/КЭ_Т-20211028/Ц</v>
          </cell>
          <cell r="B297" t="str">
            <v>ИП Клякин Станислав Анатольевич</v>
          </cell>
          <cell r="C297">
            <v>43931</v>
          </cell>
          <cell r="D297">
            <v>30</v>
          </cell>
          <cell r="E297">
            <v>744</v>
          </cell>
          <cell r="F297" t="str">
            <v>30% годовых</v>
          </cell>
          <cell r="G297">
            <v>0.5</v>
          </cell>
          <cell r="H297">
            <v>375337.6</v>
          </cell>
        </row>
        <row r="298">
          <cell r="A298" t="str">
            <v>А-10036/КЭ.Транш - 1</v>
          </cell>
          <cell r="B298" t="str">
            <v>ИП Королев Александр Владимирович</v>
          </cell>
          <cell r="C298">
            <v>43153</v>
          </cell>
          <cell r="D298">
            <v>65</v>
          </cell>
          <cell r="E298">
            <v>24</v>
          </cell>
          <cell r="F298" t="str">
            <v>65% годовых</v>
          </cell>
          <cell r="G298">
            <v>1</v>
          </cell>
          <cell r="H298">
            <v>150000</v>
          </cell>
        </row>
        <row r="299">
          <cell r="A299" t="str">
            <v>Т-00001/КЭ_Т-20211028/Ц</v>
          </cell>
          <cell r="B299" t="str">
            <v>ИП Кругляк Наталья Анатольевна</v>
          </cell>
          <cell r="C299">
            <v>43931</v>
          </cell>
          <cell r="D299">
            <v>30</v>
          </cell>
          <cell r="E299">
            <v>18</v>
          </cell>
          <cell r="F299" t="str">
            <v>30% годовых</v>
          </cell>
          <cell r="G299">
            <v>0.5</v>
          </cell>
          <cell r="H299">
            <v>539180.56999999995</v>
          </cell>
        </row>
        <row r="300">
          <cell r="A300" t="str">
            <v>А-00408/КЭ.Транш - 1</v>
          </cell>
          <cell r="B300" t="str">
            <v>ИП Кругляк Наталья Анатольевна</v>
          </cell>
          <cell r="C300"/>
          <cell r="D300">
            <v>65</v>
          </cell>
          <cell r="F300" t="str">
            <v>65% годовых</v>
          </cell>
          <cell r="G300">
            <v>1</v>
          </cell>
          <cell r="H300">
            <v>1020000</v>
          </cell>
        </row>
        <row r="301">
          <cell r="A301" t="str">
            <v>А-00314/КЭ.Транш - 1</v>
          </cell>
          <cell r="B301" t="str">
            <v>ИП Мамедов Эльдар Эльдарович</v>
          </cell>
          <cell r="C301">
            <v>43266</v>
          </cell>
          <cell r="D301">
            <v>65</v>
          </cell>
          <cell r="E301">
            <v>12</v>
          </cell>
          <cell r="F301" t="str">
            <v>65% годовых</v>
          </cell>
          <cell r="G301">
            <v>1</v>
          </cell>
          <cell r="H301">
            <v>150000</v>
          </cell>
        </row>
        <row r="302">
          <cell r="A302" t="str">
            <v>В-10006/КЭ.Транш - 1</v>
          </cell>
          <cell r="B302" t="str">
            <v>ИП Матвеев Николай Викторович</v>
          </cell>
          <cell r="C302">
            <v>44127</v>
          </cell>
          <cell r="D302">
            <v>65</v>
          </cell>
          <cell r="E302">
            <v>12</v>
          </cell>
          <cell r="F302" t="str">
            <v>65% годовых</v>
          </cell>
          <cell r="G302">
            <v>1</v>
          </cell>
          <cell r="H302">
            <v>242000</v>
          </cell>
        </row>
        <row r="303">
          <cell r="A303" t="str">
            <v>В-00063/КЭ.Транш - 3_В-20211230/Ц</v>
          </cell>
          <cell r="B303" t="str">
            <v>ИП Месропян Аревик Орбеловна</v>
          </cell>
          <cell r="C303">
            <v>44595</v>
          </cell>
          <cell r="D303">
            <v>65</v>
          </cell>
          <cell r="E303">
            <v>24</v>
          </cell>
          <cell r="F303" t="str">
            <v>65% годовых</v>
          </cell>
          <cell r="G303">
            <v>1</v>
          </cell>
          <cell r="H303">
            <v>300000</v>
          </cell>
        </row>
        <row r="304">
          <cell r="A304" t="str">
            <v>В-00052/КЭ.Транш - 1_В-21082023/Ц</v>
          </cell>
          <cell r="B304" t="str">
            <v>ИП Окунева Лилия Викторовна</v>
          </cell>
          <cell r="C304">
            <v>44441</v>
          </cell>
          <cell r="D304">
            <v>65</v>
          </cell>
          <cell r="E304">
            <v>24</v>
          </cell>
          <cell r="F304" t="str">
            <v>65% годовых</v>
          </cell>
          <cell r="G304">
            <v>1</v>
          </cell>
          <cell r="H304">
            <v>300000</v>
          </cell>
        </row>
        <row r="305">
          <cell r="A305" t="str">
            <v>В-10025/КЭ.Транш - 1_В-20211230/Ц</v>
          </cell>
          <cell r="B305" t="str">
            <v>ИП Петров Юрий Викторович</v>
          </cell>
          <cell r="C305">
            <v>44606</v>
          </cell>
          <cell r="D305">
            <v>65</v>
          </cell>
          <cell r="E305">
            <v>24</v>
          </cell>
          <cell r="F305" t="str">
            <v>65% годовых</v>
          </cell>
          <cell r="G305">
            <v>1</v>
          </cell>
          <cell r="H305">
            <v>300000</v>
          </cell>
        </row>
        <row r="306">
          <cell r="A306" t="str">
            <v>А-30005/КЭ.Транш - 1</v>
          </cell>
          <cell r="B306" t="str">
            <v>ИП Пивкин Константин Леонидович</v>
          </cell>
          <cell r="C306">
            <v>43703</v>
          </cell>
          <cell r="D306">
            <v>65</v>
          </cell>
          <cell r="E306">
            <v>12</v>
          </cell>
          <cell r="F306" t="str">
            <v>65% годовых</v>
          </cell>
          <cell r="G306">
            <v>1</v>
          </cell>
          <cell r="H306">
            <v>150000</v>
          </cell>
        </row>
        <row r="307">
          <cell r="A307" t="str">
            <v>А-00418/КЭ.Транш - 1</v>
          </cell>
          <cell r="B307" t="str">
            <v>ИП Пулянина Вероника Александровна</v>
          </cell>
          <cell r="C307">
            <v>43748</v>
          </cell>
          <cell r="D307">
            <v>65</v>
          </cell>
          <cell r="E307">
            <v>24</v>
          </cell>
          <cell r="F307" t="str">
            <v>65% годовых</v>
          </cell>
          <cell r="G307">
            <v>1</v>
          </cell>
          <cell r="H307">
            <v>300000</v>
          </cell>
        </row>
        <row r="308">
          <cell r="A308" t="str">
            <v>А-00305/КЭ.Транш - 1</v>
          </cell>
          <cell r="B308" t="str">
            <v>ИП Сбитнева Нелли Игоревна</v>
          </cell>
          <cell r="C308">
            <v>43248</v>
          </cell>
          <cell r="D308">
            <v>65</v>
          </cell>
          <cell r="E308">
            <v>24</v>
          </cell>
          <cell r="F308" t="str">
            <v>65% годовых</v>
          </cell>
          <cell r="G308">
            <v>1</v>
          </cell>
          <cell r="H308">
            <v>150000</v>
          </cell>
        </row>
        <row r="309">
          <cell r="A309" t="str">
            <v>В-10024/КЭ.Транш - 1_В-20211230/Ц</v>
          </cell>
          <cell r="B309" t="str">
            <v>ИП Светлов Виталий Анатольевич</v>
          </cell>
          <cell r="C309">
            <v>44606</v>
          </cell>
          <cell r="D309">
            <v>65</v>
          </cell>
          <cell r="E309">
            <v>24</v>
          </cell>
          <cell r="F309" t="str">
            <v>65% годовых</v>
          </cell>
          <cell r="G309">
            <v>1</v>
          </cell>
          <cell r="H309">
            <v>260000</v>
          </cell>
        </row>
        <row r="310">
          <cell r="A310" t="str">
            <v>В-10008/КЭ.Транш - 3_В-20211230/Ц</v>
          </cell>
          <cell r="B310" t="str">
            <v>ИП Светлов Виталий Анатольевич</v>
          </cell>
          <cell r="C310">
            <v>44419</v>
          </cell>
          <cell r="D310">
            <v>65</v>
          </cell>
          <cell r="E310">
            <v>24</v>
          </cell>
          <cell r="F310" t="str">
            <v>65% годовых</v>
          </cell>
          <cell r="G310">
            <v>1</v>
          </cell>
          <cell r="H310">
            <v>125000</v>
          </cell>
        </row>
        <row r="311">
          <cell r="A311" t="str">
            <v>В-10008/КЭ.Транш - 2_В-20211230/Ц</v>
          </cell>
          <cell r="B311" t="str">
            <v>ИП Светлов Виталий Анатольевич</v>
          </cell>
          <cell r="C311">
            <v>44294</v>
          </cell>
          <cell r="D311">
            <v>65</v>
          </cell>
          <cell r="E311">
            <v>24</v>
          </cell>
          <cell r="F311" t="str">
            <v>65% годовых</v>
          </cell>
          <cell r="G311">
            <v>1</v>
          </cell>
          <cell r="H311">
            <v>483000</v>
          </cell>
        </row>
        <row r="312">
          <cell r="A312" t="str">
            <v>В-10008/КЭ.Транш - 1_В-20211230/Ц</v>
          </cell>
          <cell r="B312" t="str">
            <v>ИП Светлов Виталий Анатольевич</v>
          </cell>
          <cell r="C312">
            <v>44134</v>
          </cell>
          <cell r="D312">
            <v>65</v>
          </cell>
          <cell r="E312">
            <v>24</v>
          </cell>
          <cell r="F312" t="str">
            <v>65% годовых</v>
          </cell>
          <cell r="G312">
            <v>1</v>
          </cell>
          <cell r="H312">
            <v>250000</v>
          </cell>
        </row>
        <row r="313">
          <cell r="A313" t="str">
            <v>А-00404/КЭ.Транш - 1</v>
          </cell>
          <cell r="B313" t="str">
            <v>ИП Силютина Анна Геннадьевна</v>
          </cell>
          <cell r="C313">
            <v>43699</v>
          </cell>
          <cell r="D313">
            <v>65</v>
          </cell>
          <cell r="E313">
            <v>6</v>
          </cell>
          <cell r="F313" t="str">
            <v>18% годовых</v>
          </cell>
          <cell r="G313">
            <v>1</v>
          </cell>
          <cell r="H313">
            <v>100000</v>
          </cell>
        </row>
        <row r="314">
          <cell r="A314" t="str">
            <v>А-00428/КЭ.Транш - 1</v>
          </cell>
          <cell r="B314" t="str">
            <v>ИП Степаненков Александр Андреевич</v>
          </cell>
          <cell r="C314">
            <v>43825</v>
          </cell>
          <cell r="D314">
            <v>65</v>
          </cell>
          <cell r="E314">
            <v>12</v>
          </cell>
          <cell r="F314" t="str">
            <v>65% годовых</v>
          </cell>
          <cell r="G314">
            <v>1</v>
          </cell>
          <cell r="H314">
            <v>150000</v>
          </cell>
        </row>
        <row r="315">
          <cell r="A315" t="str">
            <v>В-00012/КЭ.Транш - 1_В-20211230/Ц</v>
          </cell>
          <cell r="B315" t="str">
            <v>ИП Тен Елена Манкильевна</v>
          </cell>
          <cell r="C315">
            <v>44123</v>
          </cell>
          <cell r="D315">
            <v>65</v>
          </cell>
          <cell r="E315">
            <v>12</v>
          </cell>
          <cell r="F315" t="str">
            <v>65% годовых</v>
          </cell>
          <cell r="G315">
            <v>1</v>
          </cell>
          <cell r="H315">
            <v>400000</v>
          </cell>
        </row>
        <row r="316">
          <cell r="A316" t="str">
            <v>А-10102/КЭ.Транш - 1</v>
          </cell>
          <cell r="B316" t="str">
            <v>ИП Трескунова Ольга Евгеньевна</v>
          </cell>
          <cell r="C316">
            <v>43767</v>
          </cell>
          <cell r="D316">
            <v>65</v>
          </cell>
          <cell r="E316">
            <v>24</v>
          </cell>
          <cell r="F316" t="str">
            <v>65% годовых</v>
          </cell>
          <cell r="G316">
            <v>1</v>
          </cell>
          <cell r="H316">
            <v>150000</v>
          </cell>
        </row>
        <row r="317">
          <cell r="A317" t="str">
            <v>А-00435/КЭ.Транш - 1</v>
          </cell>
          <cell r="B317" t="str">
            <v>ИП Удалов Игорь Игоревич</v>
          </cell>
          <cell r="C317">
            <v>43854</v>
          </cell>
          <cell r="D317">
            <v>65</v>
          </cell>
          <cell r="E317">
            <v>6</v>
          </cell>
          <cell r="F317" t="str">
            <v>65% годовых</v>
          </cell>
          <cell r="G317">
            <v>1</v>
          </cell>
          <cell r="H317">
            <v>100000</v>
          </cell>
        </row>
        <row r="318">
          <cell r="A318" t="str">
            <v>А-10039/КЭ.Транш - 1</v>
          </cell>
          <cell r="B318" t="str">
            <v>ИП Фараджов Зейнал Алинаги Оглы</v>
          </cell>
          <cell r="C318">
            <v>43165</v>
          </cell>
          <cell r="D318">
            <v>65</v>
          </cell>
          <cell r="E318">
            <v>24</v>
          </cell>
          <cell r="F318" t="str">
            <v>65% годовых</v>
          </cell>
          <cell r="G318">
            <v>1</v>
          </cell>
          <cell r="H318">
            <v>150000</v>
          </cell>
        </row>
        <row r="319">
          <cell r="A319" t="str">
            <v>В-30009/КЭ.Транш - 1_В-20211230/Ц</v>
          </cell>
          <cell r="B319" t="str">
            <v>ИП Федотов Тихон Андреевич</v>
          </cell>
          <cell r="C319">
            <v>44445</v>
          </cell>
          <cell r="D319">
            <v>65</v>
          </cell>
          <cell r="E319">
            <v>24</v>
          </cell>
          <cell r="F319" t="str">
            <v>65% годовых</v>
          </cell>
          <cell r="G319">
            <v>1</v>
          </cell>
          <cell r="H319">
            <v>150000</v>
          </cell>
        </row>
        <row r="320">
          <cell r="A320" t="str">
            <v>А-10032/КЭ.Транш - 1</v>
          </cell>
          <cell r="B320" t="str">
            <v>ИП Филатов Андрей Анатольевич</v>
          </cell>
          <cell r="C320">
            <v>43139</v>
          </cell>
          <cell r="D320">
            <v>65</v>
          </cell>
          <cell r="E320">
            <v>24</v>
          </cell>
          <cell r="F320" t="str">
            <v>65% годовых</v>
          </cell>
          <cell r="G320">
            <v>1</v>
          </cell>
          <cell r="H320">
            <v>150000</v>
          </cell>
        </row>
        <row r="321">
          <cell r="A321" t="str">
            <v>А-10032/КЭ.Транш - 2</v>
          </cell>
          <cell r="B321" t="str">
            <v>ИП Филатов Андрей Анатольевич</v>
          </cell>
          <cell r="C321">
            <v>43461</v>
          </cell>
          <cell r="D321">
            <v>65</v>
          </cell>
          <cell r="E321">
            <v>24</v>
          </cell>
          <cell r="F321" t="str">
            <v>65% годовых</v>
          </cell>
          <cell r="G321">
            <v>1</v>
          </cell>
          <cell r="H321">
            <v>92000</v>
          </cell>
        </row>
        <row r="322">
          <cell r="A322" t="str">
            <v>А-00458/КЭ.Транш - 1</v>
          </cell>
          <cell r="B322" t="str">
            <v>ИП Харин Евгений Александрович</v>
          </cell>
          <cell r="C322">
            <v>44005</v>
          </cell>
          <cell r="D322">
            <v>65</v>
          </cell>
          <cell r="E322">
            <v>24</v>
          </cell>
          <cell r="F322" t="str">
            <v>65% годовых</v>
          </cell>
          <cell r="G322">
            <v>1</v>
          </cell>
          <cell r="H322">
            <v>520000</v>
          </cell>
        </row>
        <row r="323">
          <cell r="A323" t="str">
            <v>А-00332/КЭ.Транш - 1</v>
          </cell>
          <cell r="B323" t="str">
            <v>ИП Харин Евгений Александрович</v>
          </cell>
          <cell r="C323">
            <v>43343</v>
          </cell>
          <cell r="D323">
            <v>65</v>
          </cell>
          <cell r="E323">
            <v>24</v>
          </cell>
          <cell r="F323" t="str">
            <v>65% годовых</v>
          </cell>
          <cell r="G323">
            <v>1</v>
          </cell>
          <cell r="H323">
            <v>215000</v>
          </cell>
        </row>
        <row r="324">
          <cell r="A324" t="str">
            <v>В-00022/КЭ.Транш - 1_А-20210929/Ц</v>
          </cell>
          <cell r="B324" t="str">
            <v>ИП Харин Евгений Александрович</v>
          </cell>
          <cell r="C324">
            <v>44183</v>
          </cell>
          <cell r="D324">
            <v>65</v>
          </cell>
          <cell r="E324">
            <v>12</v>
          </cell>
          <cell r="F324" t="str">
            <v>65% годовых</v>
          </cell>
          <cell r="G324">
            <v>1</v>
          </cell>
          <cell r="H324">
            <v>250000</v>
          </cell>
        </row>
        <row r="325">
          <cell r="A325" t="str">
            <v>А-00327/КЭ.Транш - 1</v>
          </cell>
          <cell r="B325" t="str">
            <v>ИП Чеботарь Анжелика Сергеевна</v>
          </cell>
          <cell r="C325">
            <v>43319</v>
          </cell>
          <cell r="D325">
            <v>50</v>
          </cell>
          <cell r="E325">
            <v>24</v>
          </cell>
          <cell r="F325" t="str">
            <v>30% годовых</v>
          </cell>
          <cell r="G325">
            <v>1</v>
          </cell>
          <cell r="H325">
            <v>1000000</v>
          </cell>
        </row>
        <row r="326">
          <cell r="A326" t="str">
            <v>А-00357/КЭ.Транш - 1</v>
          </cell>
          <cell r="B326" t="str">
            <v>ИП Чермошенцева Галина Сергеевна</v>
          </cell>
          <cell r="C326">
            <v>43438</v>
          </cell>
          <cell r="D326">
            <v>65</v>
          </cell>
          <cell r="E326">
            <v>24</v>
          </cell>
          <cell r="F326" t="str">
            <v>65% годовых</v>
          </cell>
          <cell r="G326">
            <v>1</v>
          </cell>
          <cell r="H326">
            <v>300000</v>
          </cell>
        </row>
        <row r="327">
          <cell r="A327" t="str">
            <v>А-10092/КЭ.Транш - 1</v>
          </cell>
          <cell r="B327" t="str">
            <v>ИП Ячменёва Ольга Сергеевна</v>
          </cell>
          <cell r="C327">
            <v>43592</v>
          </cell>
          <cell r="D327">
            <v>65</v>
          </cell>
          <cell r="E327">
            <v>24</v>
          </cell>
          <cell r="F327" t="str">
            <v>65% годовых</v>
          </cell>
          <cell r="G327">
            <v>1</v>
          </cell>
          <cell r="H327">
            <v>300000</v>
          </cell>
        </row>
        <row r="328">
          <cell r="A328" t="str">
            <v>А-10092/КЭ.Транш - 2</v>
          </cell>
          <cell r="B328" t="str">
            <v>ИП Ячменёва Ольга Сергеевна</v>
          </cell>
          <cell r="C328">
            <v>43747</v>
          </cell>
          <cell r="D328">
            <v>65</v>
          </cell>
          <cell r="E328">
            <v>24</v>
          </cell>
          <cell r="F328" t="str">
            <v>65% годовых</v>
          </cell>
          <cell r="G328">
            <v>1</v>
          </cell>
          <cell r="H328">
            <v>86000</v>
          </cell>
        </row>
        <row r="329">
          <cell r="A329" t="str">
            <v>А-10092/КЭ.Транш - 3</v>
          </cell>
          <cell r="B329" t="str">
            <v>ИП Ячменёва Ольга Сергеевна</v>
          </cell>
          <cell r="C329">
            <v>43868</v>
          </cell>
          <cell r="D329">
            <v>65</v>
          </cell>
          <cell r="E329">
            <v>24</v>
          </cell>
          <cell r="F329" t="str">
            <v>65% годовых</v>
          </cell>
          <cell r="G329">
            <v>1</v>
          </cell>
          <cell r="H329">
            <v>110000</v>
          </cell>
        </row>
        <row r="330">
          <cell r="A330" t="str">
            <v>В-28538/КЛ.Транш - 1_В-21082023/Ц</v>
          </cell>
          <cell r="B330" t="str">
            <v>Ирицян Армен Дживанович</v>
          </cell>
          <cell r="C330">
            <v>44613</v>
          </cell>
          <cell r="D330">
            <v>84</v>
          </cell>
          <cell r="E330">
            <v>24</v>
          </cell>
          <cell r="F330" t="str">
            <v>84% годовых</v>
          </cell>
          <cell r="G330">
            <v>5.3999999999999999E-2</v>
          </cell>
          <cell r="H330">
            <v>250000</v>
          </cell>
        </row>
        <row r="331">
          <cell r="A331" t="str">
            <v>В-20787/КЛ.Транш - 1_В-20211230/Ц</v>
          </cell>
          <cell r="B331" t="str">
            <v>Исаков Иван Владимирович</v>
          </cell>
          <cell r="C331">
            <v>44400</v>
          </cell>
          <cell r="D331">
            <v>50</v>
          </cell>
          <cell r="E331">
            <v>24</v>
          </cell>
          <cell r="F331" t="str">
            <v>50% годовых</v>
          </cell>
          <cell r="G331">
            <v>5.3999999999999999E-2</v>
          </cell>
          <cell r="H331">
            <v>130681.8</v>
          </cell>
        </row>
        <row r="332">
          <cell r="A332" t="str">
            <v>В-12016/КЛ.Транш - 2_В-20211230/Ц</v>
          </cell>
          <cell r="B332" t="str">
            <v>Исаков Магомед Владимирович</v>
          </cell>
          <cell r="C332">
            <v>44175</v>
          </cell>
          <cell r="D332">
            <v>80</v>
          </cell>
          <cell r="E332">
            <v>12</v>
          </cell>
          <cell r="F332" t="str">
            <v>80% годовых</v>
          </cell>
          <cell r="G332">
            <v>5.3999999999999999E-2</v>
          </cell>
          <cell r="H332">
            <v>100000</v>
          </cell>
        </row>
        <row r="333">
          <cell r="A333" t="str">
            <v>В-12016/КЛ.Транш - 4_В-20211230/Ц</v>
          </cell>
          <cell r="B333" t="str">
            <v>Исаков Магомед Владимирович</v>
          </cell>
          <cell r="C333">
            <v>44183</v>
          </cell>
          <cell r="D333">
            <v>80</v>
          </cell>
          <cell r="E333">
            <v>36</v>
          </cell>
          <cell r="F333" t="str">
            <v>80% годовых</v>
          </cell>
          <cell r="G333">
            <v>5.3999999999999999E-2</v>
          </cell>
          <cell r="H333">
            <v>100000</v>
          </cell>
        </row>
        <row r="334">
          <cell r="A334" t="str">
            <v>В-12016/КЛ.Транш - 1_В-20211230/Ц</v>
          </cell>
          <cell r="B334" t="str">
            <v>Исаков Магомед Владимирович</v>
          </cell>
          <cell r="C334">
            <v>44170</v>
          </cell>
          <cell r="D334">
            <v>73</v>
          </cell>
          <cell r="E334">
            <v>12</v>
          </cell>
          <cell r="F334" t="str">
            <v>73% годовых</v>
          </cell>
          <cell r="G334">
            <v>5.3999999999999999E-2</v>
          </cell>
          <cell r="H334">
            <v>100000</v>
          </cell>
        </row>
        <row r="335">
          <cell r="A335" t="str">
            <v>В-12016/КЛ.Транш - 3_В-20211230/Ц</v>
          </cell>
          <cell r="B335" t="str">
            <v>Исаков Магомед Владимирович</v>
          </cell>
          <cell r="C335">
            <v>44180</v>
          </cell>
          <cell r="D335">
            <v>87</v>
          </cell>
          <cell r="E335">
            <v>24</v>
          </cell>
          <cell r="F335" t="str">
            <v>87% годовых</v>
          </cell>
          <cell r="G335">
            <v>5.3999999999999999E-2</v>
          </cell>
          <cell r="H335">
            <v>100000</v>
          </cell>
        </row>
        <row r="336">
          <cell r="A336" t="str">
            <v>В-00683/КЛ.Транш - 1</v>
          </cell>
          <cell r="B336" t="str">
            <v>Исаченков Сергей Алексеевич</v>
          </cell>
          <cell r="C336">
            <v>43741</v>
          </cell>
          <cell r="D336">
            <v>84</v>
          </cell>
          <cell r="E336">
            <v>36</v>
          </cell>
          <cell r="F336" t="str">
            <v>84% годовых</v>
          </cell>
          <cell r="G336">
            <v>5.3999999999999999E-2</v>
          </cell>
          <cell r="H336">
            <v>300000</v>
          </cell>
        </row>
        <row r="337">
          <cell r="A337" t="str">
            <v>А-10070/КЭ.Транш - 1</v>
          </cell>
          <cell r="B337" t="str">
            <v>К12 ООО</v>
          </cell>
          <cell r="C337">
            <v>43395</v>
          </cell>
          <cell r="D337">
            <v>50</v>
          </cell>
          <cell r="E337">
            <v>24</v>
          </cell>
          <cell r="F337" t="str">
            <v>50% годовых</v>
          </cell>
          <cell r="G337">
            <v>1</v>
          </cell>
          <cell r="H337">
            <v>610000</v>
          </cell>
        </row>
        <row r="338">
          <cell r="A338" t="str">
            <v>В-00477/АЗ_В-21082023/Ц</v>
          </cell>
          <cell r="B338" t="str">
            <v>Каверин Владимир Геннадьевич</v>
          </cell>
          <cell r="C338">
            <v>43705</v>
          </cell>
          <cell r="D338">
            <v>77</v>
          </cell>
          <cell r="E338">
            <v>36</v>
          </cell>
          <cell r="F338" t="str">
            <v>77% годовых</v>
          </cell>
          <cell r="G338">
            <v>5.3999999999999999E-2</v>
          </cell>
          <cell r="H338">
            <v>680000</v>
          </cell>
        </row>
        <row r="339">
          <cell r="A339" t="str">
            <v>В-16873/КЛ.Транш - 1</v>
          </cell>
          <cell r="B339" t="str">
            <v>Казанин Игорь Викторович</v>
          </cell>
          <cell r="C339">
            <v>44301</v>
          </cell>
          <cell r="D339">
            <v>50</v>
          </cell>
          <cell r="E339">
            <v>36</v>
          </cell>
          <cell r="F339" t="str">
            <v>50% годовых</v>
          </cell>
          <cell r="G339">
            <v>5.3999999999999999E-2</v>
          </cell>
          <cell r="H339">
            <v>340909.1</v>
          </cell>
        </row>
        <row r="340">
          <cell r="A340" t="str">
            <v>В-00398/АЗ_В-21082023/Ц</v>
          </cell>
          <cell r="B340" t="str">
            <v>Казанцева Альбина Валерьевна</v>
          </cell>
          <cell r="C340">
            <v>43675</v>
          </cell>
          <cell r="D340">
            <v>84</v>
          </cell>
          <cell r="E340">
            <v>36</v>
          </cell>
          <cell r="F340" t="str">
            <v>84% годовых</v>
          </cell>
          <cell r="G340">
            <v>5.3999999999999999E-2</v>
          </cell>
          <cell r="H340">
            <v>400000</v>
          </cell>
        </row>
        <row r="341">
          <cell r="A341" t="str">
            <v>В-00660/АЗ_В-20211230/Ц</v>
          </cell>
          <cell r="B341" t="str">
            <v>Казеев Радмир Рамирович</v>
          </cell>
          <cell r="C341">
            <v>43775</v>
          </cell>
          <cell r="D341">
            <v>77</v>
          </cell>
          <cell r="E341">
            <v>36</v>
          </cell>
          <cell r="F341" t="str">
            <v>77% годовых</v>
          </cell>
          <cell r="G341">
            <v>5.3999999999999999E-2</v>
          </cell>
          <cell r="H341">
            <v>735000</v>
          </cell>
        </row>
        <row r="342">
          <cell r="A342" t="str">
            <v>В-00687/АЗ_В-21082023/Ц</v>
          </cell>
          <cell r="B342" t="str">
            <v>Калантарян Артур Вазгени</v>
          </cell>
          <cell r="C342">
            <v>43783</v>
          </cell>
          <cell r="D342">
            <v>82</v>
          </cell>
          <cell r="E342">
            <v>12</v>
          </cell>
          <cell r="F342" t="str">
            <v>82% годовых</v>
          </cell>
          <cell r="G342">
            <v>5.3999999999999999E-2</v>
          </cell>
          <cell r="H342">
            <v>250000</v>
          </cell>
        </row>
        <row r="343">
          <cell r="A343" t="str">
            <v>В-09250/КЛ.Транш - 1_В-20211230/Ц</v>
          </cell>
          <cell r="B343" t="str">
            <v>Калашников Алексей Владимирович</v>
          </cell>
          <cell r="C343">
            <v>44093</v>
          </cell>
          <cell r="D343">
            <v>73</v>
          </cell>
          <cell r="E343">
            <v>48</v>
          </cell>
          <cell r="F343" t="str">
            <v>73% годовых</v>
          </cell>
          <cell r="G343">
            <v>5.3999999999999999E-2</v>
          </cell>
          <cell r="H343">
            <v>250000</v>
          </cell>
        </row>
        <row r="344">
          <cell r="A344" t="str">
            <v>В-27855/КЛ.Транш - 1_В-20211230/Ц</v>
          </cell>
          <cell r="B344" t="str">
            <v>Калашников Юрий Витальевич</v>
          </cell>
          <cell r="C344">
            <v>44594</v>
          </cell>
          <cell r="D344">
            <v>84</v>
          </cell>
          <cell r="E344">
            <v>36</v>
          </cell>
          <cell r="F344" t="str">
            <v>84% годовых</v>
          </cell>
          <cell r="G344">
            <v>5.3999999999999999E-2</v>
          </cell>
          <cell r="H344">
            <v>700000</v>
          </cell>
        </row>
        <row r="345">
          <cell r="A345" t="str">
            <v>В-03473/КЛ.Транш - 1_В-21082023/Ц</v>
          </cell>
          <cell r="B345" t="str">
            <v>Калошин Павел Сергеевич</v>
          </cell>
          <cell r="C345">
            <v>43879</v>
          </cell>
          <cell r="D345">
            <v>87</v>
          </cell>
          <cell r="E345">
            <v>12</v>
          </cell>
          <cell r="F345" t="str">
            <v>80% годовых</v>
          </cell>
          <cell r="G345">
            <v>5.3999999999999999E-2</v>
          </cell>
          <cell r="H345">
            <v>100000</v>
          </cell>
        </row>
        <row r="346">
          <cell r="A346" t="str">
            <v>В-01911/КЛ.Транш - 1_В-21082023/Ц</v>
          </cell>
          <cell r="B346" t="str">
            <v>Каляев Владимир Александрович</v>
          </cell>
          <cell r="C346">
            <v>43810</v>
          </cell>
          <cell r="D346">
            <v>73</v>
          </cell>
          <cell r="E346">
            <v>36</v>
          </cell>
          <cell r="F346" t="str">
            <v>0% годовых</v>
          </cell>
          <cell r="G346">
            <v>5.3999999999999999E-2</v>
          </cell>
          <cell r="H346">
            <v>205000</v>
          </cell>
        </row>
        <row r="347">
          <cell r="A347" t="str">
            <v>В-19846/КЛ.Транш - 1_В-20211230/Ц</v>
          </cell>
          <cell r="B347" t="str">
            <v>Камбулина Ирина Юрьевна</v>
          </cell>
          <cell r="C347">
            <v>44384</v>
          </cell>
          <cell r="D347">
            <v>50</v>
          </cell>
          <cell r="E347">
            <v>48</v>
          </cell>
          <cell r="F347" t="str">
            <v>50% годовых</v>
          </cell>
          <cell r="G347">
            <v>5.3999999999999999E-2</v>
          </cell>
          <cell r="H347">
            <v>255681.8</v>
          </cell>
        </row>
        <row r="348">
          <cell r="A348" t="str">
            <v>Т-00030/БЭ_Т-20211028/Ц</v>
          </cell>
          <cell r="B348" t="str">
            <v>Камшилина Татьяна Ивановна</v>
          </cell>
          <cell r="C348">
            <v>43606</v>
          </cell>
          <cell r="D348">
            <v>120</v>
          </cell>
          <cell r="E348">
            <v>3</v>
          </cell>
          <cell r="F348" t="str">
            <v>30% годовых</v>
          </cell>
          <cell r="G348">
            <v>5.3999999999999999E-2</v>
          </cell>
          <cell r="H348">
            <v>215861.99</v>
          </cell>
        </row>
        <row r="349">
          <cell r="A349" t="str">
            <v>А-00051/БЭ</v>
          </cell>
          <cell r="B349" t="str">
            <v>Камшилина Татьяна Ивановна</v>
          </cell>
          <cell r="C349">
            <v>43606</v>
          </cell>
          <cell r="D349">
            <v>120</v>
          </cell>
          <cell r="E349">
            <v>3</v>
          </cell>
          <cell r="F349" t="str">
            <v>30% годовых</v>
          </cell>
          <cell r="G349">
            <v>5.3999999999999999E-2</v>
          </cell>
          <cell r="H349">
            <v>250000</v>
          </cell>
        </row>
        <row r="350">
          <cell r="A350" t="str">
            <v>А-04328/АЗ</v>
          </cell>
          <cell r="B350" t="str">
            <v>Камшилина Татьяна Ивановна</v>
          </cell>
          <cell r="C350">
            <v>43328</v>
          </cell>
          <cell r="D350">
            <v>77</v>
          </cell>
          <cell r="E350">
            <v>24</v>
          </cell>
          <cell r="F350" t="str">
            <v>82% годовых</v>
          </cell>
          <cell r="G350">
            <v>5.3999999999999999E-2</v>
          </cell>
          <cell r="H350">
            <v>277000</v>
          </cell>
        </row>
        <row r="351">
          <cell r="A351" t="str">
            <v>В-19766/КЛ.Транш - 1_В-20211230/Ц</v>
          </cell>
          <cell r="B351" t="str">
            <v>Камышов Игорь Николаевич</v>
          </cell>
          <cell r="C351">
            <v>44380</v>
          </cell>
          <cell r="D351">
            <v>50</v>
          </cell>
          <cell r="E351">
            <v>24</v>
          </cell>
          <cell r="F351" t="str">
            <v>50% годовых</v>
          </cell>
          <cell r="G351">
            <v>5.3999999999999999E-2</v>
          </cell>
          <cell r="H351">
            <v>113636.4</v>
          </cell>
        </row>
        <row r="352">
          <cell r="A352" t="str">
            <v>А-10113/КЭ.Транш - 1</v>
          </cell>
          <cell r="B352" t="str">
            <v>КАНЦПРОФ СПБ ООО</v>
          </cell>
          <cell r="C352">
            <v>43886</v>
          </cell>
          <cell r="D352">
            <v>65</v>
          </cell>
          <cell r="E352">
            <v>24</v>
          </cell>
          <cell r="F352" t="str">
            <v>65% годовых</v>
          </cell>
          <cell r="G352">
            <v>1</v>
          </cell>
          <cell r="H352">
            <v>300000</v>
          </cell>
        </row>
        <row r="353">
          <cell r="A353" t="str">
            <v>А-03853/АЗ</v>
          </cell>
          <cell r="B353" t="str">
            <v>Караваев Евгений Сергеевич</v>
          </cell>
          <cell r="C353">
            <v>43204</v>
          </cell>
          <cell r="D353">
            <v>88</v>
          </cell>
          <cell r="E353">
            <v>6</v>
          </cell>
          <cell r="F353" t="str">
            <v>88% годовых</v>
          </cell>
          <cell r="G353">
            <v>5.3999999999999999E-2</v>
          </cell>
          <cell r="H353">
            <v>150000</v>
          </cell>
        </row>
        <row r="354">
          <cell r="A354" t="str">
            <v>В-28159/КЛ.Транш - 1_В-20211230/Ц</v>
          </cell>
          <cell r="B354" t="str">
            <v>Карагезян Шушаник Вачагановна</v>
          </cell>
          <cell r="C354">
            <v>44604</v>
          </cell>
          <cell r="D354">
            <v>84</v>
          </cell>
          <cell r="E354">
            <v>48</v>
          </cell>
          <cell r="F354" t="str">
            <v>84% годовых</v>
          </cell>
          <cell r="G354">
            <v>5.3999999999999999E-2</v>
          </cell>
          <cell r="H354">
            <v>600000</v>
          </cell>
        </row>
        <row r="355">
          <cell r="A355" t="str">
            <v>В-13600/КЛ.Транш - 1_В-20211230/Ц</v>
          </cell>
          <cell r="B355" t="str">
            <v>Карманов Александр Иванович</v>
          </cell>
          <cell r="C355">
            <v>44209</v>
          </cell>
          <cell r="D355">
            <v>74</v>
          </cell>
          <cell r="E355">
            <v>12</v>
          </cell>
          <cell r="F355" t="str">
            <v>74% годовых</v>
          </cell>
          <cell r="G355">
            <v>5.3999999999999999E-2</v>
          </cell>
          <cell r="H355">
            <v>200000</v>
          </cell>
        </row>
        <row r="356">
          <cell r="A356" t="str">
            <v>В-22434/АЗ_В-20211230/Ц</v>
          </cell>
          <cell r="B356" t="str">
            <v>Касутин Евгений Дмитриевич</v>
          </cell>
          <cell r="C356">
            <v>44449</v>
          </cell>
          <cell r="D356">
            <v>60</v>
          </cell>
          <cell r="E356">
            <v>48</v>
          </cell>
          <cell r="F356" t="str">
            <v>60% годовых</v>
          </cell>
          <cell r="G356">
            <v>5.3999999999999999E-2</v>
          </cell>
          <cell r="H356">
            <v>1000000</v>
          </cell>
        </row>
        <row r="357">
          <cell r="A357" t="str">
            <v>В-22436/АЗ_В-20211230/Ц</v>
          </cell>
          <cell r="B357" t="str">
            <v>Касутина Виктория Алексеевна</v>
          </cell>
          <cell r="C357">
            <v>44449</v>
          </cell>
          <cell r="D357">
            <v>67</v>
          </cell>
          <cell r="E357">
            <v>48</v>
          </cell>
          <cell r="F357" t="str">
            <v>67% годовых</v>
          </cell>
          <cell r="G357">
            <v>5.3999999999999999E-2</v>
          </cell>
          <cell r="H357">
            <v>100000</v>
          </cell>
        </row>
        <row r="358">
          <cell r="A358" t="str">
            <v>В-17106/КЛ.Транш - 1_В-20211230/Ц</v>
          </cell>
          <cell r="B358" t="str">
            <v>Кебурия Илья Нугзариевич</v>
          </cell>
          <cell r="C358">
            <v>44308</v>
          </cell>
          <cell r="D358">
            <v>50</v>
          </cell>
          <cell r="E358">
            <v>12</v>
          </cell>
          <cell r="F358" t="str">
            <v>50% годовых</v>
          </cell>
          <cell r="G358">
            <v>5.3999999999999999E-2</v>
          </cell>
          <cell r="H358">
            <v>227272.7</v>
          </cell>
        </row>
        <row r="359">
          <cell r="A359" t="str">
            <v>В-01092/КЛ.Транш - 1_В-21082023/Ц</v>
          </cell>
          <cell r="B359" t="str">
            <v>Келехсаев Эдуард Павлович</v>
          </cell>
          <cell r="C359">
            <v>43766</v>
          </cell>
          <cell r="D359">
            <v>84</v>
          </cell>
          <cell r="E359">
            <v>36</v>
          </cell>
          <cell r="F359" t="str">
            <v>84% годовых</v>
          </cell>
          <cell r="G359">
            <v>5.3999999999999999E-2</v>
          </cell>
          <cell r="H359">
            <v>420000</v>
          </cell>
        </row>
        <row r="360">
          <cell r="A360" t="str">
            <v>В-07877/КЛ.Транш - 14_В-21082023/Ц</v>
          </cell>
          <cell r="B360" t="str">
            <v>Кильдюшкин Андрей Николаевич</v>
          </cell>
          <cell r="C360">
            <v>44307</v>
          </cell>
          <cell r="D360">
            <v>60</v>
          </cell>
          <cell r="E360">
            <v>36</v>
          </cell>
          <cell r="F360" t="str">
            <v>60% годовых</v>
          </cell>
          <cell r="G360">
            <v>5.3999999999999999E-2</v>
          </cell>
          <cell r="H360">
            <v>100000</v>
          </cell>
        </row>
        <row r="361">
          <cell r="A361" t="str">
            <v>В-07877/КЛ.Транш - 12_В-21082023/Ц</v>
          </cell>
          <cell r="B361" t="str">
            <v>Кильдюшкин Андрей Николаевич</v>
          </cell>
          <cell r="C361">
            <v>44292</v>
          </cell>
          <cell r="D361">
            <v>60</v>
          </cell>
          <cell r="E361">
            <v>36</v>
          </cell>
          <cell r="F361" t="str">
            <v>60% годовых</v>
          </cell>
          <cell r="G361">
            <v>5.3999999999999999E-2</v>
          </cell>
          <cell r="H361">
            <v>100000</v>
          </cell>
        </row>
        <row r="362">
          <cell r="A362" t="str">
            <v>В-07877/КЛ.Транш - 15_В-21082023/Ц</v>
          </cell>
          <cell r="B362" t="str">
            <v>Кильдюшкин Андрей Николаевич</v>
          </cell>
          <cell r="C362">
            <v>44395</v>
          </cell>
          <cell r="D362">
            <v>60</v>
          </cell>
          <cell r="E362">
            <v>36</v>
          </cell>
          <cell r="F362" t="str">
            <v>60% годовых</v>
          </cell>
          <cell r="G362">
            <v>5.3999999999999999E-2</v>
          </cell>
          <cell r="H362">
            <v>100000</v>
          </cell>
        </row>
        <row r="363">
          <cell r="A363" t="str">
            <v>В-20703/КЛ.Транш - 1_В-20211230/Ц</v>
          </cell>
          <cell r="B363" t="str">
            <v>Кириллов Николай Валерьевич</v>
          </cell>
          <cell r="C363">
            <v>44398</v>
          </cell>
          <cell r="D363">
            <v>81</v>
          </cell>
          <cell r="E363">
            <v>12</v>
          </cell>
          <cell r="F363" t="str">
            <v>81% годовых</v>
          </cell>
          <cell r="G363">
            <v>5.3999999999999999E-2</v>
          </cell>
          <cell r="H363">
            <v>100000</v>
          </cell>
        </row>
        <row r="364">
          <cell r="A364" t="str">
            <v>В-19346/КЛ.Транш - 2_В-21082023/Ц</v>
          </cell>
          <cell r="B364" t="str">
            <v>Киселев Александр Максимович</v>
          </cell>
          <cell r="C364">
            <v>44512</v>
          </cell>
          <cell r="D364">
            <v>50</v>
          </cell>
          <cell r="E364">
            <v>47</v>
          </cell>
          <cell r="F364" t="str">
            <v>50% годовых</v>
          </cell>
          <cell r="G364">
            <v>5.3999999999999999E-2</v>
          </cell>
          <cell r="H364">
            <v>113636.4</v>
          </cell>
        </row>
        <row r="365">
          <cell r="A365" t="str">
            <v>В-19346/КЛ.Транш - 3_В-21082023/Ц</v>
          </cell>
          <cell r="B365" t="str">
            <v>Киселев Александр Максимович</v>
          </cell>
          <cell r="C365">
            <v>44580</v>
          </cell>
          <cell r="D365">
            <v>50</v>
          </cell>
          <cell r="E365">
            <v>48</v>
          </cell>
          <cell r="F365" t="str">
            <v>50% годовых</v>
          </cell>
          <cell r="G365">
            <v>5.3999999999999999E-2</v>
          </cell>
          <cell r="H365">
            <v>198936</v>
          </cell>
        </row>
        <row r="366">
          <cell r="A366" t="str">
            <v>В-14178/КЛ.Транш - 1_В-20211230/Ц</v>
          </cell>
          <cell r="B366" t="str">
            <v>Киселев Андрей Владимирович</v>
          </cell>
          <cell r="C366">
            <v>44229</v>
          </cell>
          <cell r="D366">
            <v>67</v>
          </cell>
          <cell r="E366">
            <v>24</v>
          </cell>
          <cell r="F366" t="str">
            <v>67% годовых</v>
          </cell>
          <cell r="G366">
            <v>5.3999999999999999E-2</v>
          </cell>
          <cell r="H366">
            <v>100000</v>
          </cell>
        </row>
        <row r="367">
          <cell r="A367" t="str">
            <v>В-12553/КЛ.Транш - 1_В-21082023/Ц</v>
          </cell>
          <cell r="B367" t="str">
            <v>Кисель Наталья Александровна</v>
          </cell>
          <cell r="C367">
            <v>44182</v>
          </cell>
          <cell r="D367">
            <v>73</v>
          </cell>
          <cell r="E367">
            <v>48</v>
          </cell>
          <cell r="F367" t="str">
            <v>73% годовых</v>
          </cell>
          <cell r="G367">
            <v>5.3999999999999999E-2</v>
          </cell>
          <cell r="H367">
            <v>250000</v>
          </cell>
        </row>
        <row r="368">
          <cell r="A368" t="str">
            <v>В-09890/КЛ.Транш - 1_В-21082023/Ц</v>
          </cell>
          <cell r="B368" t="str">
            <v>Климахина Татьяна Сергеевна</v>
          </cell>
          <cell r="C368">
            <v>44110</v>
          </cell>
          <cell r="D368">
            <v>73</v>
          </cell>
          <cell r="E368">
            <v>24</v>
          </cell>
          <cell r="F368" t="str">
            <v>73% годовых</v>
          </cell>
          <cell r="G368">
            <v>5.3999999999999999E-2</v>
          </cell>
          <cell r="H368">
            <v>250000</v>
          </cell>
        </row>
        <row r="369">
          <cell r="A369" t="str">
            <v>В-19593/КЛ.Транш - 1_В-21082023/Ц</v>
          </cell>
          <cell r="B369" t="str">
            <v>Клинов Сергей Евгеньевич</v>
          </cell>
          <cell r="C369">
            <v>44372</v>
          </cell>
          <cell r="D369">
            <v>50</v>
          </cell>
          <cell r="E369">
            <v>36</v>
          </cell>
          <cell r="F369" t="str">
            <v>50% годовых</v>
          </cell>
          <cell r="G369">
            <v>5.3999999999999999E-2</v>
          </cell>
          <cell r="H369">
            <v>568181.80000000005</v>
          </cell>
        </row>
        <row r="370">
          <cell r="A370" t="str">
            <v>В-15778/КЛ.Транш - 1_В-21082023/Ц</v>
          </cell>
          <cell r="B370" t="str">
            <v>Кобахидзе Тэмури Юрьевич</v>
          </cell>
          <cell r="C370">
            <v>45002</v>
          </cell>
          <cell r="D370">
            <v>60</v>
          </cell>
          <cell r="E370">
            <v>12</v>
          </cell>
          <cell r="F370" t="str">
            <v>60% годовых</v>
          </cell>
          <cell r="G370">
            <v>5.3999999999999999E-2</v>
          </cell>
          <cell r="H370">
            <v>900000</v>
          </cell>
        </row>
        <row r="371">
          <cell r="A371" t="str">
            <v>В-15778/КЛ.Транш - 2_В-21082023/Ц</v>
          </cell>
          <cell r="B371" t="str">
            <v>Кобахидзе Тэмури Юрьевич</v>
          </cell>
          <cell r="C371">
            <v>44358</v>
          </cell>
          <cell r="D371">
            <v>67</v>
          </cell>
          <cell r="E371">
            <v>12</v>
          </cell>
          <cell r="F371" t="str">
            <v>67% годовых</v>
          </cell>
          <cell r="G371">
            <v>5.3999999999999999E-2</v>
          </cell>
          <cell r="H371">
            <v>100000</v>
          </cell>
        </row>
        <row r="372">
          <cell r="A372" t="str">
            <v>В-12231/КЛ.Транш - 1_В-21082023/Ц</v>
          </cell>
          <cell r="B372" t="str">
            <v>Кобзев Олег Викторович</v>
          </cell>
          <cell r="C372">
            <v>44175</v>
          </cell>
          <cell r="D372">
            <v>50</v>
          </cell>
          <cell r="E372">
            <v>48</v>
          </cell>
          <cell r="F372" t="str">
            <v>50% годовых</v>
          </cell>
          <cell r="G372">
            <v>5.3999999999999999E-2</v>
          </cell>
          <cell r="H372">
            <v>350000</v>
          </cell>
        </row>
        <row r="373">
          <cell r="A373" t="str">
            <v>Т-01646/АЗ_В-21082023/Ц</v>
          </cell>
          <cell r="B373" t="str">
            <v>Ковбасенко Александр Анатольевич</v>
          </cell>
          <cell r="C373">
            <v>43413</v>
          </cell>
          <cell r="D373">
            <v>98</v>
          </cell>
          <cell r="E373">
            <v>12</v>
          </cell>
          <cell r="F373" t="str">
            <v>98% годовых</v>
          </cell>
          <cell r="G373">
            <v>5.3999999999999999E-2</v>
          </cell>
          <cell r="H373">
            <v>500000</v>
          </cell>
        </row>
        <row r="374">
          <cell r="A374" t="str">
            <v>А-04684/АЗ</v>
          </cell>
          <cell r="B374" t="str">
            <v>Ковбасенко Александр Анатольевич</v>
          </cell>
          <cell r="C374">
            <v>43413</v>
          </cell>
          <cell r="D374">
            <v>98</v>
          </cell>
          <cell r="E374">
            <v>12</v>
          </cell>
          <cell r="F374" t="str">
            <v>98% годовых</v>
          </cell>
          <cell r="G374">
            <v>5.3999999999999999E-2</v>
          </cell>
          <cell r="H374">
            <v>500000</v>
          </cell>
        </row>
        <row r="375">
          <cell r="A375" t="str">
            <v>Т-01681/АЗ_В-20211230/Ц</v>
          </cell>
          <cell r="B375" t="str">
            <v>Ковылин Герман Олегович</v>
          </cell>
          <cell r="C375">
            <v>44551</v>
          </cell>
          <cell r="D375">
            <v>88</v>
          </cell>
          <cell r="E375">
            <v>36</v>
          </cell>
          <cell r="F375" t="str">
            <v>88% годовых</v>
          </cell>
          <cell r="G375">
            <v>5.3999999999999999E-2</v>
          </cell>
          <cell r="H375">
            <v>241926.54</v>
          </cell>
        </row>
        <row r="376">
          <cell r="A376" t="str">
            <v>А-03533/АЗ_В-20211230/Ц</v>
          </cell>
          <cell r="B376" t="str">
            <v>Ковылин Герман Олегович</v>
          </cell>
          <cell r="C376">
            <v>44536</v>
          </cell>
          <cell r="D376">
            <v>88</v>
          </cell>
          <cell r="E376">
            <v>36</v>
          </cell>
          <cell r="F376" t="str">
            <v>88% годовых</v>
          </cell>
          <cell r="G376">
            <v>5.3999999999999999E-2</v>
          </cell>
          <cell r="H376">
            <v>500000</v>
          </cell>
        </row>
        <row r="377">
          <cell r="A377" t="str">
            <v>В-19104/КЛ.Транш - 1_В-21082023/Ц</v>
          </cell>
          <cell r="B377" t="str">
            <v>Кожанов Александр Михайлович</v>
          </cell>
          <cell r="C377">
            <v>44358</v>
          </cell>
          <cell r="D377">
            <v>50</v>
          </cell>
          <cell r="E377">
            <v>12</v>
          </cell>
          <cell r="F377" t="str">
            <v>50% годовых</v>
          </cell>
          <cell r="G377">
            <v>5.3999999999999999E-2</v>
          </cell>
          <cell r="H377">
            <v>397727.3</v>
          </cell>
        </row>
        <row r="378">
          <cell r="A378" t="str">
            <v>В-28598/КЛ.Транш - 1_В-21082023/Ц</v>
          </cell>
          <cell r="B378" t="str">
            <v>Кожинов Дмитрий Сергеевич</v>
          </cell>
          <cell r="C378">
            <v>44615</v>
          </cell>
          <cell r="D378">
            <v>84</v>
          </cell>
          <cell r="E378">
            <v>48</v>
          </cell>
          <cell r="F378" t="str">
            <v>84% годовых</v>
          </cell>
          <cell r="G378">
            <v>5.3999999999999999E-2</v>
          </cell>
          <cell r="H378">
            <v>800000</v>
          </cell>
        </row>
        <row r="379">
          <cell r="A379" t="str">
            <v>В-14546/КЛ.Транш - 1_В-20211230/Ц</v>
          </cell>
          <cell r="B379" t="str">
            <v>Козлов Иван Александрович</v>
          </cell>
          <cell r="C379">
            <v>44239</v>
          </cell>
          <cell r="D379">
            <v>67</v>
          </cell>
          <cell r="E379">
            <v>36</v>
          </cell>
          <cell r="F379" t="str">
            <v>67% годовых</v>
          </cell>
          <cell r="G379">
            <v>5.3999999999999999E-2</v>
          </cell>
          <cell r="H379">
            <v>350000</v>
          </cell>
        </row>
        <row r="380">
          <cell r="A380" t="str">
            <v>В-16728/КЛ.Транш - 1_В-20211230/Ц</v>
          </cell>
          <cell r="B380" t="str">
            <v>Козубекова Наргиза Жапарбаевна</v>
          </cell>
          <cell r="C380">
            <v>44304</v>
          </cell>
          <cell r="D380">
            <v>50</v>
          </cell>
          <cell r="E380">
            <v>24</v>
          </cell>
          <cell r="F380" t="str">
            <v>50% годовых</v>
          </cell>
          <cell r="G380">
            <v>5.3999999999999999E-2</v>
          </cell>
          <cell r="H380">
            <v>306818.2</v>
          </cell>
        </row>
        <row r="381">
          <cell r="A381" t="str">
            <v>В-15583/КЛ.Транш - 1_В-21082023/Ц</v>
          </cell>
          <cell r="B381" t="str">
            <v>Кокина Татьяна Викторовна</v>
          </cell>
          <cell r="C381">
            <v>44268</v>
          </cell>
          <cell r="D381">
            <v>67</v>
          </cell>
          <cell r="E381">
            <v>48</v>
          </cell>
          <cell r="F381" t="str">
            <v>67% годовых</v>
          </cell>
          <cell r="G381">
            <v>5.3999999999999999E-2</v>
          </cell>
          <cell r="H381">
            <v>300000</v>
          </cell>
        </row>
        <row r="382">
          <cell r="A382" t="str">
            <v>В-18921/КЛ.Транш - 1_В-21082023/Ц</v>
          </cell>
          <cell r="B382" t="str">
            <v>Колесников Евгений Михайлович</v>
          </cell>
          <cell r="C382">
            <v>44371</v>
          </cell>
          <cell r="D382">
            <v>81</v>
          </cell>
          <cell r="E382">
            <v>48</v>
          </cell>
          <cell r="F382" t="str">
            <v>81% годовых</v>
          </cell>
          <cell r="G382">
            <v>5.3999999999999999E-2</v>
          </cell>
          <cell r="H382">
            <v>980000</v>
          </cell>
        </row>
        <row r="383">
          <cell r="A383" t="str">
            <v>В-28090/АЗ_В-20211230/Ц</v>
          </cell>
          <cell r="B383" t="str">
            <v>Колесников Михаил Вячеславович</v>
          </cell>
          <cell r="C383">
            <v>44601</v>
          </cell>
          <cell r="D383">
            <v>51</v>
          </cell>
          <cell r="E383">
            <v>36</v>
          </cell>
          <cell r="F383" t="str">
            <v>51% годовых</v>
          </cell>
          <cell r="G383">
            <v>5.3999999999999999E-2</v>
          </cell>
          <cell r="H383">
            <v>1000000</v>
          </cell>
        </row>
        <row r="384">
          <cell r="A384" t="str">
            <v>В-11334/КЛ.Транш - 1_В-20211230/Ц</v>
          </cell>
          <cell r="B384" t="str">
            <v>Кольчицкий Захар Викторович</v>
          </cell>
          <cell r="C384">
            <v>44154</v>
          </cell>
          <cell r="D384">
            <v>73</v>
          </cell>
          <cell r="E384">
            <v>36</v>
          </cell>
          <cell r="F384" t="str">
            <v>73% годовых</v>
          </cell>
          <cell r="G384">
            <v>5.3999999999999999E-2</v>
          </cell>
          <cell r="H384">
            <v>340000</v>
          </cell>
        </row>
        <row r="385">
          <cell r="A385" t="str">
            <v>В-26776/КЛ.Транш - 1_В-20211230/Ц</v>
          </cell>
          <cell r="B385" t="str">
            <v>Комаров Андрей Сергеевич</v>
          </cell>
          <cell r="C385">
            <v>44560</v>
          </cell>
          <cell r="D385">
            <v>50</v>
          </cell>
          <cell r="E385">
            <v>48</v>
          </cell>
          <cell r="F385" t="str">
            <v>50% годовых</v>
          </cell>
          <cell r="G385">
            <v>5.3999999999999999E-2</v>
          </cell>
          <cell r="H385">
            <v>900000</v>
          </cell>
        </row>
        <row r="386">
          <cell r="A386" t="str">
            <v>В-11630/КЛ.Транш - 1_В-20211230/Ц</v>
          </cell>
          <cell r="B386" t="str">
            <v>Комарова Марина Владимировна</v>
          </cell>
          <cell r="C386">
            <v>44161</v>
          </cell>
          <cell r="D386">
            <v>66</v>
          </cell>
          <cell r="E386">
            <v>48</v>
          </cell>
          <cell r="F386" t="str">
            <v>66% годовых</v>
          </cell>
          <cell r="G386">
            <v>5.3999999999999999E-2</v>
          </cell>
          <cell r="H386">
            <v>1000000</v>
          </cell>
        </row>
        <row r="387">
          <cell r="A387" t="str">
            <v>В-24308/КЛ.Транш - 2_В-20211230/Ц</v>
          </cell>
          <cell r="B387" t="str">
            <v>Кондратюк Алексей Николаевич</v>
          </cell>
          <cell r="C387">
            <v>44614</v>
          </cell>
          <cell r="D387">
            <v>64</v>
          </cell>
          <cell r="E387">
            <v>36</v>
          </cell>
          <cell r="F387" t="str">
            <v>64% годовых</v>
          </cell>
          <cell r="G387">
            <v>5.3999999999999999E-2</v>
          </cell>
          <cell r="H387">
            <v>454546</v>
          </cell>
        </row>
        <row r="388">
          <cell r="A388" t="str">
            <v>В-24308/КЛ.Транш - 1_В-20211230/Ц</v>
          </cell>
          <cell r="B388" t="str">
            <v>Кондратюк Алексей Николаевич</v>
          </cell>
          <cell r="C388">
            <v>44501</v>
          </cell>
          <cell r="D388">
            <v>88</v>
          </cell>
          <cell r="E388">
            <v>24</v>
          </cell>
          <cell r="F388" t="str">
            <v>88% годовых</v>
          </cell>
          <cell r="G388">
            <v>5.3999999999999999E-2</v>
          </cell>
          <cell r="H388">
            <v>400000</v>
          </cell>
        </row>
        <row r="389">
          <cell r="A389" t="str">
            <v>В-16455/КЛ.Транш - 1_В-21082023/Ц</v>
          </cell>
          <cell r="B389" t="str">
            <v>Кондрашов Василий Игоревич</v>
          </cell>
          <cell r="C389">
            <v>44291</v>
          </cell>
          <cell r="D389">
            <v>50</v>
          </cell>
          <cell r="E389">
            <v>48</v>
          </cell>
          <cell r="F389" t="str">
            <v>50% годовых</v>
          </cell>
          <cell r="G389">
            <v>5.3999999999999999E-2</v>
          </cell>
          <cell r="H389">
            <v>284090.90000000002</v>
          </cell>
        </row>
        <row r="390">
          <cell r="A390" t="str">
            <v>А-05308/АЗ_В-20211230/Ц</v>
          </cell>
          <cell r="B390" t="str">
            <v>Конокотин Леонид Викторович</v>
          </cell>
          <cell r="C390">
            <v>43584</v>
          </cell>
          <cell r="D390">
            <v>77</v>
          </cell>
          <cell r="E390">
            <v>36</v>
          </cell>
          <cell r="F390" t="str">
            <v>77% годовых</v>
          </cell>
          <cell r="G390">
            <v>5.3999999999999999E-2</v>
          </cell>
          <cell r="H390">
            <v>272000</v>
          </cell>
        </row>
        <row r="391">
          <cell r="A391" t="str">
            <v>В-27646/КЛ.Транш - 1_В-21082023/Ц</v>
          </cell>
          <cell r="B391" t="str">
            <v>Конуркин Сергей Сергеевич</v>
          </cell>
          <cell r="C391">
            <v>44588</v>
          </cell>
          <cell r="D391">
            <v>64</v>
          </cell>
          <cell r="E391">
            <v>48</v>
          </cell>
          <cell r="F391" t="str">
            <v>69% годовых</v>
          </cell>
          <cell r="G391">
            <v>5.3999999999999999E-2</v>
          </cell>
          <cell r="H391">
            <v>409091</v>
          </cell>
        </row>
        <row r="392">
          <cell r="A392" t="str">
            <v>В-17469/КЛ.Транш - 1_В-21082023/Ц</v>
          </cell>
          <cell r="B392" t="str">
            <v>Копытман Александр Семенович</v>
          </cell>
          <cell r="C392">
            <v>44314</v>
          </cell>
          <cell r="D392">
            <v>67</v>
          </cell>
          <cell r="E392">
            <v>48</v>
          </cell>
          <cell r="F392" t="str">
            <v>67% годовых</v>
          </cell>
          <cell r="G392">
            <v>5.3999999999999999E-2</v>
          </cell>
          <cell r="H392">
            <v>900000</v>
          </cell>
        </row>
        <row r="393">
          <cell r="A393" t="str">
            <v>В-17469/КЛ.Транш - 2_В-21082023/Ц</v>
          </cell>
          <cell r="B393" t="str">
            <v>Копытман Александр Семенович</v>
          </cell>
          <cell r="C393">
            <v>44372</v>
          </cell>
          <cell r="D393">
            <v>60</v>
          </cell>
          <cell r="E393">
            <v>48</v>
          </cell>
          <cell r="F393" t="str">
            <v>60% годовых</v>
          </cell>
          <cell r="G393">
            <v>5.3999999999999999E-2</v>
          </cell>
          <cell r="H393">
            <v>100000</v>
          </cell>
        </row>
        <row r="394">
          <cell r="A394" t="str">
            <v>В-03758/КЛ.Транш - 1_В-21082023/Ц</v>
          </cell>
          <cell r="B394" t="str">
            <v>Коржев Александр Сергеевич</v>
          </cell>
          <cell r="C394">
            <v>43890</v>
          </cell>
          <cell r="D394">
            <v>73</v>
          </cell>
          <cell r="E394">
            <v>36</v>
          </cell>
          <cell r="F394" t="str">
            <v>73% годовых</v>
          </cell>
          <cell r="G394">
            <v>5.3999999999999999E-2</v>
          </cell>
          <cell r="H394">
            <v>240000</v>
          </cell>
        </row>
        <row r="395">
          <cell r="A395" t="str">
            <v>В-19991/КЛ.Транш - 1_В-21082023/Ц</v>
          </cell>
          <cell r="B395" t="str">
            <v>Коркина Елена Александровна</v>
          </cell>
          <cell r="C395">
            <v>44381</v>
          </cell>
          <cell r="D395">
            <v>53</v>
          </cell>
          <cell r="E395">
            <v>24</v>
          </cell>
          <cell r="F395" t="str">
            <v>53% годовых</v>
          </cell>
          <cell r="G395">
            <v>5.3999999999999999E-2</v>
          </cell>
          <cell r="H395">
            <v>100000</v>
          </cell>
        </row>
        <row r="396">
          <cell r="A396" t="str">
            <v>В-19991/КЛ.Транш - 3_В-21082023/Ц</v>
          </cell>
          <cell r="B396" t="str">
            <v>Коркина Елена Александровна</v>
          </cell>
          <cell r="C396">
            <v>44541</v>
          </cell>
          <cell r="D396">
            <v>67</v>
          </cell>
          <cell r="E396">
            <v>24</v>
          </cell>
          <cell r="F396" t="str">
            <v>72% годовых</v>
          </cell>
          <cell r="G396">
            <v>5.3999999999999999E-2</v>
          </cell>
          <cell r="H396">
            <v>100000</v>
          </cell>
        </row>
        <row r="397">
          <cell r="A397" t="str">
            <v>В-19991/КЛ.Транш - 2_В-21082023/Ц</v>
          </cell>
          <cell r="B397" t="str">
            <v>Коркина Елена Александровна</v>
          </cell>
          <cell r="C397">
            <v>44397</v>
          </cell>
          <cell r="D397">
            <v>53</v>
          </cell>
          <cell r="E397">
            <v>24</v>
          </cell>
          <cell r="F397" t="str">
            <v>53% годовых</v>
          </cell>
          <cell r="G397">
            <v>5.3999999999999999E-2</v>
          </cell>
          <cell r="H397">
            <v>100000</v>
          </cell>
        </row>
        <row r="398">
          <cell r="A398" t="str">
            <v>В-07328/КЛ.Транш - 1_В-21082023/Ц</v>
          </cell>
          <cell r="B398" t="str">
            <v>Корнач Антон Владимирович</v>
          </cell>
          <cell r="C398">
            <v>44037</v>
          </cell>
          <cell r="D398">
            <v>59</v>
          </cell>
          <cell r="E398">
            <v>12</v>
          </cell>
          <cell r="F398" t="str">
            <v>59% годовых</v>
          </cell>
          <cell r="G398">
            <v>5.3999999999999999E-2</v>
          </cell>
          <cell r="H398">
            <v>200000</v>
          </cell>
        </row>
        <row r="399">
          <cell r="A399" t="str">
            <v>В-07328/КЛ.Транш - 2_В-21082023/Ц</v>
          </cell>
          <cell r="B399" t="str">
            <v>Корнач Антон Владимирович</v>
          </cell>
          <cell r="C399">
            <v>44090</v>
          </cell>
          <cell r="D399">
            <v>66</v>
          </cell>
          <cell r="E399">
            <v>12</v>
          </cell>
          <cell r="F399" t="str">
            <v>66% годовых</v>
          </cell>
          <cell r="G399">
            <v>5.3999999999999999E-2</v>
          </cell>
          <cell r="H399">
            <v>100000</v>
          </cell>
        </row>
        <row r="400">
          <cell r="A400" t="str">
            <v>В-03846/КЛ.Транш - 2_В-21082023/Ц</v>
          </cell>
          <cell r="B400" t="str">
            <v>Корниенко Андрей Юрьевич</v>
          </cell>
          <cell r="C400">
            <v>43896</v>
          </cell>
          <cell r="D400">
            <v>80</v>
          </cell>
          <cell r="E400">
            <v>36</v>
          </cell>
          <cell r="F400" t="str">
            <v>80% годовых</v>
          </cell>
          <cell r="G400">
            <v>5.3999999999999999E-2</v>
          </cell>
          <cell r="H400">
            <v>200000</v>
          </cell>
        </row>
        <row r="401">
          <cell r="A401" t="str">
            <v>В-03846/КЛ.Транш - 1_В-21082023/Ц</v>
          </cell>
          <cell r="B401" t="str">
            <v>Корниенко Андрей Юрьевич</v>
          </cell>
          <cell r="C401">
            <v>43889</v>
          </cell>
          <cell r="D401">
            <v>73</v>
          </cell>
          <cell r="E401">
            <v>36</v>
          </cell>
          <cell r="F401" t="str">
            <v>73% годовых</v>
          </cell>
          <cell r="G401">
            <v>5.3999999999999999E-2</v>
          </cell>
          <cell r="H401">
            <v>616000</v>
          </cell>
        </row>
        <row r="402">
          <cell r="A402" t="str">
            <v>В-18496/КЛ.Транш - 1_В-21082023/Ц</v>
          </cell>
          <cell r="B402" t="str">
            <v>Корнилова Наталия Владимировна</v>
          </cell>
          <cell r="C402">
            <v>44351</v>
          </cell>
          <cell r="D402">
            <v>50</v>
          </cell>
          <cell r="E402">
            <v>36</v>
          </cell>
          <cell r="F402" t="str">
            <v>50% годовых</v>
          </cell>
          <cell r="G402">
            <v>5.3999999999999999E-2</v>
          </cell>
          <cell r="H402">
            <v>218181.8</v>
          </cell>
        </row>
        <row r="403">
          <cell r="A403" t="str">
            <v>В-09290/КЛ.Транш - 1_В-21082023/Ц</v>
          </cell>
          <cell r="B403" t="str">
            <v>Корносенков Евгений Алексеевич</v>
          </cell>
          <cell r="C403">
            <v>44094</v>
          </cell>
          <cell r="D403">
            <v>80</v>
          </cell>
          <cell r="E403">
            <v>24</v>
          </cell>
          <cell r="F403" t="str">
            <v>80% годовых</v>
          </cell>
          <cell r="G403">
            <v>5.3999999999999999E-2</v>
          </cell>
          <cell r="H403">
            <v>200000</v>
          </cell>
        </row>
        <row r="404">
          <cell r="A404" t="str">
            <v>А-00035/БЭ</v>
          </cell>
          <cell r="B404" t="str">
            <v>Королёв Дмитрий Евгеньевич</v>
          </cell>
          <cell r="C404">
            <v>43174</v>
          </cell>
          <cell r="D404">
            <v>108</v>
          </cell>
          <cell r="E404">
            <v>12</v>
          </cell>
          <cell r="F404" t="str">
            <v>108% годовых</v>
          </cell>
          <cell r="G404">
            <v>5.3999999999999999E-2</v>
          </cell>
          <cell r="H404">
            <v>150000</v>
          </cell>
        </row>
        <row r="405">
          <cell r="A405" t="str">
            <v>В-18141/КЛ.Транш - 1_В-21082023/Ц</v>
          </cell>
          <cell r="B405" t="str">
            <v>Королёв Сергей Николаевич</v>
          </cell>
          <cell r="C405">
            <v>44336</v>
          </cell>
          <cell r="D405">
            <v>50</v>
          </cell>
          <cell r="E405">
            <v>48</v>
          </cell>
          <cell r="F405" t="str">
            <v>50% годовых</v>
          </cell>
          <cell r="G405">
            <v>5.3999999999999999E-2</v>
          </cell>
          <cell r="H405">
            <v>300000</v>
          </cell>
        </row>
        <row r="406">
          <cell r="A406" t="str">
            <v>В-22935/КЛ.Транш - 2_В-21082023/Ц</v>
          </cell>
          <cell r="B406" t="str">
            <v>Король Маргарита Игоревна</v>
          </cell>
          <cell r="C406">
            <v>44539</v>
          </cell>
          <cell r="D406">
            <v>50</v>
          </cell>
          <cell r="E406">
            <v>48</v>
          </cell>
          <cell r="F406" t="str">
            <v>50% годовых</v>
          </cell>
          <cell r="G406">
            <v>5.3999999999999999E-2</v>
          </cell>
          <cell r="H406">
            <v>100000</v>
          </cell>
        </row>
        <row r="407">
          <cell r="A407" t="str">
            <v>В-22935/КЛ.Транш - 1_В-21082023/Ц</v>
          </cell>
          <cell r="B407" t="str">
            <v>Король Маргарита Игоревна</v>
          </cell>
          <cell r="C407">
            <v>44463</v>
          </cell>
          <cell r="D407">
            <v>64</v>
          </cell>
          <cell r="E407">
            <v>48</v>
          </cell>
          <cell r="F407" t="str">
            <v>64% годовых</v>
          </cell>
          <cell r="G407">
            <v>5.3999999999999999E-2</v>
          </cell>
          <cell r="H407">
            <v>227272.7</v>
          </cell>
        </row>
        <row r="408">
          <cell r="A408" t="str">
            <v>А-05332/АЗ_В-21082023/Ц</v>
          </cell>
          <cell r="B408" t="str">
            <v>Косинова Мария Евгеньевна</v>
          </cell>
          <cell r="C408">
            <v>43616</v>
          </cell>
          <cell r="D408">
            <v>64</v>
          </cell>
          <cell r="E408">
            <v>36</v>
          </cell>
          <cell r="F408" t="str">
            <v>64% годовых</v>
          </cell>
          <cell r="G408">
            <v>5.3999999999999999E-2</v>
          </cell>
          <cell r="H408">
            <v>465500</v>
          </cell>
        </row>
        <row r="409">
          <cell r="A409" t="str">
            <v>В-22100/КЛ.Транш - 1_В-20211230/Ц</v>
          </cell>
          <cell r="B409" t="str">
            <v>Кострыгина Юлия Викторовна</v>
          </cell>
          <cell r="C409">
            <v>44438</v>
          </cell>
          <cell r="D409">
            <v>50</v>
          </cell>
          <cell r="E409">
            <v>24</v>
          </cell>
          <cell r="F409" t="str">
            <v>50% годовых</v>
          </cell>
          <cell r="G409">
            <v>5.3999999999999999E-2</v>
          </cell>
          <cell r="H409">
            <v>206818.2</v>
          </cell>
        </row>
        <row r="410">
          <cell r="A410" t="str">
            <v>В-24021/КЛ.Транш - 1_В-20211230/Ц</v>
          </cell>
          <cell r="B410" t="str">
            <v>Кострюков Сергей Вячеславович</v>
          </cell>
          <cell r="C410">
            <v>44494</v>
          </cell>
          <cell r="D410">
            <v>64</v>
          </cell>
          <cell r="E410">
            <v>48</v>
          </cell>
          <cell r="F410" t="str">
            <v>64% годовых</v>
          </cell>
          <cell r="G410">
            <v>5.3999999999999999E-2</v>
          </cell>
          <cell r="H410">
            <v>245454.5</v>
          </cell>
        </row>
        <row r="411">
          <cell r="A411" t="str">
            <v>В-21666/КЛ.Транш - 1_В-20211230/Ц</v>
          </cell>
          <cell r="B411" t="str">
            <v>Кочнева Наталья Николаевна</v>
          </cell>
          <cell r="C411">
            <v>44425</v>
          </cell>
          <cell r="D411">
            <v>50</v>
          </cell>
          <cell r="E411">
            <v>48</v>
          </cell>
          <cell r="F411" t="str">
            <v>50% годовых</v>
          </cell>
          <cell r="G411">
            <v>5.3999999999999999E-2</v>
          </cell>
          <cell r="H411">
            <v>454545.5</v>
          </cell>
        </row>
        <row r="412">
          <cell r="A412" t="str">
            <v>В-23633/КЛ.Транш - 1_В-20211230/Ц</v>
          </cell>
          <cell r="B412" t="str">
            <v>Кошелева Светлана Сергеевна</v>
          </cell>
          <cell r="C412">
            <v>44483</v>
          </cell>
          <cell r="D412">
            <v>64</v>
          </cell>
          <cell r="E412">
            <v>36</v>
          </cell>
          <cell r="F412" t="str">
            <v>64% годовых</v>
          </cell>
          <cell r="G412">
            <v>5.3999999999999999E-2</v>
          </cell>
          <cell r="H412">
            <v>340909.1</v>
          </cell>
        </row>
        <row r="413">
          <cell r="A413" t="str">
            <v>В-28684/КЛ.Транш - 1_В-21082023/Ц</v>
          </cell>
          <cell r="B413" t="str">
            <v>Крайнева Марина Александровна</v>
          </cell>
          <cell r="C413">
            <v>44616</v>
          </cell>
          <cell r="D413">
            <v>70</v>
          </cell>
          <cell r="E413">
            <v>48</v>
          </cell>
          <cell r="F413" t="str">
            <v>70% годовых</v>
          </cell>
          <cell r="G413">
            <v>5.3999999999999999E-2</v>
          </cell>
          <cell r="H413">
            <v>300000</v>
          </cell>
        </row>
        <row r="414">
          <cell r="A414" t="str">
            <v>В-07706/КЛ.Транш - 1_В-21082023/Ц</v>
          </cell>
          <cell r="B414" t="str">
            <v>Краснов Николай Викторович</v>
          </cell>
          <cell r="C414">
            <v>44057</v>
          </cell>
          <cell r="D414">
            <v>80</v>
          </cell>
          <cell r="E414">
            <v>48</v>
          </cell>
          <cell r="F414" t="str">
            <v>80% годовых</v>
          </cell>
          <cell r="G414">
            <v>5.3999999999999999E-2</v>
          </cell>
          <cell r="H414">
            <v>100000</v>
          </cell>
        </row>
        <row r="415">
          <cell r="A415" t="str">
            <v>В-26649/АЗ_В-20211230/Ц</v>
          </cell>
          <cell r="B415" t="str">
            <v>Краснокутская Ирина Анатольевна</v>
          </cell>
          <cell r="C415">
            <v>44558</v>
          </cell>
          <cell r="D415">
            <v>74</v>
          </cell>
          <cell r="E415">
            <v>36</v>
          </cell>
          <cell r="F415" t="str">
            <v>79% годовых</v>
          </cell>
          <cell r="G415">
            <v>5.3999999999999999E-2</v>
          </cell>
          <cell r="H415">
            <v>1000000</v>
          </cell>
        </row>
        <row r="416">
          <cell r="A416" t="str">
            <v>В-26651/АЗ_В-20211230/Ц</v>
          </cell>
          <cell r="B416" t="str">
            <v>Краснокутский Анатолий Владимирович</v>
          </cell>
          <cell r="C416">
            <v>44558</v>
          </cell>
          <cell r="D416">
            <v>74</v>
          </cell>
          <cell r="E416">
            <v>36</v>
          </cell>
          <cell r="F416" t="str">
            <v>74% годовых</v>
          </cell>
          <cell r="G416">
            <v>5.3999999999999999E-2</v>
          </cell>
          <cell r="H416">
            <v>800000</v>
          </cell>
        </row>
        <row r="417">
          <cell r="A417" t="str">
            <v>А-00375/КЭ.Транш - 1</v>
          </cell>
          <cell r="B417" t="str">
            <v>Креатив дизайн ООО</v>
          </cell>
          <cell r="C417">
            <v>43521</v>
          </cell>
          <cell r="D417">
            <v>65</v>
          </cell>
          <cell r="E417">
            <v>12</v>
          </cell>
          <cell r="F417" t="str">
            <v>65% годовых</v>
          </cell>
          <cell r="G417">
            <v>1</v>
          </cell>
          <cell r="H417">
            <v>150000</v>
          </cell>
        </row>
        <row r="418">
          <cell r="A418" t="str">
            <v>В-02402/КЛ.Транш - 1_В-21082023/Ц</v>
          </cell>
          <cell r="B418" t="str">
            <v>Кривотулов Дмитрий Александрович</v>
          </cell>
          <cell r="C418">
            <v>43829</v>
          </cell>
          <cell r="D418">
            <v>67</v>
          </cell>
          <cell r="E418">
            <v>36</v>
          </cell>
          <cell r="F418" t="str">
            <v>67% годовых</v>
          </cell>
          <cell r="G418">
            <v>5.3999999999999999E-2</v>
          </cell>
          <cell r="H418">
            <v>567000</v>
          </cell>
        </row>
        <row r="419">
          <cell r="A419" t="str">
            <v>В-25457/КЛ.Транш - 1_В-20211230/Ц</v>
          </cell>
          <cell r="B419" t="str">
            <v>Крючковский Сергей Владиславович</v>
          </cell>
          <cell r="C419">
            <v>44532</v>
          </cell>
          <cell r="D419">
            <v>64</v>
          </cell>
          <cell r="E419">
            <v>48</v>
          </cell>
          <cell r="F419" t="str">
            <v>64% годовых</v>
          </cell>
          <cell r="G419">
            <v>5.3999999999999999E-2</v>
          </cell>
          <cell r="H419">
            <v>142045.5</v>
          </cell>
        </row>
        <row r="420">
          <cell r="A420" t="str">
            <v>В-22683/КЛ.Транш - 1_В-21082023/Ц</v>
          </cell>
          <cell r="B420" t="str">
            <v>Кузнецова Александра Николаевна</v>
          </cell>
          <cell r="C420">
            <v>44456</v>
          </cell>
          <cell r="D420">
            <v>88</v>
          </cell>
          <cell r="E420">
            <v>36</v>
          </cell>
          <cell r="F420" t="str">
            <v>93% годовых</v>
          </cell>
          <cell r="G420">
            <v>5.3999999999999999E-2</v>
          </cell>
          <cell r="H420">
            <v>330000</v>
          </cell>
        </row>
        <row r="421">
          <cell r="A421" t="str">
            <v>А-10026/БЭ</v>
          </cell>
          <cell r="B421" t="str">
            <v>Кузнецова Елена Витальевна</v>
          </cell>
          <cell r="C421">
            <v>43822</v>
          </cell>
          <cell r="D421">
            <v>120</v>
          </cell>
          <cell r="E421">
            <v>365</v>
          </cell>
          <cell r="F421" t="str">
            <v>120% годовых</v>
          </cell>
          <cell r="G421">
            <v>5.3999999999999999E-2</v>
          </cell>
          <cell r="H421">
            <v>300000</v>
          </cell>
        </row>
        <row r="422">
          <cell r="A422" t="str">
            <v>В-12113/КЛ.Транш - 1_В-20211230/Ц</v>
          </cell>
          <cell r="B422" t="str">
            <v>Кузьмин Михаил Юрьевич</v>
          </cell>
          <cell r="C422">
            <v>44173</v>
          </cell>
          <cell r="D422">
            <v>50</v>
          </cell>
          <cell r="E422">
            <v>48</v>
          </cell>
          <cell r="F422" t="str">
            <v>50% годовых</v>
          </cell>
          <cell r="G422">
            <v>5.3999999999999999E-2</v>
          </cell>
          <cell r="H422">
            <v>150000</v>
          </cell>
        </row>
        <row r="423">
          <cell r="A423" t="str">
            <v>В-20731/КЛ.Транш - 3_В-21082023/Ц</v>
          </cell>
          <cell r="B423" t="str">
            <v>Кузьмичев Иван Сергеевич</v>
          </cell>
          <cell r="C423">
            <v>44529</v>
          </cell>
          <cell r="D423">
            <v>50</v>
          </cell>
          <cell r="E423">
            <v>48</v>
          </cell>
          <cell r="F423" t="str">
            <v>50% годовых</v>
          </cell>
          <cell r="G423">
            <v>5.3999999999999999E-2</v>
          </cell>
          <cell r="H423">
            <v>227272.7</v>
          </cell>
        </row>
        <row r="424">
          <cell r="A424" t="str">
            <v>В-20731/КЛ.Транш - 5_В-21082023/Ц</v>
          </cell>
          <cell r="B424" t="str">
            <v>Кузьмичев Иван Сергеевич</v>
          </cell>
          <cell r="C424">
            <v>44578</v>
          </cell>
          <cell r="D424">
            <v>81</v>
          </cell>
          <cell r="E424">
            <v>48</v>
          </cell>
          <cell r="F424" t="str">
            <v>81% годовых</v>
          </cell>
          <cell r="G424">
            <v>5.3999999999999999E-2</v>
          </cell>
          <cell r="H424">
            <v>100000</v>
          </cell>
        </row>
        <row r="425">
          <cell r="A425" t="str">
            <v>В-20731/КЛ.Транш - 4_В-21082023/Ц</v>
          </cell>
          <cell r="B425" t="str">
            <v>Кузьмичев Иван Сергеевич</v>
          </cell>
          <cell r="C425">
            <v>44536</v>
          </cell>
          <cell r="D425">
            <v>50</v>
          </cell>
          <cell r="E425">
            <v>48</v>
          </cell>
          <cell r="F425" t="str">
            <v>50% годовых</v>
          </cell>
          <cell r="G425">
            <v>5.3999999999999999E-2</v>
          </cell>
          <cell r="H425">
            <v>200000</v>
          </cell>
        </row>
        <row r="426">
          <cell r="A426" t="str">
            <v>В-20731/КЛ.Транш - 2_В-21082023/Ц</v>
          </cell>
          <cell r="B426" t="str">
            <v>Кузьмичев Иван Сергеевич</v>
          </cell>
          <cell r="C426">
            <v>44424</v>
          </cell>
          <cell r="D426">
            <v>50</v>
          </cell>
          <cell r="E426">
            <v>48</v>
          </cell>
          <cell r="F426" t="str">
            <v>50% годовых</v>
          </cell>
          <cell r="G426">
            <v>5.3999999999999999E-2</v>
          </cell>
          <cell r="H426">
            <v>178409.1</v>
          </cell>
        </row>
        <row r="427">
          <cell r="A427" t="str">
            <v>В-20731/КЛ.Транш - 1_В-21082023/Ц</v>
          </cell>
          <cell r="B427" t="str">
            <v>Кузьмичев Иван Сергеевич</v>
          </cell>
          <cell r="C427">
            <v>44408</v>
          </cell>
          <cell r="D427">
            <v>50</v>
          </cell>
          <cell r="E427">
            <v>48</v>
          </cell>
          <cell r="F427" t="str">
            <v>50% годовых</v>
          </cell>
          <cell r="G427">
            <v>5.3999999999999999E-2</v>
          </cell>
          <cell r="H427">
            <v>340909.1</v>
          </cell>
        </row>
        <row r="428">
          <cell r="A428" t="str">
            <v>В-12163/КЛ.Транш - 1_В-21082023/Ц</v>
          </cell>
          <cell r="B428" t="str">
            <v>Куксова Елена Юрьевна</v>
          </cell>
          <cell r="C428">
            <v>44174</v>
          </cell>
          <cell r="D428">
            <v>66</v>
          </cell>
          <cell r="E428">
            <v>12</v>
          </cell>
          <cell r="F428" t="str">
            <v>66% годовых</v>
          </cell>
          <cell r="G428">
            <v>5.3999999999999999E-2</v>
          </cell>
          <cell r="H428">
            <v>250000</v>
          </cell>
        </row>
        <row r="429">
          <cell r="A429" t="str">
            <v>В-12163/КЛ.Транш - 2_В-21082023/Ц</v>
          </cell>
          <cell r="B429" t="str">
            <v>Куксова Елена Юрьевна</v>
          </cell>
          <cell r="C429">
            <v>44186</v>
          </cell>
          <cell r="D429">
            <v>87</v>
          </cell>
          <cell r="E429">
            <v>12</v>
          </cell>
          <cell r="F429" t="str">
            <v>87% годовых</v>
          </cell>
          <cell r="G429">
            <v>5.3999999999999999E-2</v>
          </cell>
          <cell r="H429">
            <v>750000</v>
          </cell>
        </row>
        <row r="430">
          <cell r="A430" t="str">
            <v>В-20384/КЛ.Транш - 1_В-21082023/Ц</v>
          </cell>
          <cell r="B430" t="str">
            <v>Куразян Гарий Рафаэлович</v>
          </cell>
          <cell r="C430">
            <v>44391</v>
          </cell>
          <cell r="D430">
            <v>81</v>
          </cell>
          <cell r="E430">
            <v>24</v>
          </cell>
          <cell r="F430" t="str">
            <v>81% годовых</v>
          </cell>
          <cell r="G430">
            <v>5.3999999999999999E-2</v>
          </cell>
          <cell r="H430">
            <v>1000000</v>
          </cell>
        </row>
        <row r="431">
          <cell r="A431" t="str">
            <v>В-08270/КЛ.Транш - 1_В-21082023/Ц</v>
          </cell>
          <cell r="B431" t="str">
            <v>Куренкова Марина Анатольевна</v>
          </cell>
          <cell r="C431">
            <v>44069</v>
          </cell>
          <cell r="D431">
            <v>50</v>
          </cell>
          <cell r="E431">
            <v>48</v>
          </cell>
          <cell r="F431" t="str">
            <v>50% годовых</v>
          </cell>
          <cell r="G431">
            <v>5.3999999999999999E-2</v>
          </cell>
          <cell r="H431">
            <v>200000</v>
          </cell>
        </row>
        <row r="432">
          <cell r="A432" t="str">
            <v>В-11882/КЛ.Транш - 2_В-21082023/Ц</v>
          </cell>
          <cell r="B432" t="str">
            <v>Курмаев Виталий Юрьевич</v>
          </cell>
          <cell r="C432">
            <v>44176</v>
          </cell>
          <cell r="D432">
            <v>80</v>
          </cell>
          <cell r="E432">
            <v>12</v>
          </cell>
          <cell r="F432" t="str">
            <v>80% годовых</v>
          </cell>
          <cell r="G432">
            <v>5.3999999999999999E-2</v>
          </cell>
          <cell r="H432">
            <v>200000</v>
          </cell>
        </row>
        <row r="433">
          <cell r="A433" t="str">
            <v>В-11882/КЛ.Транш - 3_В-21082023/Ц</v>
          </cell>
          <cell r="B433" t="str">
            <v>Курмаев Виталий Юрьевич</v>
          </cell>
          <cell r="C433">
            <v>44178</v>
          </cell>
          <cell r="D433">
            <v>80</v>
          </cell>
          <cell r="E433">
            <v>12</v>
          </cell>
          <cell r="F433" t="str">
            <v>80% годовых</v>
          </cell>
          <cell r="G433">
            <v>5.3999999999999999E-2</v>
          </cell>
          <cell r="H433">
            <v>200000</v>
          </cell>
        </row>
        <row r="434">
          <cell r="A434" t="str">
            <v>В-11882/КЛ.Транш - 1_В-21082023/Ц</v>
          </cell>
          <cell r="B434" t="str">
            <v>Курмаев Виталий Юрьевич</v>
          </cell>
          <cell r="C434">
            <v>44167</v>
          </cell>
          <cell r="D434">
            <v>80</v>
          </cell>
          <cell r="E434">
            <v>12</v>
          </cell>
          <cell r="F434" t="str">
            <v>80% годовых</v>
          </cell>
          <cell r="G434">
            <v>5.3999999999999999E-2</v>
          </cell>
          <cell r="H434">
            <v>600000</v>
          </cell>
        </row>
        <row r="435">
          <cell r="A435" t="str">
            <v>В-23897/КЛ.Транш - 1_В-20211230/Ц</v>
          </cell>
          <cell r="B435" t="str">
            <v>Курнакова Надежда Александровна</v>
          </cell>
          <cell r="C435">
            <v>44490</v>
          </cell>
          <cell r="D435">
            <v>88</v>
          </cell>
          <cell r="E435">
            <v>24</v>
          </cell>
          <cell r="F435" t="str">
            <v>88% годовых</v>
          </cell>
          <cell r="G435">
            <v>5.3999999999999999E-2</v>
          </cell>
          <cell r="H435">
            <v>100000</v>
          </cell>
        </row>
        <row r="436">
          <cell r="A436" t="str">
            <v>В-15451/КЛ.Транш - 1_В-21082023/Ц</v>
          </cell>
          <cell r="B436" t="str">
            <v>Кутанов Егор Сергеевич</v>
          </cell>
          <cell r="C436">
            <v>44265</v>
          </cell>
          <cell r="D436">
            <v>74</v>
          </cell>
          <cell r="E436">
            <v>36</v>
          </cell>
          <cell r="F436" t="str">
            <v>74% годовых</v>
          </cell>
          <cell r="G436">
            <v>5.3999999999999999E-2</v>
          </cell>
          <cell r="H436">
            <v>350000</v>
          </cell>
        </row>
        <row r="437">
          <cell r="A437" t="str">
            <v>В-00103/КЛ.Транш - 1_В-20211230/Ц</v>
          </cell>
          <cell r="B437" t="str">
            <v>Кучевский Сергей Геннадьевич</v>
          </cell>
          <cell r="C437">
            <v>43684</v>
          </cell>
          <cell r="D437">
            <v>84</v>
          </cell>
          <cell r="E437">
            <v>36</v>
          </cell>
          <cell r="F437" t="str">
            <v>84% годовых</v>
          </cell>
          <cell r="G437">
            <v>5.3999999999999999E-2</v>
          </cell>
          <cell r="H437">
            <v>500000</v>
          </cell>
        </row>
        <row r="438">
          <cell r="A438" t="str">
            <v>А-00395/КЭ.Транш - 2</v>
          </cell>
          <cell r="B438" t="str">
            <v>ЛАВиК ООО</v>
          </cell>
          <cell r="C438">
            <v>43802</v>
          </cell>
          <cell r="D438">
            <v>65</v>
          </cell>
          <cell r="E438">
            <v>24</v>
          </cell>
          <cell r="F438" t="str">
            <v>65% годовых</v>
          </cell>
          <cell r="G438">
            <v>1</v>
          </cell>
          <cell r="H438">
            <v>250000</v>
          </cell>
        </row>
        <row r="439">
          <cell r="A439" t="str">
            <v>А-00395/КЭ.Транш - 3</v>
          </cell>
          <cell r="B439" t="str">
            <v>ЛАВиК ООО</v>
          </cell>
          <cell r="C439">
            <v>44001</v>
          </cell>
          <cell r="D439">
            <v>65</v>
          </cell>
          <cell r="E439">
            <v>12</v>
          </cell>
          <cell r="F439" t="str">
            <v>65% годовых</v>
          </cell>
          <cell r="G439">
            <v>1</v>
          </cell>
          <cell r="H439">
            <v>250000</v>
          </cell>
        </row>
        <row r="440">
          <cell r="A440" t="str">
            <v>В-20855/КЛ.Транш - 1_В-20211230/Ц</v>
          </cell>
          <cell r="B440" t="str">
            <v>Лебедева Евгения Александровна</v>
          </cell>
          <cell r="C440">
            <v>44402</v>
          </cell>
          <cell r="D440">
            <v>81</v>
          </cell>
          <cell r="E440">
            <v>12</v>
          </cell>
          <cell r="F440" t="str">
            <v>81% годовых</v>
          </cell>
          <cell r="G440">
            <v>5.3999999999999999E-2</v>
          </cell>
          <cell r="H440">
            <v>500000</v>
          </cell>
        </row>
        <row r="441">
          <cell r="A441" t="str">
            <v>В-20046/КЛ.Транш - 1_В-21082023/Ц</v>
          </cell>
          <cell r="B441" t="str">
            <v>Лебедовский Максим Юрьевич</v>
          </cell>
          <cell r="C441">
            <v>44406</v>
          </cell>
          <cell r="D441">
            <v>50</v>
          </cell>
          <cell r="E441">
            <v>48</v>
          </cell>
          <cell r="F441" t="str">
            <v>50% годовых</v>
          </cell>
          <cell r="G441">
            <v>5.3999999999999999E-2</v>
          </cell>
          <cell r="H441">
            <v>145454.5</v>
          </cell>
        </row>
        <row r="442">
          <cell r="A442" t="str">
            <v>В-28436/АЗ_В-21082023/Ц</v>
          </cell>
          <cell r="B442" t="str">
            <v>Левченков Георгий Михайлович</v>
          </cell>
          <cell r="C442">
            <v>44611</v>
          </cell>
          <cell r="D442">
            <v>77</v>
          </cell>
          <cell r="E442">
            <v>48</v>
          </cell>
          <cell r="F442" t="str">
            <v>77% годовых</v>
          </cell>
          <cell r="G442">
            <v>5.3999999999999999E-2</v>
          </cell>
          <cell r="H442">
            <v>455000</v>
          </cell>
        </row>
        <row r="443">
          <cell r="A443" t="str">
            <v>В-13264/КЛ.Транш - 2_В-21082023/Ц</v>
          </cell>
          <cell r="B443" t="str">
            <v>Леднев Алексей Иванович</v>
          </cell>
          <cell r="C443">
            <v>44287</v>
          </cell>
          <cell r="D443">
            <v>67</v>
          </cell>
          <cell r="E443">
            <v>36</v>
          </cell>
          <cell r="F443" t="str">
            <v>67% годовых</v>
          </cell>
          <cell r="G443">
            <v>5.3999999999999999E-2</v>
          </cell>
          <cell r="H443">
            <v>100000</v>
          </cell>
        </row>
        <row r="444">
          <cell r="A444" t="str">
            <v>В-13264/КЛ.Транш - 1_В-21082023/Ц</v>
          </cell>
          <cell r="B444" t="str">
            <v>Леднев Алексей Иванович</v>
          </cell>
          <cell r="C444">
            <v>44194</v>
          </cell>
          <cell r="D444">
            <v>73</v>
          </cell>
          <cell r="E444">
            <v>36</v>
          </cell>
          <cell r="F444" t="str">
            <v>73% годовых</v>
          </cell>
          <cell r="G444">
            <v>5.3999999999999999E-2</v>
          </cell>
          <cell r="H444">
            <v>100000</v>
          </cell>
        </row>
        <row r="445">
          <cell r="A445" t="str">
            <v>В-13264/КЛ.Транш - 3_В-21082023/Ц</v>
          </cell>
          <cell r="B445" t="str">
            <v>Леднев Алексей Иванович</v>
          </cell>
          <cell r="C445">
            <v>44306</v>
          </cell>
          <cell r="D445">
            <v>67</v>
          </cell>
          <cell r="E445">
            <v>36</v>
          </cell>
          <cell r="F445" t="str">
            <v>67% годовых</v>
          </cell>
          <cell r="G445">
            <v>5.3999999999999999E-2</v>
          </cell>
          <cell r="H445">
            <v>100000</v>
          </cell>
        </row>
        <row r="446">
          <cell r="A446" t="str">
            <v>В-12098/КЛ.Транш - 1_В-21082023/Ц</v>
          </cell>
          <cell r="B446" t="str">
            <v>Лекторова Екатерина Николаевна</v>
          </cell>
          <cell r="C446">
            <v>44175</v>
          </cell>
          <cell r="D446">
            <v>66</v>
          </cell>
          <cell r="E446">
            <v>48</v>
          </cell>
          <cell r="F446" t="str">
            <v>66% годовых</v>
          </cell>
          <cell r="G446">
            <v>5.3999999999999999E-2</v>
          </cell>
          <cell r="H446">
            <v>600000</v>
          </cell>
        </row>
        <row r="447">
          <cell r="A447" t="str">
            <v>В-12098/КЛ.Транш - 2_В-21082023/Ц</v>
          </cell>
          <cell r="B447" t="str">
            <v>Лекторова Екатерина Николаевна</v>
          </cell>
          <cell r="C447">
            <v>44385</v>
          </cell>
          <cell r="D447">
            <v>74</v>
          </cell>
          <cell r="E447">
            <v>48</v>
          </cell>
          <cell r="F447" t="str">
            <v>74% годовых</v>
          </cell>
          <cell r="G447">
            <v>5.3999999999999999E-2</v>
          </cell>
          <cell r="H447">
            <v>119000</v>
          </cell>
        </row>
        <row r="448">
          <cell r="A448" t="str">
            <v>В-26664/КЛ.Транш - 1_В-21082023/Ц</v>
          </cell>
          <cell r="B448" t="str">
            <v>Лемкин Николай Иванович</v>
          </cell>
          <cell r="C448">
            <v>44558</v>
          </cell>
          <cell r="D448">
            <v>64</v>
          </cell>
          <cell r="E448">
            <v>48</v>
          </cell>
          <cell r="F448" t="str">
            <v>64% годовых</v>
          </cell>
          <cell r="G448">
            <v>5.3999999999999999E-2</v>
          </cell>
          <cell r="H448">
            <v>227273</v>
          </cell>
        </row>
        <row r="449">
          <cell r="A449" t="str">
            <v>В-15085/КЛ.Транш - 1_В-21082023/Ц</v>
          </cell>
          <cell r="B449" t="str">
            <v>Лещев Андрей Николаевич</v>
          </cell>
          <cell r="C449">
            <v>44264</v>
          </cell>
          <cell r="D449">
            <v>74</v>
          </cell>
          <cell r="E449">
            <v>48</v>
          </cell>
          <cell r="F449" t="str">
            <v>74% годовых</v>
          </cell>
          <cell r="G449">
            <v>5.3999999999999999E-2</v>
          </cell>
          <cell r="H449">
            <v>1000000</v>
          </cell>
        </row>
        <row r="450">
          <cell r="A450" t="str">
            <v>В-01107/АЗ_В-20211230/Ц</v>
          </cell>
          <cell r="B450" t="str">
            <v>Лещинский Михаил Дмитриевич</v>
          </cell>
          <cell r="C450">
            <v>44244</v>
          </cell>
          <cell r="D450">
            <v>67</v>
          </cell>
          <cell r="E450">
            <v>12</v>
          </cell>
          <cell r="F450" t="str">
            <v>67% годовых</v>
          </cell>
          <cell r="G450">
            <v>5.3999999999999999E-2</v>
          </cell>
          <cell r="H450">
            <v>400000</v>
          </cell>
        </row>
        <row r="451">
          <cell r="A451" t="str">
            <v>В-00011/КЭ.Транш - 1_А-20210929/Ц</v>
          </cell>
          <cell r="B451" t="str">
            <v>ЛИДЕР ГРУПП ООО</v>
          </cell>
          <cell r="C451">
            <v>44123</v>
          </cell>
          <cell r="D451">
            <v>65</v>
          </cell>
          <cell r="E451">
            <v>12</v>
          </cell>
          <cell r="F451" t="str">
            <v>65% годовых</v>
          </cell>
          <cell r="G451">
            <v>1</v>
          </cell>
          <cell r="H451">
            <v>300000</v>
          </cell>
        </row>
        <row r="452">
          <cell r="A452" t="str">
            <v>В-11277/КЛ.Транш - 1_В-21082023/Ц</v>
          </cell>
          <cell r="B452" t="str">
            <v>Литвинов Дмитрий Геннадьевич</v>
          </cell>
          <cell r="C452">
            <v>44151</v>
          </cell>
          <cell r="D452">
            <v>73</v>
          </cell>
          <cell r="E452">
            <v>48</v>
          </cell>
          <cell r="F452" t="str">
            <v>73% годовых</v>
          </cell>
          <cell r="G452">
            <v>5.3999999999999999E-2</v>
          </cell>
          <cell r="H452">
            <v>400000</v>
          </cell>
        </row>
        <row r="453">
          <cell r="A453" t="str">
            <v>В-22057/КЛ.Транш - 2_В-20211230/Ц</v>
          </cell>
          <cell r="B453" t="str">
            <v>Лихачева Мария Николаевна</v>
          </cell>
          <cell r="C453">
            <v>44525</v>
          </cell>
          <cell r="D453">
            <v>74</v>
          </cell>
          <cell r="E453">
            <v>36</v>
          </cell>
          <cell r="F453" t="str">
            <v>74% годовых</v>
          </cell>
          <cell r="G453">
            <v>5.3999999999999999E-2</v>
          </cell>
          <cell r="H453">
            <v>160000</v>
          </cell>
        </row>
        <row r="454">
          <cell r="A454" t="str">
            <v>В-22057/КЛ.Транш - 1_В-20211230/Ц</v>
          </cell>
          <cell r="B454" t="str">
            <v>Лихачева Мария Николаевна</v>
          </cell>
          <cell r="C454">
            <v>44437</v>
          </cell>
          <cell r="D454">
            <v>50</v>
          </cell>
          <cell r="E454">
            <v>36</v>
          </cell>
          <cell r="F454" t="str">
            <v>50% годовых</v>
          </cell>
          <cell r="G454">
            <v>5.3999999999999999E-2</v>
          </cell>
          <cell r="H454">
            <v>625000</v>
          </cell>
        </row>
        <row r="455">
          <cell r="A455" t="str">
            <v>В-23919/КЛ.Транш - 1_В-21082023/Ц</v>
          </cell>
          <cell r="B455" t="str">
            <v>Локшина Ольга Владимировна</v>
          </cell>
          <cell r="C455">
            <v>44494</v>
          </cell>
          <cell r="D455">
            <v>67</v>
          </cell>
          <cell r="E455">
            <v>36</v>
          </cell>
          <cell r="F455" t="str">
            <v>72% годовых</v>
          </cell>
          <cell r="G455">
            <v>5.3999999999999999E-2</v>
          </cell>
          <cell r="H455">
            <v>500000</v>
          </cell>
        </row>
        <row r="456">
          <cell r="A456" t="str">
            <v>В-19585/КЛ.Транш - 1_В-21082023/Ц</v>
          </cell>
          <cell r="B456" t="str">
            <v>Лотонин Александр Олегович</v>
          </cell>
          <cell r="C456">
            <v>44372</v>
          </cell>
          <cell r="D456">
            <v>50</v>
          </cell>
          <cell r="E456">
            <v>36</v>
          </cell>
          <cell r="F456" t="str">
            <v>55% годовых</v>
          </cell>
          <cell r="G456">
            <v>5.3999999999999999E-2</v>
          </cell>
          <cell r="H456">
            <v>159090.9</v>
          </cell>
        </row>
        <row r="457">
          <cell r="A457" t="str">
            <v>В-08391/КЛ.Транш - 1_В-20211230/Ц</v>
          </cell>
          <cell r="B457" t="str">
            <v>Луковкин Владимир Федорович</v>
          </cell>
          <cell r="C457">
            <v>44069</v>
          </cell>
          <cell r="D457">
            <v>73</v>
          </cell>
          <cell r="E457">
            <v>48</v>
          </cell>
          <cell r="F457" t="str">
            <v>73% годовых</v>
          </cell>
          <cell r="G457">
            <v>5.3999999999999999E-2</v>
          </cell>
          <cell r="H457">
            <v>600000</v>
          </cell>
        </row>
        <row r="458">
          <cell r="A458" t="str">
            <v>В-10123/КЛ.Транш - 9_В-20211230/Ц</v>
          </cell>
          <cell r="B458" t="str">
            <v>Лысенкова Инна Ивановна</v>
          </cell>
          <cell r="C458">
            <v>44365</v>
          </cell>
          <cell r="D458">
            <v>60</v>
          </cell>
          <cell r="E458">
            <v>24</v>
          </cell>
          <cell r="F458" t="str">
            <v>60% годовых</v>
          </cell>
          <cell r="G458">
            <v>5.3999999999999999E-2</v>
          </cell>
          <cell r="H458">
            <v>150000</v>
          </cell>
        </row>
        <row r="459">
          <cell r="A459" t="str">
            <v>В-10123/КЛ.Транш - 8_В-20211230/Ц</v>
          </cell>
          <cell r="B459" t="str">
            <v>Лысенкова Инна Ивановна</v>
          </cell>
          <cell r="C459">
            <v>44309</v>
          </cell>
          <cell r="D459">
            <v>60</v>
          </cell>
          <cell r="E459">
            <v>12</v>
          </cell>
          <cell r="F459" t="str">
            <v>60% годовых</v>
          </cell>
          <cell r="G459">
            <v>5.3999999999999999E-2</v>
          </cell>
          <cell r="H459">
            <v>160000</v>
          </cell>
        </row>
        <row r="460">
          <cell r="A460" t="str">
            <v>В-10123/КЛ.Транш - 6_В-20211230/Ц</v>
          </cell>
          <cell r="B460" t="str">
            <v>Лысенкова Инна Ивановна</v>
          </cell>
          <cell r="C460">
            <v>44258</v>
          </cell>
          <cell r="D460">
            <v>74</v>
          </cell>
          <cell r="E460">
            <v>12</v>
          </cell>
          <cell r="F460" t="str">
            <v>74% годовых</v>
          </cell>
          <cell r="G460">
            <v>5.3999999999999999E-2</v>
          </cell>
          <cell r="H460">
            <v>100000</v>
          </cell>
        </row>
        <row r="461">
          <cell r="A461" t="str">
            <v>В-00175/АЗ_Т-20211028/Ц</v>
          </cell>
          <cell r="B461" t="str">
            <v>Лысяк Яна Вадимовна</v>
          </cell>
          <cell r="C461">
            <v>43613</v>
          </cell>
          <cell r="D461">
            <v>84</v>
          </cell>
          <cell r="E461">
            <v>36</v>
          </cell>
          <cell r="F461" t="str">
            <v>84% годовых</v>
          </cell>
          <cell r="G461">
            <v>5.3999999999999999E-2</v>
          </cell>
          <cell r="H461">
            <v>400000</v>
          </cell>
        </row>
        <row r="462">
          <cell r="A462" t="str">
            <v>В-02961/КЛ.Транш - 1_В-21082023/Ц</v>
          </cell>
          <cell r="B462" t="str">
            <v>Любушкин Сергей Васильевич</v>
          </cell>
          <cell r="C462">
            <v>43858</v>
          </cell>
          <cell r="D462">
            <v>73</v>
          </cell>
          <cell r="E462">
            <v>36</v>
          </cell>
          <cell r="F462" t="str">
            <v>73% годовых</v>
          </cell>
          <cell r="G462">
            <v>5.3999999999999999E-2</v>
          </cell>
          <cell r="H462">
            <v>290000</v>
          </cell>
        </row>
        <row r="463">
          <cell r="A463" t="str">
            <v>В-16242/КЛ.Транш - 2_В-21082023/Ц</v>
          </cell>
          <cell r="B463" t="str">
            <v>Лякишев Павел Александрович</v>
          </cell>
          <cell r="C463">
            <v>44338</v>
          </cell>
          <cell r="D463">
            <v>67</v>
          </cell>
          <cell r="E463">
            <v>48</v>
          </cell>
          <cell r="F463" t="str">
            <v>67% годовых</v>
          </cell>
          <cell r="G463">
            <v>5.3999999999999999E-2</v>
          </cell>
          <cell r="H463">
            <v>300000</v>
          </cell>
        </row>
        <row r="464">
          <cell r="A464" t="str">
            <v>В-19025/КЛ.Транш - 1_В-20211230/Ц</v>
          </cell>
          <cell r="B464" t="str">
            <v>Лялин Анатолий Геннадьевич</v>
          </cell>
          <cell r="C464">
            <v>44357</v>
          </cell>
          <cell r="D464">
            <v>81</v>
          </cell>
          <cell r="E464">
            <v>48</v>
          </cell>
          <cell r="F464" t="str">
            <v>81% годовых</v>
          </cell>
          <cell r="G464">
            <v>5.3999999999999999E-2</v>
          </cell>
          <cell r="H464">
            <v>100000</v>
          </cell>
        </row>
        <row r="465">
          <cell r="A465" t="str">
            <v>В-18163/КЛ.Транш - 1_В-21082023/Ц</v>
          </cell>
          <cell r="B465" t="str">
            <v>Магомедов Ахмед Багаутдинович</v>
          </cell>
          <cell r="C465">
            <v>44336</v>
          </cell>
          <cell r="D465">
            <v>74</v>
          </cell>
          <cell r="E465">
            <v>12</v>
          </cell>
          <cell r="F465" t="str">
            <v>74% годовых</v>
          </cell>
          <cell r="G465">
            <v>5.3999999999999999E-2</v>
          </cell>
          <cell r="H465">
            <v>100000</v>
          </cell>
        </row>
        <row r="466">
          <cell r="A466" t="str">
            <v>В-26170/КЛ.Транш - 1_В-20211230/Ц</v>
          </cell>
          <cell r="B466" t="str">
            <v>Магомедов Саид Магомедрасулович</v>
          </cell>
          <cell r="C466">
            <v>44547</v>
          </cell>
          <cell r="D466">
            <v>50</v>
          </cell>
          <cell r="E466">
            <v>24</v>
          </cell>
          <cell r="F466" t="str">
            <v>50% годовых</v>
          </cell>
          <cell r="G466">
            <v>5.3999999999999999E-2</v>
          </cell>
          <cell r="H466">
            <v>110000</v>
          </cell>
        </row>
        <row r="467">
          <cell r="A467" t="str">
            <v>В-01099/АЗ_В-21082023/Ц</v>
          </cell>
          <cell r="B467" t="str">
            <v>Мазуренко Наталья Владимировна</v>
          </cell>
          <cell r="C467">
            <v>44224</v>
          </cell>
          <cell r="D467">
            <v>50</v>
          </cell>
          <cell r="E467">
            <v>48</v>
          </cell>
          <cell r="F467" t="str">
            <v>50% годовых</v>
          </cell>
          <cell r="G467">
            <v>5.3999999999999999E-2</v>
          </cell>
          <cell r="H467">
            <v>258323</v>
          </cell>
        </row>
        <row r="468">
          <cell r="A468" t="str">
            <v>В-01109/АЗ_В-21082023/Ц</v>
          </cell>
          <cell r="B468" t="str">
            <v>Мазуренко Наталья Владимировна</v>
          </cell>
          <cell r="C468">
            <v>44246</v>
          </cell>
          <cell r="D468">
            <v>60</v>
          </cell>
          <cell r="E468">
            <v>48</v>
          </cell>
          <cell r="F468" t="str">
            <v>60% годовых</v>
          </cell>
          <cell r="G468">
            <v>5.3999999999999999E-2</v>
          </cell>
          <cell r="H468">
            <v>100000</v>
          </cell>
        </row>
        <row r="469">
          <cell r="A469" t="str">
            <v>В-07072/КЛ.Транш - 2_В-20211230/Ц</v>
          </cell>
          <cell r="B469" t="str">
            <v>Мазурин Николай Анатольевич</v>
          </cell>
          <cell r="C469">
            <v>44117</v>
          </cell>
          <cell r="D469">
            <v>80</v>
          </cell>
          <cell r="E469">
            <v>36</v>
          </cell>
          <cell r="F469" t="str">
            <v>80% годовых</v>
          </cell>
          <cell r="G469">
            <v>5.3999999999999999E-2</v>
          </cell>
          <cell r="H469">
            <v>200000</v>
          </cell>
        </row>
        <row r="470">
          <cell r="A470" t="str">
            <v>В-07072/КЛ.Транш - 1_В-20211230/Ц</v>
          </cell>
          <cell r="B470" t="str">
            <v>Мазурин Николай Анатольевич</v>
          </cell>
          <cell r="C470">
            <v>44026</v>
          </cell>
          <cell r="D470">
            <v>80</v>
          </cell>
          <cell r="E470">
            <v>48</v>
          </cell>
          <cell r="F470" t="str">
            <v>80% годовых</v>
          </cell>
          <cell r="G470">
            <v>5.3999999999999999E-2</v>
          </cell>
          <cell r="H470">
            <v>335000</v>
          </cell>
        </row>
        <row r="471">
          <cell r="A471" t="str">
            <v>В-07072/КЛ.Транш - 3_В-20211230/Ц</v>
          </cell>
          <cell r="B471" t="str">
            <v>Мазурин Николай Анатольевич</v>
          </cell>
          <cell r="C471">
            <v>44495</v>
          </cell>
          <cell r="D471">
            <v>81</v>
          </cell>
          <cell r="E471">
            <v>36</v>
          </cell>
          <cell r="F471" t="str">
            <v>81% годовых</v>
          </cell>
          <cell r="G471">
            <v>5.3999999999999999E-2</v>
          </cell>
          <cell r="H471">
            <v>162000</v>
          </cell>
        </row>
        <row r="472">
          <cell r="A472" t="str">
            <v>В-21219/КЛ.Транш - 1_В-20211230/Ц</v>
          </cell>
          <cell r="B472" t="str">
            <v>Майоров Олег Владимирович</v>
          </cell>
          <cell r="C472">
            <v>44411</v>
          </cell>
          <cell r="D472">
            <v>50</v>
          </cell>
          <cell r="E472">
            <v>48</v>
          </cell>
          <cell r="F472" t="str">
            <v>50% годовых</v>
          </cell>
          <cell r="G472">
            <v>5.3999999999999999E-2</v>
          </cell>
          <cell r="H472">
            <v>795454.5</v>
          </cell>
        </row>
        <row r="473">
          <cell r="A473" t="str">
            <v>В-26950/КЛ.Транш - 1_В-21082023/Ц</v>
          </cell>
          <cell r="B473" t="str">
            <v>Макаренко Екатерина Васильевна</v>
          </cell>
          <cell r="C473">
            <v>44570</v>
          </cell>
          <cell r="D473">
            <v>84</v>
          </cell>
          <cell r="E473">
            <v>48</v>
          </cell>
          <cell r="F473" t="str">
            <v>84% годовых</v>
          </cell>
          <cell r="G473">
            <v>5.3999999999999999E-2</v>
          </cell>
          <cell r="H473">
            <v>150000</v>
          </cell>
        </row>
        <row r="474">
          <cell r="A474" t="str">
            <v>В-12294/КЛ.Транш - 1_В-20211230/Ц</v>
          </cell>
          <cell r="B474" t="str">
            <v>Макаров Алексей Александрович</v>
          </cell>
          <cell r="C474">
            <v>44208</v>
          </cell>
          <cell r="D474">
            <v>60</v>
          </cell>
          <cell r="E474">
            <v>36</v>
          </cell>
          <cell r="F474" t="str">
            <v>60% годовых</v>
          </cell>
          <cell r="G474">
            <v>5.3999999999999999E-2</v>
          </cell>
          <cell r="H474">
            <v>100000</v>
          </cell>
        </row>
        <row r="475">
          <cell r="A475" t="str">
            <v>В-00766/АЗ_В-21082023/Ц</v>
          </cell>
          <cell r="B475" t="str">
            <v>Макаров Алексей Александрович1</v>
          </cell>
          <cell r="C475">
            <v>43815</v>
          </cell>
          <cell r="D475">
            <v>50</v>
          </cell>
          <cell r="E475">
            <v>24</v>
          </cell>
          <cell r="F475" t="str">
            <v>50% годовых</v>
          </cell>
          <cell r="G475">
            <v>5.3999999999999999E-2</v>
          </cell>
          <cell r="H475">
            <v>250000</v>
          </cell>
        </row>
        <row r="476">
          <cell r="A476" t="str">
            <v>В-00030/КЭ.Транш - 1_В-21082023/Ц</v>
          </cell>
          <cell r="B476" t="str">
            <v>Макси-Строй ООО</v>
          </cell>
          <cell r="C476">
            <v>44246</v>
          </cell>
          <cell r="D476">
            <v>65</v>
          </cell>
          <cell r="E476">
            <v>24</v>
          </cell>
          <cell r="F476" t="str">
            <v>65% годовых</v>
          </cell>
          <cell r="G476">
            <v>1</v>
          </cell>
          <cell r="H476">
            <v>300000</v>
          </cell>
        </row>
        <row r="477">
          <cell r="A477" t="str">
            <v>В-16432/КЛ.Транш - 1_В-21082023/Ц</v>
          </cell>
          <cell r="B477" t="str">
            <v>Малинина Оксана Александровна</v>
          </cell>
          <cell r="C477">
            <v>44289</v>
          </cell>
          <cell r="D477">
            <v>50</v>
          </cell>
          <cell r="E477">
            <v>48</v>
          </cell>
          <cell r="F477" t="str">
            <v>50% годовых</v>
          </cell>
          <cell r="G477">
            <v>5.3999999999999999E-2</v>
          </cell>
          <cell r="H477">
            <v>511363.6</v>
          </cell>
        </row>
        <row r="478">
          <cell r="A478" t="str">
            <v>В-15138/КЛ.Транш - 1_В-21082023/Ц</v>
          </cell>
          <cell r="B478" t="str">
            <v>Малхасян Арарат Балабекович</v>
          </cell>
          <cell r="C478">
            <v>44257</v>
          </cell>
          <cell r="D478">
            <v>67</v>
          </cell>
          <cell r="E478">
            <v>48</v>
          </cell>
          <cell r="F478" t="str">
            <v>67% годовых</v>
          </cell>
          <cell r="G478">
            <v>5.3999999999999999E-2</v>
          </cell>
          <cell r="H478">
            <v>400000</v>
          </cell>
        </row>
        <row r="479">
          <cell r="A479" t="str">
            <v>В-04293/КЛ.Транш - 1_В-20211230/Ц</v>
          </cell>
          <cell r="B479" t="str">
            <v>Манин Сергей Викторович</v>
          </cell>
          <cell r="C479">
            <v>43902</v>
          </cell>
          <cell r="D479">
            <v>66</v>
          </cell>
          <cell r="E479">
            <v>36</v>
          </cell>
          <cell r="F479" t="str">
            <v>66% годовых</v>
          </cell>
          <cell r="G479">
            <v>5.3999999999999999E-2</v>
          </cell>
          <cell r="H479">
            <v>120000</v>
          </cell>
        </row>
        <row r="480">
          <cell r="A480" t="str">
            <v>В-00622/АЗ_Т-20211028/Ц</v>
          </cell>
          <cell r="B480" t="str">
            <v>Манукян Вардан Эмильевич</v>
          </cell>
          <cell r="C480">
            <v>43761</v>
          </cell>
          <cell r="D480">
            <v>77</v>
          </cell>
          <cell r="E480">
            <v>36</v>
          </cell>
          <cell r="F480" t="str">
            <v>77% годовых</v>
          </cell>
          <cell r="G480">
            <v>5.3999999999999999E-2</v>
          </cell>
          <cell r="H480">
            <v>300000</v>
          </cell>
        </row>
        <row r="481">
          <cell r="A481" t="str">
            <v>А-04401/АЗ</v>
          </cell>
          <cell r="B481" t="str">
            <v>Маргарян Эдгар Камоевич</v>
          </cell>
          <cell r="C481">
            <v>43346</v>
          </cell>
          <cell r="D481">
            <v>70</v>
          </cell>
          <cell r="E481">
            <v>2</v>
          </cell>
          <cell r="F481" t="str">
            <v>75% годовых</v>
          </cell>
          <cell r="G481">
            <v>5.3999999999999999E-2</v>
          </cell>
          <cell r="H481">
            <v>250000</v>
          </cell>
        </row>
        <row r="482">
          <cell r="A482" t="str">
            <v>В-01176/АЗ_В-20211230/Ц</v>
          </cell>
          <cell r="B482" t="str">
            <v>Маренич Иван Евгеньевич</v>
          </cell>
          <cell r="C482">
            <v>44333</v>
          </cell>
          <cell r="D482">
            <v>77</v>
          </cell>
          <cell r="E482">
            <v>48</v>
          </cell>
          <cell r="F482" t="str">
            <v>77% годовых</v>
          </cell>
          <cell r="G482">
            <v>5.3999999999999999E-2</v>
          </cell>
          <cell r="H482">
            <v>1000000</v>
          </cell>
        </row>
        <row r="483">
          <cell r="A483" t="str">
            <v>В-26247/КЛ.Транш - 1_В-20211230/Ц</v>
          </cell>
          <cell r="B483" t="str">
            <v>Марков Владислав Владимирович</v>
          </cell>
          <cell r="C483">
            <v>44551</v>
          </cell>
          <cell r="D483">
            <v>88</v>
          </cell>
          <cell r="E483">
            <v>48</v>
          </cell>
          <cell r="F483" t="str">
            <v>88% годовых</v>
          </cell>
          <cell r="G483">
            <v>5.3999999999999999E-2</v>
          </cell>
          <cell r="H483">
            <v>750000</v>
          </cell>
        </row>
        <row r="484">
          <cell r="A484" t="str">
            <v>А-00466/КЭ.Транш - 1</v>
          </cell>
          <cell r="B484" t="str">
            <v>МАРО АРТ ГРУПП ООО</v>
          </cell>
          <cell r="C484">
            <v>44060</v>
          </cell>
          <cell r="D484">
            <v>65</v>
          </cell>
          <cell r="E484">
            <v>24</v>
          </cell>
          <cell r="F484" t="str">
            <v>65% годовых</v>
          </cell>
          <cell r="G484">
            <v>1</v>
          </cell>
          <cell r="H484">
            <v>300000</v>
          </cell>
        </row>
        <row r="485">
          <cell r="A485" t="str">
            <v>В-26816/КЛ.Транш - 1_В-20211230/Ц</v>
          </cell>
          <cell r="B485" t="str">
            <v>Мартынко Александра Андреевна</v>
          </cell>
          <cell r="C485">
            <v>44560</v>
          </cell>
          <cell r="D485">
            <v>64</v>
          </cell>
          <cell r="E485">
            <v>48</v>
          </cell>
          <cell r="F485" t="str">
            <v>64% годовых</v>
          </cell>
          <cell r="G485">
            <v>5.3999999999999999E-2</v>
          </cell>
          <cell r="H485">
            <v>477273</v>
          </cell>
        </row>
        <row r="486">
          <cell r="A486" t="str">
            <v>В-12368/КЛ.Транш - 1_В-20211230/Ц</v>
          </cell>
          <cell r="B486" t="str">
            <v>Масальский Руслан Иванович</v>
          </cell>
          <cell r="C486">
            <v>44179</v>
          </cell>
          <cell r="D486">
            <v>50</v>
          </cell>
          <cell r="E486">
            <v>48</v>
          </cell>
          <cell r="F486" t="str">
            <v>50% годовых</v>
          </cell>
          <cell r="G486">
            <v>5.3999999999999999E-2</v>
          </cell>
          <cell r="H486">
            <v>200000</v>
          </cell>
        </row>
        <row r="487">
          <cell r="A487" t="str">
            <v>А-03822/АЗ</v>
          </cell>
          <cell r="B487" t="str">
            <v>Матвеев Александр Иванович</v>
          </cell>
          <cell r="C487">
            <v>43194</v>
          </cell>
          <cell r="D487">
            <v>88</v>
          </cell>
          <cell r="E487">
            <v>24</v>
          </cell>
          <cell r="F487" t="str">
            <v>88% годовых</v>
          </cell>
          <cell r="G487">
            <v>5.3999999999999999E-2</v>
          </cell>
          <cell r="H487">
            <v>240000</v>
          </cell>
        </row>
        <row r="488">
          <cell r="A488" t="str">
            <v>В-09795/КЛ.Транш - 1_В-20211230/Ц</v>
          </cell>
          <cell r="B488" t="str">
            <v>Матвеев Андрей Александрович</v>
          </cell>
          <cell r="C488">
            <v>44108</v>
          </cell>
          <cell r="D488">
            <v>50</v>
          </cell>
          <cell r="E488">
            <v>36</v>
          </cell>
          <cell r="F488" t="str">
            <v>50% годовых</v>
          </cell>
          <cell r="G488">
            <v>5.3999999999999999E-2</v>
          </cell>
          <cell r="H488">
            <v>250000</v>
          </cell>
        </row>
        <row r="489">
          <cell r="A489" t="str">
            <v>А-04352/АЗ</v>
          </cell>
          <cell r="B489" t="str">
            <v>Матиев Шодмон Эргашевич</v>
          </cell>
          <cell r="C489">
            <v>43332</v>
          </cell>
          <cell r="D489">
            <v>77</v>
          </cell>
          <cell r="E489">
            <v>24</v>
          </cell>
          <cell r="F489" t="str">
            <v>77% годовых</v>
          </cell>
          <cell r="G489">
            <v>5.3999999999999999E-2</v>
          </cell>
          <cell r="H489">
            <v>430000</v>
          </cell>
        </row>
        <row r="490">
          <cell r="A490" t="str">
            <v>В-04229/КЛ.Транш - 1_В-20211230/Ц</v>
          </cell>
          <cell r="B490" t="str">
            <v>Матросов Дмитрий Сергеевич</v>
          </cell>
          <cell r="C490">
            <v>43901</v>
          </cell>
          <cell r="D490">
            <v>80</v>
          </cell>
          <cell r="E490">
            <v>24</v>
          </cell>
          <cell r="F490" t="str">
            <v>80% годовых</v>
          </cell>
          <cell r="G490">
            <v>5.3999999999999999E-2</v>
          </cell>
          <cell r="H490">
            <v>200000</v>
          </cell>
        </row>
        <row r="491">
          <cell r="A491" t="str">
            <v>В-21048/КЛ.Транш - 1_В-20211230/Ц</v>
          </cell>
          <cell r="B491" t="str">
            <v>Матузов Алексей Викторович</v>
          </cell>
          <cell r="C491">
            <v>44410</v>
          </cell>
          <cell r="D491">
            <v>57</v>
          </cell>
          <cell r="E491">
            <v>48</v>
          </cell>
          <cell r="F491" t="str">
            <v>57% годовых</v>
          </cell>
          <cell r="G491">
            <v>5.3999999999999999E-2</v>
          </cell>
          <cell r="H491">
            <v>340909.1</v>
          </cell>
        </row>
        <row r="492">
          <cell r="A492" t="str">
            <v>В-17062/КЛ.Транш - 2_В-20211230/Ц</v>
          </cell>
          <cell r="B492" t="str">
            <v>Мацола Артём Иванович</v>
          </cell>
          <cell r="C492">
            <v>44408</v>
          </cell>
          <cell r="D492">
            <v>50</v>
          </cell>
          <cell r="E492">
            <v>48</v>
          </cell>
          <cell r="F492" t="str">
            <v>50% годовых</v>
          </cell>
          <cell r="G492">
            <v>5.3999999999999999E-2</v>
          </cell>
          <cell r="H492">
            <v>136363.6</v>
          </cell>
        </row>
        <row r="493">
          <cell r="A493" t="str">
            <v>В-17062/КЛ.Транш - 3_В-20211230/Ц</v>
          </cell>
          <cell r="B493" t="str">
            <v>Мацола Артём Иванович</v>
          </cell>
          <cell r="C493">
            <v>44466</v>
          </cell>
          <cell r="D493">
            <v>64</v>
          </cell>
          <cell r="E493">
            <v>48</v>
          </cell>
          <cell r="F493" t="str">
            <v>64% годовых</v>
          </cell>
          <cell r="G493">
            <v>5.3999999999999999E-2</v>
          </cell>
          <cell r="H493">
            <v>206818.2</v>
          </cell>
        </row>
        <row r="494">
          <cell r="A494" t="str">
            <v>В-17062/КЛ.Транш - 1_В-20211230/Ц</v>
          </cell>
          <cell r="B494" t="str">
            <v>Мацола Артём Иванович</v>
          </cell>
          <cell r="C494">
            <v>44309</v>
          </cell>
          <cell r="D494">
            <v>50</v>
          </cell>
          <cell r="E494">
            <v>36</v>
          </cell>
          <cell r="F494" t="str">
            <v>50% годовых</v>
          </cell>
          <cell r="G494">
            <v>5.3999999999999999E-2</v>
          </cell>
          <cell r="H494">
            <v>170454.5</v>
          </cell>
        </row>
        <row r="495">
          <cell r="A495" t="str">
            <v>В-00469/АЗ_В-20211230/Ц</v>
          </cell>
          <cell r="B495" t="str">
            <v>Мачкалян Оганнес Саргисович</v>
          </cell>
          <cell r="C495">
            <v>43703</v>
          </cell>
          <cell r="D495">
            <v>77</v>
          </cell>
          <cell r="E495">
            <v>36</v>
          </cell>
          <cell r="F495" t="str">
            <v>82% годовых</v>
          </cell>
          <cell r="G495">
            <v>5.3999999999999999E-2</v>
          </cell>
          <cell r="H495">
            <v>360000</v>
          </cell>
        </row>
        <row r="496">
          <cell r="A496" t="str">
            <v>В-13104/КЛ.Транш - 1_В-20211230/Ц</v>
          </cell>
          <cell r="B496" t="str">
            <v>Мачнева Галина Петровна</v>
          </cell>
          <cell r="C496">
            <v>44193</v>
          </cell>
          <cell r="D496">
            <v>80</v>
          </cell>
          <cell r="E496">
            <v>12</v>
          </cell>
          <cell r="F496" t="str">
            <v>80% годовых</v>
          </cell>
          <cell r="G496">
            <v>5.3999999999999999E-2</v>
          </cell>
          <cell r="H496">
            <v>100000</v>
          </cell>
        </row>
        <row r="497">
          <cell r="A497" t="str">
            <v>В-18757/КЛ.Транш - 1_В-20211230/Ц</v>
          </cell>
          <cell r="B497" t="str">
            <v>Машковцев Алексей Валерьевич</v>
          </cell>
          <cell r="C497">
            <v>44350</v>
          </cell>
          <cell r="D497">
            <v>50</v>
          </cell>
          <cell r="E497">
            <v>48</v>
          </cell>
          <cell r="F497" t="str">
            <v>55% годовых</v>
          </cell>
          <cell r="G497">
            <v>5.3999999999999999E-2</v>
          </cell>
          <cell r="H497">
            <v>227272.7</v>
          </cell>
        </row>
        <row r="498">
          <cell r="A498" t="str">
            <v>А-04022/АЗ</v>
          </cell>
          <cell r="B498" t="str">
            <v>Мелитонян Саят Араевич</v>
          </cell>
          <cell r="C498">
            <v>43255</v>
          </cell>
          <cell r="D498">
            <v>98</v>
          </cell>
          <cell r="E498">
            <v>6</v>
          </cell>
          <cell r="F498" t="str">
            <v>98% годовых</v>
          </cell>
          <cell r="G498">
            <v>5.3999999999999999E-2</v>
          </cell>
          <cell r="H498">
            <v>330000</v>
          </cell>
        </row>
        <row r="499">
          <cell r="A499" t="str">
            <v>В-05425/КЛ.Транш - 2_В-20211230/Ц</v>
          </cell>
          <cell r="B499" t="str">
            <v>Мелкумян Масис Владимирович</v>
          </cell>
          <cell r="C499">
            <v>44182</v>
          </cell>
          <cell r="D499">
            <v>59</v>
          </cell>
          <cell r="E499">
            <v>24</v>
          </cell>
          <cell r="F499" t="str">
            <v>59% годовых</v>
          </cell>
          <cell r="G499">
            <v>5.3999999999999999E-2</v>
          </cell>
          <cell r="H499">
            <v>100000</v>
          </cell>
        </row>
        <row r="500">
          <cell r="A500" t="str">
            <v>Т-01885/АЗ_Т-20211028/Ц</v>
          </cell>
          <cell r="B500" t="str">
            <v>Месропян Аревик Орбеловна</v>
          </cell>
          <cell r="C500">
            <v>43944</v>
          </cell>
          <cell r="D500">
            <v>30</v>
          </cell>
          <cell r="E500">
            <v>36</v>
          </cell>
          <cell r="F500" t="str">
            <v>30% годовых</v>
          </cell>
          <cell r="G500">
            <v>5.3999999999999999E-2</v>
          </cell>
          <cell r="H500">
            <v>314056.84000000003</v>
          </cell>
        </row>
        <row r="501">
          <cell r="A501" t="str">
            <v>В-17417/КЛ.Транш - 1_В-20211230/Ц</v>
          </cell>
          <cell r="B501" t="str">
            <v>Минаева Наталия Анатольевна</v>
          </cell>
          <cell r="C501">
            <v>44314</v>
          </cell>
          <cell r="D501">
            <v>50</v>
          </cell>
          <cell r="E501">
            <v>24</v>
          </cell>
          <cell r="F501" t="str">
            <v>55% годовых</v>
          </cell>
          <cell r="G501">
            <v>5.3999999999999999E-2</v>
          </cell>
          <cell r="H501">
            <v>227272.7</v>
          </cell>
        </row>
        <row r="502">
          <cell r="A502" t="str">
            <v>В-00147/АЗ_Т-20211028/Ц</v>
          </cell>
          <cell r="B502" t="str">
            <v>Миронов Александр Александрович</v>
          </cell>
          <cell r="C502">
            <v>43606</v>
          </cell>
          <cell r="D502">
            <v>77</v>
          </cell>
          <cell r="E502">
            <v>550</v>
          </cell>
          <cell r="F502" t="str">
            <v>77% годовых</v>
          </cell>
          <cell r="G502">
            <v>5.3999999999999999E-2</v>
          </cell>
          <cell r="H502">
            <v>200000</v>
          </cell>
        </row>
        <row r="503">
          <cell r="A503" t="str">
            <v>В-16457/КЛ.Транш - 1_В-20211230/Ц</v>
          </cell>
          <cell r="B503" t="str">
            <v>Мирошниченко Евгений Константинович</v>
          </cell>
          <cell r="C503">
            <v>44293</v>
          </cell>
          <cell r="D503">
            <v>50</v>
          </cell>
          <cell r="E503">
            <v>12</v>
          </cell>
          <cell r="F503" t="str">
            <v>50% годовых</v>
          </cell>
          <cell r="G503">
            <v>5.3999999999999999E-2</v>
          </cell>
          <cell r="H503">
            <v>340909.1</v>
          </cell>
        </row>
        <row r="504">
          <cell r="A504" t="str">
            <v>В-22309/АЗ_В-21082023/Ц</v>
          </cell>
          <cell r="B504" t="str">
            <v>Мисюк Георгий Анатольевич</v>
          </cell>
          <cell r="C504">
            <v>44447</v>
          </cell>
          <cell r="D504">
            <v>77</v>
          </cell>
          <cell r="E504">
            <v>36</v>
          </cell>
          <cell r="F504" t="str">
            <v>82% годовых</v>
          </cell>
          <cell r="G504">
            <v>5.3999999999999999E-2</v>
          </cell>
          <cell r="H504">
            <v>200000</v>
          </cell>
        </row>
        <row r="505">
          <cell r="A505" t="str">
            <v>А-05130/АЗ</v>
          </cell>
          <cell r="B505" t="str">
            <v>Михалевский Александр Михайлович</v>
          </cell>
          <cell r="C505">
            <v>43531</v>
          </cell>
          <cell r="D505">
            <v>84</v>
          </cell>
          <cell r="E505">
            <v>36</v>
          </cell>
          <cell r="F505" t="str">
            <v>84% годовых</v>
          </cell>
          <cell r="G505">
            <v>5.3999999999999999E-2</v>
          </cell>
          <cell r="H505">
            <v>100000</v>
          </cell>
        </row>
        <row r="506">
          <cell r="A506" t="str">
            <v>В-24878/КЛ.Транш - 1_В-20211230/Ц</v>
          </cell>
          <cell r="B506" t="str">
            <v>Мовсесян Гарик Вагифович</v>
          </cell>
          <cell r="C506">
            <v>44519</v>
          </cell>
          <cell r="D506">
            <v>57</v>
          </cell>
          <cell r="E506">
            <v>48</v>
          </cell>
          <cell r="F506" t="str">
            <v>57% годовых</v>
          </cell>
          <cell r="G506">
            <v>5.3999999999999999E-2</v>
          </cell>
          <cell r="H506">
            <v>454545.5</v>
          </cell>
        </row>
        <row r="507">
          <cell r="A507" t="str">
            <v>В-19425/КЛ.Транш - 1_В-20211230/Ц</v>
          </cell>
          <cell r="B507" t="str">
            <v>Молчанов Дмитрий Викторович</v>
          </cell>
          <cell r="C507">
            <v>44367</v>
          </cell>
          <cell r="D507">
            <v>81</v>
          </cell>
          <cell r="E507">
            <v>48</v>
          </cell>
          <cell r="F507" t="str">
            <v>86% годовых</v>
          </cell>
          <cell r="G507">
            <v>5.3999999999999999E-2</v>
          </cell>
          <cell r="H507">
            <v>500000</v>
          </cell>
        </row>
        <row r="508">
          <cell r="A508" t="str">
            <v>В-27065/АЗ_В-21082023/Ц</v>
          </cell>
          <cell r="B508" t="str">
            <v>Мордвинцева Елена Александровна</v>
          </cell>
          <cell r="C508">
            <v>44581</v>
          </cell>
          <cell r="D508">
            <v>84</v>
          </cell>
          <cell r="E508">
            <v>24</v>
          </cell>
          <cell r="F508" t="str">
            <v>84% годовых</v>
          </cell>
          <cell r="G508">
            <v>5.3999999999999999E-2</v>
          </cell>
          <cell r="H508">
            <v>800000</v>
          </cell>
        </row>
        <row r="509">
          <cell r="A509" t="str">
            <v>В-00239/КЛ.Транш - 1_В-20211230/Ц</v>
          </cell>
          <cell r="B509" t="str">
            <v>Морозкина Наталья Сергеевна</v>
          </cell>
          <cell r="C509">
            <v>43704</v>
          </cell>
          <cell r="D509">
            <v>84</v>
          </cell>
          <cell r="E509">
            <v>36</v>
          </cell>
          <cell r="F509" t="str">
            <v>84% годовых</v>
          </cell>
          <cell r="G509">
            <v>5.3999999999999999E-2</v>
          </cell>
          <cell r="H509">
            <v>140000</v>
          </cell>
        </row>
        <row r="510">
          <cell r="A510" t="str">
            <v>А-03942/АЗ</v>
          </cell>
          <cell r="B510" t="str">
            <v>Морозов Владимир Владимирович</v>
          </cell>
          <cell r="C510">
            <v>43235</v>
          </cell>
          <cell r="D510">
            <v>88</v>
          </cell>
          <cell r="E510">
            <v>12</v>
          </cell>
          <cell r="F510" t="str">
            <v>88% годовых</v>
          </cell>
          <cell r="G510">
            <v>5.3999999999999999E-2</v>
          </cell>
          <cell r="H510">
            <v>250000</v>
          </cell>
        </row>
        <row r="511">
          <cell r="A511" t="str">
            <v>В-03585/КЛ.Транш - 1_В-20211230/Ц</v>
          </cell>
          <cell r="B511" t="str">
            <v>Морозов Владимир Павлович</v>
          </cell>
          <cell r="C511">
            <v>43880</v>
          </cell>
          <cell r="D511">
            <v>73</v>
          </cell>
          <cell r="E511">
            <v>12</v>
          </cell>
          <cell r="F511" t="str">
            <v>73% годовых</v>
          </cell>
          <cell r="G511">
            <v>5.3999999999999999E-2</v>
          </cell>
          <cell r="H511">
            <v>150000</v>
          </cell>
        </row>
        <row r="512">
          <cell r="A512" t="str">
            <v>В-00557/АЗ_В-21082023/Ц</v>
          </cell>
          <cell r="B512" t="str">
            <v>Москалев Ярослав Вячеславович</v>
          </cell>
          <cell r="C512">
            <v>43768</v>
          </cell>
          <cell r="D512">
            <v>77</v>
          </cell>
          <cell r="E512">
            <v>12</v>
          </cell>
          <cell r="F512" t="str">
            <v>77% годовых</v>
          </cell>
          <cell r="G512">
            <v>5.3999999999999999E-2</v>
          </cell>
          <cell r="H512">
            <v>323000</v>
          </cell>
        </row>
        <row r="513">
          <cell r="A513" t="str">
            <v>В-16934/КЛ.Транш - 1_В-21082023/Ц</v>
          </cell>
          <cell r="B513" t="str">
            <v>Мотыка Андрей Павлович</v>
          </cell>
          <cell r="C513">
            <v>44304</v>
          </cell>
          <cell r="D513">
            <v>50</v>
          </cell>
          <cell r="E513">
            <v>48</v>
          </cell>
          <cell r="F513" t="str">
            <v>50% годовых</v>
          </cell>
          <cell r="G513">
            <v>5.3999999999999999E-2</v>
          </cell>
          <cell r="H513">
            <v>647727.30000000005</v>
          </cell>
        </row>
        <row r="514">
          <cell r="A514" t="str">
            <v>В-16934/КЛ.Транш - 5_В-21082023/Ц</v>
          </cell>
          <cell r="B514" t="str">
            <v>Мотыка Андрей Павлович</v>
          </cell>
          <cell r="C514">
            <v>44523</v>
          </cell>
          <cell r="D514">
            <v>60</v>
          </cell>
          <cell r="E514">
            <v>36</v>
          </cell>
          <cell r="F514" t="str">
            <v>60% годовых</v>
          </cell>
          <cell r="G514">
            <v>5.3999999999999999E-2</v>
          </cell>
          <cell r="H514">
            <v>180000</v>
          </cell>
        </row>
        <row r="515">
          <cell r="A515" t="str">
            <v>В-00508/АЗ_В-21082023/Ц</v>
          </cell>
          <cell r="B515" t="str">
            <v>Мошкин Андрей Викторович</v>
          </cell>
          <cell r="C515">
            <v>43716</v>
          </cell>
          <cell r="D515">
            <v>50</v>
          </cell>
          <cell r="E515">
            <v>36</v>
          </cell>
          <cell r="F515" t="str">
            <v>50% годовых</v>
          </cell>
          <cell r="G515">
            <v>5.3999999999999999E-2</v>
          </cell>
          <cell r="H515">
            <v>295000</v>
          </cell>
        </row>
        <row r="516">
          <cell r="A516" t="str">
            <v>В-19227/КЛ.Транш - 2_В-20211230/Ц</v>
          </cell>
          <cell r="B516" t="str">
            <v>Мощинская Елена Николаевна</v>
          </cell>
          <cell r="C516">
            <v>44480</v>
          </cell>
          <cell r="D516">
            <v>50</v>
          </cell>
          <cell r="E516">
            <v>48</v>
          </cell>
          <cell r="F516" t="str">
            <v>50% годовых</v>
          </cell>
          <cell r="G516">
            <v>5.3999999999999999E-2</v>
          </cell>
          <cell r="H516">
            <v>113636.4</v>
          </cell>
        </row>
        <row r="517">
          <cell r="A517" t="str">
            <v>В-19227/КЛ.Транш - 1_В-20211230/Ц</v>
          </cell>
          <cell r="B517" t="str">
            <v>Мощинская Елена Николаевна</v>
          </cell>
          <cell r="C517">
            <v>44362</v>
          </cell>
          <cell r="D517">
            <v>50</v>
          </cell>
          <cell r="E517">
            <v>48</v>
          </cell>
          <cell r="F517" t="str">
            <v>55% годовых</v>
          </cell>
          <cell r="G517">
            <v>5.3999999999999999E-2</v>
          </cell>
          <cell r="H517">
            <v>340909.1</v>
          </cell>
        </row>
        <row r="518">
          <cell r="A518" t="str">
            <v>В-00075/КЭ.Транш - 1_В-20211230/Ц</v>
          </cell>
          <cell r="B518" t="str">
            <v>МСКСТРОЙ ООО</v>
          </cell>
          <cell r="C518">
            <v>44546</v>
          </cell>
          <cell r="D518">
            <v>50</v>
          </cell>
          <cell r="E518">
            <v>24</v>
          </cell>
          <cell r="F518" t="str">
            <v>50% годовых</v>
          </cell>
          <cell r="G518">
            <v>1</v>
          </cell>
          <cell r="H518">
            <v>3895000</v>
          </cell>
        </row>
        <row r="519">
          <cell r="A519" t="str">
            <v>В-20458/КЛ.Транш - 1_В-20211230/Ц</v>
          </cell>
          <cell r="B519" t="str">
            <v>Музыка Евгений Александрович</v>
          </cell>
          <cell r="C519">
            <v>44392</v>
          </cell>
          <cell r="D519">
            <v>50</v>
          </cell>
          <cell r="E519">
            <v>48</v>
          </cell>
          <cell r="F519" t="str">
            <v>50% годовых</v>
          </cell>
          <cell r="G519">
            <v>5.3999999999999999E-2</v>
          </cell>
          <cell r="H519">
            <v>284090.90000000002</v>
          </cell>
        </row>
        <row r="520">
          <cell r="A520" t="str">
            <v>В-01023/КЛ.Транш - 1_В-21082023/Ц</v>
          </cell>
          <cell r="B520" t="str">
            <v>Муллоев Хошимчон Пулотович</v>
          </cell>
          <cell r="C520">
            <v>43761</v>
          </cell>
          <cell r="D520">
            <v>84</v>
          </cell>
          <cell r="E520">
            <v>36</v>
          </cell>
          <cell r="F520" t="str">
            <v>84% годовых</v>
          </cell>
          <cell r="G520">
            <v>5.3999999999999999E-2</v>
          </cell>
          <cell r="H520">
            <v>100000</v>
          </cell>
        </row>
        <row r="521">
          <cell r="A521" t="str">
            <v>В-20490/КЛ.Транш - 1_В-21082023/Ц</v>
          </cell>
          <cell r="B521" t="str">
            <v>Муравьев Сергей Сергеевич</v>
          </cell>
          <cell r="C521">
            <v>44393</v>
          </cell>
          <cell r="D521">
            <v>50</v>
          </cell>
          <cell r="E521">
            <v>12</v>
          </cell>
          <cell r="F521" t="str">
            <v>50% годовых</v>
          </cell>
          <cell r="G521">
            <v>5.3999999999999999E-2</v>
          </cell>
          <cell r="H521">
            <v>227272.7</v>
          </cell>
        </row>
        <row r="522">
          <cell r="A522" t="str">
            <v>В-06411/КЛ.Транш - 1</v>
          </cell>
          <cell r="B522" t="str">
            <v>Мурашова Наталья Николаевна</v>
          </cell>
          <cell r="C522">
            <v>43998</v>
          </cell>
          <cell r="D522">
            <v>66</v>
          </cell>
          <cell r="E522">
            <v>24</v>
          </cell>
          <cell r="F522" t="str">
            <v>66% годовых</v>
          </cell>
          <cell r="G522">
            <v>5.3999999999999999E-2</v>
          </cell>
          <cell r="H522">
            <v>100000</v>
          </cell>
        </row>
        <row r="523">
          <cell r="A523" t="str">
            <v>В-24350/КЛ.Транш - 1_В-20211230/Ц</v>
          </cell>
          <cell r="B523" t="str">
            <v>Мусаев Заурбек Хадживелиевич</v>
          </cell>
          <cell r="C523">
            <v>44503</v>
          </cell>
          <cell r="D523">
            <v>74</v>
          </cell>
          <cell r="E523">
            <v>48</v>
          </cell>
          <cell r="F523" t="str">
            <v>67% годовых</v>
          </cell>
          <cell r="G523">
            <v>5.3999999999999999E-2</v>
          </cell>
          <cell r="H523">
            <v>1000000</v>
          </cell>
        </row>
        <row r="524">
          <cell r="A524" t="str">
            <v>В-25627/КЛ.Транш - 1_В-21082023/Ц</v>
          </cell>
          <cell r="B524" t="str">
            <v>Мусаев Натиг Байрам Оглы</v>
          </cell>
          <cell r="C524">
            <v>44536</v>
          </cell>
          <cell r="D524">
            <v>50</v>
          </cell>
          <cell r="E524">
            <v>48</v>
          </cell>
          <cell r="F524" t="str">
            <v>50% годовых</v>
          </cell>
          <cell r="G524">
            <v>5.3999999999999999E-2</v>
          </cell>
          <cell r="H524">
            <v>1000000</v>
          </cell>
        </row>
        <row r="525">
          <cell r="A525" t="str">
            <v>А-04412/АЗ</v>
          </cell>
          <cell r="B525" t="str">
            <v>Мусаев Рустам Камилжонович</v>
          </cell>
          <cell r="C525">
            <v>43349</v>
          </cell>
          <cell r="D525">
            <v>88</v>
          </cell>
          <cell r="E525">
            <v>24</v>
          </cell>
          <cell r="F525" t="str">
            <v>88% годовых</v>
          </cell>
          <cell r="G525">
            <v>5.3999999999999999E-2</v>
          </cell>
          <cell r="H525">
            <v>280000</v>
          </cell>
        </row>
        <row r="526">
          <cell r="A526" t="str">
            <v>В-17687/КЛ.Транш - 2_В-20211230/Ц</v>
          </cell>
          <cell r="B526" t="str">
            <v>Мусаев Саид Рамазанович</v>
          </cell>
          <cell r="C526">
            <v>44501</v>
          </cell>
          <cell r="D526">
            <v>67</v>
          </cell>
          <cell r="E526">
            <v>12</v>
          </cell>
          <cell r="F526" t="str">
            <v>67% годовых</v>
          </cell>
          <cell r="G526">
            <v>5.3999999999999999E-2</v>
          </cell>
          <cell r="H526">
            <v>300000</v>
          </cell>
        </row>
        <row r="527">
          <cell r="A527" t="str">
            <v>В-17687/КЛ.Транш - 1_В-20211230/Ц</v>
          </cell>
          <cell r="B527" t="str">
            <v>Мусаев Саид Рамазанович</v>
          </cell>
          <cell r="C527">
            <v>44324</v>
          </cell>
          <cell r="D527">
            <v>74</v>
          </cell>
          <cell r="E527">
            <v>12</v>
          </cell>
          <cell r="F527" t="str">
            <v>74% годовых</v>
          </cell>
          <cell r="G527">
            <v>5.3999999999999999E-2</v>
          </cell>
          <cell r="H527">
            <v>600000</v>
          </cell>
        </row>
        <row r="528">
          <cell r="A528" t="str">
            <v>В-12167/КЛ.Транш - 1_А-20210929/Ц</v>
          </cell>
          <cell r="B528" t="str">
            <v>Мусаелян Вилен Карленович</v>
          </cell>
          <cell r="C528">
            <v>44174</v>
          </cell>
          <cell r="D528">
            <v>50</v>
          </cell>
          <cell r="E528">
            <v>36</v>
          </cell>
          <cell r="F528" t="str">
            <v>50% годовых</v>
          </cell>
          <cell r="G528">
            <v>5.3999999999999999E-2</v>
          </cell>
          <cell r="H528">
            <v>1000000</v>
          </cell>
        </row>
        <row r="529">
          <cell r="A529" t="str">
            <v>В-24261/КЛ.Транш - 1_В-20211230/Ц</v>
          </cell>
          <cell r="B529" t="str">
            <v>Мустафьева Айтан Таджединовна</v>
          </cell>
          <cell r="C529">
            <v>44502</v>
          </cell>
          <cell r="D529">
            <v>88</v>
          </cell>
          <cell r="E529">
            <v>48</v>
          </cell>
          <cell r="F529" t="str">
            <v>88% годовых</v>
          </cell>
          <cell r="G529">
            <v>5.3999999999999999E-2</v>
          </cell>
          <cell r="H529">
            <v>250000</v>
          </cell>
        </row>
        <row r="530">
          <cell r="A530" t="str">
            <v>В-05402/КЛ.Транш - 4_В-21082023/Ц</v>
          </cell>
          <cell r="B530" t="str">
            <v>Мылов Сергей Геннадьевич</v>
          </cell>
          <cell r="C530">
            <v>44480</v>
          </cell>
          <cell r="D530">
            <v>67</v>
          </cell>
          <cell r="E530">
            <v>12</v>
          </cell>
          <cell r="F530" t="str">
            <v>67% годовых</v>
          </cell>
          <cell r="G530">
            <v>5.3999999999999999E-2</v>
          </cell>
          <cell r="H530">
            <v>640000</v>
          </cell>
        </row>
        <row r="531">
          <cell r="A531" t="str">
            <v>В-25865/КЛ.Транш - 1_В-21082023/Ц</v>
          </cell>
          <cell r="B531" t="str">
            <v>Набойченко Юлия Александровна</v>
          </cell>
          <cell r="C531">
            <v>44541</v>
          </cell>
          <cell r="D531">
            <v>64</v>
          </cell>
          <cell r="E531">
            <v>48</v>
          </cell>
          <cell r="F531" t="str">
            <v>64% годовых</v>
          </cell>
          <cell r="G531">
            <v>5.3999999999999999E-2</v>
          </cell>
          <cell r="H531">
            <v>568182</v>
          </cell>
        </row>
        <row r="532">
          <cell r="A532" t="str">
            <v>В-14818/КЛ.Транш - 1_В-20211230/Ц</v>
          </cell>
          <cell r="B532" t="str">
            <v>Навасардян Алёна Евгеньевна</v>
          </cell>
          <cell r="C532">
            <v>44247</v>
          </cell>
          <cell r="D532">
            <v>74</v>
          </cell>
          <cell r="E532">
            <v>48</v>
          </cell>
          <cell r="F532" t="str">
            <v>74% годовых</v>
          </cell>
          <cell r="G532">
            <v>5.3999999999999999E-2</v>
          </cell>
          <cell r="H532">
            <v>300000</v>
          </cell>
        </row>
        <row r="533">
          <cell r="A533" t="str">
            <v>В-25671/АЗ_В-21082023/Ц</v>
          </cell>
          <cell r="B533" t="str">
            <v>Нагаева Елена Александровна</v>
          </cell>
          <cell r="C533">
            <v>44540</v>
          </cell>
          <cell r="D533">
            <v>74</v>
          </cell>
          <cell r="E533">
            <v>36</v>
          </cell>
          <cell r="F533" t="str">
            <v>74% годовых</v>
          </cell>
          <cell r="G533">
            <v>5.3999999999999999E-2</v>
          </cell>
          <cell r="H533">
            <v>400000</v>
          </cell>
        </row>
        <row r="534">
          <cell r="A534" t="str">
            <v>В-21321/КЛ.Транш - 1_В-21082023/Ц</v>
          </cell>
          <cell r="B534" t="str">
            <v>Надеев Алексей Александрович</v>
          </cell>
          <cell r="C534">
            <v>44414</v>
          </cell>
          <cell r="D534">
            <v>50</v>
          </cell>
          <cell r="E534">
            <v>24</v>
          </cell>
          <cell r="F534" t="str">
            <v>60% годовых</v>
          </cell>
          <cell r="G534">
            <v>5.3999999999999999E-2</v>
          </cell>
          <cell r="H534">
            <v>284090.90000000002</v>
          </cell>
        </row>
        <row r="535">
          <cell r="A535" t="str">
            <v>В-19740/КЛ.Транш - 8_В-21082023/Ц</v>
          </cell>
          <cell r="B535" t="str">
            <v>Назаров Всеволод Владимирович</v>
          </cell>
          <cell r="C535">
            <v>44617</v>
          </cell>
          <cell r="D535">
            <v>50</v>
          </cell>
          <cell r="E535">
            <v>48</v>
          </cell>
          <cell r="F535" t="str">
            <v>50% годовых</v>
          </cell>
          <cell r="G535">
            <v>5.3999999999999999E-2</v>
          </cell>
          <cell r="H535">
            <v>170000</v>
          </cell>
        </row>
        <row r="536">
          <cell r="A536" t="str">
            <v>В-19740/КЛ.Транш - 7_В-21082023/Ц</v>
          </cell>
          <cell r="B536" t="str">
            <v>Назаров Всеволод Владимирович</v>
          </cell>
          <cell r="C536">
            <v>44576</v>
          </cell>
          <cell r="D536">
            <v>50</v>
          </cell>
          <cell r="E536">
            <v>48</v>
          </cell>
          <cell r="F536" t="str">
            <v>50% годовых</v>
          </cell>
          <cell r="G536">
            <v>5.3999999999999999E-2</v>
          </cell>
          <cell r="H536">
            <v>120000</v>
          </cell>
        </row>
        <row r="537">
          <cell r="A537" t="str">
            <v>В-19740/КЛ.Транш - 6_В-21082023/Ц</v>
          </cell>
          <cell r="B537" t="str">
            <v>Назаров Всеволод Владимирович</v>
          </cell>
          <cell r="C537">
            <v>44570</v>
          </cell>
          <cell r="D537">
            <v>50</v>
          </cell>
          <cell r="E537">
            <v>48</v>
          </cell>
          <cell r="F537" t="str">
            <v>50% годовых</v>
          </cell>
          <cell r="G537">
            <v>5.3999999999999999E-2</v>
          </cell>
          <cell r="H537">
            <v>300000</v>
          </cell>
        </row>
        <row r="538">
          <cell r="A538" t="str">
            <v>В-19740/КЛ.Транш - 5_В-21082023/Ц</v>
          </cell>
          <cell r="B538" t="str">
            <v>Назаров Всеволод Владимирович</v>
          </cell>
          <cell r="C538">
            <v>44567</v>
          </cell>
          <cell r="D538">
            <v>50</v>
          </cell>
          <cell r="E538">
            <v>48</v>
          </cell>
          <cell r="F538" t="str">
            <v>50% годовых</v>
          </cell>
          <cell r="G538">
            <v>5.3999999999999999E-2</v>
          </cell>
          <cell r="H538">
            <v>250000</v>
          </cell>
        </row>
        <row r="539">
          <cell r="A539" t="str">
            <v>В-19286/КЛ.Транш - 1_В-21082023/Ц</v>
          </cell>
          <cell r="B539" t="str">
            <v>Насырова Шахлохон Раимжановна</v>
          </cell>
          <cell r="C539">
            <v>44368</v>
          </cell>
          <cell r="D539">
            <v>50</v>
          </cell>
          <cell r="E539">
            <v>48</v>
          </cell>
          <cell r="F539" t="str">
            <v>50% годовых</v>
          </cell>
          <cell r="G539">
            <v>5.3999999999999999E-2</v>
          </cell>
          <cell r="H539">
            <v>545454.5</v>
          </cell>
        </row>
        <row r="540">
          <cell r="A540" t="str">
            <v>В-25370/АЗ_В-20211230/Ц</v>
          </cell>
          <cell r="B540" t="str">
            <v>Науменко Андрей Николаевич</v>
          </cell>
          <cell r="C540">
            <v>44529</v>
          </cell>
          <cell r="D540">
            <v>74</v>
          </cell>
          <cell r="E540">
            <v>48</v>
          </cell>
          <cell r="F540" t="str">
            <v>74% годовых</v>
          </cell>
          <cell r="G540">
            <v>5.3999999999999999E-2</v>
          </cell>
          <cell r="H540">
            <v>1000000</v>
          </cell>
        </row>
        <row r="541">
          <cell r="A541" t="str">
            <v>В-01203/АЗ_В-21082023/Ц</v>
          </cell>
          <cell r="B541" t="str">
            <v>Нахапетов Артур Валерьевич</v>
          </cell>
          <cell r="C541">
            <v>44392</v>
          </cell>
          <cell r="D541">
            <v>77</v>
          </cell>
          <cell r="E541">
            <v>48</v>
          </cell>
          <cell r="F541" t="str">
            <v>77% годовых</v>
          </cell>
          <cell r="G541">
            <v>5.3999999999999999E-2</v>
          </cell>
          <cell r="H541">
            <v>456000</v>
          </cell>
        </row>
        <row r="542">
          <cell r="A542" t="str">
            <v>В-27521/КЛ.Транш - 1_В-20211230/Ц</v>
          </cell>
          <cell r="B542" t="str">
            <v>Невкипелый Дмитрий Валерьевич</v>
          </cell>
          <cell r="C542">
            <v>44586</v>
          </cell>
          <cell r="D542">
            <v>64</v>
          </cell>
          <cell r="E542">
            <v>48</v>
          </cell>
          <cell r="F542" t="str">
            <v>64% годовых</v>
          </cell>
          <cell r="G542">
            <v>5.3999999999999999E-2</v>
          </cell>
          <cell r="H542">
            <v>511364</v>
          </cell>
        </row>
        <row r="543">
          <cell r="A543" t="str">
            <v>В-00598/АЗ_В-20211230/Ц</v>
          </cell>
          <cell r="B543" t="str">
            <v>Недялков Алексей Иванович</v>
          </cell>
          <cell r="C543">
            <v>43755</v>
          </cell>
          <cell r="D543">
            <v>73</v>
          </cell>
          <cell r="E543">
            <v>36</v>
          </cell>
          <cell r="F543" t="str">
            <v>73% годовых</v>
          </cell>
          <cell r="G543">
            <v>5.3999999999999999E-2</v>
          </cell>
          <cell r="H543">
            <v>255000</v>
          </cell>
        </row>
        <row r="544">
          <cell r="A544" t="str">
            <v>В-03114/КЛ.Транш - 1_В-20211230/Ц</v>
          </cell>
          <cell r="B544" t="str">
            <v>Некрасов Алексей Сергеевич</v>
          </cell>
          <cell r="C544">
            <v>43864</v>
          </cell>
          <cell r="D544">
            <v>73</v>
          </cell>
          <cell r="E544">
            <v>24</v>
          </cell>
          <cell r="F544" t="str">
            <v>73% годовых</v>
          </cell>
          <cell r="G544">
            <v>5.3999999999999999E-2</v>
          </cell>
          <cell r="H544">
            <v>500000</v>
          </cell>
        </row>
        <row r="545">
          <cell r="A545" t="str">
            <v>Т-01897/АЗ_Т-20211028/Ц</v>
          </cell>
          <cell r="B545" t="str">
            <v>Никитенко Роман Владимирович</v>
          </cell>
          <cell r="C545">
            <v>43950</v>
          </cell>
          <cell r="D545">
            <v>50</v>
          </cell>
          <cell r="E545">
            <v>36</v>
          </cell>
          <cell r="F545" t="str">
            <v>50% годовых</v>
          </cell>
          <cell r="G545">
            <v>5.3999999999999999E-2</v>
          </cell>
          <cell r="H545">
            <v>119793.57</v>
          </cell>
        </row>
        <row r="546">
          <cell r="A546" t="str">
            <v>В-00839/КЛ.Транш - 1_В-20211230/Ц</v>
          </cell>
          <cell r="B546" t="str">
            <v>Никитина Анастасия Витальевна</v>
          </cell>
          <cell r="C546">
            <v>43769</v>
          </cell>
          <cell r="D546">
            <v>84</v>
          </cell>
          <cell r="E546">
            <v>36</v>
          </cell>
          <cell r="F546" t="str">
            <v>84% годовых</v>
          </cell>
          <cell r="G546">
            <v>5.3999999999999999E-2</v>
          </cell>
          <cell r="H546">
            <v>200000</v>
          </cell>
        </row>
        <row r="547">
          <cell r="A547" t="str">
            <v>В-11307/КЛ.Транш - 1_В-21082023/Ц</v>
          </cell>
          <cell r="B547" t="str">
            <v>Никифоров Александр Андреевич</v>
          </cell>
          <cell r="C547">
            <v>44152</v>
          </cell>
          <cell r="D547">
            <v>80</v>
          </cell>
          <cell r="E547">
            <v>12</v>
          </cell>
          <cell r="F547" t="str">
            <v>80% годовых</v>
          </cell>
          <cell r="G547">
            <v>5.3999999999999999E-2</v>
          </cell>
          <cell r="H547">
            <v>120000</v>
          </cell>
        </row>
        <row r="548">
          <cell r="A548" t="str">
            <v>В-28471/КЛ.Транш - 1_В-20211230/Ц</v>
          </cell>
          <cell r="B548" t="str">
            <v>Николаев Дмитрий Васильевич</v>
          </cell>
          <cell r="C548">
            <v>44613</v>
          </cell>
          <cell r="D548">
            <v>50</v>
          </cell>
          <cell r="E548">
            <v>48</v>
          </cell>
          <cell r="F548" t="str">
            <v>84% годовых</v>
          </cell>
          <cell r="G548">
            <v>5.3999999999999999E-2</v>
          </cell>
          <cell r="H548">
            <v>1000000</v>
          </cell>
        </row>
        <row r="549">
          <cell r="A549" t="str">
            <v>В-02690/КЛ.Транш - 1_В-20211230/Ц</v>
          </cell>
          <cell r="B549" t="str">
            <v>Никонов Андрей Георгиевич</v>
          </cell>
          <cell r="C549">
            <v>43846</v>
          </cell>
          <cell r="D549">
            <v>66</v>
          </cell>
          <cell r="E549">
            <v>24</v>
          </cell>
          <cell r="F549" t="str">
            <v>66% годовых</v>
          </cell>
          <cell r="G549">
            <v>5.3999999999999999E-2</v>
          </cell>
          <cell r="H549">
            <v>200000</v>
          </cell>
        </row>
        <row r="550">
          <cell r="A550" t="str">
            <v>В-03414/КЛ.Транш - 1_В-21082023/Ц</v>
          </cell>
          <cell r="B550" t="str">
            <v>Никоноров Александр Владимирович</v>
          </cell>
          <cell r="C550">
            <v>43874</v>
          </cell>
          <cell r="D550">
            <v>87</v>
          </cell>
          <cell r="E550">
            <v>12</v>
          </cell>
          <cell r="F550" t="str">
            <v>87% годовых</v>
          </cell>
          <cell r="G550">
            <v>5.3999999999999999E-2</v>
          </cell>
          <cell r="H550">
            <v>315000</v>
          </cell>
        </row>
        <row r="551">
          <cell r="A551" t="str">
            <v>В-25093/КЛ.Транш - 1_В-21082023/Ц</v>
          </cell>
          <cell r="B551" t="str">
            <v>Никульченков Сергей Анатольевич</v>
          </cell>
          <cell r="C551">
            <v>44523</v>
          </cell>
          <cell r="D551">
            <v>64</v>
          </cell>
          <cell r="E551">
            <v>48</v>
          </cell>
          <cell r="F551" t="str">
            <v>До 304 дн. 64%; от 305 до 516 дн. 47,63%; от 517 до 882 дн. 52,865%; от 883 и более дн. 64%.</v>
          </cell>
          <cell r="G551">
            <v>5.3999999999999999E-2</v>
          </cell>
          <cell r="H551">
            <v>125000</v>
          </cell>
        </row>
        <row r="552">
          <cell r="A552" t="str">
            <v>А-00433/КЭ.Транш - 1</v>
          </cell>
          <cell r="B552" t="str">
            <v>НОВАЯ СПАРТА ООО</v>
          </cell>
          <cell r="C552">
            <v>43852</v>
          </cell>
          <cell r="D552">
            <v>65</v>
          </cell>
          <cell r="E552">
            <v>1</v>
          </cell>
          <cell r="F552" t="str">
            <v>65% годовых</v>
          </cell>
          <cell r="G552">
            <v>1</v>
          </cell>
          <cell r="H552">
            <v>300000</v>
          </cell>
        </row>
        <row r="553">
          <cell r="A553" t="str">
            <v>В-03811/КЛ.Транш - 1_В-20211230/Ц</v>
          </cell>
          <cell r="B553" t="str">
            <v>Новиков Егор Викторович</v>
          </cell>
          <cell r="C553">
            <v>43888</v>
          </cell>
          <cell r="D553">
            <v>73</v>
          </cell>
          <cell r="E553">
            <v>12</v>
          </cell>
          <cell r="F553" t="str">
            <v>73% годовых</v>
          </cell>
          <cell r="G553">
            <v>5.3999999999999999E-2</v>
          </cell>
          <cell r="H553">
            <v>100000</v>
          </cell>
        </row>
        <row r="554">
          <cell r="A554" t="str">
            <v>В-19548/КЛ.Транш - 1_В-21082023/Ц</v>
          </cell>
          <cell r="B554" t="str">
            <v>Новоселов Сергей Владимирович</v>
          </cell>
          <cell r="C554">
            <v>44372</v>
          </cell>
          <cell r="D554">
            <v>50</v>
          </cell>
          <cell r="E554">
            <v>48</v>
          </cell>
          <cell r="F554" t="str">
            <v>50% годовых</v>
          </cell>
          <cell r="G554">
            <v>5.3999999999999999E-2</v>
          </cell>
          <cell r="H554">
            <v>568182</v>
          </cell>
        </row>
        <row r="555">
          <cell r="A555" t="str">
            <v>В-24983/КЛ.Транш - 1_В-20211230/Ц</v>
          </cell>
          <cell r="B555" t="str">
            <v>Новрузов Марат Абильфас Оглы</v>
          </cell>
          <cell r="C555">
            <v>44519</v>
          </cell>
          <cell r="D555">
            <v>74</v>
          </cell>
          <cell r="E555">
            <v>48</v>
          </cell>
          <cell r="F555" t="str">
            <v>74% годовых</v>
          </cell>
          <cell r="G555">
            <v>5.3999999999999999E-2</v>
          </cell>
          <cell r="H555">
            <v>1000000</v>
          </cell>
        </row>
        <row r="556">
          <cell r="A556" t="str">
            <v>А-10096/КЭ.Транш - 1</v>
          </cell>
          <cell r="B556" t="str">
            <v>НОРДИНВЕСТ ООО</v>
          </cell>
          <cell r="C556">
            <v>43685</v>
          </cell>
          <cell r="D556">
            <v>65</v>
          </cell>
          <cell r="E556">
            <v>24</v>
          </cell>
          <cell r="F556" t="str">
            <v>65% годовых</v>
          </cell>
          <cell r="G556">
            <v>1</v>
          </cell>
          <cell r="H556">
            <v>300000</v>
          </cell>
        </row>
        <row r="557">
          <cell r="A557" t="str">
            <v>В-11333/КЛ.Транш - 1_В-20211230/Ц</v>
          </cell>
          <cell r="B557" t="str">
            <v>Нургушиев Нуридин Эдильбийевич</v>
          </cell>
          <cell r="C557">
            <v>44152</v>
          </cell>
          <cell r="D557">
            <v>80</v>
          </cell>
          <cell r="E557">
            <v>12</v>
          </cell>
          <cell r="F557" t="str">
            <v>80% годовых</v>
          </cell>
          <cell r="G557">
            <v>5.3999999999999999E-2</v>
          </cell>
          <cell r="H557">
            <v>100000</v>
          </cell>
        </row>
        <row r="558">
          <cell r="A558" t="str">
            <v>В-09421/КЛ.Транш - 1_А-20210929/Ц</v>
          </cell>
          <cell r="B558" t="str">
            <v>Оверченко Виктория Владимировна</v>
          </cell>
          <cell r="C558">
            <v>44098</v>
          </cell>
          <cell r="D558">
            <v>73</v>
          </cell>
          <cell r="E558">
            <v>48</v>
          </cell>
          <cell r="F558" t="str">
            <v>73% годовых</v>
          </cell>
          <cell r="G558">
            <v>5.3999999999999999E-2</v>
          </cell>
          <cell r="H558">
            <v>945000</v>
          </cell>
        </row>
        <row r="559">
          <cell r="A559" t="str">
            <v>В-00634/АЗ_В-21082023/Ц</v>
          </cell>
          <cell r="B559" t="str">
            <v>Овчинников Виталий Сергеевич</v>
          </cell>
          <cell r="C559">
            <v>43766</v>
          </cell>
          <cell r="D559">
            <v>77</v>
          </cell>
          <cell r="E559">
            <v>36</v>
          </cell>
          <cell r="F559" t="str">
            <v>82% годовых</v>
          </cell>
          <cell r="G559">
            <v>5.3999999999999999E-2</v>
          </cell>
          <cell r="H559">
            <v>180000</v>
          </cell>
        </row>
        <row r="560">
          <cell r="A560" t="str">
            <v>В-20921/КЛ.Транш - 1_В-20211230/Ц</v>
          </cell>
          <cell r="B560" t="str">
            <v>Оганесян Наири Миранович</v>
          </cell>
          <cell r="C560">
            <v>44404</v>
          </cell>
          <cell r="D560">
            <v>60</v>
          </cell>
          <cell r="E560">
            <v>48</v>
          </cell>
          <cell r="F560" t="str">
            <v>60% годовых</v>
          </cell>
          <cell r="G560">
            <v>5.3999999999999999E-2</v>
          </cell>
          <cell r="H560">
            <v>910000</v>
          </cell>
        </row>
        <row r="561">
          <cell r="A561" t="str">
            <v>В-01388/КЛ.Транш - 2_В-21082023/Ц</v>
          </cell>
          <cell r="B561" t="str">
            <v>Одинцова Ирина Вячеславовна</v>
          </cell>
          <cell r="C561">
            <v>43838</v>
          </cell>
          <cell r="D561">
            <v>84</v>
          </cell>
          <cell r="E561">
            <v>12</v>
          </cell>
          <cell r="F561" t="str">
            <v>84% годовых</v>
          </cell>
          <cell r="G561">
            <v>5.3999999999999999E-2</v>
          </cell>
          <cell r="H561">
            <v>100000</v>
          </cell>
        </row>
        <row r="562">
          <cell r="A562" t="str">
            <v>В-01388/КЛ.Транш - 1_В-21082023/Ц</v>
          </cell>
          <cell r="B562" t="str">
            <v>Одинцова Ирина Вячеславовна</v>
          </cell>
          <cell r="C562">
            <v>43783</v>
          </cell>
          <cell r="D562">
            <v>84</v>
          </cell>
          <cell r="E562">
            <v>12</v>
          </cell>
          <cell r="F562" t="str">
            <v>84% годовых</v>
          </cell>
          <cell r="G562">
            <v>5.3999999999999999E-2</v>
          </cell>
          <cell r="H562">
            <v>150000</v>
          </cell>
        </row>
        <row r="563">
          <cell r="A563" t="str">
            <v>В-00610/АЗ_В-21082023/Ц</v>
          </cell>
          <cell r="B563" t="str">
            <v>Ожован Андриан Васильевич</v>
          </cell>
          <cell r="C563">
            <v>43758</v>
          </cell>
          <cell r="D563">
            <v>70</v>
          </cell>
          <cell r="E563">
            <v>36</v>
          </cell>
          <cell r="F563" t="str">
            <v>70% годовых</v>
          </cell>
          <cell r="G563">
            <v>5.3999999999999999E-2</v>
          </cell>
          <cell r="H563">
            <v>345000</v>
          </cell>
        </row>
        <row r="564">
          <cell r="A564" t="str">
            <v>В-00847/АЗ_В-21082023/Ц</v>
          </cell>
          <cell r="B564" t="str">
            <v>Ожован Андриан Васильевич</v>
          </cell>
          <cell r="C564">
            <v>43857</v>
          </cell>
          <cell r="D564">
            <v>80</v>
          </cell>
          <cell r="E564">
            <v>36</v>
          </cell>
          <cell r="F564" t="str">
            <v>80% годовых</v>
          </cell>
          <cell r="G564">
            <v>5.3999999999999999E-2</v>
          </cell>
          <cell r="H564">
            <v>120000</v>
          </cell>
        </row>
        <row r="565">
          <cell r="A565" t="str">
            <v>В-00317/АЗ_В-20211230/Ц</v>
          </cell>
          <cell r="B565" t="str">
            <v>Озёрская Дарья Семеновна</v>
          </cell>
          <cell r="C565">
            <v>43650</v>
          </cell>
          <cell r="D565">
            <v>84</v>
          </cell>
          <cell r="E565">
            <v>36</v>
          </cell>
          <cell r="F565" t="str">
            <v>84% годовых</v>
          </cell>
          <cell r="G565">
            <v>5.3999999999999999E-2</v>
          </cell>
          <cell r="H565">
            <v>200000</v>
          </cell>
        </row>
        <row r="566">
          <cell r="A566" t="str">
            <v>В-01509/КЛ.Транш - 1_В-21082023/Ц</v>
          </cell>
          <cell r="B566" t="str">
            <v>Орехова Екатерина Юрьевна</v>
          </cell>
          <cell r="C566">
            <v>43788</v>
          </cell>
          <cell r="D566">
            <v>77</v>
          </cell>
          <cell r="E566">
            <v>12</v>
          </cell>
          <cell r="F566" t="str">
            <v>77% годовых</v>
          </cell>
          <cell r="G566">
            <v>5.3999999999999999E-2</v>
          </cell>
          <cell r="H566">
            <v>250000</v>
          </cell>
        </row>
        <row r="567">
          <cell r="A567" t="str">
            <v>А-05349/АЗ_В-20211230/Ц</v>
          </cell>
          <cell r="B567" t="str">
            <v>Осетров Олег Андреевич</v>
          </cell>
          <cell r="C567">
            <v>43651</v>
          </cell>
          <cell r="D567">
            <v>77</v>
          </cell>
          <cell r="E567">
            <v>36</v>
          </cell>
          <cell r="F567" t="str">
            <v>77% годовых</v>
          </cell>
          <cell r="G567">
            <v>5.3999999999999999E-2</v>
          </cell>
          <cell r="H567">
            <v>500000</v>
          </cell>
        </row>
        <row r="568">
          <cell r="A568" t="str">
            <v>В-26125/АЗ_В-21082023/Ц</v>
          </cell>
          <cell r="B568" t="str">
            <v>Осмаев Абдул-Латиф Исламович</v>
          </cell>
          <cell r="C568">
            <v>44546</v>
          </cell>
          <cell r="D568">
            <v>50</v>
          </cell>
          <cell r="E568">
            <v>48</v>
          </cell>
          <cell r="F568" t="str">
            <v>50% годовых</v>
          </cell>
          <cell r="G568">
            <v>5.3999999999999999E-2</v>
          </cell>
          <cell r="H568">
            <v>1000000</v>
          </cell>
        </row>
        <row r="569">
          <cell r="A569" t="str">
            <v>В-26172/АЗ_В-21082023/Ц</v>
          </cell>
          <cell r="B569" t="str">
            <v>Осмаев Джабраил Исламович</v>
          </cell>
          <cell r="C569">
            <v>44550</v>
          </cell>
          <cell r="D569">
            <v>50</v>
          </cell>
          <cell r="E569">
            <v>48</v>
          </cell>
          <cell r="F569" t="str">
            <v>50% годовых</v>
          </cell>
          <cell r="G569">
            <v>5.3999999999999999E-2</v>
          </cell>
          <cell r="H569">
            <v>600000</v>
          </cell>
        </row>
        <row r="570">
          <cell r="A570" t="str">
            <v>В-01023/АЗ_В-21082023/Ц</v>
          </cell>
          <cell r="B570" t="str">
            <v>Осмаев Ибрагим Исламович</v>
          </cell>
          <cell r="C570">
            <v>44133</v>
          </cell>
          <cell r="D570">
            <v>50</v>
          </cell>
          <cell r="E570">
            <v>48</v>
          </cell>
          <cell r="F570" t="str">
            <v>50% годовых</v>
          </cell>
          <cell r="G570">
            <v>5.3999999999999999E-2</v>
          </cell>
          <cell r="H570">
            <v>1000000</v>
          </cell>
        </row>
        <row r="571">
          <cell r="A571" t="str">
            <v>В-01022/АЗ_В-21082023/Ц</v>
          </cell>
          <cell r="B571" t="str">
            <v>Осмаева Зулихан Авхадовна</v>
          </cell>
          <cell r="C571">
            <v>44133</v>
          </cell>
          <cell r="D571">
            <v>50</v>
          </cell>
          <cell r="E571">
            <v>48</v>
          </cell>
          <cell r="F571" t="str">
            <v>50% годовых</v>
          </cell>
          <cell r="G571">
            <v>5.3999999999999999E-2</v>
          </cell>
          <cell r="H571">
            <v>1000000</v>
          </cell>
        </row>
        <row r="572">
          <cell r="A572" t="str">
            <v>В-00232/КЛ.Транш - 1_Т-20211028/Ц</v>
          </cell>
          <cell r="B572" t="str">
            <v>Островский Кирилл Эдуардович</v>
          </cell>
          <cell r="C572">
            <v>43701</v>
          </cell>
          <cell r="D572">
            <v>77</v>
          </cell>
          <cell r="E572">
            <v>12</v>
          </cell>
          <cell r="F572" t="str">
            <v>77% годовых</v>
          </cell>
          <cell r="G572">
            <v>5.3999999999999999E-2</v>
          </cell>
          <cell r="H572">
            <v>300000</v>
          </cell>
        </row>
        <row r="573">
          <cell r="A573" t="str">
            <v>В-19097/КЛ.Транш - 1_В-20211230/Ц</v>
          </cell>
          <cell r="B573" t="str">
            <v>Павликивский Владимир Васильевич</v>
          </cell>
          <cell r="C573">
            <v>44358</v>
          </cell>
          <cell r="D573">
            <v>50</v>
          </cell>
          <cell r="E573">
            <v>48</v>
          </cell>
          <cell r="F573" t="str">
            <v>50% годовых</v>
          </cell>
          <cell r="G573">
            <v>5.3999999999999999E-2</v>
          </cell>
          <cell r="H573">
            <v>284090.90000000002</v>
          </cell>
        </row>
        <row r="574">
          <cell r="A574" t="str">
            <v>В-12523/КЛ.Транш - 2_В-21082023/Ц</v>
          </cell>
          <cell r="B574" t="str">
            <v>Павлов Алексей Георгиевич</v>
          </cell>
          <cell r="C574">
            <v>44531</v>
          </cell>
          <cell r="D574">
            <v>74</v>
          </cell>
          <cell r="E574">
            <v>48</v>
          </cell>
          <cell r="F574" t="str">
            <v>74% годовых</v>
          </cell>
          <cell r="G574">
            <v>5.3999999999999999E-2</v>
          </cell>
          <cell r="H574">
            <v>300000</v>
          </cell>
        </row>
        <row r="575">
          <cell r="A575" t="str">
            <v>В-12574/КЛ.Транш - 1_В-21082023/Ц</v>
          </cell>
          <cell r="B575" t="str">
            <v>Павлов Вячеслав Игоревич</v>
          </cell>
          <cell r="C575">
            <v>44182</v>
          </cell>
          <cell r="D575">
            <v>50</v>
          </cell>
          <cell r="E575">
            <v>48</v>
          </cell>
          <cell r="F575" t="str">
            <v>50% годовых</v>
          </cell>
          <cell r="G575">
            <v>5.3999999999999999E-2</v>
          </cell>
          <cell r="H575">
            <v>100000</v>
          </cell>
        </row>
        <row r="576">
          <cell r="A576" t="str">
            <v>В-12574/КЛ.Транш - 3_В-21082023/Ц</v>
          </cell>
          <cell r="B576" t="str">
            <v>Павлов Вячеслав Игоревич</v>
          </cell>
          <cell r="C576">
            <v>44305</v>
          </cell>
          <cell r="D576">
            <v>67</v>
          </cell>
          <cell r="E576">
            <v>48</v>
          </cell>
          <cell r="F576" t="str">
            <v>67% годовых</v>
          </cell>
          <cell r="G576">
            <v>5.3999999999999999E-2</v>
          </cell>
          <cell r="H576">
            <v>100000</v>
          </cell>
        </row>
        <row r="577">
          <cell r="A577" t="str">
            <v>В-12574/КЛ.Транш - 2_В-21082023/Ц</v>
          </cell>
          <cell r="B577" t="str">
            <v>Павлов Вячеслав Игоревич</v>
          </cell>
          <cell r="C577">
            <v>44253</v>
          </cell>
          <cell r="D577">
            <v>67</v>
          </cell>
          <cell r="E577">
            <v>48</v>
          </cell>
          <cell r="F577" t="str">
            <v>67% годовых</v>
          </cell>
          <cell r="G577">
            <v>5.3999999999999999E-2</v>
          </cell>
          <cell r="H577">
            <v>100000</v>
          </cell>
        </row>
        <row r="578">
          <cell r="A578" t="str">
            <v>В-03672/КЛ.Транш - 1_В-20211230/Ц</v>
          </cell>
          <cell r="B578" t="str">
            <v>Павлов Денис Витальевич</v>
          </cell>
          <cell r="C578">
            <v>43882</v>
          </cell>
          <cell r="D578">
            <v>73</v>
          </cell>
          <cell r="E578">
            <v>36</v>
          </cell>
          <cell r="F578" t="str">
            <v>73% годовых</v>
          </cell>
          <cell r="G578">
            <v>5.3999999999999999E-2</v>
          </cell>
          <cell r="H578">
            <v>200000</v>
          </cell>
        </row>
        <row r="579">
          <cell r="A579" t="str">
            <v>А-04614/АЗ</v>
          </cell>
          <cell r="B579" t="str">
            <v>Павлова Светлана Юрьевна</v>
          </cell>
          <cell r="C579">
            <v>43396</v>
          </cell>
          <cell r="D579">
            <v>77</v>
          </cell>
          <cell r="E579">
            <v>36</v>
          </cell>
          <cell r="F579" t="str">
            <v>77% годовых</v>
          </cell>
          <cell r="G579">
            <v>5.3999999999999999E-2</v>
          </cell>
          <cell r="H579">
            <v>300000</v>
          </cell>
        </row>
        <row r="580">
          <cell r="A580" t="str">
            <v>В-03197/КЛ.Транш - 2_В-21082023/Ц</v>
          </cell>
          <cell r="B580" t="str">
            <v>Павлюченко Михаил Михайлович</v>
          </cell>
          <cell r="C580">
            <v>44036</v>
          </cell>
          <cell r="D580">
            <v>73</v>
          </cell>
          <cell r="E580">
            <v>36</v>
          </cell>
          <cell r="F580" t="str">
            <v>73% годовых</v>
          </cell>
          <cell r="G580">
            <v>5.3999999999999999E-2</v>
          </cell>
          <cell r="H580">
            <v>300000</v>
          </cell>
        </row>
        <row r="581">
          <cell r="A581" t="str">
            <v>В-21847/КЛ.Транш - 1_В-20211230/Ц</v>
          </cell>
          <cell r="B581" t="str">
            <v>Пантелеев Даниил Александрович</v>
          </cell>
          <cell r="C581">
            <v>44430</v>
          </cell>
          <cell r="D581">
            <v>50</v>
          </cell>
          <cell r="E581">
            <v>48</v>
          </cell>
          <cell r="F581" t="str">
            <v>50% годовых</v>
          </cell>
          <cell r="G581">
            <v>5.3999999999999999E-2</v>
          </cell>
          <cell r="H581">
            <v>113636.4</v>
          </cell>
        </row>
        <row r="582">
          <cell r="A582" t="str">
            <v>В-29072/КЛ.Транш - 1_В-20211230/Ц</v>
          </cell>
          <cell r="B582" t="str">
            <v>Папикян Андраник Климентович</v>
          </cell>
          <cell r="C582">
            <v>44627</v>
          </cell>
          <cell r="D582">
            <v>110</v>
          </cell>
          <cell r="E582">
            <v>48</v>
          </cell>
          <cell r="F582" t="str">
            <v>110% годовых</v>
          </cell>
          <cell r="G582">
            <v>5.3999999999999999E-2</v>
          </cell>
          <cell r="H582">
            <v>240000</v>
          </cell>
        </row>
        <row r="583">
          <cell r="A583" t="str">
            <v>В-13136/КЛ.Транш - 1_В-20211230/Ц</v>
          </cell>
          <cell r="B583" t="str">
            <v>Пахомов Михаил Юрьевич</v>
          </cell>
          <cell r="C583">
            <v>44193</v>
          </cell>
          <cell r="D583">
            <v>66</v>
          </cell>
          <cell r="E583">
            <v>48</v>
          </cell>
          <cell r="F583" t="str">
            <v>66% годовых</v>
          </cell>
          <cell r="G583">
            <v>5.3999999999999999E-2</v>
          </cell>
          <cell r="H583">
            <v>650000</v>
          </cell>
        </row>
        <row r="584">
          <cell r="A584" t="str">
            <v>В-25302/КЛ.Транш - 1_В-20211230/Ц</v>
          </cell>
          <cell r="B584" t="str">
            <v>Пеньков Алексей Александрович</v>
          </cell>
          <cell r="C584">
            <v>44529</v>
          </cell>
          <cell r="D584">
            <v>88</v>
          </cell>
          <cell r="E584">
            <v>48</v>
          </cell>
          <cell r="F584" t="str">
            <v>88% годовых</v>
          </cell>
          <cell r="G584">
            <v>5.3999999999999999E-2</v>
          </cell>
          <cell r="H584">
            <v>1000000</v>
          </cell>
        </row>
        <row r="585">
          <cell r="A585" t="str">
            <v>В-07717/КЛ.Транш - 4_В-20211230/Ц</v>
          </cell>
          <cell r="B585" t="str">
            <v>Перевалов Артём Владимирович</v>
          </cell>
          <cell r="C585">
            <v>44169</v>
          </cell>
          <cell r="D585">
            <v>87</v>
          </cell>
          <cell r="E585">
            <v>24</v>
          </cell>
          <cell r="F585" t="str">
            <v>87% годовых</v>
          </cell>
          <cell r="G585">
            <v>5.3999999999999999E-2</v>
          </cell>
          <cell r="H585">
            <v>100000</v>
          </cell>
        </row>
        <row r="586">
          <cell r="A586" t="str">
            <v>В-07717/КЛ.Транш - 2_В-20211230/Ц</v>
          </cell>
          <cell r="B586" t="str">
            <v>Перевалов Артём Владимирович</v>
          </cell>
          <cell r="C586">
            <v>44064</v>
          </cell>
          <cell r="D586">
            <v>87</v>
          </cell>
          <cell r="E586">
            <v>24</v>
          </cell>
          <cell r="F586" t="str">
            <v>87% годовых</v>
          </cell>
          <cell r="G586">
            <v>5.3999999999999999E-2</v>
          </cell>
          <cell r="H586">
            <v>100000</v>
          </cell>
        </row>
        <row r="587">
          <cell r="A587" t="str">
            <v>В-07717/КЛ.Транш - 3_В-20211230/Ц</v>
          </cell>
          <cell r="B587" t="str">
            <v>Перевалов Артём Владимирович</v>
          </cell>
          <cell r="C587">
            <v>44141</v>
          </cell>
          <cell r="D587">
            <v>87</v>
          </cell>
          <cell r="E587">
            <v>24</v>
          </cell>
          <cell r="F587" t="str">
            <v>87% годовых</v>
          </cell>
          <cell r="G587">
            <v>5.3999999999999999E-2</v>
          </cell>
          <cell r="H587">
            <v>100000</v>
          </cell>
        </row>
        <row r="588">
          <cell r="A588" t="str">
            <v>В-07717/КЛ.Транш - 1_В-20211230/Ц</v>
          </cell>
          <cell r="B588" t="str">
            <v>Перевалов Артём Владимирович</v>
          </cell>
          <cell r="C588">
            <v>44050</v>
          </cell>
          <cell r="D588">
            <v>80</v>
          </cell>
          <cell r="E588">
            <v>24</v>
          </cell>
          <cell r="F588" t="str">
            <v>80% годовых</v>
          </cell>
          <cell r="G588">
            <v>5.3999999999999999E-2</v>
          </cell>
          <cell r="H588">
            <v>100000</v>
          </cell>
        </row>
        <row r="589">
          <cell r="A589" t="str">
            <v>В-07717/КЛ.Транш - 5_В-20211230/Ц</v>
          </cell>
          <cell r="B589" t="str">
            <v>Перевалов Артём Владимирович</v>
          </cell>
          <cell r="C589">
            <v>44181</v>
          </cell>
          <cell r="D589">
            <v>87</v>
          </cell>
          <cell r="E589">
            <v>24</v>
          </cell>
          <cell r="F589" t="str">
            <v>87% годовых</v>
          </cell>
          <cell r="G589">
            <v>5.3999999999999999E-2</v>
          </cell>
          <cell r="H589">
            <v>100000</v>
          </cell>
        </row>
        <row r="590">
          <cell r="A590" t="str">
            <v>А-00425/КЭ.Транш - 1</v>
          </cell>
          <cell r="B590" t="str">
            <v>ПЕРЕЕЗД СЕРВИС ООО</v>
          </cell>
          <cell r="C590">
            <v>43796</v>
          </cell>
          <cell r="D590">
            <v>50</v>
          </cell>
          <cell r="E590">
            <v>12</v>
          </cell>
          <cell r="F590" t="str">
            <v>50% годовых</v>
          </cell>
          <cell r="G590">
            <v>1</v>
          </cell>
          <cell r="H590">
            <v>190000</v>
          </cell>
        </row>
        <row r="591">
          <cell r="A591" t="str">
            <v>В-01113/АЗ_В-21082023/Ц</v>
          </cell>
          <cell r="B591" t="str">
            <v>Петров Денис Александрович</v>
          </cell>
          <cell r="C591">
            <v>44253</v>
          </cell>
          <cell r="D591">
            <v>50</v>
          </cell>
          <cell r="E591">
            <v>36</v>
          </cell>
          <cell r="F591" t="str">
            <v>50% годовых</v>
          </cell>
          <cell r="G591">
            <v>5.3999999999999999E-2</v>
          </cell>
          <cell r="H591">
            <v>300000</v>
          </cell>
        </row>
        <row r="592">
          <cell r="A592" t="str">
            <v>В-28393/КЛ.Транш - 1_В-20211230/Ц</v>
          </cell>
          <cell r="B592" t="str">
            <v>Петров Николай Анатольевич</v>
          </cell>
          <cell r="C592">
            <v>44609</v>
          </cell>
          <cell r="D592">
            <v>64</v>
          </cell>
          <cell r="E592">
            <v>24</v>
          </cell>
          <cell r="F592" t="str">
            <v>64% годовых</v>
          </cell>
          <cell r="G592">
            <v>5.3999999999999999E-2</v>
          </cell>
          <cell r="H592">
            <v>113636</v>
          </cell>
        </row>
        <row r="593">
          <cell r="A593" t="str">
            <v>В-17043/КЛ.Транш - 1_В-20211230/Ц</v>
          </cell>
          <cell r="B593" t="str">
            <v>Петров Сергей Анатольевич</v>
          </cell>
          <cell r="C593">
            <v>44308</v>
          </cell>
          <cell r="D593">
            <v>81</v>
          </cell>
          <cell r="E593">
            <v>12</v>
          </cell>
          <cell r="F593" t="str">
            <v>81% годовых</v>
          </cell>
          <cell r="G593">
            <v>5.3999999999999999E-2</v>
          </cell>
          <cell r="H593">
            <v>300000</v>
          </cell>
        </row>
        <row r="594">
          <cell r="A594" t="str">
            <v>В-26450/АЗ_В-20211230/Ц</v>
          </cell>
          <cell r="B594" t="str">
            <v>Петров Юрий Викторович</v>
          </cell>
          <cell r="C594">
            <v>44554</v>
          </cell>
          <cell r="D594">
            <v>50</v>
          </cell>
          <cell r="E594">
            <v>48</v>
          </cell>
          <cell r="F594" t="str">
            <v>50% годовых</v>
          </cell>
          <cell r="G594">
            <v>5.3999999999999999E-2</v>
          </cell>
          <cell r="H594">
            <v>600000</v>
          </cell>
        </row>
        <row r="595">
          <cell r="A595" t="str">
            <v>В-03974/КЛ.Транш - 3_В-21082023/Ц</v>
          </cell>
          <cell r="B595" t="str">
            <v>Петрова Елена Владимировна</v>
          </cell>
          <cell r="C595">
            <v>44547</v>
          </cell>
          <cell r="D595">
            <v>50</v>
          </cell>
          <cell r="E595">
            <v>36</v>
          </cell>
          <cell r="F595" t="str">
            <v>0% годовых</v>
          </cell>
          <cell r="G595">
            <v>5.3999999999999999E-2</v>
          </cell>
          <cell r="H595">
            <v>400000</v>
          </cell>
        </row>
        <row r="596">
          <cell r="A596" t="str">
            <v>В-01084/АЗ</v>
          </cell>
          <cell r="B596" t="str">
            <v>Печеникова Оксана Александровна</v>
          </cell>
          <cell r="C596">
            <v>44195</v>
          </cell>
          <cell r="D596">
            <v>80</v>
          </cell>
          <cell r="E596">
            <v>12</v>
          </cell>
          <cell r="F596" t="str">
            <v>80% годовых</v>
          </cell>
          <cell r="G596">
            <v>5.3999999999999999E-2</v>
          </cell>
          <cell r="H596">
            <v>870000</v>
          </cell>
        </row>
        <row r="597">
          <cell r="A597" t="str">
            <v>В-25950/КЛ.Транш - 1_В-20211230/Ц</v>
          </cell>
          <cell r="B597" t="str">
            <v>Пивченкова Наталья Александровна</v>
          </cell>
          <cell r="C597">
            <v>44544</v>
          </cell>
          <cell r="D597">
            <v>64</v>
          </cell>
          <cell r="E597">
            <v>48</v>
          </cell>
          <cell r="F597" t="str">
            <v>64% годовых</v>
          </cell>
          <cell r="G597">
            <v>5.3999999999999999E-2</v>
          </cell>
          <cell r="H597">
            <v>250000</v>
          </cell>
        </row>
        <row r="598">
          <cell r="A598" t="str">
            <v>В-21175/КЛ.Транш - 1_В-21082023/Ц</v>
          </cell>
          <cell r="B598" t="str">
            <v>Пилюгин Олег Васильевич</v>
          </cell>
          <cell r="C598">
            <v>44411</v>
          </cell>
          <cell r="D598">
            <v>50</v>
          </cell>
          <cell r="E598">
            <v>12</v>
          </cell>
          <cell r="F598" t="str">
            <v>50% годовых</v>
          </cell>
          <cell r="G598">
            <v>5.3999999999999999E-2</v>
          </cell>
          <cell r="H598">
            <v>227272.7</v>
          </cell>
        </row>
        <row r="599">
          <cell r="A599" t="str">
            <v>В-25807/АЗ_В-21082023/Ц</v>
          </cell>
          <cell r="B599" t="str">
            <v>Платонов Николай Владимирович</v>
          </cell>
          <cell r="C599">
            <v>44540</v>
          </cell>
          <cell r="D599">
            <v>74</v>
          </cell>
          <cell r="E599">
            <v>36</v>
          </cell>
          <cell r="F599" t="str">
            <v>74% годовых</v>
          </cell>
          <cell r="G599">
            <v>5.3999999999999999E-2</v>
          </cell>
          <cell r="H599">
            <v>1000000</v>
          </cell>
        </row>
        <row r="600">
          <cell r="A600" t="str">
            <v>А-04384/АЗ</v>
          </cell>
          <cell r="B600" t="str">
            <v>Платунова Жанна Александровна</v>
          </cell>
          <cell r="C600">
            <v>43341</v>
          </cell>
          <cell r="D600">
            <v>88</v>
          </cell>
          <cell r="E600">
            <v>36</v>
          </cell>
          <cell r="F600" t="str">
            <v>88% годовых</v>
          </cell>
          <cell r="G600">
            <v>5.3999999999999999E-2</v>
          </cell>
          <cell r="H600">
            <v>455000</v>
          </cell>
        </row>
        <row r="601">
          <cell r="A601" t="str">
            <v>В-00612/АЗ_В-21082023/Ц</v>
          </cell>
          <cell r="B601" t="str">
            <v>Поддубный Николай Станиславович</v>
          </cell>
          <cell r="C601">
            <v>43759</v>
          </cell>
          <cell r="D601">
            <v>77</v>
          </cell>
          <cell r="E601">
            <v>36</v>
          </cell>
          <cell r="F601" t="str">
            <v>82% годовых</v>
          </cell>
          <cell r="G601">
            <v>5.3999999999999999E-2</v>
          </cell>
          <cell r="H601">
            <v>640000</v>
          </cell>
        </row>
        <row r="602">
          <cell r="A602" t="str">
            <v>В-28274/КЛ.Транш - 1_В-21082023/Ц</v>
          </cell>
          <cell r="B602" t="str">
            <v>Подтуркин Алексей Сергеевич</v>
          </cell>
          <cell r="C602">
            <v>44607</v>
          </cell>
          <cell r="D602">
            <v>84</v>
          </cell>
          <cell r="E602">
            <v>36</v>
          </cell>
          <cell r="F602" t="str">
            <v>89% годовых</v>
          </cell>
          <cell r="G602">
            <v>5.3999999999999999E-2</v>
          </cell>
          <cell r="H602">
            <v>200000</v>
          </cell>
        </row>
        <row r="603">
          <cell r="A603" t="str">
            <v>В-22449/КЛ.Транш - 1_В-21082023/Ц</v>
          </cell>
          <cell r="B603" t="str">
            <v>Подчуфарова Лариса Николаевна</v>
          </cell>
          <cell r="C603">
            <v>44449</v>
          </cell>
          <cell r="D603">
            <v>64</v>
          </cell>
          <cell r="E603">
            <v>48</v>
          </cell>
          <cell r="F603" t="str">
            <v>69% годовых</v>
          </cell>
          <cell r="G603">
            <v>5.3999999999999999E-2</v>
          </cell>
          <cell r="H603">
            <v>340909.1</v>
          </cell>
        </row>
        <row r="604">
          <cell r="A604" t="str">
            <v>В-01046/АЗ</v>
          </cell>
          <cell r="B604" t="str">
            <v>Поляруш Ирина Валерьевна</v>
          </cell>
          <cell r="C604">
            <v>44153</v>
          </cell>
          <cell r="D604">
            <v>50</v>
          </cell>
          <cell r="E604">
            <v>24</v>
          </cell>
          <cell r="F604" t="str">
            <v>50% годовых</v>
          </cell>
          <cell r="G604">
            <v>5.3999999999999999E-2</v>
          </cell>
          <cell r="H604">
            <v>400000</v>
          </cell>
        </row>
        <row r="605">
          <cell r="A605" t="str">
            <v>В-21306/КЛ.Транш - 1_В-21082023/Ц</v>
          </cell>
          <cell r="B605" t="str">
            <v>Попов Виктор Вячеславович</v>
          </cell>
          <cell r="C605">
            <v>44418</v>
          </cell>
          <cell r="D605">
            <v>50</v>
          </cell>
          <cell r="E605">
            <v>48</v>
          </cell>
          <cell r="F605" t="str">
            <v>50% годовых</v>
          </cell>
          <cell r="G605">
            <v>5.3999999999999999E-2</v>
          </cell>
          <cell r="H605">
            <v>198863.6</v>
          </cell>
        </row>
        <row r="606">
          <cell r="A606" t="str">
            <v>В-25810/АЗ_В-21082023/Ц</v>
          </cell>
          <cell r="B606" t="str">
            <v>Попов Михаил Александрович</v>
          </cell>
          <cell r="C606">
            <v>44540</v>
          </cell>
          <cell r="D606">
            <v>74</v>
          </cell>
          <cell r="E606">
            <v>36</v>
          </cell>
          <cell r="F606" t="str">
            <v>74% годовых</v>
          </cell>
          <cell r="G606">
            <v>5.3999999999999999E-2</v>
          </cell>
          <cell r="H606">
            <v>1000000</v>
          </cell>
        </row>
        <row r="607">
          <cell r="A607" t="str">
            <v>В-05187/КЛ.Транш - 1_В-21082023/Ц</v>
          </cell>
          <cell r="B607" t="str">
            <v>Посвенчук Владислав Андреевич</v>
          </cell>
          <cell r="C607">
            <v>43949</v>
          </cell>
          <cell r="D607">
            <v>80</v>
          </cell>
          <cell r="E607">
            <v>36</v>
          </cell>
          <cell r="F607" t="str">
            <v>80% годовых</v>
          </cell>
          <cell r="G607">
            <v>5.3999999999999999E-2</v>
          </cell>
          <cell r="H607">
            <v>380000</v>
          </cell>
        </row>
        <row r="608">
          <cell r="A608" t="str">
            <v>В-08822/КЛ.Транш - 1_В-21082023/Ц</v>
          </cell>
          <cell r="B608" t="str">
            <v>Потёмкина Юлия Сергеевна</v>
          </cell>
          <cell r="C608">
            <v>44081</v>
          </cell>
          <cell r="D608">
            <v>50</v>
          </cell>
          <cell r="E608">
            <v>36</v>
          </cell>
          <cell r="F608" t="str">
            <v>50% годовых</v>
          </cell>
          <cell r="G608">
            <v>5.3999999999999999E-2</v>
          </cell>
          <cell r="H608">
            <v>170000</v>
          </cell>
        </row>
        <row r="609">
          <cell r="A609" t="str">
            <v>А-00049/БЭ</v>
          </cell>
          <cell r="B609" t="str">
            <v>Потороченков Игорь Сергеевич</v>
          </cell>
          <cell r="C609">
            <v>43550</v>
          </cell>
          <cell r="D609">
            <v>120</v>
          </cell>
          <cell r="E609">
            <v>12</v>
          </cell>
          <cell r="F609" t="str">
            <v>120% годовых</v>
          </cell>
          <cell r="G609">
            <v>5.3999999999999999E-2</v>
          </cell>
          <cell r="H609">
            <v>300000</v>
          </cell>
        </row>
        <row r="610">
          <cell r="A610" t="str">
            <v>В-13669/КЛ.Транш - 2_В-20211230/Ц</v>
          </cell>
          <cell r="B610" t="str">
            <v>Почапский Антон Вячеславович</v>
          </cell>
          <cell r="C610">
            <v>44285</v>
          </cell>
          <cell r="D610">
            <v>74</v>
          </cell>
          <cell r="E610">
            <v>24</v>
          </cell>
          <cell r="F610" t="str">
            <v>74% годовых</v>
          </cell>
          <cell r="G610">
            <v>5.3999999999999999E-2</v>
          </cell>
          <cell r="H610">
            <v>100000</v>
          </cell>
        </row>
        <row r="611">
          <cell r="A611" t="str">
            <v>В-13669/КЛ.Транш - 6_В-20211230/Ц</v>
          </cell>
          <cell r="B611" t="str">
            <v>Почапский Антон Вячеславович</v>
          </cell>
          <cell r="C611">
            <v>44326</v>
          </cell>
          <cell r="D611">
            <v>67</v>
          </cell>
          <cell r="E611">
            <v>24</v>
          </cell>
          <cell r="F611" t="str">
            <v>67% годовых</v>
          </cell>
          <cell r="G611">
            <v>5.3999999999999999E-2</v>
          </cell>
          <cell r="H611">
            <v>100000</v>
          </cell>
        </row>
        <row r="612">
          <cell r="A612" t="str">
            <v>В-13669/КЛ.Транш - 3_В-20211230/Ц</v>
          </cell>
          <cell r="B612" t="str">
            <v>Почапский Антон Вячеславович</v>
          </cell>
          <cell r="C612">
            <v>44295</v>
          </cell>
          <cell r="D612">
            <v>67</v>
          </cell>
          <cell r="E612">
            <v>24</v>
          </cell>
          <cell r="F612" t="str">
            <v>67% годовых</v>
          </cell>
          <cell r="G612">
            <v>5.3999999999999999E-2</v>
          </cell>
          <cell r="H612">
            <v>100000</v>
          </cell>
        </row>
        <row r="613">
          <cell r="A613" t="str">
            <v>В-13669/КЛ.Транш - 5_В-20211230/Ц</v>
          </cell>
          <cell r="B613" t="str">
            <v>Почапский Антон Вячеславович</v>
          </cell>
          <cell r="C613">
            <v>44319</v>
          </cell>
          <cell r="D613">
            <v>67</v>
          </cell>
          <cell r="E613">
            <v>24</v>
          </cell>
          <cell r="F613" t="str">
            <v>67% годовых</v>
          </cell>
          <cell r="G613">
            <v>5.3999999999999999E-2</v>
          </cell>
          <cell r="H613">
            <v>100000</v>
          </cell>
        </row>
        <row r="614">
          <cell r="A614" t="str">
            <v>В-13669/КЛ.Транш - 4_В-20211230/Ц</v>
          </cell>
          <cell r="B614" t="str">
            <v>Почапский Антон Вячеславович</v>
          </cell>
          <cell r="C614">
            <v>44308</v>
          </cell>
          <cell r="D614">
            <v>67</v>
          </cell>
          <cell r="E614">
            <v>24</v>
          </cell>
          <cell r="F614" t="str">
            <v>67% годовых</v>
          </cell>
          <cell r="G614">
            <v>5.3999999999999999E-2</v>
          </cell>
          <cell r="H614">
            <v>100000</v>
          </cell>
        </row>
        <row r="615">
          <cell r="A615" t="str">
            <v>В-08745/КЛ.Транш - 1_В-21082023/Ц</v>
          </cell>
          <cell r="B615" t="str">
            <v>Правдивцева Наталья Владимировна</v>
          </cell>
          <cell r="C615">
            <v>44092</v>
          </cell>
          <cell r="D615">
            <v>73</v>
          </cell>
          <cell r="E615">
            <v>48</v>
          </cell>
          <cell r="F615" t="str">
            <v>73% годовых</v>
          </cell>
          <cell r="G615">
            <v>5.3999999999999999E-2</v>
          </cell>
          <cell r="H615">
            <v>160000</v>
          </cell>
        </row>
        <row r="616">
          <cell r="A616" t="str">
            <v>В-20218/КЛ.Транш - 1_В-20211230/Ц</v>
          </cell>
          <cell r="B616" t="str">
            <v>Проклов Игорь Петрович</v>
          </cell>
          <cell r="C616">
            <v>44386</v>
          </cell>
          <cell r="D616">
            <v>50</v>
          </cell>
          <cell r="E616">
            <v>36</v>
          </cell>
          <cell r="F616" t="str">
            <v>50% годовых</v>
          </cell>
          <cell r="G616">
            <v>5.3999999999999999E-2</v>
          </cell>
          <cell r="H616">
            <v>227272.7</v>
          </cell>
        </row>
        <row r="617">
          <cell r="A617" t="str">
            <v>А-03947/АЗ_В-21082023/Ц</v>
          </cell>
          <cell r="B617" t="str">
            <v>Прохорова Наталья Васильевна</v>
          </cell>
          <cell r="C617">
            <v>43237</v>
          </cell>
          <cell r="D617">
            <v>88</v>
          </cell>
          <cell r="E617">
            <v>12</v>
          </cell>
          <cell r="F617" t="str">
            <v>88% годовых</v>
          </cell>
          <cell r="G617">
            <v>5.3999999999999999E-2</v>
          </cell>
          <cell r="H617">
            <v>350000</v>
          </cell>
        </row>
        <row r="618">
          <cell r="A618" t="str">
            <v>Т-01497/АЗ_В-21082023/Ц</v>
          </cell>
          <cell r="B618" t="str">
            <v>Прохорова Наталья Васильевна</v>
          </cell>
          <cell r="C618">
            <v>43237</v>
          </cell>
          <cell r="D618">
            <v>88</v>
          </cell>
          <cell r="E618">
            <v>12</v>
          </cell>
          <cell r="F618" t="str">
            <v>88% годовых</v>
          </cell>
          <cell r="G618">
            <v>5.3999999999999999E-2</v>
          </cell>
          <cell r="H618">
            <v>350000</v>
          </cell>
        </row>
        <row r="619">
          <cell r="A619" t="str">
            <v>В-16261/КЛ.Транш - 1_В-20211230/Ц</v>
          </cell>
          <cell r="B619" t="str">
            <v>Прусаков Максим Владимирович</v>
          </cell>
          <cell r="C619">
            <v>44285</v>
          </cell>
          <cell r="D619">
            <v>50</v>
          </cell>
          <cell r="E619">
            <v>24</v>
          </cell>
          <cell r="F619" t="str">
            <v>50% годовых</v>
          </cell>
          <cell r="G619">
            <v>5.3999999999999999E-2</v>
          </cell>
          <cell r="H619">
            <v>113636.4</v>
          </cell>
        </row>
        <row r="620">
          <cell r="A620" t="str">
            <v>В-21019/КЛ.Транш - 1_В-21082023/Ц</v>
          </cell>
          <cell r="B620" t="str">
            <v>Пудлич Ульяна Петровна</v>
          </cell>
          <cell r="C620">
            <v>44407</v>
          </cell>
          <cell r="D620">
            <v>50</v>
          </cell>
          <cell r="E620">
            <v>24</v>
          </cell>
          <cell r="F620" t="str">
            <v>50% годовых</v>
          </cell>
          <cell r="G620">
            <v>5.3999999999999999E-2</v>
          </cell>
          <cell r="H620">
            <v>296590.90000000002</v>
          </cell>
        </row>
        <row r="621">
          <cell r="A621" t="str">
            <v>В-15954/КЛ.Транш - 1_В-21082023/Ц</v>
          </cell>
          <cell r="B621" t="str">
            <v>Пушкарев Александр Борисович</v>
          </cell>
          <cell r="C621">
            <v>44278</v>
          </cell>
          <cell r="D621">
            <v>60</v>
          </cell>
          <cell r="E621">
            <v>48</v>
          </cell>
          <cell r="F621" t="str">
            <v>60% годовых</v>
          </cell>
          <cell r="G621">
            <v>5.3999999999999999E-2</v>
          </cell>
          <cell r="H621">
            <v>600000</v>
          </cell>
        </row>
        <row r="622">
          <cell r="A622" t="str">
            <v>В-22864/КЛ.Транш - 1_В-21082023/Ц</v>
          </cell>
          <cell r="B622" t="str">
            <v>Пушкарева Виолетта Алексеевна</v>
          </cell>
          <cell r="C622">
            <v>44461</v>
          </cell>
          <cell r="D622">
            <v>64</v>
          </cell>
          <cell r="E622">
            <v>48</v>
          </cell>
          <cell r="F622" t="str">
            <v>69% годовых</v>
          </cell>
          <cell r="G622">
            <v>5.3999999999999999E-2</v>
          </cell>
          <cell r="H622">
            <v>284090.90000000002</v>
          </cell>
        </row>
        <row r="623">
          <cell r="A623" t="str">
            <v>В-17315/КЛ.Транш - 1_В-20211230/Ц</v>
          </cell>
          <cell r="B623" t="str">
            <v>Рагимов Рафик Балайевич</v>
          </cell>
          <cell r="C623">
            <v>44314</v>
          </cell>
          <cell r="D623">
            <v>50</v>
          </cell>
          <cell r="E623">
            <v>48</v>
          </cell>
          <cell r="F623" t="str">
            <v>50% годовых</v>
          </cell>
          <cell r="G623">
            <v>5.3999999999999999E-2</v>
          </cell>
          <cell r="H623">
            <v>170454.5</v>
          </cell>
        </row>
        <row r="624">
          <cell r="A624" t="str">
            <v>В-17916/КЛ.Транш - 1_В-21082023/Ц</v>
          </cell>
          <cell r="B624" t="str">
            <v>Рамазанов Абакар Рамазанович</v>
          </cell>
          <cell r="C624">
            <v>44329</v>
          </cell>
          <cell r="D624">
            <v>50</v>
          </cell>
          <cell r="E624">
            <v>48</v>
          </cell>
          <cell r="F624" t="str">
            <v>50% годовых</v>
          </cell>
          <cell r="G624">
            <v>5.3999999999999999E-2</v>
          </cell>
          <cell r="H624">
            <v>204545.5</v>
          </cell>
        </row>
        <row r="625">
          <cell r="A625" t="str">
            <v>В-21040/КЛ.Транш - 1_В-20211230/Ц</v>
          </cell>
          <cell r="B625" t="str">
            <v>Рассказов Максим Владимирович</v>
          </cell>
          <cell r="C625">
            <v>44406</v>
          </cell>
          <cell r="D625">
            <v>50</v>
          </cell>
          <cell r="E625">
            <v>48</v>
          </cell>
          <cell r="F625" t="str">
            <v>50% годовых</v>
          </cell>
          <cell r="G625">
            <v>5.3999999999999999E-2</v>
          </cell>
          <cell r="H625">
            <v>209090.9</v>
          </cell>
        </row>
        <row r="626">
          <cell r="A626" t="str">
            <v>В-14168/КЛ.Транш - 4_В-21082023/Ц</v>
          </cell>
          <cell r="B626" t="str">
            <v>Расулов Ахмедхан Саидбекович</v>
          </cell>
          <cell r="C626">
            <v>44596</v>
          </cell>
          <cell r="D626">
            <v>56</v>
          </cell>
          <cell r="E626">
            <v>24</v>
          </cell>
          <cell r="F626" t="str">
            <v>61% годовых</v>
          </cell>
          <cell r="G626">
            <v>5.3999999999999999E-2</v>
          </cell>
          <cell r="H626">
            <v>200000</v>
          </cell>
        </row>
        <row r="627">
          <cell r="A627" t="str">
            <v>А-04236/АЗ</v>
          </cell>
          <cell r="B627" t="str">
            <v>Рафиев Агалар Сейдага-оглы</v>
          </cell>
          <cell r="C627">
            <v>43304</v>
          </cell>
          <cell r="D627">
            <v>77</v>
          </cell>
          <cell r="E627">
            <v>3</v>
          </cell>
          <cell r="F627" t="str">
            <v>82% годовых</v>
          </cell>
          <cell r="G627">
            <v>5.3999999999999999E-2</v>
          </cell>
          <cell r="H627">
            <v>487000</v>
          </cell>
        </row>
        <row r="628">
          <cell r="A628" t="str">
            <v>В-26114/КЛ.Транш - 1_В-21082023/Ц</v>
          </cell>
          <cell r="B628" t="str">
            <v>Рахимов Фарход Каримович</v>
          </cell>
          <cell r="C628">
            <v>44547</v>
          </cell>
          <cell r="D628">
            <v>64</v>
          </cell>
          <cell r="E628">
            <v>36</v>
          </cell>
          <cell r="F628" t="str">
            <v>64% годовых</v>
          </cell>
          <cell r="G628">
            <v>5.3999999999999999E-2</v>
          </cell>
          <cell r="H628">
            <v>340909</v>
          </cell>
        </row>
        <row r="629">
          <cell r="A629" t="str">
            <v>В-16959/КЛ.Транш - 1_В-20211230/Ц</v>
          </cell>
          <cell r="B629" t="str">
            <v>Рева Анастасия Владимировна</v>
          </cell>
          <cell r="C629">
            <v>44303</v>
          </cell>
          <cell r="D629">
            <v>50</v>
          </cell>
          <cell r="E629">
            <v>48</v>
          </cell>
          <cell r="F629" t="str">
            <v>50% годовых</v>
          </cell>
          <cell r="G629">
            <v>5.3999999999999999E-2</v>
          </cell>
          <cell r="H629">
            <v>113636.4</v>
          </cell>
        </row>
        <row r="630">
          <cell r="A630" t="str">
            <v>В-16959/КЛ.Транш - 2_В-20211230/Ц</v>
          </cell>
          <cell r="B630" t="str">
            <v>Рева Анастасия Владимировна</v>
          </cell>
          <cell r="C630">
            <v>44376</v>
          </cell>
          <cell r="D630">
            <v>50</v>
          </cell>
          <cell r="E630">
            <v>48</v>
          </cell>
          <cell r="F630" t="str">
            <v>50% годовых</v>
          </cell>
          <cell r="G630">
            <v>5.3999999999999999E-2</v>
          </cell>
          <cell r="H630">
            <v>113636.4</v>
          </cell>
        </row>
        <row r="631">
          <cell r="A631" t="str">
            <v>В-09247/КЛ.Транш - 1_А-20210929/Ц</v>
          </cell>
          <cell r="B631" t="str">
            <v>Резников Сергей Владимирович</v>
          </cell>
          <cell r="C631">
            <v>44092</v>
          </cell>
          <cell r="D631">
            <v>66</v>
          </cell>
          <cell r="E631">
            <v>48</v>
          </cell>
          <cell r="F631" t="str">
            <v>66% годовых</v>
          </cell>
          <cell r="G631">
            <v>5.3999999999999999E-2</v>
          </cell>
          <cell r="H631">
            <v>400000</v>
          </cell>
        </row>
        <row r="632">
          <cell r="A632" t="str">
            <v>Т-01722/АЗ_Т-20211028/Ц</v>
          </cell>
          <cell r="B632" t="str">
            <v>Рогозин Андрей Иванович</v>
          </cell>
          <cell r="C632">
            <v>43518</v>
          </cell>
          <cell r="D632">
            <v>77</v>
          </cell>
          <cell r="E632">
            <v>36</v>
          </cell>
          <cell r="F632" t="str">
            <v>77% годовых</v>
          </cell>
          <cell r="G632">
            <v>5.3999999999999999E-2</v>
          </cell>
          <cell r="H632">
            <v>274000</v>
          </cell>
        </row>
        <row r="633">
          <cell r="A633" t="str">
            <v>В-11595/КЛ.Транш - 1_В-20211230/Ц</v>
          </cell>
          <cell r="B633" t="str">
            <v>Рожкова Наталья Петровна</v>
          </cell>
          <cell r="C633">
            <v>44160</v>
          </cell>
          <cell r="D633">
            <v>80</v>
          </cell>
          <cell r="E633">
            <v>48</v>
          </cell>
          <cell r="F633" t="str">
            <v>80% годовых</v>
          </cell>
          <cell r="G633">
            <v>5.3999999999999999E-2</v>
          </cell>
          <cell r="H633">
            <v>297000</v>
          </cell>
        </row>
        <row r="634">
          <cell r="A634" t="str">
            <v>В-12813/КЛ.Транш - 1_В-21082023/Ц</v>
          </cell>
          <cell r="B634" t="str">
            <v>Розанов Сергей Александрович</v>
          </cell>
          <cell r="C634">
            <v>44191</v>
          </cell>
          <cell r="D634">
            <v>50</v>
          </cell>
          <cell r="E634">
            <v>48</v>
          </cell>
          <cell r="F634" t="str">
            <v>50% годовых</v>
          </cell>
          <cell r="G634">
            <v>5.3999999999999999E-2</v>
          </cell>
          <cell r="H634">
            <v>1000000</v>
          </cell>
        </row>
        <row r="635">
          <cell r="A635" t="str">
            <v>В-00955/АЗ_В-21082023/Ц</v>
          </cell>
          <cell r="B635" t="str">
            <v>Романов Евгений Юрьевич</v>
          </cell>
          <cell r="C635">
            <v>44022</v>
          </cell>
          <cell r="D635">
            <v>73</v>
          </cell>
          <cell r="E635">
            <v>36</v>
          </cell>
          <cell r="F635" t="str">
            <v>59% годовых</v>
          </cell>
          <cell r="G635">
            <v>5.3999999999999999E-2</v>
          </cell>
          <cell r="H635">
            <v>1000000</v>
          </cell>
        </row>
        <row r="636">
          <cell r="A636" t="str">
            <v>В-18538/КЛ.Транш - 1_В-20211230/Ц</v>
          </cell>
          <cell r="B636" t="str">
            <v>Росляков Артем Владимирович</v>
          </cell>
          <cell r="C636">
            <v>44344</v>
          </cell>
          <cell r="D636">
            <v>81</v>
          </cell>
          <cell r="E636">
            <v>12</v>
          </cell>
          <cell r="F636" t="str">
            <v>81% годовых</v>
          </cell>
          <cell r="G636">
            <v>5.3999999999999999E-2</v>
          </cell>
          <cell r="H636">
            <v>250000</v>
          </cell>
        </row>
        <row r="637">
          <cell r="A637" t="str">
            <v>А-10089/КЭ.Транш - 1</v>
          </cell>
          <cell r="B637" t="str">
            <v>РСК ЭКСПЕРТ ООО</v>
          </cell>
          <cell r="C637">
            <v>43538</v>
          </cell>
          <cell r="D637">
            <v>65</v>
          </cell>
          <cell r="E637">
            <v>12</v>
          </cell>
          <cell r="F637" t="str">
            <v>65% годовых</v>
          </cell>
          <cell r="G637">
            <v>1</v>
          </cell>
          <cell r="H637">
            <v>300000</v>
          </cell>
        </row>
        <row r="638">
          <cell r="A638" t="str">
            <v>В-21245/КЛ.Транш - 3_В-21082023/Ц</v>
          </cell>
          <cell r="B638" t="str">
            <v>Рузавина Наталья Викторовна</v>
          </cell>
          <cell r="C638">
            <v>44602</v>
          </cell>
          <cell r="D638">
            <v>81</v>
          </cell>
          <cell r="E638">
            <v>24</v>
          </cell>
          <cell r="F638" t="str">
            <v>81% годовых</v>
          </cell>
          <cell r="G638">
            <v>5.3999999999999999E-2</v>
          </cell>
          <cell r="H638">
            <v>150000</v>
          </cell>
        </row>
        <row r="639">
          <cell r="A639" t="str">
            <v>В-01422/КЛ.Транш - 1_В-20211230/Ц</v>
          </cell>
          <cell r="B639" t="str">
            <v>Рыченков Александр Николаевич</v>
          </cell>
          <cell r="C639">
            <v>43784</v>
          </cell>
          <cell r="D639">
            <v>84</v>
          </cell>
          <cell r="E639">
            <v>24</v>
          </cell>
          <cell r="F639" t="str">
            <v>84% годовых</v>
          </cell>
          <cell r="G639">
            <v>5.3999999999999999E-2</v>
          </cell>
          <cell r="H639">
            <v>120000</v>
          </cell>
        </row>
        <row r="640">
          <cell r="A640" t="str">
            <v>В-21911/КЛ.Транш - 1_В-21082023/Ц</v>
          </cell>
          <cell r="B640" t="str">
            <v>Рябов Игорь Владимирович</v>
          </cell>
          <cell r="C640">
            <v>44435</v>
          </cell>
          <cell r="D640">
            <v>50</v>
          </cell>
          <cell r="E640">
            <v>48</v>
          </cell>
          <cell r="F640" t="str">
            <v>50% годовых</v>
          </cell>
          <cell r="G640">
            <v>5.3999999999999999E-2</v>
          </cell>
          <cell r="H640">
            <v>681818.2</v>
          </cell>
        </row>
        <row r="641">
          <cell r="A641" t="str">
            <v>В-03450/КЛ.Транш - 1_В-20211230/Ц</v>
          </cell>
          <cell r="B641" t="str">
            <v>Рябоконов Алексей Викторович</v>
          </cell>
          <cell r="C641">
            <v>43875</v>
          </cell>
          <cell r="D641">
            <v>80</v>
          </cell>
          <cell r="E641">
            <v>12</v>
          </cell>
          <cell r="F641" t="str">
            <v>80% годовых</v>
          </cell>
          <cell r="G641">
            <v>5.3999999999999999E-2</v>
          </cell>
          <cell r="H641">
            <v>150000</v>
          </cell>
        </row>
        <row r="642">
          <cell r="A642" t="str">
            <v>В-06852/КЛ.Транш - 1_В-21082023/Ц</v>
          </cell>
          <cell r="B642" t="str">
            <v>Рязанцев Дмитрий Тимурович</v>
          </cell>
          <cell r="C642">
            <v>44016</v>
          </cell>
          <cell r="D642">
            <v>80</v>
          </cell>
          <cell r="E642">
            <v>12</v>
          </cell>
          <cell r="F642" t="str">
            <v>80% годовых</v>
          </cell>
          <cell r="G642">
            <v>5.3999999999999999E-2</v>
          </cell>
          <cell r="H642">
            <v>100000</v>
          </cell>
        </row>
        <row r="643">
          <cell r="A643" t="str">
            <v>В-06852/КЛ.Транш - 3_В-21082023/Ц</v>
          </cell>
          <cell r="B643" t="str">
            <v>Рязанцев Дмитрий Тимурович</v>
          </cell>
          <cell r="C643">
            <v>44113</v>
          </cell>
          <cell r="D643">
            <v>80</v>
          </cell>
          <cell r="E643">
            <v>36</v>
          </cell>
          <cell r="F643" t="str">
            <v>80% годовых</v>
          </cell>
          <cell r="G643">
            <v>5.3999999999999999E-2</v>
          </cell>
          <cell r="H643">
            <v>100000</v>
          </cell>
        </row>
        <row r="644">
          <cell r="A644" t="str">
            <v>В-06852/КЛ.Транш - 2_В-21082023/Ц</v>
          </cell>
          <cell r="B644" t="str">
            <v>Рязанцев Дмитрий Тимурович</v>
          </cell>
          <cell r="C644">
            <v>44068</v>
          </cell>
          <cell r="D644">
            <v>80</v>
          </cell>
          <cell r="E644">
            <v>24</v>
          </cell>
          <cell r="F644" t="str">
            <v>80% годовых</v>
          </cell>
          <cell r="G644">
            <v>5.3999999999999999E-2</v>
          </cell>
          <cell r="H644">
            <v>100000</v>
          </cell>
        </row>
        <row r="645">
          <cell r="A645" t="str">
            <v>В-13625/КЛ.Транш - 1_В-21082023/Ц</v>
          </cell>
          <cell r="B645" t="str">
            <v>Саакян Рафик Самвелович</v>
          </cell>
          <cell r="C645">
            <v>44216</v>
          </cell>
          <cell r="D645">
            <v>81</v>
          </cell>
          <cell r="E645">
            <v>36</v>
          </cell>
          <cell r="F645" t="str">
            <v>81% годовых</v>
          </cell>
          <cell r="G645">
            <v>5.3999999999999999E-2</v>
          </cell>
          <cell r="H645">
            <v>186000</v>
          </cell>
        </row>
        <row r="646">
          <cell r="A646" t="str">
            <v>В-17853/КЛ.Транш - 2_В-20211230/Ц</v>
          </cell>
          <cell r="B646" t="str">
            <v>Савельев Александр Владимирович</v>
          </cell>
          <cell r="C646">
            <v>44359</v>
          </cell>
          <cell r="D646">
            <v>50</v>
          </cell>
          <cell r="E646">
            <v>36</v>
          </cell>
          <cell r="F646" t="str">
            <v>50% годовых</v>
          </cell>
          <cell r="G646">
            <v>5.3999999999999999E-2</v>
          </cell>
          <cell r="H646">
            <v>113636.4</v>
          </cell>
        </row>
        <row r="647">
          <cell r="A647" t="str">
            <v>В-17853/КЛ.Транш - 7_В-20211230/Ц</v>
          </cell>
          <cell r="B647" t="str">
            <v>Савельев Александр Владимирович</v>
          </cell>
          <cell r="C647">
            <v>44474</v>
          </cell>
          <cell r="D647">
            <v>50</v>
          </cell>
          <cell r="E647">
            <v>36</v>
          </cell>
          <cell r="F647" t="str">
            <v>50% годовых</v>
          </cell>
          <cell r="G647">
            <v>5.3999999999999999E-2</v>
          </cell>
          <cell r="H647">
            <v>113636.4</v>
          </cell>
        </row>
        <row r="648">
          <cell r="A648" t="str">
            <v>В-17853/КЛ.Транш - 6_В-20211230/Ц</v>
          </cell>
          <cell r="B648" t="str">
            <v>Савельев Александр Владимирович</v>
          </cell>
          <cell r="C648">
            <v>44454</v>
          </cell>
          <cell r="D648">
            <v>50</v>
          </cell>
          <cell r="E648">
            <v>36</v>
          </cell>
          <cell r="F648" t="str">
            <v>50% годовых</v>
          </cell>
          <cell r="G648">
            <v>5.3999999999999999E-2</v>
          </cell>
          <cell r="H648">
            <v>113636.4</v>
          </cell>
        </row>
        <row r="649">
          <cell r="A649" t="str">
            <v>В-17853/КЛ.Транш - 5_В-20211230/Ц</v>
          </cell>
          <cell r="B649" t="str">
            <v>Савельев Александр Владимирович</v>
          </cell>
          <cell r="C649">
            <v>44436</v>
          </cell>
          <cell r="D649">
            <v>50</v>
          </cell>
          <cell r="E649">
            <v>36</v>
          </cell>
          <cell r="F649" t="str">
            <v>50% годовых</v>
          </cell>
          <cell r="G649">
            <v>5.3999999999999999E-2</v>
          </cell>
          <cell r="H649">
            <v>113636.4</v>
          </cell>
        </row>
        <row r="650">
          <cell r="A650" t="str">
            <v>В-17853/КЛ.Транш - 4_В-20211230/Ц</v>
          </cell>
          <cell r="B650" t="str">
            <v>Савельев Александр Владимирович</v>
          </cell>
          <cell r="C650">
            <v>44402</v>
          </cell>
          <cell r="D650">
            <v>50</v>
          </cell>
          <cell r="E650">
            <v>36</v>
          </cell>
          <cell r="F650" t="str">
            <v>50% годовых</v>
          </cell>
          <cell r="G650">
            <v>5.3999999999999999E-2</v>
          </cell>
          <cell r="H650">
            <v>113636.4</v>
          </cell>
        </row>
        <row r="651">
          <cell r="A651" t="str">
            <v>В-17853/КЛ.Транш - 3_В-20211230/Ц</v>
          </cell>
          <cell r="B651" t="str">
            <v>Савельев Александр Владимирович</v>
          </cell>
          <cell r="C651">
            <v>44374</v>
          </cell>
          <cell r="D651">
            <v>50</v>
          </cell>
          <cell r="E651">
            <v>36</v>
          </cell>
          <cell r="F651" t="str">
            <v>50% годовых</v>
          </cell>
          <cell r="G651">
            <v>5.3999999999999999E-2</v>
          </cell>
          <cell r="H651">
            <v>113636.4</v>
          </cell>
        </row>
        <row r="652">
          <cell r="A652" t="str">
            <v>В-17853/КЛ.Транш - 1_В-20211230/Ц</v>
          </cell>
          <cell r="B652" t="str">
            <v>Савельев Александр Владимирович</v>
          </cell>
          <cell r="C652">
            <v>44328</v>
          </cell>
          <cell r="D652">
            <v>50</v>
          </cell>
          <cell r="E652">
            <v>36</v>
          </cell>
          <cell r="F652" t="str">
            <v>50% годовых</v>
          </cell>
          <cell r="G652">
            <v>5.3999999999999999E-2</v>
          </cell>
          <cell r="H652">
            <v>284090.90000000002</v>
          </cell>
        </row>
        <row r="653">
          <cell r="A653" t="str">
            <v>В-03738/КЛ.Транш - 1_В-21082023/Ц</v>
          </cell>
          <cell r="B653" t="str">
            <v>Савельев Григорий Алексеевич</v>
          </cell>
          <cell r="C653">
            <v>43886</v>
          </cell>
          <cell r="D653">
            <v>80</v>
          </cell>
          <cell r="E653">
            <v>12</v>
          </cell>
          <cell r="F653" t="str">
            <v>80% годовых</v>
          </cell>
          <cell r="G653">
            <v>5.3999999999999999E-2</v>
          </cell>
          <cell r="H653">
            <v>210000</v>
          </cell>
        </row>
        <row r="654">
          <cell r="A654" t="str">
            <v>В-08454/КЛ.Транш - 1_В-21082023/Ц</v>
          </cell>
          <cell r="B654" t="str">
            <v>Савельев Станислав Валентинович</v>
          </cell>
          <cell r="C654">
            <v>44071</v>
          </cell>
          <cell r="D654">
            <v>66</v>
          </cell>
          <cell r="E654">
            <v>48</v>
          </cell>
          <cell r="F654" t="str">
            <v>66% годовых</v>
          </cell>
          <cell r="G654">
            <v>5.3999999999999999E-2</v>
          </cell>
          <cell r="H654">
            <v>120000</v>
          </cell>
        </row>
        <row r="655">
          <cell r="A655" t="str">
            <v>В-21872/КЛ.Транш - 1_В-21082023/Ц</v>
          </cell>
          <cell r="B655" t="str">
            <v>Савчук Елена Александровна</v>
          </cell>
          <cell r="C655">
            <v>44432</v>
          </cell>
          <cell r="D655">
            <v>50</v>
          </cell>
          <cell r="E655">
            <v>24</v>
          </cell>
          <cell r="F655" t="str">
            <v>50% годовых</v>
          </cell>
          <cell r="G655">
            <v>5.3999999999999999E-2</v>
          </cell>
          <cell r="H655">
            <v>664772.69999999995</v>
          </cell>
        </row>
        <row r="656">
          <cell r="A656" t="str">
            <v>В-11050/КЛ.Транш - 1_В-20211230/Ц</v>
          </cell>
          <cell r="B656" t="str">
            <v>Садигов Нарман Адждар Оглы</v>
          </cell>
          <cell r="C656">
            <v>44147</v>
          </cell>
          <cell r="D656">
            <v>80</v>
          </cell>
          <cell r="E656">
            <v>36</v>
          </cell>
          <cell r="F656" t="str">
            <v>80% годовых</v>
          </cell>
          <cell r="G656">
            <v>5.3999999999999999E-2</v>
          </cell>
          <cell r="H656">
            <v>180000</v>
          </cell>
        </row>
        <row r="657">
          <cell r="A657" t="str">
            <v>В-00690/АЗ_В-20211230/Ц</v>
          </cell>
          <cell r="B657" t="str">
            <v>Садкеев Игорь Евгеньевич</v>
          </cell>
          <cell r="C657">
            <v>43784</v>
          </cell>
          <cell r="D657">
            <v>77</v>
          </cell>
          <cell r="E657">
            <v>36</v>
          </cell>
          <cell r="F657" t="str">
            <v>77% годовых</v>
          </cell>
          <cell r="G657">
            <v>5.3999999999999999E-2</v>
          </cell>
          <cell r="H657">
            <v>600000</v>
          </cell>
        </row>
        <row r="658">
          <cell r="A658" t="str">
            <v>В-12662/КЛ.Транш - 1_В-21082023/Ц</v>
          </cell>
          <cell r="B658" t="str">
            <v>Сайдалиева Наталия Владимировна</v>
          </cell>
          <cell r="C658">
            <v>44183</v>
          </cell>
          <cell r="D658">
            <v>73</v>
          </cell>
          <cell r="E658">
            <v>48</v>
          </cell>
          <cell r="F658" t="str">
            <v>73% годовых</v>
          </cell>
          <cell r="G658">
            <v>5.3999999999999999E-2</v>
          </cell>
          <cell r="H658">
            <v>150000</v>
          </cell>
        </row>
        <row r="659">
          <cell r="A659" t="str">
            <v>В-02110/КЛ.Транш - 1_В-21082023/Ц</v>
          </cell>
          <cell r="B659" t="str">
            <v>Саликов Альберт Якубович</v>
          </cell>
          <cell r="C659">
            <v>43818</v>
          </cell>
          <cell r="D659">
            <v>73</v>
          </cell>
          <cell r="E659">
            <v>12</v>
          </cell>
          <cell r="F659" t="str">
            <v>73% годовых</v>
          </cell>
          <cell r="G659">
            <v>5.3999999999999999E-2</v>
          </cell>
          <cell r="H659">
            <v>150000</v>
          </cell>
        </row>
        <row r="660">
          <cell r="A660" t="str">
            <v>В-20442/КЛ.Транш - 1_В-20211230/Ц</v>
          </cell>
          <cell r="B660" t="str">
            <v>Салимов Шерзод Тохирович</v>
          </cell>
          <cell r="C660">
            <v>44393</v>
          </cell>
          <cell r="D660">
            <v>81</v>
          </cell>
          <cell r="E660">
            <v>12</v>
          </cell>
          <cell r="F660" t="str">
            <v>81% годовых</v>
          </cell>
          <cell r="G660">
            <v>5.3999999999999999E-2</v>
          </cell>
          <cell r="H660">
            <v>200000</v>
          </cell>
        </row>
        <row r="661">
          <cell r="A661" t="str">
            <v>В-18631/КЛ.Транш - 1_В-21082023/Ц</v>
          </cell>
          <cell r="B661" t="str">
            <v>Самедов Эльдар Абилевич</v>
          </cell>
          <cell r="C661">
            <v>44348</v>
          </cell>
          <cell r="D661">
            <v>88</v>
          </cell>
          <cell r="E661">
            <v>12</v>
          </cell>
          <cell r="F661" t="str">
            <v>88% годовых</v>
          </cell>
          <cell r="G661">
            <v>5.3999999999999999E-2</v>
          </cell>
          <cell r="H661">
            <v>750000</v>
          </cell>
        </row>
        <row r="662">
          <cell r="A662" t="str">
            <v>В-03206/КЛ.Транш - 1_В-21082023/Ц</v>
          </cell>
          <cell r="B662" t="str">
            <v>Самойлов Дмитрий Анатольевич</v>
          </cell>
          <cell r="C662">
            <v>43866</v>
          </cell>
          <cell r="D662">
            <v>80</v>
          </cell>
          <cell r="E662">
            <v>12</v>
          </cell>
          <cell r="F662" t="str">
            <v>80% годовых</v>
          </cell>
          <cell r="G662">
            <v>5.3999999999999999E-2</v>
          </cell>
          <cell r="H662">
            <v>185000</v>
          </cell>
        </row>
        <row r="663">
          <cell r="A663" t="str">
            <v>А-05231/АЗ</v>
          </cell>
          <cell r="B663" t="str">
            <v>Самохин Алексей Владимирович</v>
          </cell>
          <cell r="C663">
            <v>43551</v>
          </cell>
          <cell r="D663">
            <v>84</v>
          </cell>
          <cell r="E663">
            <v>24</v>
          </cell>
          <cell r="F663" t="str">
            <v>84% годовых</v>
          </cell>
          <cell r="G663">
            <v>5.3999999999999999E-2</v>
          </cell>
          <cell r="H663">
            <v>160000</v>
          </cell>
        </row>
        <row r="664">
          <cell r="A664" t="str">
            <v>В-25466/АЗ_В-20211230/Ц</v>
          </cell>
          <cell r="B664" t="str">
            <v>Самохин Николай Александрович</v>
          </cell>
          <cell r="C664">
            <v>44551</v>
          </cell>
          <cell r="D664">
            <v>74</v>
          </cell>
          <cell r="E664">
            <v>24</v>
          </cell>
          <cell r="F664" t="str">
            <v>74% годовых</v>
          </cell>
          <cell r="G664">
            <v>5.3999999999999999E-2</v>
          </cell>
          <cell r="H664">
            <v>900000</v>
          </cell>
        </row>
        <row r="665">
          <cell r="A665" t="str">
            <v>В-23923/КЛ.Транш - 1_В-21082023/Ц</v>
          </cell>
          <cell r="B665" t="str">
            <v>Самошин Дмитрий Сергеевич</v>
          </cell>
          <cell r="C665">
            <v>44491</v>
          </cell>
          <cell r="D665">
            <v>64</v>
          </cell>
          <cell r="E665">
            <v>48</v>
          </cell>
          <cell r="F665" t="str">
            <v>74% годовых</v>
          </cell>
          <cell r="G665">
            <v>5.3999999999999999E-2</v>
          </cell>
          <cell r="H665">
            <v>302272.7</v>
          </cell>
        </row>
        <row r="666">
          <cell r="A666" t="str">
            <v>А-00029/БЭ</v>
          </cell>
          <cell r="B666" t="str">
            <v>Саповский Олег Владимирович</v>
          </cell>
          <cell r="C666">
            <v>43123</v>
          </cell>
          <cell r="D666">
            <v>108</v>
          </cell>
          <cell r="E666">
            <v>12</v>
          </cell>
          <cell r="F666" t="str">
            <v>108% годовых</v>
          </cell>
          <cell r="G666">
            <v>5.3999999999999999E-2</v>
          </cell>
          <cell r="H666">
            <v>400000</v>
          </cell>
        </row>
        <row r="667">
          <cell r="A667" t="str">
            <v>В-00638/АЗ_В-21082023/Ц</v>
          </cell>
          <cell r="B667" t="str">
            <v>Сапрыкин Сергей Владимирович</v>
          </cell>
          <cell r="C667">
            <v>43767</v>
          </cell>
          <cell r="D667">
            <v>73</v>
          </cell>
          <cell r="E667">
            <v>36</v>
          </cell>
          <cell r="F667" t="str">
            <v>73% годовых</v>
          </cell>
          <cell r="G667">
            <v>5.3999999999999999E-2</v>
          </cell>
          <cell r="H667">
            <v>203000</v>
          </cell>
        </row>
        <row r="668">
          <cell r="A668" t="str">
            <v>В-01188/АЗ_В-21082023/Ц</v>
          </cell>
          <cell r="B668" t="str">
            <v>Сапунов Дмитрий Владимирович</v>
          </cell>
          <cell r="C668">
            <v>44353</v>
          </cell>
          <cell r="D668">
            <v>81</v>
          </cell>
          <cell r="E668">
            <v>18</v>
          </cell>
          <cell r="F668" t="str">
            <v>81% годовых</v>
          </cell>
          <cell r="G668">
            <v>5.3999999999999999E-2</v>
          </cell>
          <cell r="H668">
            <v>110000</v>
          </cell>
        </row>
        <row r="669">
          <cell r="A669" t="str">
            <v>В-00395/АЗ_В-20211230/Ц</v>
          </cell>
          <cell r="B669" t="str">
            <v>Сарибаева Эльнара Исмаиловна</v>
          </cell>
          <cell r="C669">
            <v>43675</v>
          </cell>
          <cell r="D669">
            <v>84</v>
          </cell>
          <cell r="E669">
            <v>24</v>
          </cell>
          <cell r="F669" t="str">
            <v>84% годовых</v>
          </cell>
          <cell r="G669">
            <v>5.3999999999999999E-2</v>
          </cell>
          <cell r="H669">
            <v>570000</v>
          </cell>
        </row>
        <row r="670">
          <cell r="A670" t="str">
            <v>В-00051/КЛ.Транш - 1_В-21082023/Ц</v>
          </cell>
          <cell r="B670" t="str">
            <v>Саркисян Геворк Александрович</v>
          </cell>
          <cell r="C670">
            <v>43682</v>
          </cell>
          <cell r="D670">
            <v>94</v>
          </cell>
          <cell r="E670">
            <v>12</v>
          </cell>
          <cell r="F670" t="str">
            <v>94% годовых</v>
          </cell>
          <cell r="G670">
            <v>5.3999999999999999E-2</v>
          </cell>
          <cell r="H670">
            <v>900000</v>
          </cell>
        </row>
        <row r="671">
          <cell r="A671" t="str">
            <v>В-00051/КЛ.Транш - 2_В-21082023/Ц</v>
          </cell>
          <cell r="B671" t="str">
            <v>Саркисян Геворк Александрович</v>
          </cell>
          <cell r="C671">
            <v>43801</v>
          </cell>
          <cell r="D671">
            <v>84</v>
          </cell>
          <cell r="E671">
            <v>12</v>
          </cell>
          <cell r="F671" t="str">
            <v>84% годовых</v>
          </cell>
          <cell r="G671">
            <v>5.3999999999999999E-2</v>
          </cell>
          <cell r="H671">
            <v>350000</v>
          </cell>
        </row>
        <row r="672">
          <cell r="A672" t="str">
            <v>В-12391/КЛ.Транш - 2_В-20211230/Ц</v>
          </cell>
          <cell r="B672" t="str">
            <v>Саутин Александр Юрьевич</v>
          </cell>
          <cell r="C672">
            <v>44445</v>
          </cell>
          <cell r="D672">
            <v>81</v>
          </cell>
          <cell r="E672">
            <v>48</v>
          </cell>
          <cell r="F672" t="str">
            <v>81% годовых</v>
          </cell>
          <cell r="G672">
            <v>5.3999999999999999E-2</v>
          </cell>
          <cell r="H672">
            <v>553000</v>
          </cell>
        </row>
        <row r="673">
          <cell r="A673" t="str">
            <v>В-12391/КЛ.Транш - 1_В-20211230/Ц</v>
          </cell>
          <cell r="B673" t="str">
            <v>Саутин Александр Юрьевич</v>
          </cell>
          <cell r="C673">
            <v>44190</v>
          </cell>
          <cell r="D673">
            <v>50</v>
          </cell>
          <cell r="E673">
            <v>48</v>
          </cell>
          <cell r="F673" t="str">
            <v>50% годовых</v>
          </cell>
          <cell r="G673">
            <v>5.3999999999999999E-2</v>
          </cell>
          <cell r="H673">
            <v>370000</v>
          </cell>
        </row>
        <row r="674">
          <cell r="A674" t="str">
            <v>В-19329/КЛ.Транш - 1_В-20211230/Ц</v>
          </cell>
          <cell r="B674" t="str">
            <v>Сахимова Анна Владимировна</v>
          </cell>
          <cell r="C674">
            <v>44364</v>
          </cell>
          <cell r="D674">
            <v>81</v>
          </cell>
          <cell r="E674">
            <v>12</v>
          </cell>
          <cell r="F674" t="str">
            <v>81% годовых</v>
          </cell>
          <cell r="G674">
            <v>5.3999999999999999E-2</v>
          </cell>
          <cell r="H674">
            <v>450000</v>
          </cell>
        </row>
        <row r="675">
          <cell r="A675" t="str">
            <v>В-26449/АЗ_В-20211230/Ц</v>
          </cell>
          <cell r="B675" t="str">
            <v>Светлов Виталий Анатольевич</v>
          </cell>
          <cell r="C675">
            <v>44554</v>
          </cell>
          <cell r="D675">
            <v>50</v>
          </cell>
          <cell r="E675">
            <v>48</v>
          </cell>
          <cell r="F675" t="str">
            <v>50% годовых</v>
          </cell>
          <cell r="G675">
            <v>5.3999999999999999E-2</v>
          </cell>
          <cell r="H675">
            <v>1000000</v>
          </cell>
        </row>
        <row r="676">
          <cell r="A676" t="str">
            <v>А-10090/КЭ.Транш - 2</v>
          </cell>
          <cell r="B676" t="str">
            <v>СЕВЕРНЫЙ ФЛОТ ООО</v>
          </cell>
          <cell r="C676">
            <v>43704</v>
          </cell>
          <cell r="D676">
            <v>65</v>
          </cell>
          <cell r="E676">
            <v>6</v>
          </cell>
          <cell r="F676" t="str">
            <v>65% годовых</v>
          </cell>
          <cell r="G676">
            <v>1</v>
          </cell>
          <cell r="H676">
            <v>530000</v>
          </cell>
        </row>
        <row r="677">
          <cell r="A677" t="str">
            <v>В-00003/КЭ.Транш - 1_А-20210929/Ц</v>
          </cell>
          <cell r="B677" t="str">
            <v>СЕЙЛМЕД ООО</v>
          </cell>
          <cell r="C677">
            <v>44091</v>
          </cell>
          <cell r="D677">
            <v>65</v>
          </cell>
          <cell r="E677">
            <v>1</v>
          </cell>
          <cell r="F677" t="str">
            <v>65% годовых</v>
          </cell>
          <cell r="G677">
            <v>1</v>
          </cell>
          <cell r="H677">
            <v>300000</v>
          </cell>
        </row>
        <row r="678">
          <cell r="A678" t="str">
            <v>В-00449/КЛ.Транш - 1_В-20211230/Ц</v>
          </cell>
          <cell r="B678" t="str">
            <v>Секриеру Вячеслав Андреевич</v>
          </cell>
          <cell r="C678">
            <v>43724</v>
          </cell>
          <cell r="D678">
            <v>77</v>
          </cell>
          <cell r="E678">
            <v>24</v>
          </cell>
          <cell r="F678" t="str">
            <v>77% годовых</v>
          </cell>
          <cell r="G678">
            <v>5.3999999999999999E-2</v>
          </cell>
          <cell r="H678">
            <v>100000</v>
          </cell>
        </row>
        <row r="679">
          <cell r="A679" t="str">
            <v>В-18414/КЛ.Транш - 1_В-21082023/Ц</v>
          </cell>
          <cell r="B679" t="str">
            <v>Селеверстов Михаил Васильевич</v>
          </cell>
          <cell r="C679">
            <v>45159</v>
          </cell>
          <cell r="D679">
            <v>50</v>
          </cell>
          <cell r="E679">
            <v>48</v>
          </cell>
          <cell r="F679" t="str">
            <v>50% годовых</v>
          </cell>
          <cell r="G679">
            <v>5.3999999999999999E-2</v>
          </cell>
          <cell r="H679">
            <v>545454.5</v>
          </cell>
        </row>
        <row r="680">
          <cell r="A680" t="str">
            <v>В-00439/КЛ.Транш - 2_В-21082023/Ц</v>
          </cell>
          <cell r="B680" t="str">
            <v>Сельцова Наталья Юрьевна</v>
          </cell>
          <cell r="C680">
            <v>43967</v>
          </cell>
          <cell r="D680">
            <v>80</v>
          </cell>
          <cell r="E680">
            <v>12</v>
          </cell>
          <cell r="F680" t="str">
            <v>80% годовых</v>
          </cell>
          <cell r="G680">
            <v>5.3999999999999999E-2</v>
          </cell>
          <cell r="H680">
            <v>100000</v>
          </cell>
        </row>
        <row r="681">
          <cell r="A681" t="str">
            <v>В-00439/КЛ.Транш - 1_В-21082023/Ц</v>
          </cell>
          <cell r="B681" t="str">
            <v>Сельцова Наталья Юрьевна</v>
          </cell>
          <cell r="C681">
            <v>43723</v>
          </cell>
          <cell r="D681">
            <v>84</v>
          </cell>
          <cell r="E681">
            <v>12</v>
          </cell>
          <cell r="F681" t="str">
            <v>84% годовых</v>
          </cell>
          <cell r="G681">
            <v>5.3999999999999999E-2</v>
          </cell>
          <cell r="H681">
            <v>100000</v>
          </cell>
        </row>
        <row r="682">
          <cell r="A682" t="str">
            <v>А-04028/АЗ</v>
          </cell>
          <cell r="B682" t="str">
            <v>Селютин Петр Петрович</v>
          </cell>
          <cell r="C682">
            <v>43256</v>
          </cell>
          <cell r="D682">
            <v>88</v>
          </cell>
          <cell r="E682">
            <v>24</v>
          </cell>
          <cell r="F682" t="str">
            <v>88% годовых</v>
          </cell>
          <cell r="G682">
            <v>5.3999999999999999E-2</v>
          </cell>
          <cell r="H682">
            <v>490000</v>
          </cell>
        </row>
        <row r="683">
          <cell r="A683" t="str">
            <v>В-14913/КЛ.Транш - 1_В-21082023/Ц</v>
          </cell>
          <cell r="B683" t="str">
            <v>Семененко Трофим Игоревич</v>
          </cell>
          <cell r="C683">
            <v>44266</v>
          </cell>
          <cell r="D683">
            <v>50</v>
          </cell>
          <cell r="E683">
            <v>36</v>
          </cell>
          <cell r="F683" t="str">
            <v>60% годовых</v>
          </cell>
          <cell r="G683">
            <v>5.3999999999999999E-2</v>
          </cell>
          <cell r="H683">
            <v>280000</v>
          </cell>
        </row>
        <row r="684">
          <cell r="A684" t="str">
            <v>В-13740/КЛ.Транш - 1_В-21082023/Ц</v>
          </cell>
          <cell r="B684" t="str">
            <v>Семенов Андрей Сергеевич</v>
          </cell>
          <cell r="C684">
            <v>44215</v>
          </cell>
          <cell r="D684">
            <v>60</v>
          </cell>
          <cell r="E684">
            <v>48</v>
          </cell>
          <cell r="F684" t="str">
            <v>60% годовых</v>
          </cell>
          <cell r="G684">
            <v>5.3999999999999999E-2</v>
          </cell>
          <cell r="H684">
            <v>850000</v>
          </cell>
        </row>
        <row r="685">
          <cell r="A685" t="str">
            <v>В-00726/АЗ_В-21082023/Ц</v>
          </cell>
          <cell r="B685" t="str">
            <v>Семочкин Владимир Владимирович</v>
          </cell>
          <cell r="C685">
            <v>43797</v>
          </cell>
          <cell r="D685">
            <v>77</v>
          </cell>
          <cell r="E685">
            <v>12</v>
          </cell>
          <cell r="F685" t="str">
            <v>77% годовых</v>
          </cell>
          <cell r="G685">
            <v>5.3999999999999999E-2</v>
          </cell>
          <cell r="H685">
            <v>100000</v>
          </cell>
        </row>
        <row r="686">
          <cell r="A686" t="str">
            <v>В-00291/АЗ_В-21082023/Ц</v>
          </cell>
          <cell r="B686" t="str">
            <v>Семочкин Владимир Владимирович</v>
          </cell>
          <cell r="C686">
            <v>43644</v>
          </cell>
          <cell r="D686">
            <v>84</v>
          </cell>
          <cell r="E686">
            <v>12</v>
          </cell>
          <cell r="F686" t="str">
            <v>84% годовых</v>
          </cell>
          <cell r="G686">
            <v>5.3999999999999999E-2</v>
          </cell>
          <cell r="H686">
            <v>100000</v>
          </cell>
        </row>
        <row r="687">
          <cell r="A687" t="str">
            <v>А-03756/АЗ</v>
          </cell>
          <cell r="B687" t="str">
            <v>Сердюк Лидия Мянсуровна</v>
          </cell>
          <cell r="C687">
            <v>43176</v>
          </cell>
          <cell r="D687">
            <v>92</v>
          </cell>
          <cell r="E687">
            <v>12</v>
          </cell>
          <cell r="F687" t="str">
            <v>92% годовых</v>
          </cell>
          <cell r="G687">
            <v>5.3999999999999999E-2</v>
          </cell>
          <cell r="H687">
            <v>500000</v>
          </cell>
        </row>
        <row r="688">
          <cell r="A688" t="str">
            <v>В-00932/АЗ_В-21082023/Ц</v>
          </cell>
          <cell r="B688" t="str">
            <v>Серов Лев Николаевич</v>
          </cell>
          <cell r="C688">
            <v>43958</v>
          </cell>
          <cell r="D688">
            <v>73</v>
          </cell>
          <cell r="E688">
            <v>36</v>
          </cell>
          <cell r="F688" t="str">
            <v>73% годовых</v>
          </cell>
          <cell r="G688">
            <v>5.3999999999999999E-2</v>
          </cell>
          <cell r="H688">
            <v>180000</v>
          </cell>
        </row>
        <row r="689">
          <cell r="A689" t="str">
            <v>В-00608/АЗ_В-21082023/Ц</v>
          </cell>
          <cell r="B689" t="str">
            <v>Серов Лев Николаевич</v>
          </cell>
          <cell r="C689">
            <v>43756</v>
          </cell>
          <cell r="D689">
            <v>77</v>
          </cell>
          <cell r="E689">
            <v>36</v>
          </cell>
          <cell r="F689" t="str">
            <v>77% годовых</v>
          </cell>
          <cell r="G689">
            <v>5.3999999999999999E-2</v>
          </cell>
          <cell r="H689">
            <v>386000</v>
          </cell>
        </row>
        <row r="690">
          <cell r="A690" t="str">
            <v>В-21972/КЛ.Транш - 2_В-20211230/Ц</v>
          </cell>
          <cell r="B690" t="str">
            <v>Сиденко Ольга Викторовна</v>
          </cell>
          <cell r="C690">
            <v>44439</v>
          </cell>
          <cell r="D690">
            <v>67</v>
          </cell>
          <cell r="E690">
            <v>48</v>
          </cell>
          <cell r="F690" t="str">
            <v>67% годовых</v>
          </cell>
          <cell r="G690">
            <v>5.3999999999999999E-2</v>
          </cell>
          <cell r="H690">
            <v>140000</v>
          </cell>
        </row>
        <row r="691">
          <cell r="A691" t="str">
            <v>В-25306/КЛ.Транш - 1_В-21082023/Ц</v>
          </cell>
          <cell r="B691" t="str">
            <v>Сидоренко Надежда Алексеевна</v>
          </cell>
          <cell r="C691">
            <v>44529</v>
          </cell>
          <cell r="D691">
            <v>88</v>
          </cell>
          <cell r="E691">
            <v>24</v>
          </cell>
          <cell r="F691" t="str">
            <v>93% годовых</v>
          </cell>
          <cell r="G691">
            <v>5.3999999999999999E-2</v>
          </cell>
          <cell r="H691">
            <v>950000</v>
          </cell>
        </row>
        <row r="692">
          <cell r="A692" t="str">
            <v>В-19355/КЛ.Транш - 1_В-21082023/Ц</v>
          </cell>
          <cell r="B692" t="str">
            <v>Сидоров Александр Владимирович</v>
          </cell>
          <cell r="C692">
            <v>44365</v>
          </cell>
          <cell r="D692">
            <v>50</v>
          </cell>
          <cell r="E692">
            <v>48</v>
          </cell>
          <cell r="F692" t="str">
            <v>50% годовых</v>
          </cell>
          <cell r="G692">
            <v>5.3999999999999999E-2</v>
          </cell>
          <cell r="H692">
            <v>136363.6</v>
          </cell>
        </row>
        <row r="693">
          <cell r="A693" t="str">
            <v>В-17752/КЛ.Транш - 2_В-20211230/Ц</v>
          </cell>
          <cell r="B693" t="str">
            <v>Симонов Станислав Валерьевич</v>
          </cell>
          <cell r="C693">
            <v>44516</v>
          </cell>
          <cell r="D693">
            <v>50</v>
          </cell>
          <cell r="E693">
            <v>36</v>
          </cell>
          <cell r="F693" t="str">
            <v>50% годовых</v>
          </cell>
          <cell r="G693">
            <v>5.3999999999999999E-2</v>
          </cell>
          <cell r="H693">
            <v>113636.4</v>
          </cell>
        </row>
        <row r="694">
          <cell r="A694" t="str">
            <v>В-17752/КЛ.Транш - 1_В-20211230/Ц</v>
          </cell>
          <cell r="B694" t="str">
            <v>Симонов Станислав Валерьевич</v>
          </cell>
          <cell r="C694">
            <v>44328</v>
          </cell>
          <cell r="D694">
            <v>50</v>
          </cell>
          <cell r="E694">
            <v>36</v>
          </cell>
          <cell r="F694" t="str">
            <v>50% годовых</v>
          </cell>
          <cell r="G694">
            <v>5.3999999999999999E-2</v>
          </cell>
          <cell r="H694">
            <v>340909.1</v>
          </cell>
        </row>
        <row r="695">
          <cell r="A695" t="str">
            <v>В-28376/КЛ.Транш - 1_В-21082023/Ц</v>
          </cell>
          <cell r="B695" t="str">
            <v>Симонова Дарья Павловна</v>
          </cell>
          <cell r="C695">
            <v>44609</v>
          </cell>
          <cell r="D695">
            <v>64</v>
          </cell>
          <cell r="E695">
            <v>36</v>
          </cell>
          <cell r="F695" t="str">
            <v>84% годовых</v>
          </cell>
          <cell r="G695">
            <v>5.3999999999999999E-2</v>
          </cell>
          <cell r="H695">
            <v>363636</v>
          </cell>
        </row>
        <row r="696">
          <cell r="A696" t="str">
            <v>В-00178/КЛ.Транш - 1_В-21082023/Ц</v>
          </cell>
          <cell r="B696" t="str">
            <v>Скопинов Иван Алексеевич</v>
          </cell>
          <cell r="C696">
            <v>43713</v>
          </cell>
          <cell r="D696">
            <v>84</v>
          </cell>
          <cell r="E696">
            <v>36</v>
          </cell>
          <cell r="F696" t="str">
            <v>84% годовых</v>
          </cell>
          <cell r="G696">
            <v>5.3999999999999999E-2</v>
          </cell>
          <cell r="H696">
            <v>160000</v>
          </cell>
        </row>
        <row r="697">
          <cell r="A697" t="str">
            <v>В-09174/КЛ.Транш - 10_В-20211230/Ц</v>
          </cell>
          <cell r="B697" t="str">
            <v>Скрипичников Егор Сергеевич</v>
          </cell>
          <cell r="C697">
            <v>44504</v>
          </cell>
          <cell r="D697">
            <v>60</v>
          </cell>
          <cell r="E697">
            <v>48</v>
          </cell>
          <cell r="F697" t="str">
            <v>60% годовых</v>
          </cell>
          <cell r="G697">
            <v>5.3999999999999999E-2</v>
          </cell>
          <cell r="H697">
            <v>100000</v>
          </cell>
        </row>
        <row r="698">
          <cell r="A698" t="str">
            <v>В-09174/КЛ.Транш - 7_В-20211230/Ц</v>
          </cell>
          <cell r="B698" t="str">
            <v>Скрипичников Егор Сергеевич</v>
          </cell>
          <cell r="C698">
            <v>44450</v>
          </cell>
          <cell r="D698">
            <v>60</v>
          </cell>
          <cell r="E698">
            <v>48</v>
          </cell>
          <cell r="F698" t="str">
            <v>65% годовых</v>
          </cell>
          <cell r="G698">
            <v>5.3999999999999999E-2</v>
          </cell>
          <cell r="H698">
            <v>100000</v>
          </cell>
        </row>
        <row r="699">
          <cell r="A699" t="str">
            <v>В-09174/КЛ.Транш - 8_В-20211230/Ц</v>
          </cell>
          <cell r="B699" t="str">
            <v>Скрипичников Егор Сергеевич</v>
          </cell>
          <cell r="C699">
            <v>44461</v>
          </cell>
          <cell r="D699">
            <v>60</v>
          </cell>
          <cell r="E699">
            <v>48</v>
          </cell>
          <cell r="F699" t="str">
            <v>60% годовых</v>
          </cell>
          <cell r="G699">
            <v>5.3999999999999999E-2</v>
          </cell>
          <cell r="H699">
            <v>100000</v>
          </cell>
        </row>
        <row r="700">
          <cell r="A700" t="str">
            <v>В-09174/КЛ.Транш - 9_В-20211230/Ц</v>
          </cell>
          <cell r="B700" t="str">
            <v>Скрипичников Егор Сергеевич</v>
          </cell>
          <cell r="C700">
            <v>44477</v>
          </cell>
          <cell r="D700">
            <v>60</v>
          </cell>
          <cell r="E700">
            <v>48</v>
          </cell>
          <cell r="F700" t="str">
            <v>60% годовых</v>
          </cell>
          <cell r="G700">
            <v>5.3999999999999999E-2</v>
          </cell>
          <cell r="H700">
            <v>100000</v>
          </cell>
        </row>
        <row r="701">
          <cell r="A701" t="str">
            <v>В-20251/КЛ.Транш - 2_В-20211230/Ц</v>
          </cell>
          <cell r="B701" t="str">
            <v>Слепнев Иван Викторович</v>
          </cell>
          <cell r="C701">
            <v>44547</v>
          </cell>
          <cell r="D701">
            <v>50</v>
          </cell>
          <cell r="E701">
            <v>48</v>
          </cell>
          <cell r="F701" t="str">
            <v>50% годовых</v>
          </cell>
          <cell r="G701">
            <v>5.3999999999999999E-2</v>
          </cell>
          <cell r="H701">
            <v>200000</v>
          </cell>
        </row>
        <row r="702">
          <cell r="A702" t="str">
            <v>В-24580/КЛ.Транш - 1_В-21082023/Ц</v>
          </cell>
          <cell r="B702" t="str">
            <v>Смирнов Игорь Александрович</v>
          </cell>
          <cell r="C702">
            <v>44510</v>
          </cell>
          <cell r="D702">
            <v>50</v>
          </cell>
          <cell r="E702">
            <v>48</v>
          </cell>
          <cell r="F702" t="str">
            <v>50% годовых</v>
          </cell>
          <cell r="G702">
            <v>5.3999999999999999E-2</v>
          </cell>
          <cell r="H702">
            <v>568181.80000000005</v>
          </cell>
        </row>
        <row r="703">
          <cell r="A703" t="str">
            <v>В-27788/КЛ.Транш - 1_В-21082023/Ц</v>
          </cell>
          <cell r="B703" t="str">
            <v>Смолин Виктор Иванович</v>
          </cell>
          <cell r="C703">
            <v>44595</v>
          </cell>
          <cell r="D703">
            <v>64</v>
          </cell>
          <cell r="E703">
            <v>48</v>
          </cell>
          <cell r="F703" t="str">
            <v>64% годовых</v>
          </cell>
          <cell r="G703">
            <v>5.3999999999999999E-2</v>
          </cell>
          <cell r="H703">
            <v>490909</v>
          </cell>
        </row>
        <row r="704">
          <cell r="A704" t="str">
            <v>В-00271/АЗ_Т-20211028/Ц</v>
          </cell>
          <cell r="B704" t="str">
            <v>Снегирёв Сергей Викторович</v>
          </cell>
          <cell r="C704">
            <v>43640</v>
          </cell>
          <cell r="D704">
            <v>74</v>
          </cell>
          <cell r="E704">
            <v>12</v>
          </cell>
          <cell r="F704" t="str">
            <v>74% годовых</v>
          </cell>
          <cell r="G704">
            <v>5.3999999999999999E-2</v>
          </cell>
          <cell r="H704">
            <v>160000</v>
          </cell>
        </row>
        <row r="705">
          <cell r="A705" t="str">
            <v>В-06818/КЛ.Транш - 1_В-20211230/Ц</v>
          </cell>
          <cell r="B705" t="str">
            <v>Собиров Раджабали Карахужаевич</v>
          </cell>
          <cell r="C705">
            <v>44016</v>
          </cell>
          <cell r="D705">
            <v>80</v>
          </cell>
          <cell r="E705">
            <v>48</v>
          </cell>
          <cell r="F705" t="str">
            <v>85% годовых</v>
          </cell>
          <cell r="G705">
            <v>5.3999999999999999E-2</v>
          </cell>
          <cell r="H705">
            <v>180000</v>
          </cell>
        </row>
        <row r="706">
          <cell r="A706" t="str">
            <v>В-02902/КЛ.Транш - 1_В-20211230/Ц</v>
          </cell>
          <cell r="B706" t="str">
            <v>Соколов Игорь Васильевич</v>
          </cell>
          <cell r="C706">
            <v>43867</v>
          </cell>
          <cell r="D706">
            <v>73</v>
          </cell>
          <cell r="E706">
            <v>36</v>
          </cell>
          <cell r="F706" t="str">
            <v>73% годовых</v>
          </cell>
          <cell r="G706">
            <v>5.3999999999999999E-2</v>
          </cell>
          <cell r="H706">
            <v>400000</v>
          </cell>
        </row>
        <row r="707">
          <cell r="A707" t="str">
            <v>В-28906/КЛ.Транш - 1_В-21082023/Ц</v>
          </cell>
          <cell r="B707" t="str">
            <v>Соколов Константин Иванович</v>
          </cell>
          <cell r="C707">
            <v>44622</v>
          </cell>
          <cell r="D707">
            <v>90</v>
          </cell>
          <cell r="E707">
            <v>48</v>
          </cell>
          <cell r="F707" t="str">
            <v>90% годовых</v>
          </cell>
          <cell r="G707">
            <v>5.3999999999999999E-2</v>
          </cell>
          <cell r="H707">
            <v>113636</v>
          </cell>
        </row>
        <row r="708">
          <cell r="A708" t="str">
            <v>В-25764/КЛ.Транш - 1_В-21082023/Ц</v>
          </cell>
          <cell r="B708" t="str">
            <v>Соколова Екатерина Николаевна</v>
          </cell>
          <cell r="C708">
            <v>44539</v>
          </cell>
          <cell r="D708">
            <v>50</v>
          </cell>
          <cell r="E708">
            <v>48</v>
          </cell>
          <cell r="F708" t="str">
            <v>55% годовых</v>
          </cell>
          <cell r="G708">
            <v>5.3999999999999999E-2</v>
          </cell>
          <cell r="H708">
            <v>350000</v>
          </cell>
        </row>
        <row r="709">
          <cell r="A709" t="str">
            <v>В-20544/КЛ.Транш - 1_В-21082023/Ц</v>
          </cell>
          <cell r="B709" t="str">
            <v>Соколова Елена Викторовна</v>
          </cell>
          <cell r="C709">
            <v>45159</v>
          </cell>
          <cell r="D709">
            <v>50</v>
          </cell>
          <cell r="E709">
            <v>48</v>
          </cell>
          <cell r="F709" t="str">
            <v>50% годовых</v>
          </cell>
          <cell r="G709">
            <v>5.3999999999999999E-2</v>
          </cell>
          <cell r="H709">
            <v>738636.4</v>
          </cell>
        </row>
        <row r="710">
          <cell r="A710" t="str">
            <v>В-14544/КЛ.Транш - 1_В-20211230/Ц</v>
          </cell>
          <cell r="B710" t="str">
            <v>Солдатенков Алексей Геннадиевич</v>
          </cell>
          <cell r="C710">
            <v>44239</v>
          </cell>
          <cell r="D710">
            <v>60</v>
          </cell>
          <cell r="E710">
            <v>36</v>
          </cell>
          <cell r="F710" t="str">
            <v>60% годовых</v>
          </cell>
          <cell r="G710">
            <v>5.3999999999999999E-2</v>
          </cell>
          <cell r="H710">
            <v>200000</v>
          </cell>
        </row>
        <row r="711">
          <cell r="A711" t="str">
            <v>В-14544/КЛ.Транш - 2_В-20211230/Ц</v>
          </cell>
          <cell r="B711" t="str">
            <v>Солдатенков Алексей Геннадиевич</v>
          </cell>
          <cell r="C711">
            <v>44572</v>
          </cell>
          <cell r="D711">
            <v>67</v>
          </cell>
          <cell r="E711">
            <v>22</v>
          </cell>
          <cell r="F711" t="str">
            <v>67% годовых</v>
          </cell>
          <cell r="G711">
            <v>5.3999999999999999E-2</v>
          </cell>
          <cell r="H711">
            <v>130000</v>
          </cell>
        </row>
        <row r="712">
          <cell r="A712" t="str">
            <v>В-01319/КЛ.Транш - 1_В-21082023/Ц</v>
          </cell>
          <cell r="B712" t="str">
            <v>Солодов Михаил Александрович</v>
          </cell>
          <cell r="C712">
            <v>43780</v>
          </cell>
          <cell r="D712">
            <v>84</v>
          </cell>
          <cell r="E712">
            <v>371</v>
          </cell>
          <cell r="F712" t="str">
            <v>84% годовых</v>
          </cell>
          <cell r="G712">
            <v>5.3999999999999999E-2</v>
          </cell>
          <cell r="H712">
            <v>100000</v>
          </cell>
        </row>
        <row r="713">
          <cell r="A713" t="str">
            <v>В-00478/КЛ.Транш - 1_В-21082023/Ц</v>
          </cell>
          <cell r="B713" t="str">
            <v>Солохин Александр Игоревич</v>
          </cell>
          <cell r="C713">
            <v>43725</v>
          </cell>
          <cell r="D713">
            <v>84</v>
          </cell>
          <cell r="E713">
            <v>24</v>
          </cell>
          <cell r="F713" t="str">
            <v>84% годовых</v>
          </cell>
          <cell r="G713">
            <v>5.3999999999999999E-2</v>
          </cell>
          <cell r="H713">
            <v>150000</v>
          </cell>
        </row>
        <row r="714">
          <cell r="A714" t="str">
            <v>В-00478/КЛ.Транш - 2_В-21082023/Ц</v>
          </cell>
          <cell r="B714" t="str">
            <v>Солохин Александр Игоревич</v>
          </cell>
          <cell r="C714">
            <v>43759</v>
          </cell>
          <cell r="D714">
            <v>84</v>
          </cell>
          <cell r="E714">
            <v>24</v>
          </cell>
          <cell r="F714" t="str">
            <v>84% годовых</v>
          </cell>
          <cell r="G714">
            <v>5.3999999999999999E-2</v>
          </cell>
          <cell r="H714">
            <v>100000</v>
          </cell>
        </row>
        <row r="715">
          <cell r="A715" t="str">
            <v>Т-01799/АЗ_В-20211230/Ц</v>
          </cell>
          <cell r="B715" t="str">
            <v>Сорокин Александр Вадимович</v>
          </cell>
          <cell r="C715">
            <v>43635</v>
          </cell>
          <cell r="D715">
            <v>77</v>
          </cell>
          <cell r="E715">
            <v>36</v>
          </cell>
          <cell r="F715" t="str">
            <v>77% годовых</v>
          </cell>
          <cell r="G715">
            <v>5.3999999999999999E-2</v>
          </cell>
          <cell r="H715">
            <v>450000</v>
          </cell>
        </row>
        <row r="716">
          <cell r="A716" t="str">
            <v>В-10433/КЛ.Транш - 1_В-21082023/Ц</v>
          </cell>
          <cell r="B716" t="str">
            <v>Сорокин Константин Витальевич</v>
          </cell>
          <cell r="C716">
            <v>44126</v>
          </cell>
          <cell r="D716">
            <v>50</v>
          </cell>
          <cell r="E716">
            <v>36</v>
          </cell>
          <cell r="F716" t="str">
            <v>50% годовых</v>
          </cell>
          <cell r="G716">
            <v>5.3999999999999999E-2</v>
          </cell>
          <cell r="H716">
            <v>500000</v>
          </cell>
        </row>
        <row r="717">
          <cell r="A717" t="str">
            <v>В-10433/КЛ.Транш - 2_В-21082023/Ц</v>
          </cell>
          <cell r="B717" t="str">
            <v>Сорокин Константин Витальевич</v>
          </cell>
          <cell r="C717">
            <v>44257</v>
          </cell>
          <cell r="D717">
            <v>74</v>
          </cell>
          <cell r="E717">
            <v>36</v>
          </cell>
          <cell r="F717" t="str">
            <v>74% годовых</v>
          </cell>
          <cell r="G717">
            <v>5.3999999999999999E-2</v>
          </cell>
          <cell r="H717">
            <v>500000</v>
          </cell>
        </row>
        <row r="718">
          <cell r="A718" t="str">
            <v>В-18022/КЛ.Транш - 1_В-20211230/Ц</v>
          </cell>
          <cell r="B718" t="str">
            <v>Сосков Иван Сергеевич</v>
          </cell>
          <cell r="C718">
            <v>44332</v>
          </cell>
          <cell r="D718">
            <v>81</v>
          </cell>
          <cell r="E718">
            <v>12</v>
          </cell>
          <cell r="F718" t="str">
            <v>81% годовых</v>
          </cell>
          <cell r="G718">
            <v>5.3999999999999999E-2</v>
          </cell>
          <cell r="H718">
            <v>250000</v>
          </cell>
        </row>
        <row r="719">
          <cell r="A719" t="str">
            <v>А-00410/КЭ.Транш - 1</v>
          </cell>
          <cell r="B719" t="str">
            <v>Союзметиз ООО</v>
          </cell>
          <cell r="C719">
            <v>43714</v>
          </cell>
          <cell r="D719">
            <v>65</v>
          </cell>
          <cell r="E719">
            <v>12</v>
          </cell>
          <cell r="F719" t="str">
            <v>65% годовых</v>
          </cell>
          <cell r="G719">
            <v>1</v>
          </cell>
          <cell r="H719">
            <v>410000</v>
          </cell>
        </row>
        <row r="720">
          <cell r="A720" t="str">
            <v>В-20109/КЛ.Транш - 1_В-21082023/Ц</v>
          </cell>
          <cell r="B720" t="str">
            <v>Спицын Антон Вадимович</v>
          </cell>
          <cell r="C720">
            <v>44384</v>
          </cell>
          <cell r="D720">
            <v>81</v>
          </cell>
          <cell r="E720">
            <v>48</v>
          </cell>
          <cell r="F720" t="str">
            <v>81% годовых</v>
          </cell>
          <cell r="G720">
            <v>5.3999999999999999E-2</v>
          </cell>
          <cell r="H720">
            <v>260000</v>
          </cell>
        </row>
        <row r="721">
          <cell r="A721" t="str">
            <v>В-06186/КЛ.Транш - 1_А-20210929/Ц</v>
          </cell>
          <cell r="B721" t="str">
            <v>Станкеев Сергей Николаевич</v>
          </cell>
          <cell r="C721">
            <v>43991</v>
          </cell>
          <cell r="D721">
            <v>87</v>
          </cell>
          <cell r="E721">
            <v>36</v>
          </cell>
          <cell r="F721" t="str">
            <v>87% годовых</v>
          </cell>
          <cell r="G721">
            <v>5.3999999999999999E-2</v>
          </cell>
          <cell r="H721">
            <v>750000</v>
          </cell>
        </row>
        <row r="722">
          <cell r="A722" t="str">
            <v>В-06186/КЛ.Транш - 2_А-20210929/Ц</v>
          </cell>
          <cell r="B722" t="str">
            <v>Станкеев Сергей Николаевич</v>
          </cell>
          <cell r="C722">
            <v>44097</v>
          </cell>
          <cell r="D722">
            <v>80</v>
          </cell>
          <cell r="E722">
            <v>36</v>
          </cell>
          <cell r="F722" t="str">
            <v>80% годовых</v>
          </cell>
          <cell r="G722">
            <v>5.3999999999999999E-2</v>
          </cell>
          <cell r="H722">
            <v>450000</v>
          </cell>
        </row>
        <row r="723">
          <cell r="A723" t="str">
            <v>В-08603/КЛ.Транш - 1_В-21082023/Ц</v>
          </cell>
          <cell r="B723" t="str">
            <v>Стародубов Виталий Юрьевич</v>
          </cell>
          <cell r="C723">
            <v>44075</v>
          </cell>
          <cell r="D723">
            <v>80</v>
          </cell>
          <cell r="E723">
            <v>48</v>
          </cell>
          <cell r="F723" t="str">
            <v>80% годовых</v>
          </cell>
          <cell r="G723">
            <v>5.3999999999999999E-2</v>
          </cell>
          <cell r="H723">
            <v>300000</v>
          </cell>
        </row>
        <row r="724">
          <cell r="A724" t="str">
            <v>В-12269/КЛ.Транш - 1_В-21082023/Ц</v>
          </cell>
          <cell r="B724" t="str">
            <v>Степенко Александр Сергеевич</v>
          </cell>
          <cell r="C724">
            <v>44191</v>
          </cell>
          <cell r="D724">
            <v>50</v>
          </cell>
          <cell r="E724">
            <v>48</v>
          </cell>
          <cell r="F724" t="str">
            <v>50% годовых</v>
          </cell>
          <cell r="G724">
            <v>5.3999999999999999E-2</v>
          </cell>
          <cell r="H724">
            <v>198000</v>
          </cell>
        </row>
        <row r="725">
          <cell r="A725" t="str">
            <v>В-09213/КЛ.Транш - 1_В-21082023/Ц</v>
          </cell>
          <cell r="B725" t="str">
            <v>Стрельцов Денис Николаевич</v>
          </cell>
          <cell r="C725">
            <v>44092</v>
          </cell>
          <cell r="D725">
            <v>73</v>
          </cell>
          <cell r="E725">
            <v>48</v>
          </cell>
          <cell r="F725" t="str">
            <v>73% годовых</v>
          </cell>
          <cell r="G725">
            <v>5.3999999999999999E-2</v>
          </cell>
          <cell r="H725">
            <v>1000000</v>
          </cell>
        </row>
        <row r="726">
          <cell r="A726" t="str">
            <v>А-10037/КЭ.Транш - 1</v>
          </cell>
          <cell r="B726" t="str">
            <v>СТРОЙ ПРОТЕК ООО</v>
          </cell>
          <cell r="C726">
            <v>43153</v>
          </cell>
          <cell r="D726">
            <v>65</v>
          </cell>
          <cell r="E726">
            <v>24</v>
          </cell>
          <cell r="F726" t="str">
            <v>65% годовых</v>
          </cell>
          <cell r="G726">
            <v>1</v>
          </cell>
          <cell r="H726">
            <v>150000</v>
          </cell>
        </row>
        <row r="727">
          <cell r="A727" t="str">
            <v>А-00366/КЭ.Транш - 3</v>
          </cell>
          <cell r="B727" t="str">
            <v>Строй-Универсал ООО</v>
          </cell>
          <cell r="C727">
            <v>43643</v>
          </cell>
          <cell r="D727">
            <v>65</v>
          </cell>
          <cell r="E727">
            <v>9</v>
          </cell>
          <cell r="F727" t="str">
            <v>65% годовых</v>
          </cell>
          <cell r="G727">
            <v>1</v>
          </cell>
          <cell r="H727">
            <v>150000</v>
          </cell>
        </row>
        <row r="728">
          <cell r="A728" t="str">
            <v>А-05195/АЗ</v>
          </cell>
          <cell r="B728" t="str">
            <v>Строчкин Сергей Иванович</v>
          </cell>
          <cell r="C728">
            <v>43544</v>
          </cell>
          <cell r="D728">
            <v>77</v>
          </cell>
          <cell r="E728">
            <v>36</v>
          </cell>
          <cell r="F728" t="str">
            <v>77% годовых</v>
          </cell>
          <cell r="G728">
            <v>5.3999999999999999E-2</v>
          </cell>
          <cell r="H728">
            <v>425000</v>
          </cell>
        </row>
        <row r="729">
          <cell r="A729" t="str">
            <v>Т-01754/АЗ_20190723/Ц</v>
          </cell>
          <cell r="B729" t="str">
            <v>Строчкин Сергей Иванович</v>
          </cell>
          <cell r="C729">
            <v>43544</v>
          </cell>
          <cell r="D729">
            <v>77</v>
          </cell>
          <cell r="E729">
            <v>36</v>
          </cell>
          <cell r="F729" t="str">
            <v>77% годовых</v>
          </cell>
          <cell r="G729">
            <v>5.3999999999999999E-2</v>
          </cell>
          <cell r="H729">
            <v>425000</v>
          </cell>
        </row>
        <row r="730">
          <cell r="A730" t="str">
            <v>В-00547/АЗ_В-21082023/Ц</v>
          </cell>
          <cell r="B730" t="str">
            <v>Струнгарь Григорий Васильевич</v>
          </cell>
          <cell r="C730">
            <v>43732</v>
          </cell>
          <cell r="D730">
            <v>50</v>
          </cell>
          <cell r="E730">
            <v>36</v>
          </cell>
          <cell r="F730" t="str">
            <v>50% годовых</v>
          </cell>
          <cell r="G730">
            <v>5.3999999999999999E-2</v>
          </cell>
          <cell r="H730">
            <v>175000</v>
          </cell>
        </row>
        <row r="731">
          <cell r="A731" t="str">
            <v>В-24072/АЗ_В-20211230/Ц</v>
          </cell>
          <cell r="B731" t="str">
            <v>Султанов Салим Исламович</v>
          </cell>
          <cell r="C731">
            <v>44496</v>
          </cell>
          <cell r="D731">
            <v>77</v>
          </cell>
          <cell r="E731">
            <v>48</v>
          </cell>
          <cell r="F731" t="str">
            <v>77% годовых</v>
          </cell>
          <cell r="G731">
            <v>5.3999999999999999E-2</v>
          </cell>
          <cell r="H731">
            <v>170000</v>
          </cell>
        </row>
        <row r="732">
          <cell r="A732" t="str">
            <v>В-23901/КЛ.Транш - 1_В-21082023/Ц</v>
          </cell>
          <cell r="B732" t="str">
            <v>Султанова Анна Валерьевна</v>
          </cell>
          <cell r="C732">
            <v>44490</v>
          </cell>
          <cell r="D732">
            <v>64</v>
          </cell>
          <cell r="E732">
            <v>48</v>
          </cell>
          <cell r="F732" t="str">
            <v>64% годовых</v>
          </cell>
          <cell r="G732">
            <v>5.3999999999999999E-2</v>
          </cell>
          <cell r="H732">
            <v>454545.5</v>
          </cell>
        </row>
        <row r="733">
          <cell r="A733" t="str">
            <v>В-01013/КЛ.Транш - 1_В-20211230/Ц</v>
          </cell>
          <cell r="B733" t="str">
            <v>Сутько Максим Николаевич</v>
          </cell>
          <cell r="C733">
            <v>43761</v>
          </cell>
          <cell r="D733">
            <v>84</v>
          </cell>
          <cell r="E733">
            <v>36</v>
          </cell>
          <cell r="F733" t="str">
            <v>84% годовых</v>
          </cell>
          <cell r="G733">
            <v>5.3999999999999999E-2</v>
          </cell>
          <cell r="H733">
            <v>140000</v>
          </cell>
        </row>
        <row r="734">
          <cell r="A734" t="str">
            <v>В-26432/АЗ_В-21082023/Ц</v>
          </cell>
          <cell r="B734" t="str">
            <v>Тарасов Дмитрий Алексеевич</v>
          </cell>
          <cell r="C734">
            <v>44557</v>
          </cell>
          <cell r="D734">
            <v>50</v>
          </cell>
          <cell r="E734">
            <v>36</v>
          </cell>
          <cell r="F734" t="str">
            <v>50% годовых</v>
          </cell>
          <cell r="G734">
            <v>5.3999999999999999E-2</v>
          </cell>
          <cell r="H734">
            <v>200000</v>
          </cell>
        </row>
        <row r="735">
          <cell r="A735" t="str">
            <v>В-22205/КЛ.Транш - 1_В-21082023/Ц</v>
          </cell>
          <cell r="B735" t="str">
            <v>Тарасов Олег Васильевич</v>
          </cell>
          <cell r="C735">
            <v>44441</v>
          </cell>
          <cell r="D735">
            <v>50</v>
          </cell>
          <cell r="E735">
            <v>48</v>
          </cell>
          <cell r="F735" t="str">
            <v>50% годовых</v>
          </cell>
          <cell r="G735">
            <v>5.3999999999999999E-2</v>
          </cell>
          <cell r="H735">
            <v>400000</v>
          </cell>
        </row>
        <row r="736">
          <cell r="A736" t="str">
            <v>В-22205/КЛ.Транш - 2_В-21082023/Ц</v>
          </cell>
          <cell r="B736" t="str">
            <v>Тарасов Олег Васильевич</v>
          </cell>
          <cell r="C736">
            <v>45159</v>
          </cell>
          <cell r="D736">
            <v>67</v>
          </cell>
          <cell r="E736">
            <v>36</v>
          </cell>
          <cell r="F736" t="str">
            <v>67% годовых</v>
          </cell>
          <cell r="G736">
            <v>5.3999999999999999E-2</v>
          </cell>
          <cell r="H736">
            <v>300000</v>
          </cell>
        </row>
        <row r="737">
          <cell r="A737" t="str">
            <v>В-17788/КЛ.Транш - 3_В-20211230/Ц</v>
          </cell>
          <cell r="B737" t="str">
            <v>Ташланова Юлия Юрьевна</v>
          </cell>
          <cell r="C737">
            <v>44336</v>
          </cell>
          <cell r="D737">
            <v>74</v>
          </cell>
          <cell r="E737">
            <v>24</v>
          </cell>
          <cell r="F737" t="str">
            <v>79% годовых</v>
          </cell>
          <cell r="G737">
            <v>5.3999999999999999E-2</v>
          </cell>
          <cell r="H737">
            <v>160000</v>
          </cell>
        </row>
        <row r="738">
          <cell r="A738" t="str">
            <v>В-17788/КЛ.Транш - 2_В-20211230/Ц</v>
          </cell>
          <cell r="B738" t="str">
            <v>Ташланова Юлия Юрьевна</v>
          </cell>
          <cell r="C738">
            <v>44333</v>
          </cell>
          <cell r="D738">
            <v>74</v>
          </cell>
          <cell r="E738">
            <v>24</v>
          </cell>
          <cell r="F738" t="str">
            <v>79% годовых</v>
          </cell>
          <cell r="G738">
            <v>5.3999999999999999E-2</v>
          </cell>
          <cell r="H738">
            <v>200000</v>
          </cell>
        </row>
        <row r="739">
          <cell r="A739" t="str">
            <v>В-17788/КЛ.Транш - 1_В-20211230/Ц</v>
          </cell>
          <cell r="B739" t="str">
            <v>Ташланова Юлия Юрьевна</v>
          </cell>
          <cell r="C739">
            <v>44326</v>
          </cell>
          <cell r="D739">
            <v>81</v>
          </cell>
          <cell r="E739">
            <v>24</v>
          </cell>
          <cell r="F739" t="str">
            <v>86% годовых</v>
          </cell>
          <cell r="G739">
            <v>5.3999999999999999E-2</v>
          </cell>
          <cell r="H739">
            <v>300000</v>
          </cell>
        </row>
        <row r="740">
          <cell r="A740" t="str">
            <v>В-15393/КЛ.Транш - 1_В-20211230/Ц</v>
          </cell>
          <cell r="B740" t="str">
            <v>Темникова Оксана Дмитриевна</v>
          </cell>
          <cell r="C740">
            <v>44264</v>
          </cell>
          <cell r="D740">
            <v>67</v>
          </cell>
          <cell r="E740">
            <v>36</v>
          </cell>
          <cell r="F740" t="str">
            <v>67% годовых</v>
          </cell>
          <cell r="G740">
            <v>5.3999999999999999E-2</v>
          </cell>
          <cell r="H740">
            <v>100000</v>
          </cell>
        </row>
        <row r="741">
          <cell r="A741" t="str">
            <v>В-20035/КЛ.Транш - 1_В-21082023/Ц</v>
          </cell>
          <cell r="B741" t="str">
            <v>Терехов Андрей Анатольевич</v>
          </cell>
          <cell r="C741">
            <v>44382</v>
          </cell>
          <cell r="D741">
            <v>81</v>
          </cell>
          <cell r="E741">
            <v>48</v>
          </cell>
          <cell r="F741" t="str">
            <v>81% годовых</v>
          </cell>
          <cell r="G741">
            <v>5.3999999999999999E-2</v>
          </cell>
          <cell r="H741">
            <v>100000</v>
          </cell>
        </row>
        <row r="742">
          <cell r="A742" t="str">
            <v>В-00256/КЛ.Транш - 1_В-20211230/Ц</v>
          </cell>
          <cell r="B742" t="str">
            <v>Теслюк Игорь Анатольевич</v>
          </cell>
          <cell r="C742">
            <v>43706</v>
          </cell>
          <cell r="D742">
            <v>84</v>
          </cell>
          <cell r="E742">
            <v>12</v>
          </cell>
          <cell r="F742" t="str">
            <v>84% годовых</v>
          </cell>
          <cell r="G742">
            <v>5.3999999999999999E-2</v>
          </cell>
          <cell r="H742">
            <v>500000</v>
          </cell>
        </row>
        <row r="743">
          <cell r="A743" t="str">
            <v>В-00256/КЛ.Транш - 2_В-20211230/Ц</v>
          </cell>
          <cell r="B743" t="str">
            <v>Теслюк Игорь Анатольевич</v>
          </cell>
          <cell r="C743">
            <v>43902</v>
          </cell>
          <cell r="D743">
            <v>84</v>
          </cell>
          <cell r="E743">
            <v>12</v>
          </cell>
          <cell r="F743" t="str">
            <v>84% годовых</v>
          </cell>
          <cell r="G743">
            <v>5.3999999999999999E-2</v>
          </cell>
          <cell r="H743">
            <v>270000</v>
          </cell>
        </row>
        <row r="744">
          <cell r="A744" t="str">
            <v>А-30003/КЭ.Транш - 1</v>
          </cell>
          <cell r="B744" t="str">
            <v>ТЕХНИКА ЮГА ООО</v>
          </cell>
          <cell r="C744">
            <v>43543</v>
          </cell>
          <cell r="D744">
            <v>50</v>
          </cell>
          <cell r="E744">
            <v>12</v>
          </cell>
          <cell r="F744" t="str">
            <v>50% годовых</v>
          </cell>
          <cell r="G744">
            <v>1</v>
          </cell>
          <cell r="H744">
            <v>1000000</v>
          </cell>
        </row>
        <row r="745">
          <cell r="A745" t="str">
            <v>В-00070/КЭ.Транш - 1_В-20211230/Ц</v>
          </cell>
          <cell r="B745" t="str">
            <v>ТехТара ООО</v>
          </cell>
          <cell r="C745">
            <v>44532</v>
          </cell>
          <cell r="D745">
            <v>65</v>
          </cell>
          <cell r="E745">
            <v>5</v>
          </cell>
          <cell r="F745" t="str">
            <v>65% годовых</v>
          </cell>
          <cell r="G745">
            <v>1</v>
          </cell>
          <cell r="H745">
            <v>300000</v>
          </cell>
        </row>
        <row r="746">
          <cell r="A746" t="str">
            <v>В-27843/КЛ.Транш - 1_В-20211230/Ц</v>
          </cell>
          <cell r="B746" t="str">
            <v>Тигранян Гор Робертович</v>
          </cell>
          <cell r="C746">
            <v>44594</v>
          </cell>
          <cell r="D746">
            <v>56</v>
          </cell>
          <cell r="E746">
            <v>24</v>
          </cell>
          <cell r="F746" t="str">
            <v>56% годовых</v>
          </cell>
          <cell r="G746">
            <v>5.3999999999999999E-2</v>
          </cell>
          <cell r="H746">
            <v>1000000</v>
          </cell>
        </row>
        <row r="747">
          <cell r="A747" t="str">
            <v>В-20329/КЛ.Транш - 2_В-21082023/Ц</v>
          </cell>
          <cell r="B747" t="str">
            <v>Тимохин Иван Алексеевич</v>
          </cell>
          <cell r="C747">
            <v>44414</v>
          </cell>
          <cell r="D747">
            <v>50</v>
          </cell>
          <cell r="E747">
            <v>36</v>
          </cell>
          <cell r="F747" t="str">
            <v>50% годовых</v>
          </cell>
          <cell r="G747">
            <v>5.3999999999999999E-2</v>
          </cell>
          <cell r="H747">
            <v>170454.5</v>
          </cell>
        </row>
        <row r="748">
          <cell r="A748" t="str">
            <v>В-14484/КЛ.Транш - 1_В-21082023/Ц</v>
          </cell>
          <cell r="B748" t="str">
            <v>Титов Максим Сергеевич</v>
          </cell>
          <cell r="C748">
            <v>44239</v>
          </cell>
          <cell r="D748">
            <v>67</v>
          </cell>
          <cell r="E748">
            <v>48</v>
          </cell>
          <cell r="F748" t="str">
            <v>67% годовых</v>
          </cell>
          <cell r="G748">
            <v>5.3999999999999999E-2</v>
          </cell>
          <cell r="H748">
            <v>120000</v>
          </cell>
        </row>
        <row r="749">
          <cell r="A749" t="str">
            <v>В-03300/КЛ.Транш - 1_В-21082023/Ц</v>
          </cell>
          <cell r="B749" t="str">
            <v>Тихонова Ирина Анатольевна</v>
          </cell>
          <cell r="C749">
            <v>43871</v>
          </cell>
          <cell r="D749">
            <v>73</v>
          </cell>
          <cell r="E749">
            <v>36</v>
          </cell>
          <cell r="F749" t="str">
            <v>78% годовых</v>
          </cell>
          <cell r="G749">
            <v>5.3999999999999999E-2</v>
          </cell>
          <cell r="H749">
            <v>350000</v>
          </cell>
        </row>
        <row r="750">
          <cell r="A750" t="str">
            <v>В-00034/КЭ.Транш - 1_В20211230/Ц</v>
          </cell>
          <cell r="B750" t="str">
            <v>ТК МЕЖРЕГИОНСЕРВИС-77 ООО</v>
          </cell>
          <cell r="C750">
            <v>44273</v>
          </cell>
          <cell r="D750">
            <v>50</v>
          </cell>
          <cell r="E750">
            <v>24</v>
          </cell>
          <cell r="F750" t="str">
            <v>50% годовых</v>
          </cell>
          <cell r="G750">
            <v>1</v>
          </cell>
          <cell r="H750">
            <v>1610000</v>
          </cell>
        </row>
        <row r="751">
          <cell r="A751" t="str">
            <v>В-21858/КЛ.Транш - 1_В-20211230/Ц</v>
          </cell>
          <cell r="B751" t="str">
            <v>Тонконогов Артем Андреевич</v>
          </cell>
          <cell r="C751">
            <v>44431</v>
          </cell>
          <cell r="D751">
            <v>50</v>
          </cell>
          <cell r="E751">
            <v>24</v>
          </cell>
          <cell r="F751" t="str">
            <v>50% годовых</v>
          </cell>
          <cell r="G751">
            <v>5.3999999999999999E-2</v>
          </cell>
          <cell r="H751">
            <v>568181.80000000005</v>
          </cell>
        </row>
        <row r="752">
          <cell r="A752" t="str">
            <v>А-10118/КЭ.Транш - 1</v>
          </cell>
          <cell r="B752" t="str">
            <v>ТРАНСЛОГ ООО</v>
          </cell>
          <cell r="C752">
            <v>43978</v>
          </cell>
          <cell r="D752">
            <v>50</v>
          </cell>
          <cell r="E752">
            <v>24</v>
          </cell>
          <cell r="F752" t="str">
            <v>50% годовых</v>
          </cell>
          <cell r="G752">
            <v>1</v>
          </cell>
          <cell r="H752">
            <v>1400000</v>
          </cell>
        </row>
        <row r="753">
          <cell r="A753" t="str">
            <v>В-10022/КЭ.Транш - 1_В-21082023/Ц</v>
          </cell>
          <cell r="B753" t="str">
            <v>ТРАНСЛОГ ООО</v>
          </cell>
          <cell r="C753">
            <v>44553</v>
          </cell>
          <cell r="D753">
            <v>50</v>
          </cell>
          <cell r="E753">
            <v>24</v>
          </cell>
          <cell r="F753" t="str">
            <v>50% годовых</v>
          </cell>
          <cell r="G753">
            <v>1</v>
          </cell>
          <cell r="H753">
            <v>991000</v>
          </cell>
        </row>
        <row r="754">
          <cell r="A754" t="str">
            <v>В-00151/АЗ_В-20211230/Ц</v>
          </cell>
          <cell r="B754" t="str">
            <v>Трифонов Николай Валентинович</v>
          </cell>
          <cell r="C754">
            <v>43607</v>
          </cell>
          <cell r="D754">
            <v>84</v>
          </cell>
          <cell r="E754">
            <v>12</v>
          </cell>
          <cell r="F754" t="str">
            <v>84% годовых</v>
          </cell>
          <cell r="G754">
            <v>5.3999999999999999E-2</v>
          </cell>
          <cell r="H754">
            <v>520000</v>
          </cell>
        </row>
        <row r="755">
          <cell r="A755" t="str">
            <v>В-21146/КЛ.Транш - 1_В-20211230/Ц</v>
          </cell>
          <cell r="B755" t="str">
            <v>Тришина Екатерина Викторовна</v>
          </cell>
          <cell r="C755">
            <v>44408</v>
          </cell>
          <cell r="D755">
            <v>50</v>
          </cell>
          <cell r="E755">
            <v>48</v>
          </cell>
          <cell r="F755" t="str">
            <v>50% годовых</v>
          </cell>
          <cell r="G755">
            <v>5.3999999999999999E-2</v>
          </cell>
          <cell r="H755">
            <v>568181.80000000005</v>
          </cell>
        </row>
        <row r="756">
          <cell r="A756" t="str">
            <v>В-17824/КЛ.Транш - 1_В-20211230/Ц</v>
          </cell>
          <cell r="B756" t="str">
            <v>Трунтов Андрей Федорович</v>
          </cell>
          <cell r="C756">
            <v>44327</v>
          </cell>
          <cell r="D756">
            <v>50</v>
          </cell>
          <cell r="E756">
            <v>36</v>
          </cell>
          <cell r="F756" t="str">
            <v>50% годовых</v>
          </cell>
          <cell r="G756">
            <v>5.3999999999999999E-2</v>
          </cell>
          <cell r="H756">
            <v>318181.8</v>
          </cell>
        </row>
        <row r="757">
          <cell r="A757" t="str">
            <v>В-11533/КЛ.Транш - 1_В-21082023/Ц</v>
          </cell>
          <cell r="B757" t="str">
            <v>Трупиков Дмитрий Станиславович</v>
          </cell>
          <cell r="C757">
            <v>44159</v>
          </cell>
          <cell r="D757">
            <v>66</v>
          </cell>
          <cell r="E757">
            <v>48</v>
          </cell>
          <cell r="F757" t="str">
            <v>66% годовых</v>
          </cell>
          <cell r="G757">
            <v>5.3999999999999999E-2</v>
          </cell>
          <cell r="H757">
            <v>231000</v>
          </cell>
        </row>
        <row r="758">
          <cell r="A758" t="str">
            <v>В-26928/КЛ.Транш - 1_В-21082023/Ц</v>
          </cell>
          <cell r="B758" t="str">
            <v>Труханкин Анатолий Васильевич</v>
          </cell>
          <cell r="C758">
            <v>44572</v>
          </cell>
          <cell r="D758">
            <v>63</v>
          </cell>
          <cell r="E758">
            <v>24</v>
          </cell>
          <cell r="F758" t="str">
            <v>63% годовых</v>
          </cell>
          <cell r="G758">
            <v>5.3999999999999999E-2</v>
          </cell>
          <cell r="H758">
            <v>1000000</v>
          </cell>
        </row>
        <row r="759">
          <cell r="A759" t="str">
            <v>В-21574/КЛ.Транш - 1_В-20211230/Ц</v>
          </cell>
          <cell r="B759" t="str">
            <v>Тряпко Владимир Александрович</v>
          </cell>
          <cell r="C759">
            <v>44422</v>
          </cell>
          <cell r="D759">
            <v>50</v>
          </cell>
          <cell r="E759">
            <v>24</v>
          </cell>
          <cell r="F759" t="str">
            <v>50% годовых</v>
          </cell>
          <cell r="G759">
            <v>5.3999999999999999E-2</v>
          </cell>
          <cell r="H759">
            <v>327272.7</v>
          </cell>
        </row>
        <row r="760">
          <cell r="A760" t="str">
            <v>В-12067/КЛ.Транш - 1_В-21082023/Ц</v>
          </cell>
          <cell r="B760" t="str">
            <v>Тульнова Ольга Владимировна</v>
          </cell>
          <cell r="C760">
            <v>44172</v>
          </cell>
          <cell r="D760">
            <v>66</v>
          </cell>
          <cell r="E760">
            <v>48</v>
          </cell>
          <cell r="F760" t="str">
            <v>66% годовых</v>
          </cell>
          <cell r="G760">
            <v>5.3999999999999999E-2</v>
          </cell>
          <cell r="H760">
            <v>110000</v>
          </cell>
        </row>
        <row r="761">
          <cell r="A761" t="str">
            <v>В-27753/КЛ.Транш - 1_В-21082023/Ц</v>
          </cell>
          <cell r="B761" t="str">
            <v>Турумбекова Темиркан Кадырбековна</v>
          </cell>
          <cell r="C761">
            <v>44617</v>
          </cell>
          <cell r="D761">
            <v>84</v>
          </cell>
          <cell r="E761">
            <v>48</v>
          </cell>
          <cell r="F761" t="str">
            <v>84% годовых</v>
          </cell>
          <cell r="G761">
            <v>5.3999999999999999E-2</v>
          </cell>
          <cell r="H761">
            <v>210000</v>
          </cell>
        </row>
        <row r="762">
          <cell r="A762" t="str">
            <v>В-03413/КЛ.Транш - 1_В-21082023/Ц</v>
          </cell>
          <cell r="B762" t="str">
            <v>Тюменцев Максим Сергеевич</v>
          </cell>
          <cell r="C762">
            <v>43882</v>
          </cell>
          <cell r="D762">
            <v>73</v>
          </cell>
          <cell r="E762">
            <v>36</v>
          </cell>
          <cell r="F762" t="str">
            <v>73% годовых</v>
          </cell>
          <cell r="G762">
            <v>5.3999999999999999E-2</v>
          </cell>
          <cell r="H762">
            <v>540000</v>
          </cell>
        </row>
        <row r="763">
          <cell r="A763" t="str">
            <v>В-13025/КЛ.Транш - 1_А-20210929/Ц</v>
          </cell>
          <cell r="B763" t="str">
            <v>Тюмин Валерий Александрович</v>
          </cell>
          <cell r="C763">
            <v>44189</v>
          </cell>
          <cell r="D763">
            <v>50</v>
          </cell>
          <cell r="E763">
            <v>48</v>
          </cell>
          <cell r="F763" t="str">
            <v>50% годовых</v>
          </cell>
          <cell r="G763">
            <v>5.3999999999999999E-2</v>
          </cell>
          <cell r="H763">
            <v>1000000</v>
          </cell>
        </row>
        <row r="764">
          <cell r="A764" t="str">
            <v>В-16441/КЛ.Транш - 1_В-20211230/Ц</v>
          </cell>
          <cell r="B764" t="str">
            <v>Тюрин Алексей Викторович</v>
          </cell>
          <cell r="C764">
            <v>44289</v>
          </cell>
          <cell r="D764">
            <v>50</v>
          </cell>
          <cell r="E764">
            <v>48</v>
          </cell>
          <cell r="F764" t="str">
            <v>50% годовых</v>
          </cell>
          <cell r="G764">
            <v>5.3999999999999999E-2</v>
          </cell>
          <cell r="H764">
            <v>284090.90000000002</v>
          </cell>
        </row>
        <row r="765">
          <cell r="A765" t="str">
            <v>В-28539/КЛ.Транш - 1_В-21082023/Ц</v>
          </cell>
          <cell r="B765" t="str">
            <v>Ульбашева Елена Владимировна</v>
          </cell>
          <cell r="C765">
            <v>44613</v>
          </cell>
          <cell r="D765">
            <v>63</v>
          </cell>
          <cell r="E765">
            <v>48</v>
          </cell>
          <cell r="F765" t="str">
            <v>63% годовых</v>
          </cell>
          <cell r="G765">
            <v>5.3999999999999999E-2</v>
          </cell>
          <cell r="H765">
            <v>240000</v>
          </cell>
        </row>
        <row r="766">
          <cell r="A766" t="str">
            <v>В-04682/КЛ.Транш - 5_В-20211230/Ц</v>
          </cell>
          <cell r="B766" t="str">
            <v>Усиков Андрей Васильевич</v>
          </cell>
          <cell r="C766">
            <v>44163</v>
          </cell>
          <cell r="D766">
            <v>66</v>
          </cell>
          <cell r="E766">
            <v>12</v>
          </cell>
          <cell r="F766" t="str">
            <v>66% годовых</v>
          </cell>
          <cell r="G766">
            <v>5.3999999999999999E-2</v>
          </cell>
          <cell r="H766">
            <v>100000</v>
          </cell>
        </row>
        <row r="767">
          <cell r="A767" t="str">
            <v>В-04682/КЛ.Транш - 8_В-20211230/Ц</v>
          </cell>
          <cell r="B767" t="str">
            <v>Усиков Андрей Васильевич</v>
          </cell>
          <cell r="C767">
            <v>44286</v>
          </cell>
          <cell r="D767">
            <v>53</v>
          </cell>
          <cell r="E767">
            <v>12</v>
          </cell>
          <cell r="F767" t="str">
            <v>53% годовых</v>
          </cell>
          <cell r="G767">
            <v>5.3999999999999999E-2</v>
          </cell>
          <cell r="H767">
            <v>100000</v>
          </cell>
        </row>
        <row r="768">
          <cell r="A768" t="str">
            <v>В-04682/КЛ.Транш - 6_В-20211230/Ц</v>
          </cell>
          <cell r="B768" t="str">
            <v>Усиков Андрей Васильевич</v>
          </cell>
          <cell r="C768">
            <v>44221</v>
          </cell>
          <cell r="D768">
            <v>60</v>
          </cell>
          <cell r="E768">
            <v>12</v>
          </cell>
          <cell r="F768" t="str">
            <v>60% годовых</v>
          </cell>
          <cell r="G768">
            <v>5.3999999999999999E-2</v>
          </cell>
          <cell r="H768">
            <v>100000</v>
          </cell>
        </row>
        <row r="769">
          <cell r="A769" t="str">
            <v>В-04682/КЛ.Транш - 7_В-20211230/Ц</v>
          </cell>
          <cell r="B769" t="str">
            <v>Усиков Андрей Васильевич</v>
          </cell>
          <cell r="C769">
            <v>44246</v>
          </cell>
          <cell r="D769">
            <v>53</v>
          </cell>
          <cell r="E769">
            <v>12</v>
          </cell>
          <cell r="F769" t="str">
            <v>53% годовых</v>
          </cell>
          <cell r="G769">
            <v>5.3999999999999999E-2</v>
          </cell>
          <cell r="H769">
            <v>100000</v>
          </cell>
        </row>
        <row r="770">
          <cell r="A770" t="str">
            <v>В-04682/КЛ.Транш - 3_В-20211230/Ц</v>
          </cell>
          <cell r="B770" t="str">
            <v>Усиков Андрей Васильевич</v>
          </cell>
          <cell r="C770">
            <v>44123</v>
          </cell>
          <cell r="D770">
            <v>66</v>
          </cell>
          <cell r="E770">
            <v>12</v>
          </cell>
          <cell r="F770" t="str">
            <v>66% годовых</v>
          </cell>
          <cell r="G770">
            <v>5.3999999999999999E-2</v>
          </cell>
          <cell r="H770">
            <v>150000</v>
          </cell>
        </row>
        <row r="771">
          <cell r="A771" t="str">
            <v>В-04682/КЛ.Транш - 4_В-20211230/Ц</v>
          </cell>
          <cell r="B771" t="str">
            <v>Усиков Андрей Васильевич</v>
          </cell>
          <cell r="C771">
            <v>44134</v>
          </cell>
          <cell r="D771">
            <v>66</v>
          </cell>
          <cell r="E771">
            <v>12</v>
          </cell>
          <cell r="F771" t="str">
            <v>66% годовых</v>
          </cell>
          <cell r="G771">
            <v>5.3999999999999999E-2</v>
          </cell>
          <cell r="H771">
            <v>100000</v>
          </cell>
        </row>
        <row r="772">
          <cell r="A772" t="str">
            <v>В-19451/КЛ.Транш - 2_В-20211230/Ц</v>
          </cell>
          <cell r="B772" t="str">
            <v>Устинов Максим Викторович</v>
          </cell>
          <cell r="C772">
            <v>44532</v>
          </cell>
          <cell r="D772">
            <v>50</v>
          </cell>
          <cell r="E772">
            <v>12</v>
          </cell>
          <cell r="F772" t="str">
            <v>50% годовых</v>
          </cell>
          <cell r="G772">
            <v>5.3999999999999999E-2</v>
          </cell>
          <cell r="H772">
            <v>100000</v>
          </cell>
        </row>
        <row r="773">
          <cell r="A773" t="str">
            <v>В-19451/КЛ.Транш - 3_В-20211230/Ц</v>
          </cell>
          <cell r="B773" t="str">
            <v>Устинов Максим Викторович</v>
          </cell>
          <cell r="C773">
            <v>44553</v>
          </cell>
          <cell r="D773">
            <v>50</v>
          </cell>
          <cell r="E773">
            <v>12</v>
          </cell>
          <cell r="F773" t="str">
            <v>50% годовых</v>
          </cell>
          <cell r="G773">
            <v>5.3999999999999999E-2</v>
          </cell>
          <cell r="H773">
            <v>100000</v>
          </cell>
        </row>
        <row r="774">
          <cell r="A774" t="str">
            <v>В-04210/КЛ.Транш - 1_В-20211230/Ц</v>
          </cell>
          <cell r="B774" t="str">
            <v>Фейзуллаев Альберт Нефтуллаевич</v>
          </cell>
          <cell r="C774">
            <v>43901</v>
          </cell>
          <cell r="D774">
            <v>66</v>
          </cell>
          <cell r="E774" t="str">
            <v>1 095</v>
          </cell>
          <cell r="F774" t="str">
            <v>66% годовых</v>
          </cell>
          <cell r="G774">
            <v>5.3999999999999999E-2</v>
          </cell>
          <cell r="H774">
            <v>320000</v>
          </cell>
        </row>
        <row r="775">
          <cell r="A775" t="str">
            <v>В-02583/КЛ.Транш - 9_В-21082023/Ц</v>
          </cell>
          <cell r="B775" t="str">
            <v>Филатова Юлия Петровна</v>
          </cell>
          <cell r="C775">
            <v>44497</v>
          </cell>
          <cell r="D775">
            <v>67</v>
          </cell>
          <cell r="E775">
            <v>12</v>
          </cell>
          <cell r="F775" t="str">
            <v>87% годовых</v>
          </cell>
          <cell r="G775">
            <v>5.3999999999999999E-2</v>
          </cell>
          <cell r="H775">
            <v>119000</v>
          </cell>
        </row>
        <row r="776">
          <cell r="A776" t="str">
            <v>В-02583/КЛ.Транш - 5_В-21082023/Ц</v>
          </cell>
          <cell r="B776" t="str">
            <v>Филатова Юлия Петровна</v>
          </cell>
          <cell r="C776">
            <v>44371</v>
          </cell>
          <cell r="D776">
            <v>60</v>
          </cell>
          <cell r="E776">
            <v>24</v>
          </cell>
          <cell r="F776" t="str">
            <v>60% годовых</v>
          </cell>
          <cell r="G776">
            <v>5.3999999999999999E-2</v>
          </cell>
          <cell r="H776">
            <v>150000</v>
          </cell>
        </row>
        <row r="777">
          <cell r="A777" t="str">
            <v>В-02583/КЛ.Транш - 7_В-21082023/Ц</v>
          </cell>
          <cell r="B777" t="str">
            <v>Филатова Юлия Петровна</v>
          </cell>
          <cell r="C777">
            <v>44407</v>
          </cell>
          <cell r="D777">
            <v>60</v>
          </cell>
          <cell r="E777">
            <v>24</v>
          </cell>
          <cell r="F777" t="str">
            <v>60% годовых</v>
          </cell>
          <cell r="G777">
            <v>5.3999999999999999E-2</v>
          </cell>
          <cell r="H777">
            <v>150000</v>
          </cell>
        </row>
        <row r="778">
          <cell r="A778" t="str">
            <v>В-02583/КЛ.Транш - 6_В-21082023/Ц</v>
          </cell>
          <cell r="B778" t="str">
            <v>Филатова Юлия Петровна</v>
          </cell>
          <cell r="C778">
            <v>44395</v>
          </cell>
          <cell r="D778">
            <v>60</v>
          </cell>
          <cell r="E778">
            <v>24</v>
          </cell>
          <cell r="F778" t="str">
            <v>60% годовых</v>
          </cell>
          <cell r="G778">
            <v>5.3999999999999999E-2</v>
          </cell>
          <cell r="H778">
            <v>150000</v>
          </cell>
        </row>
        <row r="779">
          <cell r="A779" t="str">
            <v>В-02583/КЛ.Транш - 8_В-21082023/Ц</v>
          </cell>
          <cell r="B779" t="str">
            <v>Филатова Юлия Петровна</v>
          </cell>
          <cell r="C779">
            <v>44427</v>
          </cell>
          <cell r="D779">
            <v>60</v>
          </cell>
          <cell r="E779">
            <v>24</v>
          </cell>
          <cell r="F779" t="str">
            <v>70% годовых</v>
          </cell>
          <cell r="G779">
            <v>5.3999999999999999E-2</v>
          </cell>
          <cell r="H779">
            <v>150000</v>
          </cell>
        </row>
        <row r="780">
          <cell r="A780" t="str">
            <v>В-09100/КЛ.Транш - 1_В-21082023/Ц</v>
          </cell>
          <cell r="B780" t="str">
            <v>Фомин Иван Евгеньевич</v>
          </cell>
          <cell r="C780">
            <v>44092</v>
          </cell>
          <cell r="D780">
            <v>50</v>
          </cell>
          <cell r="E780">
            <v>48</v>
          </cell>
          <cell r="F780" t="str">
            <v>50% годовых</v>
          </cell>
          <cell r="G780">
            <v>5.3999999999999999E-2</v>
          </cell>
          <cell r="H780">
            <v>100000</v>
          </cell>
        </row>
        <row r="781">
          <cell r="A781" t="str">
            <v>А-00391/КЭ.Транш - 1</v>
          </cell>
          <cell r="B781" t="str">
            <v>ФОР-Вент ООО</v>
          </cell>
          <cell r="C781"/>
          <cell r="D781">
            <v>65</v>
          </cell>
          <cell r="F781" t="str">
            <v>65% годовых</v>
          </cell>
          <cell r="G781">
            <v>1</v>
          </cell>
          <cell r="H781">
            <v>400000</v>
          </cell>
        </row>
        <row r="782">
          <cell r="A782" t="str">
            <v>В-10010/КЭ.Транш - 1_А-20210929/Ц</v>
          </cell>
          <cell r="B782" t="str">
            <v>ФОРМУЛА КОМФОРТА ООО</v>
          </cell>
          <cell r="C782">
            <v>44176</v>
          </cell>
          <cell r="D782">
            <v>65</v>
          </cell>
          <cell r="E782">
            <v>24</v>
          </cell>
          <cell r="F782" t="str">
            <v>65% годовых</v>
          </cell>
          <cell r="G782">
            <v>1</v>
          </cell>
          <cell r="H782">
            <v>300000</v>
          </cell>
        </row>
        <row r="783">
          <cell r="A783" t="str">
            <v>В-08918/КЛ.Транш - 1_В-20211230/Ц</v>
          </cell>
          <cell r="B783" t="str">
            <v>Фофанов Михаил Михайлович</v>
          </cell>
          <cell r="C783">
            <v>44085</v>
          </cell>
          <cell r="D783">
            <v>73</v>
          </cell>
          <cell r="E783">
            <v>48</v>
          </cell>
          <cell r="F783" t="str">
            <v>73% годовых</v>
          </cell>
          <cell r="G783">
            <v>5.3999999999999999E-2</v>
          </cell>
          <cell r="H783">
            <v>300000</v>
          </cell>
        </row>
        <row r="784">
          <cell r="A784" t="str">
            <v>В-16777/КЛ.Транш - 1_В-20211230/Ц</v>
          </cell>
          <cell r="B784" t="str">
            <v>Фролов Василий Михайлович</v>
          </cell>
          <cell r="C784">
            <v>44299</v>
          </cell>
          <cell r="D784">
            <v>50</v>
          </cell>
          <cell r="E784">
            <v>18</v>
          </cell>
          <cell r="F784" t="str">
            <v>50% годовых</v>
          </cell>
          <cell r="G784">
            <v>5.3999999999999999E-2</v>
          </cell>
          <cell r="H784">
            <v>113636.4</v>
          </cell>
        </row>
        <row r="785">
          <cell r="A785" t="str">
            <v>В-20133/КЛ.Транш - 1_В-21082023/Ц</v>
          </cell>
          <cell r="B785" t="str">
            <v>Фролов Павел Андреевич</v>
          </cell>
          <cell r="C785">
            <v>44384</v>
          </cell>
          <cell r="D785">
            <v>50</v>
          </cell>
          <cell r="E785">
            <v>48</v>
          </cell>
          <cell r="F785" t="str">
            <v>50% годовых</v>
          </cell>
          <cell r="G785">
            <v>5.3999999999999999E-2</v>
          </cell>
          <cell r="H785">
            <v>227272.7</v>
          </cell>
        </row>
        <row r="786">
          <cell r="A786" t="str">
            <v>А-05087/АЗ</v>
          </cell>
          <cell r="B786" t="str">
            <v>Фролов Павел Викторович</v>
          </cell>
          <cell r="C786">
            <v>43522</v>
          </cell>
          <cell r="D786">
            <v>77</v>
          </cell>
          <cell r="E786">
            <v>12</v>
          </cell>
          <cell r="F786" t="str">
            <v>82% годовых</v>
          </cell>
          <cell r="G786">
            <v>5.3999999999999999E-2</v>
          </cell>
          <cell r="H786">
            <v>340000</v>
          </cell>
        </row>
        <row r="787">
          <cell r="A787" t="str">
            <v>В-12741/КЛ.Транш - 1_В-21082023/Ц</v>
          </cell>
          <cell r="B787" t="str">
            <v>Фролов Сергей Владимирович</v>
          </cell>
          <cell r="C787">
            <v>44184</v>
          </cell>
          <cell r="D787">
            <v>50</v>
          </cell>
          <cell r="E787">
            <v>48</v>
          </cell>
          <cell r="F787" t="str">
            <v>50% годовых</v>
          </cell>
          <cell r="G787">
            <v>5.3999999999999999E-2</v>
          </cell>
          <cell r="H787">
            <v>250000</v>
          </cell>
        </row>
        <row r="788">
          <cell r="A788" t="str">
            <v>В-14816/КЛ.Транш - 1_В-21082023/Ц</v>
          </cell>
          <cell r="B788" t="str">
            <v>Хадиев Фанис Рафисович</v>
          </cell>
          <cell r="C788">
            <v>44248</v>
          </cell>
          <cell r="D788">
            <v>74</v>
          </cell>
          <cell r="E788">
            <v>48</v>
          </cell>
          <cell r="F788" t="str">
            <v>74% годовых</v>
          </cell>
          <cell r="G788">
            <v>5.3999999999999999E-2</v>
          </cell>
          <cell r="H788">
            <v>200000</v>
          </cell>
        </row>
        <row r="789">
          <cell r="A789" t="str">
            <v>В-05401/КЛ.Транш - 1_В-21082023/Ц</v>
          </cell>
          <cell r="B789" t="str">
            <v>Ханукаев Михаил Гавриилович</v>
          </cell>
          <cell r="C789">
            <v>43958</v>
          </cell>
          <cell r="D789">
            <v>73</v>
          </cell>
          <cell r="E789">
            <v>12</v>
          </cell>
          <cell r="F789" t="str">
            <v>73% годовых</v>
          </cell>
          <cell r="G789">
            <v>5.3999999999999999E-2</v>
          </cell>
          <cell r="H789">
            <v>1000000</v>
          </cell>
        </row>
        <row r="790">
          <cell r="A790" t="str">
            <v>В-02376/КЛ.Транш - 1_В-21082023/Ц</v>
          </cell>
          <cell r="B790" t="str">
            <v>Харитонов Александр Васильевич</v>
          </cell>
          <cell r="C790">
            <v>43829</v>
          </cell>
          <cell r="D790">
            <v>66</v>
          </cell>
          <cell r="E790">
            <v>12</v>
          </cell>
          <cell r="F790" t="str">
            <v>66% годовых</v>
          </cell>
          <cell r="G790">
            <v>5.3999999999999999E-2</v>
          </cell>
          <cell r="H790">
            <v>300000</v>
          </cell>
        </row>
        <row r="791">
          <cell r="A791" t="str">
            <v>В-13235/КЛ.Транш - 1_В-21082023/Ц</v>
          </cell>
          <cell r="B791" t="str">
            <v>Харитонова Ирина Александровна</v>
          </cell>
          <cell r="C791">
            <v>44194</v>
          </cell>
          <cell r="D791">
            <v>80</v>
          </cell>
          <cell r="E791">
            <v>48</v>
          </cell>
          <cell r="F791" t="str">
            <v>80% годовых</v>
          </cell>
          <cell r="G791">
            <v>5.3999999999999999E-2</v>
          </cell>
          <cell r="H791">
            <v>100000</v>
          </cell>
        </row>
        <row r="792">
          <cell r="A792" t="str">
            <v>В-00763/КЛ.Транш - 1_В-21082023/Ц</v>
          </cell>
          <cell r="B792" t="str">
            <v>Харламов Артем Сергеевич</v>
          </cell>
          <cell r="C792">
            <v>43747</v>
          </cell>
          <cell r="D792">
            <v>84</v>
          </cell>
          <cell r="E792">
            <v>36</v>
          </cell>
          <cell r="F792" t="str">
            <v>84% годовых</v>
          </cell>
          <cell r="G792">
            <v>5.3999999999999999E-2</v>
          </cell>
          <cell r="H792">
            <v>210000</v>
          </cell>
        </row>
        <row r="793">
          <cell r="A793" t="str">
            <v>В-17153/КЛ.Транш - 1_В-20211230/Ц</v>
          </cell>
          <cell r="B793" t="str">
            <v>Хасанов Жасур Абдурашидович</v>
          </cell>
          <cell r="C793">
            <v>44331</v>
          </cell>
          <cell r="D793">
            <v>81</v>
          </cell>
          <cell r="E793">
            <v>12</v>
          </cell>
          <cell r="F793" t="str">
            <v>81% годовых</v>
          </cell>
          <cell r="G793">
            <v>5.3999999999999999E-2</v>
          </cell>
          <cell r="H793">
            <v>150000</v>
          </cell>
        </row>
        <row r="794">
          <cell r="A794" t="str">
            <v>В-17153/КЛ.Транш - 2_В-20211230/Ц</v>
          </cell>
          <cell r="B794" t="str">
            <v>Хасанов Жасур Абдурашидович</v>
          </cell>
          <cell r="C794">
            <v>44338</v>
          </cell>
          <cell r="D794">
            <v>81</v>
          </cell>
          <cell r="E794">
            <v>12</v>
          </cell>
          <cell r="F794" t="str">
            <v>81% годовых</v>
          </cell>
          <cell r="G794">
            <v>5.3999999999999999E-2</v>
          </cell>
          <cell r="H794">
            <v>140000</v>
          </cell>
        </row>
        <row r="795">
          <cell r="A795" t="str">
            <v>В-00467/АЗ_В-20211230/Ц</v>
          </cell>
          <cell r="B795" t="str">
            <v>Хасанханов Абдул Юсупович</v>
          </cell>
          <cell r="C795">
            <v>43700</v>
          </cell>
          <cell r="D795">
            <v>84</v>
          </cell>
          <cell r="E795">
            <v>12</v>
          </cell>
          <cell r="F795" t="str">
            <v>84% годовых</v>
          </cell>
          <cell r="G795">
            <v>5.3999999999999999E-2</v>
          </cell>
          <cell r="H795">
            <v>700000</v>
          </cell>
        </row>
        <row r="796">
          <cell r="A796" t="str">
            <v>В-28872/КЛ.Транш - 1_В-20211230/Ц</v>
          </cell>
          <cell r="B796" t="str">
            <v>Хачатрян Лаврент Юрикович</v>
          </cell>
          <cell r="C796">
            <v>44621</v>
          </cell>
          <cell r="D796">
            <v>84</v>
          </cell>
          <cell r="E796">
            <v>24</v>
          </cell>
          <cell r="F796" t="str">
            <v>84% годовых</v>
          </cell>
          <cell r="G796">
            <v>5.3999999999999999E-2</v>
          </cell>
          <cell r="H796">
            <v>812000</v>
          </cell>
        </row>
        <row r="797">
          <cell r="A797" t="str">
            <v>В-12066/КЛ.Транш - 1_В-21082023/Ц</v>
          </cell>
          <cell r="B797" t="str">
            <v>Хачатрян Хачик Норайрович</v>
          </cell>
          <cell r="C797">
            <v>44172</v>
          </cell>
          <cell r="D797">
            <v>80</v>
          </cell>
          <cell r="E797">
            <v>12</v>
          </cell>
          <cell r="F797" t="str">
            <v>0% годовых</v>
          </cell>
          <cell r="G797">
            <v>5.3999999999999999E-2</v>
          </cell>
          <cell r="H797">
            <v>120000</v>
          </cell>
        </row>
        <row r="798">
          <cell r="A798" t="str">
            <v>В-17075/КЛ.Транш - 1_В-20211230/Ц</v>
          </cell>
          <cell r="B798" t="str">
            <v>Хашимов Далерджон Темурович</v>
          </cell>
          <cell r="C798">
            <v>44307</v>
          </cell>
          <cell r="D798">
            <v>50</v>
          </cell>
          <cell r="E798">
            <v>36</v>
          </cell>
          <cell r="F798" t="str">
            <v>50% годовых</v>
          </cell>
          <cell r="G798">
            <v>5.3999999999999999E-2</v>
          </cell>
          <cell r="H798">
            <v>511363.6</v>
          </cell>
        </row>
        <row r="799">
          <cell r="A799" t="str">
            <v>В-14430/КЛ.Транш - 2_В-21082023/Ц</v>
          </cell>
          <cell r="B799" t="str">
            <v>Хечоян Владимир Левонович</v>
          </cell>
          <cell r="C799">
            <v>44599</v>
          </cell>
          <cell r="D799">
            <v>74</v>
          </cell>
          <cell r="E799">
            <v>24</v>
          </cell>
          <cell r="F799" t="str">
            <v>74% годовых</v>
          </cell>
          <cell r="G799">
            <v>5.3999999999999999E-2</v>
          </cell>
          <cell r="H799">
            <v>300000</v>
          </cell>
        </row>
        <row r="800">
          <cell r="A800" t="str">
            <v>В-16057/КЛ.Транш - 6_В-21082023/Ц</v>
          </cell>
          <cell r="B800" t="str">
            <v>Хлебников Владимир Витальевич</v>
          </cell>
          <cell r="C800">
            <v>44558</v>
          </cell>
          <cell r="D800">
            <v>50</v>
          </cell>
          <cell r="E800">
            <v>36</v>
          </cell>
          <cell r="F800" t="str">
            <v>50% годовых</v>
          </cell>
          <cell r="G800">
            <v>5.3999999999999999E-2</v>
          </cell>
          <cell r="H800">
            <v>500000</v>
          </cell>
        </row>
        <row r="801">
          <cell r="A801" t="str">
            <v>В-27105/КЛ.Транш - 1_В-20211230/Ц</v>
          </cell>
          <cell r="B801" t="str">
            <v>Холодков Денис Владимирович</v>
          </cell>
          <cell r="C801">
            <v>44573</v>
          </cell>
          <cell r="D801">
            <v>64</v>
          </cell>
          <cell r="E801">
            <v>48</v>
          </cell>
          <cell r="F801" t="str">
            <v>64% годовых</v>
          </cell>
          <cell r="G801">
            <v>5.3999999999999999E-2</v>
          </cell>
          <cell r="H801">
            <v>454546</v>
          </cell>
        </row>
        <row r="802">
          <cell r="A802" t="str">
            <v>В-10474/КЛ.Транш - 6_В-21082023/Ц</v>
          </cell>
          <cell r="B802" t="str">
            <v>Хоминец Владимир Владимирович</v>
          </cell>
          <cell r="C802">
            <v>44292</v>
          </cell>
          <cell r="D802">
            <v>60</v>
          </cell>
          <cell r="E802">
            <v>48</v>
          </cell>
          <cell r="F802" t="str">
            <v>60% годовых</v>
          </cell>
          <cell r="G802">
            <v>5.3999999999999999E-2</v>
          </cell>
          <cell r="H802">
            <v>100000</v>
          </cell>
        </row>
        <row r="803">
          <cell r="A803" t="str">
            <v>В-10474/КЛ.Транш - 5_В-21082023/Ц</v>
          </cell>
          <cell r="B803" t="str">
            <v>Хоминец Владимир Владимирович</v>
          </cell>
          <cell r="C803">
            <v>44288</v>
          </cell>
          <cell r="D803">
            <v>60</v>
          </cell>
          <cell r="E803">
            <v>48</v>
          </cell>
          <cell r="F803" t="str">
            <v>60% годовых</v>
          </cell>
          <cell r="G803">
            <v>5.3999999999999999E-2</v>
          </cell>
          <cell r="H803">
            <v>250000</v>
          </cell>
        </row>
        <row r="804">
          <cell r="A804" t="str">
            <v>В-10474/КЛ.Транш - 4_В-21082023/Ц</v>
          </cell>
          <cell r="B804" t="str">
            <v>Хоминец Владимир Владимирович</v>
          </cell>
          <cell r="C804">
            <v>44267</v>
          </cell>
          <cell r="D804">
            <v>60</v>
          </cell>
          <cell r="E804">
            <v>48</v>
          </cell>
          <cell r="F804" t="str">
            <v>60% годовых</v>
          </cell>
          <cell r="G804">
            <v>5.3999999999999999E-2</v>
          </cell>
          <cell r="H804">
            <v>300000</v>
          </cell>
        </row>
        <row r="805">
          <cell r="A805" t="str">
            <v>В-10474/КЛ.Транш - 3_В-21082023/Ц</v>
          </cell>
          <cell r="B805" t="str">
            <v>Хоминец Владимир Владимирович</v>
          </cell>
          <cell r="C805">
            <v>44289</v>
          </cell>
          <cell r="D805">
            <v>74</v>
          </cell>
          <cell r="E805">
            <v>48</v>
          </cell>
          <cell r="F805" t="str">
            <v>74% годовых</v>
          </cell>
          <cell r="G805">
            <v>5.3999999999999999E-2</v>
          </cell>
          <cell r="H805">
            <v>337000</v>
          </cell>
        </row>
        <row r="806">
          <cell r="A806" t="str">
            <v>В-00249/АЗ_В-21082023/Ц</v>
          </cell>
          <cell r="B806" t="str">
            <v>Хотенова Елена Витальевна</v>
          </cell>
          <cell r="C806">
            <v>43634</v>
          </cell>
          <cell r="D806">
            <v>84</v>
          </cell>
          <cell r="E806">
            <v>36</v>
          </cell>
          <cell r="F806" t="str">
            <v>84% годовых</v>
          </cell>
          <cell r="G806">
            <v>5.3999999999999999E-2</v>
          </cell>
          <cell r="H806">
            <v>595000</v>
          </cell>
        </row>
        <row r="807">
          <cell r="A807" t="str">
            <v>В-22833/КЛ.Транш - 1_В-20211230/Ц</v>
          </cell>
          <cell r="B807" t="str">
            <v>Хохлова Ирина Игоревна</v>
          </cell>
          <cell r="C807">
            <v>44460</v>
          </cell>
          <cell r="D807">
            <v>88</v>
          </cell>
          <cell r="E807">
            <v>24</v>
          </cell>
          <cell r="F807" t="str">
            <v>88% годовых</v>
          </cell>
          <cell r="G807">
            <v>5.3999999999999999E-2</v>
          </cell>
          <cell r="H807">
            <v>300000</v>
          </cell>
        </row>
        <row r="808">
          <cell r="A808" t="str">
            <v>А-04617/АЗ</v>
          </cell>
          <cell r="B808" t="str">
            <v>Храмов Антон Иванович</v>
          </cell>
          <cell r="C808">
            <v>43396</v>
          </cell>
          <cell r="D808">
            <v>88</v>
          </cell>
          <cell r="E808">
            <v>24</v>
          </cell>
          <cell r="F808" t="str">
            <v>88% годовых</v>
          </cell>
          <cell r="G808">
            <v>5.3999999999999999E-2</v>
          </cell>
          <cell r="H808">
            <v>100000</v>
          </cell>
        </row>
        <row r="809">
          <cell r="A809" t="str">
            <v>В-26093/КЛ.Транш - 1_В-20211230/Ц</v>
          </cell>
          <cell r="B809" t="str">
            <v>Храмцова Дарья Юрьевна</v>
          </cell>
          <cell r="C809">
            <v>44550</v>
          </cell>
          <cell r="D809">
            <v>64</v>
          </cell>
          <cell r="E809">
            <v>48</v>
          </cell>
          <cell r="F809" t="str">
            <v>64% годовых</v>
          </cell>
          <cell r="G809">
            <v>5.3999999999999999E-2</v>
          </cell>
          <cell r="H809">
            <v>593182</v>
          </cell>
        </row>
        <row r="810">
          <cell r="A810" t="str">
            <v>В-18569/КЛ.Транш - 1_В-20211230/Ц</v>
          </cell>
          <cell r="B810" t="str">
            <v>Хулхачиев Очир Васильевич</v>
          </cell>
          <cell r="C810">
            <v>44346</v>
          </cell>
          <cell r="D810">
            <v>50</v>
          </cell>
          <cell r="E810">
            <v>36</v>
          </cell>
          <cell r="F810" t="str">
            <v>50% годовых</v>
          </cell>
          <cell r="G810">
            <v>5.3999999999999999E-2</v>
          </cell>
          <cell r="H810">
            <v>113636.4</v>
          </cell>
        </row>
        <row r="811">
          <cell r="A811" t="str">
            <v>В-12427/КЛ.Транш - 2_В-21082023/Ц</v>
          </cell>
          <cell r="B811" t="str">
            <v>Хуртов Сергей Георгиевич</v>
          </cell>
          <cell r="C811">
            <v>44510</v>
          </cell>
          <cell r="D811">
            <v>80</v>
          </cell>
          <cell r="E811">
            <v>12</v>
          </cell>
          <cell r="F811" t="str">
            <v>80% годовых</v>
          </cell>
          <cell r="G811">
            <v>5.3999999999999999E-2</v>
          </cell>
          <cell r="H811">
            <v>200000</v>
          </cell>
        </row>
        <row r="812">
          <cell r="A812" t="str">
            <v>В-12427/КЛ.Транш - 3_В-21082023/Ц</v>
          </cell>
          <cell r="B812" t="str">
            <v>Хуртов Сергей Георгиевич</v>
          </cell>
          <cell r="C812">
            <v>44547</v>
          </cell>
          <cell r="D812">
            <v>50</v>
          </cell>
          <cell r="E812">
            <v>23</v>
          </cell>
          <cell r="F812" t="str">
            <v>55% годовых</v>
          </cell>
          <cell r="G812">
            <v>5.3999999999999999E-2</v>
          </cell>
          <cell r="H812">
            <v>100000</v>
          </cell>
        </row>
        <row r="813">
          <cell r="A813" t="str">
            <v>В-12427/КЛ.Транш - 1_В-21082023/Ц</v>
          </cell>
          <cell r="B813" t="str">
            <v>Хуртов Сергей Георгиевич</v>
          </cell>
          <cell r="C813">
            <v>44180</v>
          </cell>
          <cell r="D813">
            <v>80</v>
          </cell>
          <cell r="E813">
            <v>12</v>
          </cell>
          <cell r="F813" t="str">
            <v>80% годовых</v>
          </cell>
          <cell r="G813">
            <v>5.3999999999999999E-2</v>
          </cell>
          <cell r="H813">
            <v>250000</v>
          </cell>
        </row>
        <row r="814">
          <cell r="A814" t="str">
            <v>В-13051/КЛ.Транш - 1_В-20211230/Ц</v>
          </cell>
          <cell r="B814" t="str">
            <v>Царев Кирилл Сергеевич</v>
          </cell>
          <cell r="C814">
            <v>44190</v>
          </cell>
          <cell r="D814">
            <v>50</v>
          </cell>
          <cell r="E814">
            <v>24</v>
          </cell>
          <cell r="F814" t="str">
            <v>50% годовых</v>
          </cell>
          <cell r="G814">
            <v>5.3999999999999999E-2</v>
          </cell>
          <cell r="H814">
            <v>130000</v>
          </cell>
        </row>
        <row r="815">
          <cell r="A815" t="str">
            <v>В-18851/КЛ.Транш - 1_В-21082023/Ц</v>
          </cell>
          <cell r="B815" t="str">
            <v>Царьков Павел Игоревич</v>
          </cell>
          <cell r="C815">
            <v>44352</v>
          </cell>
          <cell r="D815">
            <v>50</v>
          </cell>
          <cell r="E815">
            <v>24</v>
          </cell>
          <cell r="F815" t="str">
            <v>50% годовых</v>
          </cell>
          <cell r="G815">
            <v>5.3999999999999999E-2</v>
          </cell>
          <cell r="H815">
            <v>113636.4</v>
          </cell>
        </row>
        <row r="816">
          <cell r="A816" t="str">
            <v>В-18008/КЛ.Транш - 1_В-21082023/Ц</v>
          </cell>
          <cell r="B816" t="str">
            <v>Цикишев Сергей Николаевич</v>
          </cell>
          <cell r="C816">
            <v>44332</v>
          </cell>
          <cell r="D816">
            <v>50</v>
          </cell>
          <cell r="E816">
            <v>48</v>
          </cell>
          <cell r="F816" t="str">
            <v>50% годовых</v>
          </cell>
          <cell r="G816">
            <v>5.3999999999999999E-2</v>
          </cell>
          <cell r="H816">
            <v>125000</v>
          </cell>
        </row>
        <row r="817">
          <cell r="A817" t="str">
            <v>В-14216/КЛ.Транш - 2_В-21082023/Ц</v>
          </cell>
          <cell r="B817" t="str">
            <v>Ципис Вадим Яковлевич</v>
          </cell>
          <cell r="C817">
            <v>44273</v>
          </cell>
          <cell r="D817">
            <v>67</v>
          </cell>
          <cell r="E817">
            <v>48</v>
          </cell>
          <cell r="F817" t="str">
            <v>67% годовых</v>
          </cell>
          <cell r="G817">
            <v>5.3999999999999999E-2</v>
          </cell>
          <cell r="H817">
            <v>100000</v>
          </cell>
        </row>
        <row r="818">
          <cell r="A818" t="str">
            <v>В-14216/КЛ.Транш - 3_В-21082023/Ц</v>
          </cell>
          <cell r="B818" t="str">
            <v>Ципис Вадим Яковлевич</v>
          </cell>
          <cell r="C818">
            <v>44310</v>
          </cell>
          <cell r="D818">
            <v>74</v>
          </cell>
          <cell r="E818">
            <v>48</v>
          </cell>
          <cell r="F818" t="str">
            <v>74% годовых</v>
          </cell>
          <cell r="G818">
            <v>5.3999999999999999E-2</v>
          </cell>
          <cell r="H818">
            <v>100000</v>
          </cell>
        </row>
        <row r="819">
          <cell r="A819" t="str">
            <v>В-14216/КЛ.Транш - 1_В-21082023/Ц</v>
          </cell>
          <cell r="B819" t="str">
            <v>Ципис Вадим Яковлевич</v>
          </cell>
          <cell r="C819">
            <v>44230</v>
          </cell>
          <cell r="D819">
            <v>67</v>
          </cell>
          <cell r="E819">
            <v>36</v>
          </cell>
          <cell r="F819" t="str">
            <v>67% годовых</v>
          </cell>
          <cell r="G819">
            <v>5.3999999999999999E-2</v>
          </cell>
          <cell r="H819">
            <v>150000</v>
          </cell>
        </row>
        <row r="820">
          <cell r="A820" t="str">
            <v>В-14216/КЛ.Транш - 4_В-21082023/Ц</v>
          </cell>
          <cell r="B820" t="str">
            <v>Ципис Вадим Яковлевич</v>
          </cell>
          <cell r="C820">
            <v>44398</v>
          </cell>
          <cell r="D820">
            <v>74</v>
          </cell>
          <cell r="E820">
            <v>48</v>
          </cell>
          <cell r="F820" t="str">
            <v>74% годовых</v>
          </cell>
          <cell r="G820">
            <v>5.3999999999999999E-2</v>
          </cell>
          <cell r="H820">
            <v>100000</v>
          </cell>
        </row>
        <row r="821">
          <cell r="A821" t="str">
            <v>В-22979/КЛ.Транш - 1_В-21082023/Ц</v>
          </cell>
          <cell r="B821" t="str">
            <v>Цирамуа Наталия Наполеоновна</v>
          </cell>
          <cell r="C821">
            <v>44464</v>
          </cell>
          <cell r="D821">
            <v>64</v>
          </cell>
          <cell r="E821">
            <v>48</v>
          </cell>
          <cell r="F821" t="str">
            <v>64% годовых</v>
          </cell>
          <cell r="G821">
            <v>5.3999999999999999E-2</v>
          </cell>
          <cell r="H821">
            <v>340909.1</v>
          </cell>
        </row>
        <row r="822">
          <cell r="A822" t="str">
            <v>В-01345/КЛ.Транш - 1_В-20211230/Ц</v>
          </cell>
          <cell r="B822" t="str">
            <v>Циркунова Юлия Владимировна</v>
          </cell>
          <cell r="C822">
            <v>43796</v>
          </cell>
          <cell r="D822">
            <v>77</v>
          </cell>
          <cell r="E822">
            <v>12</v>
          </cell>
          <cell r="F822" t="str">
            <v>77% годовых</v>
          </cell>
          <cell r="G822">
            <v>5.3999999999999999E-2</v>
          </cell>
          <cell r="H822">
            <v>100000</v>
          </cell>
        </row>
        <row r="823">
          <cell r="A823" t="str">
            <v>В-17030/КЛ.Транш - 1_В-21082023/Ц</v>
          </cell>
          <cell r="B823" t="str">
            <v>Цуриков Яков Владимирович</v>
          </cell>
          <cell r="C823">
            <v>44305</v>
          </cell>
          <cell r="D823">
            <v>81</v>
          </cell>
          <cell r="E823">
            <v>12</v>
          </cell>
          <cell r="F823" t="str">
            <v>81% годовых</v>
          </cell>
          <cell r="G823">
            <v>5.3999999999999999E-2</v>
          </cell>
          <cell r="H823">
            <v>105000</v>
          </cell>
        </row>
        <row r="824">
          <cell r="A824" t="str">
            <v>В-12279/КЛ.Транш - 1_В-20211230/Ц</v>
          </cell>
          <cell r="B824" t="str">
            <v>Чащин Александр Станиславович</v>
          </cell>
          <cell r="C824">
            <v>44177</v>
          </cell>
          <cell r="D824">
            <v>50</v>
          </cell>
          <cell r="E824">
            <v>36</v>
          </cell>
          <cell r="F824" t="str">
            <v>50% годовых</v>
          </cell>
          <cell r="G824">
            <v>5.3999999999999999E-2</v>
          </cell>
          <cell r="H824">
            <v>150000</v>
          </cell>
        </row>
        <row r="825">
          <cell r="A825" t="str">
            <v>В-10039/КЛ.Транш - 1_В-20211230/Ц</v>
          </cell>
          <cell r="B825" t="str">
            <v>Чеботкова Полина Михайловна</v>
          </cell>
          <cell r="C825">
            <v>44114</v>
          </cell>
          <cell r="D825">
            <v>80</v>
          </cell>
          <cell r="E825">
            <v>48</v>
          </cell>
          <cell r="F825" t="str">
            <v>80% годовых</v>
          </cell>
          <cell r="G825">
            <v>5.3999999999999999E-2</v>
          </cell>
          <cell r="H825">
            <v>600000</v>
          </cell>
        </row>
        <row r="826">
          <cell r="A826" t="str">
            <v>В-10039/КЛ.Транш - 2_В-20211230/Ц</v>
          </cell>
          <cell r="B826" t="str">
            <v>Чеботкова Полина Михайловна</v>
          </cell>
          <cell r="C826">
            <v>44179</v>
          </cell>
          <cell r="D826">
            <v>87</v>
          </cell>
          <cell r="E826">
            <v>36</v>
          </cell>
          <cell r="F826" t="str">
            <v>87% годовых</v>
          </cell>
          <cell r="G826">
            <v>5.3999999999999999E-2</v>
          </cell>
          <cell r="H826">
            <v>200000</v>
          </cell>
        </row>
        <row r="827">
          <cell r="A827" t="str">
            <v>В-27914/КЛ.Транш - 1_В-21082023/Ц</v>
          </cell>
          <cell r="B827" t="str">
            <v>Чепрасова Галина Александровна</v>
          </cell>
          <cell r="C827">
            <v>44596</v>
          </cell>
          <cell r="D827">
            <v>64</v>
          </cell>
          <cell r="E827">
            <v>48</v>
          </cell>
          <cell r="F827" t="str">
            <v>64% годовых</v>
          </cell>
          <cell r="G827">
            <v>5.3999999999999999E-2</v>
          </cell>
          <cell r="H827">
            <v>170455</v>
          </cell>
        </row>
        <row r="828">
          <cell r="A828" t="str">
            <v>В-00982/АЗ_В-21082023/Ц</v>
          </cell>
          <cell r="B828" t="str">
            <v>Черников Сергей Сергеевич</v>
          </cell>
          <cell r="C828">
            <v>44064</v>
          </cell>
          <cell r="D828">
            <v>66</v>
          </cell>
          <cell r="E828">
            <v>48</v>
          </cell>
          <cell r="F828" t="str">
            <v>66% годовых</v>
          </cell>
          <cell r="G828">
            <v>5.3999999999999999E-2</v>
          </cell>
          <cell r="H828">
            <v>450000</v>
          </cell>
        </row>
        <row r="829">
          <cell r="A829" t="str">
            <v>В-03631/КЛ.Транш - 1_В-21082023/Ц</v>
          </cell>
          <cell r="B829" t="str">
            <v>Чернышова Татьяна Николаевна</v>
          </cell>
          <cell r="C829">
            <v>43880</v>
          </cell>
          <cell r="D829">
            <v>73</v>
          </cell>
          <cell r="E829">
            <v>36</v>
          </cell>
          <cell r="F829" t="str">
            <v>73% годовых</v>
          </cell>
          <cell r="G829">
            <v>5.3999999999999999E-2</v>
          </cell>
          <cell r="H829">
            <v>200000</v>
          </cell>
        </row>
        <row r="830">
          <cell r="A830" t="str">
            <v>В-00243/АЗ_Т-20211028/Ц</v>
          </cell>
          <cell r="B830" t="str">
            <v>Четверикова Ирина Алексеевна</v>
          </cell>
          <cell r="C830">
            <v>43633</v>
          </cell>
          <cell r="D830">
            <v>84</v>
          </cell>
          <cell r="E830">
            <v>12</v>
          </cell>
          <cell r="F830" t="str">
            <v>84% годовых</v>
          </cell>
          <cell r="G830">
            <v>5.3999999999999999E-2</v>
          </cell>
          <cell r="H830">
            <v>1000000</v>
          </cell>
        </row>
        <row r="831">
          <cell r="A831" t="str">
            <v>А-05335/АЗ_Т-20211028/Ц</v>
          </cell>
          <cell r="B831" t="str">
            <v>Четверикова Ирина Алексеевна</v>
          </cell>
          <cell r="C831">
            <v>43633</v>
          </cell>
          <cell r="D831">
            <v>84</v>
          </cell>
          <cell r="E831">
            <v>12</v>
          </cell>
          <cell r="F831" t="str">
            <v>84% годовых</v>
          </cell>
          <cell r="G831">
            <v>5.3999999999999999E-2</v>
          </cell>
          <cell r="H831">
            <v>260000</v>
          </cell>
        </row>
        <row r="832">
          <cell r="A832" t="str">
            <v>В-02500/КЛ.Транш - 1_В-21082023/Ц</v>
          </cell>
          <cell r="B832" t="str">
            <v>Четырина Марина Юрьевна</v>
          </cell>
          <cell r="C832">
            <v>43839</v>
          </cell>
          <cell r="D832">
            <v>66</v>
          </cell>
          <cell r="E832">
            <v>12</v>
          </cell>
          <cell r="F832" t="str">
            <v>66% годовых</v>
          </cell>
          <cell r="G832">
            <v>5.3999999999999999E-2</v>
          </cell>
          <cell r="H832">
            <v>250000</v>
          </cell>
        </row>
        <row r="833">
          <cell r="A833" t="str">
            <v>В-00918/АЗ_В-21082023/Ц</v>
          </cell>
          <cell r="B833" t="str">
            <v>Чикунов Дмитрий Александрович</v>
          </cell>
          <cell r="C833">
            <v>43909</v>
          </cell>
          <cell r="D833">
            <v>77</v>
          </cell>
          <cell r="E833">
            <v>36</v>
          </cell>
          <cell r="F833" t="str">
            <v>77% годовых</v>
          </cell>
          <cell r="G833">
            <v>5.3999999999999999E-2</v>
          </cell>
          <cell r="H833">
            <v>310000</v>
          </cell>
        </row>
        <row r="834">
          <cell r="A834" t="str">
            <v>В-01039/АЗ_В-21082023/Ц</v>
          </cell>
          <cell r="B834" t="str">
            <v>Члоян Геворк Мамбреович</v>
          </cell>
          <cell r="C834">
            <v>44147</v>
          </cell>
          <cell r="D834">
            <v>80</v>
          </cell>
          <cell r="E834">
            <v>48</v>
          </cell>
          <cell r="F834" t="str">
            <v>80% годовых</v>
          </cell>
          <cell r="G834">
            <v>5.3999999999999999E-2</v>
          </cell>
          <cell r="H834">
            <v>1000000</v>
          </cell>
        </row>
        <row r="835">
          <cell r="A835" t="str">
            <v>В-00865/АЗ_В-21082023/Ц</v>
          </cell>
          <cell r="B835" t="str">
            <v>Чокуев Жаркынбек Калыбекович</v>
          </cell>
          <cell r="C835">
            <v>43868</v>
          </cell>
          <cell r="D835">
            <v>87</v>
          </cell>
          <cell r="E835">
            <v>12</v>
          </cell>
          <cell r="F835" t="str">
            <v>87% годовых</v>
          </cell>
          <cell r="G835">
            <v>5.3999999999999999E-2</v>
          </cell>
          <cell r="H835">
            <v>250000</v>
          </cell>
        </row>
        <row r="836">
          <cell r="A836" t="str">
            <v>В-01016/АЗ</v>
          </cell>
          <cell r="B836" t="str">
            <v>Чурилов Максим Юрьевич</v>
          </cell>
          <cell r="C836">
            <v>44124</v>
          </cell>
          <cell r="D836">
            <v>66</v>
          </cell>
          <cell r="E836">
            <v>12</v>
          </cell>
          <cell r="F836" t="str">
            <v>66% годовых</v>
          </cell>
          <cell r="G836">
            <v>5.3999999999999999E-2</v>
          </cell>
          <cell r="H836">
            <v>100000</v>
          </cell>
        </row>
        <row r="837">
          <cell r="A837" t="str">
            <v>В-20635/КЛ.Транш - 1_В-20211230/Ц</v>
          </cell>
          <cell r="B837" t="str">
            <v>Чурсинов Ярослав Александрович</v>
          </cell>
          <cell r="C837">
            <v>44396</v>
          </cell>
          <cell r="D837">
            <v>81</v>
          </cell>
          <cell r="E837">
            <v>12</v>
          </cell>
          <cell r="F837" t="str">
            <v>81% годовых</v>
          </cell>
          <cell r="G837">
            <v>5.3999999999999999E-2</v>
          </cell>
          <cell r="H837">
            <v>100000</v>
          </cell>
        </row>
        <row r="838">
          <cell r="A838" t="str">
            <v>В-08626/КЛ.Транш - 1_В-21082023/Ц</v>
          </cell>
          <cell r="B838" t="str">
            <v>Чучаев Адам Аптиевич</v>
          </cell>
          <cell r="C838">
            <v>44077</v>
          </cell>
          <cell r="D838">
            <v>73</v>
          </cell>
          <cell r="E838">
            <v>48</v>
          </cell>
          <cell r="F838" t="str">
            <v>73% годовых</v>
          </cell>
          <cell r="G838">
            <v>5.3999999999999999E-2</v>
          </cell>
          <cell r="H838">
            <v>200000</v>
          </cell>
        </row>
        <row r="839">
          <cell r="A839" t="str">
            <v>В-27929/КЛ.Транш - 1_В-21082023/Ц</v>
          </cell>
          <cell r="B839" t="str">
            <v>Шаламова Татьяна Андреевна</v>
          </cell>
          <cell r="C839">
            <v>44596</v>
          </cell>
          <cell r="D839">
            <v>64</v>
          </cell>
          <cell r="E839">
            <v>48</v>
          </cell>
          <cell r="F839" t="str">
            <v>64% годовых</v>
          </cell>
          <cell r="G839">
            <v>5.3999999999999999E-2</v>
          </cell>
          <cell r="H839">
            <v>170455</v>
          </cell>
        </row>
        <row r="840">
          <cell r="A840" t="str">
            <v>В-23776/КЛ.Транш - 1_В-21082023/Ц</v>
          </cell>
          <cell r="B840" t="str">
            <v>Шалдыбин Данил Геннадьевич</v>
          </cell>
          <cell r="C840">
            <v>44486</v>
          </cell>
          <cell r="D840">
            <v>88</v>
          </cell>
          <cell r="E840">
            <v>48</v>
          </cell>
          <cell r="F840" t="str">
            <v>88% годовых</v>
          </cell>
          <cell r="G840">
            <v>5.3999999999999999E-2</v>
          </cell>
          <cell r="H840">
            <v>300000</v>
          </cell>
        </row>
        <row r="841">
          <cell r="A841" t="str">
            <v>В-06345/КЛ.Транш - 1_В-21082023/Ц</v>
          </cell>
          <cell r="B841" t="str">
            <v>Шаулов Шаул Рамбомович</v>
          </cell>
          <cell r="C841">
            <v>44058</v>
          </cell>
          <cell r="D841">
            <v>50</v>
          </cell>
          <cell r="E841">
            <v>48</v>
          </cell>
          <cell r="F841" t="str">
            <v>50% годовых</v>
          </cell>
          <cell r="G841">
            <v>5.3999999999999999E-2</v>
          </cell>
          <cell r="H841">
            <v>220000</v>
          </cell>
        </row>
        <row r="842">
          <cell r="A842" t="str">
            <v>А-04593/АЗ</v>
          </cell>
          <cell r="B842" t="str">
            <v>Шахбазян Овсеп Сурикович</v>
          </cell>
          <cell r="C842">
            <v>43390</v>
          </cell>
          <cell r="D842">
            <v>88</v>
          </cell>
          <cell r="E842">
            <v>12</v>
          </cell>
          <cell r="F842" t="str">
            <v>88% годовых</v>
          </cell>
          <cell r="G842">
            <v>5.3999999999999999E-2</v>
          </cell>
          <cell r="H842">
            <v>100000</v>
          </cell>
        </row>
        <row r="843">
          <cell r="A843" t="str">
            <v>В-06035/КЛ.Транш - 1_В-20211230/Ц</v>
          </cell>
          <cell r="B843" t="str">
            <v>Шашков Константин Вячеславович</v>
          </cell>
          <cell r="C843">
            <v>44009</v>
          </cell>
          <cell r="D843">
            <v>73</v>
          </cell>
          <cell r="E843">
            <v>36</v>
          </cell>
          <cell r="F843" t="str">
            <v>78% годовых</v>
          </cell>
          <cell r="G843">
            <v>5.3999999999999999E-2</v>
          </cell>
          <cell r="H843">
            <v>200000</v>
          </cell>
        </row>
        <row r="844">
          <cell r="A844" t="str">
            <v>В-24267/КЛ.Транш - 1_В-20211230/Ц</v>
          </cell>
          <cell r="B844" t="str">
            <v>Шевченко Евгений Вячеславович</v>
          </cell>
          <cell r="C844">
            <v>44507</v>
          </cell>
          <cell r="D844">
            <v>64</v>
          </cell>
          <cell r="E844">
            <v>48</v>
          </cell>
          <cell r="F844" t="str">
            <v>64% годовых</v>
          </cell>
          <cell r="G844">
            <v>5.3999999999999999E-2</v>
          </cell>
          <cell r="H844">
            <v>147727.29999999999</v>
          </cell>
        </row>
        <row r="845">
          <cell r="A845" t="str">
            <v>Т-01872/АЗ_Т-20211028/Ц</v>
          </cell>
          <cell r="B845" t="str">
            <v>Шелин Екатерина Вячеславовна</v>
          </cell>
          <cell r="C845">
            <v>43936</v>
          </cell>
          <cell r="D845">
            <v>50</v>
          </cell>
          <cell r="E845">
            <v>36</v>
          </cell>
          <cell r="F845" t="str">
            <v>50% годовых</v>
          </cell>
          <cell r="G845">
            <v>5.3999999999999999E-2</v>
          </cell>
          <cell r="H845">
            <v>106136.93</v>
          </cell>
        </row>
        <row r="846">
          <cell r="A846" t="str">
            <v>В-20952/КЛ.Транш - 6_В-21082023/Ц</v>
          </cell>
          <cell r="B846" t="str">
            <v>Ширманов Никита Александрович</v>
          </cell>
          <cell r="C846">
            <v>44439</v>
          </cell>
          <cell r="D846">
            <v>74</v>
          </cell>
          <cell r="E846">
            <v>12</v>
          </cell>
          <cell r="F846" t="str">
            <v>74% годовых</v>
          </cell>
          <cell r="G846">
            <v>5.3999999999999999E-2</v>
          </cell>
          <cell r="H846">
            <v>100000</v>
          </cell>
        </row>
        <row r="847">
          <cell r="A847" t="str">
            <v>В-20952/КЛ.Транш - 4_В-21082023/Ц</v>
          </cell>
          <cell r="B847" t="str">
            <v>Ширманов Никита Александрович</v>
          </cell>
          <cell r="C847">
            <v>44425</v>
          </cell>
          <cell r="D847">
            <v>74</v>
          </cell>
          <cell r="E847">
            <v>12</v>
          </cell>
          <cell r="F847" t="str">
            <v>79% годовых</v>
          </cell>
          <cell r="G847">
            <v>5.3999999999999999E-2</v>
          </cell>
          <cell r="H847">
            <v>100000</v>
          </cell>
        </row>
        <row r="848">
          <cell r="A848" t="str">
            <v>В-20952/КЛ.Транш - 3_В-21082023/Ц</v>
          </cell>
          <cell r="B848" t="str">
            <v>Ширманов Никита Александрович</v>
          </cell>
          <cell r="C848">
            <v>44417</v>
          </cell>
          <cell r="D848">
            <v>67</v>
          </cell>
          <cell r="E848">
            <v>12</v>
          </cell>
          <cell r="F848" t="str">
            <v>72% годовых</v>
          </cell>
          <cell r="G848">
            <v>5.3999999999999999E-2</v>
          </cell>
          <cell r="H848">
            <v>100000</v>
          </cell>
        </row>
        <row r="849">
          <cell r="A849" t="str">
            <v>В-23410/КЛ.Транш - 1_В-20211230/Ц</v>
          </cell>
          <cell r="B849" t="str">
            <v>Шиховцов Игорь Николаевич</v>
          </cell>
          <cell r="C849">
            <v>44478</v>
          </cell>
          <cell r="D849">
            <v>64</v>
          </cell>
          <cell r="E849">
            <v>48</v>
          </cell>
          <cell r="F849" t="str">
            <v>64% годовых</v>
          </cell>
          <cell r="G849">
            <v>5.3999999999999999E-2</v>
          </cell>
          <cell r="H849">
            <v>397727.3</v>
          </cell>
        </row>
        <row r="850">
          <cell r="A850" t="str">
            <v>В-09302/КЛ.Транш - 4_В-20211230/Ц</v>
          </cell>
          <cell r="B850" t="str">
            <v>Шквыр Виктор Викторович</v>
          </cell>
          <cell r="C850">
            <v>44181</v>
          </cell>
          <cell r="D850">
            <v>66</v>
          </cell>
          <cell r="E850">
            <v>48</v>
          </cell>
          <cell r="F850" t="str">
            <v>66% годовых</v>
          </cell>
          <cell r="G850">
            <v>5.3999999999999999E-2</v>
          </cell>
          <cell r="H850">
            <v>100000</v>
          </cell>
        </row>
        <row r="851">
          <cell r="A851" t="str">
            <v>В-09302/КЛ.Транш - 2_В-20211230/Ц</v>
          </cell>
          <cell r="B851" t="str">
            <v>Шквыр Виктор Викторович</v>
          </cell>
          <cell r="C851">
            <v>44127</v>
          </cell>
          <cell r="D851">
            <v>66</v>
          </cell>
          <cell r="E851">
            <v>48</v>
          </cell>
          <cell r="F851" t="str">
            <v>66% годовых</v>
          </cell>
          <cell r="G851">
            <v>5.3999999999999999E-2</v>
          </cell>
          <cell r="H851">
            <v>100000</v>
          </cell>
        </row>
        <row r="852">
          <cell r="A852" t="str">
            <v>В-09302/КЛ.Транш - 3_В-20211230/Ц</v>
          </cell>
          <cell r="B852" t="str">
            <v>Шквыр Виктор Викторович</v>
          </cell>
          <cell r="C852">
            <v>44176</v>
          </cell>
          <cell r="D852">
            <v>66</v>
          </cell>
          <cell r="E852">
            <v>48</v>
          </cell>
          <cell r="F852" t="str">
            <v>66% годовых</v>
          </cell>
          <cell r="G852">
            <v>5.3999999999999999E-2</v>
          </cell>
          <cell r="H852">
            <v>100000</v>
          </cell>
        </row>
        <row r="853">
          <cell r="A853" t="str">
            <v>В-09302/КЛ.Транш - 5_В-20211230/Ц</v>
          </cell>
          <cell r="B853" t="str">
            <v>Шквыр Виктор Викторович</v>
          </cell>
          <cell r="C853">
            <v>44206</v>
          </cell>
          <cell r="D853">
            <v>53</v>
          </cell>
          <cell r="E853">
            <v>48</v>
          </cell>
          <cell r="F853" t="str">
            <v>53% годовых</v>
          </cell>
          <cell r="G853">
            <v>5.3999999999999999E-2</v>
          </cell>
          <cell r="H853">
            <v>100000</v>
          </cell>
        </row>
        <row r="854">
          <cell r="A854" t="str">
            <v>А-05291/АЗ</v>
          </cell>
          <cell r="B854" t="str">
            <v>Шодиев Хуснуддин Сулоймонкулович</v>
          </cell>
          <cell r="C854">
            <v>43574</v>
          </cell>
          <cell r="D854">
            <v>64</v>
          </cell>
          <cell r="E854">
            <v>36</v>
          </cell>
          <cell r="F854" t="str">
            <v>64% годовых</v>
          </cell>
          <cell r="G854">
            <v>5.3999999999999999E-2</v>
          </cell>
          <cell r="H854">
            <v>264000</v>
          </cell>
        </row>
        <row r="855">
          <cell r="A855" t="str">
            <v>В-13042/КЛ.Транш - 1_В-20211230/Ц</v>
          </cell>
          <cell r="B855" t="str">
            <v>Шумилов Валерий Игоревич</v>
          </cell>
          <cell r="C855">
            <v>44190</v>
          </cell>
          <cell r="D855">
            <v>73</v>
          </cell>
          <cell r="E855">
            <v>48</v>
          </cell>
          <cell r="F855" t="str">
            <v>73% годовых</v>
          </cell>
          <cell r="G855">
            <v>5.3999999999999999E-2</v>
          </cell>
          <cell r="H855">
            <v>100000</v>
          </cell>
        </row>
        <row r="856">
          <cell r="A856" t="str">
            <v>В-07729/КЛ.Транш - 1_В-20211230/Ц</v>
          </cell>
          <cell r="B856" t="str">
            <v>Шустов Иван Сергеевич</v>
          </cell>
          <cell r="C856">
            <v>44050</v>
          </cell>
          <cell r="D856">
            <v>66</v>
          </cell>
          <cell r="E856">
            <v>36</v>
          </cell>
          <cell r="F856" t="str">
            <v>66% годовых</v>
          </cell>
          <cell r="G856">
            <v>5.3999999999999999E-2</v>
          </cell>
          <cell r="H856">
            <v>100000</v>
          </cell>
        </row>
        <row r="857">
          <cell r="A857" t="str">
            <v>В-11280/КЛ.Транш - 1_В-21082023/Ц</v>
          </cell>
          <cell r="B857" t="str">
            <v>Шушарин Артем Владимирович</v>
          </cell>
          <cell r="C857">
            <v>44158</v>
          </cell>
          <cell r="D857">
            <v>87</v>
          </cell>
          <cell r="E857">
            <v>12</v>
          </cell>
          <cell r="F857" t="str">
            <v>87% годовых</v>
          </cell>
          <cell r="G857">
            <v>5.3999999999999999E-2</v>
          </cell>
          <cell r="H857">
            <v>200000</v>
          </cell>
        </row>
        <row r="858">
          <cell r="A858" t="str">
            <v>В-12894/КЛ.Транш - 1_В-20211230/Ц</v>
          </cell>
          <cell r="B858" t="str">
            <v>Щеглов Роман Сергеевич</v>
          </cell>
          <cell r="C858">
            <v>44188</v>
          </cell>
          <cell r="D858">
            <v>80</v>
          </cell>
          <cell r="E858">
            <v>12</v>
          </cell>
          <cell r="F858" t="str">
            <v>80% годовых</v>
          </cell>
          <cell r="G858">
            <v>5.3999999999999999E-2</v>
          </cell>
          <cell r="H858">
            <v>120000</v>
          </cell>
        </row>
        <row r="859">
          <cell r="A859" t="str">
            <v>В-01371/КЛ.Транш - 1_В-21082023/Ц</v>
          </cell>
          <cell r="B859" t="str">
            <v>Щербаков Сергей Валерьевич</v>
          </cell>
          <cell r="C859">
            <v>43781</v>
          </cell>
          <cell r="D859">
            <v>82</v>
          </cell>
          <cell r="E859">
            <v>12</v>
          </cell>
          <cell r="F859" t="str">
            <v>82% годовых</v>
          </cell>
          <cell r="G859">
            <v>5.3999999999999999E-2</v>
          </cell>
          <cell r="H859">
            <v>188000</v>
          </cell>
        </row>
        <row r="860">
          <cell r="A860" t="str">
            <v>Т-00638/АЗ_Т-20211028/Ц</v>
          </cell>
          <cell r="B860" t="str">
            <v>Щербин Виталий Борисович</v>
          </cell>
          <cell r="C860">
            <v>42023</v>
          </cell>
          <cell r="D860">
            <v>88</v>
          </cell>
          <cell r="E860">
            <v>18</v>
          </cell>
          <cell r="F860" t="str">
            <v>88% годовых</v>
          </cell>
          <cell r="G860">
            <v>5.3999999999999999E-2</v>
          </cell>
          <cell r="H860">
            <v>400000</v>
          </cell>
        </row>
        <row r="861">
          <cell r="A861" t="str">
            <v>В-00039/КЭ.Транш - 1_В-20211230/Ц</v>
          </cell>
          <cell r="B861" t="str">
            <v>ЭЛ-КОМПЛЕКТ ООО</v>
          </cell>
          <cell r="C861">
            <v>44329</v>
          </cell>
          <cell r="D861">
            <v>65</v>
          </cell>
          <cell r="E861">
            <v>24</v>
          </cell>
          <cell r="F861" t="str">
            <v>65% годовых</v>
          </cell>
          <cell r="G861">
            <v>1</v>
          </cell>
          <cell r="H861">
            <v>300000</v>
          </cell>
        </row>
        <row r="862">
          <cell r="A862" t="str">
            <v>В-18548/КЛ.Транш - 2_В-20211230/Ц</v>
          </cell>
          <cell r="B862" t="str">
            <v>Элоян Артур Гамбарович</v>
          </cell>
          <cell r="C862">
            <v>44509</v>
          </cell>
          <cell r="D862">
            <v>81</v>
          </cell>
          <cell r="E862">
            <v>48</v>
          </cell>
          <cell r="F862" t="str">
            <v>86% годовых</v>
          </cell>
          <cell r="G862">
            <v>5.3999999999999999E-2</v>
          </cell>
          <cell r="H862">
            <v>450000</v>
          </cell>
        </row>
        <row r="863">
          <cell r="A863" t="str">
            <v>В-18548/КЛ.Транш - 1_В-20211230/Ц</v>
          </cell>
          <cell r="B863" t="str">
            <v>Элоян Артур Гамбарович</v>
          </cell>
          <cell r="C863">
            <v>44345</v>
          </cell>
          <cell r="D863">
            <v>50</v>
          </cell>
          <cell r="E863">
            <v>48</v>
          </cell>
          <cell r="F863" t="str">
            <v>50% годовых</v>
          </cell>
          <cell r="G863">
            <v>5.3999999999999999E-2</v>
          </cell>
          <cell r="H863">
            <v>568181.80000000005</v>
          </cell>
        </row>
        <row r="864">
          <cell r="A864" t="str">
            <v>А-10099/КЭ.Транш - 1</v>
          </cell>
          <cell r="B864" t="str">
            <v>ЭНЕРГИЯ ООО</v>
          </cell>
          <cell r="C864">
            <v>43717</v>
          </cell>
          <cell r="D864">
            <v>50</v>
          </cell>
          <cell r="E864">
            <v>12</v>
          </cell>
          <cell r="F864" t="str">
            <v>50% годовых</v>
          </cell>
          <cell r="G864">
            <v>1</v>
          </cell>
          <cell r="H864">
            <v>340000</v>
          </cell>
        </row>
        <row r="865">
          <cell r="A865" t="str">
            <v>А-10099/КЭ.Транш - 2</v>
          </cell>
          <cell r="B865" t="str">
            <v>ЭНЕРГИЯ ООО</v>
          </cell>
          <cell r="C865">
            <v>43726</v>
          </cell>
          <cell r="D865">
            <v>50</v>
          </cell>
          <cell r="E865">
            <v>12</v>
          </cell>
          <cell r="F865" t="str">
            <v>50% годовых</v>
          </cell>
          <cell r="G865">
            <v>1</v>
          </cell>
          <cell r="H865">
            <v>200000</v>
          </cell>
        </row>
        <row r="866">
          <cell r="A866" t="str">
            <v>А-10098/КЭ.Транш - 1</v>
          </cell>
          <cell r="B866" t="str">
            <v>ЭНЕРГИЯ ООО</v>
          </cell>
          <cell r="C866">
            <v>43707</v>
          </cell>
          <cell r="D866">
            <v>65</v>
          </cell>
          <cell r="E866">
            <v>12</v>
          </cell>
          <cell r="F866" t="str">
            <v>65% годовых</v>
          </cell>
          <cell r="G866">
            <v>1</v>
          </cell>
          <cell r="H866">
            <v>150000</v>
          </cell>
        </row>
        <row r="867">
          <cell r="A867" t="str">
            <v>В-14232/КЛ.Транш - 1_В-20211230/Ц</v>
          </cell>
          <cell r="B867" t="str">
            <v>Эскеров Агаси Эскерович</v>
          </cell>
          <cell r="C867">
            <v>44231</v>
          </cell>
          <cell r="D867">
            <v>67</v>
          </cell>
          <cell r="E867">
            <v>24</v>
          </cell>
          <cell r="F867" t="str">
            <v>67% годовых</v>
          </cell>
          <cell r="G867">
            <v>5.3999999999999999E-2</v>
          </cell>
          <cell r="H867">
            <v>161000</v>
          </cell>
        </row>
        <row r="868">
          <cell r="A868" t="str">
            <v>В-00088/АЗ_В-20211230/Ц</v>
          </cell>
          <cell r="B868" t="str">
            <v>Юзбашян Ходедан Зограбович</v>
          </cell>
          <cell r="C868">
            <v>43584</v>
          </cell>
          <cell r="D868">
            <v>84</v>
          </cell>
          <cell r="E868">
            <v>36</v>
          </cell>
          <cell r="F868" t="str">
            <v>30% годовых</v>
          </cell>
          <cell r="G868">
            <v>5.3999999999999999E-2</v>
          </cell>
          <cell r="H868">
            <v>350000</v>
          </cell>
        </row>
        <row r="869">
          <cell r="A869" t="str">
            <v>В-03543/КЛ.Транш - 1_В-21082023/Ц</v>
          </cell>
          <cell r="B869" t="str">
            <v>Юнусов Акмалдин Акрамович</v>
          </cell>
          <cell r="C869">
            <v>43880</v>
          </cell>
          <cell r="D869">
            <v>87</v>
          </cell>
          <cell r="E869">
            <v>12</v>
          </cell>
          <cell r="F869" t="str">
            <v>87% годовых</v>
          </cell>
          <cell r="G869">
            <v>5.3999999999999999E-2</v>
          </cell>
          <cell r="H869">
            <v>100000</v>
          </cell>
        </row>
        <row r="870">
          <cell r="A870" t="str">
            <v>В-01642/КЛ.Транш - 1_В-21082023/Ц</v>
          </cell>
          <cell r="B870" t="str">
            <v>Юрченко Дмитрий Валерьевич</v>
          </cell>
          <cell r="C870">
            <v>43796</v>
          </cell>
          <cell r="D870">
            <v>77</v>
          </cell>
          <cell r="E870">
            <v>12</v>
          </cell>
          <cell r="F870" t="str">
            <v>77% годовых</v>
          </cell>
          <cell r="G870">
            <v>5.3999999999999999E-2</v>
          </cell>
          <cell r="H870">
            <v>120000</v>
          </cell>
        </row>
        <row r="871">
          <cell r="A871" t="str">
            <v>В-28235/АЗ_В-21082023/Ц</v>
          </cell>
          <cell r="B871" t="str">
            <v>Юсупов Альберт Гиннатуллаевич</v>
          </cell>
          <cell r="C871">
            <v>44605</v>
          </cell>
          <cell r="D871">
            <v>77</v>
          </cell>
          <cell r="E871">
            <v>48</v>
          </cell>
          <cell r="F871" t="str">
            <v>77% годовых</v>
          </cell>
          <cell r="G871">
            <v>5.3999999999999999E-2</v>
          </cell>
          <cell r="H871">
            <v>642000</v>
          </cell>
        </row>
        <row r="872">
          <cell r="A872" t="str">
            <v>В-25824/КЛ.Транш - 1_В-21082023/Ц</v>
          </cell>
          <cell r="B872" t="str">
            <v>Яковлев Борис Викторович</v>
          </cell>
          <cell r="C872">
            <v>44543</v>
          </cell>
          <cell r="D872">
            <v>60</v>
          </cell>
          <cell r="E872">
            <v>24</v>
          </cell>
          <cell r="F872" t="str">
            <v>60% годовых</v>
          </cell>
          <cell r="G872">
            <v>5.3999999999999999E-2</v>
          </cell>
          <cell r="H872">
            <v>200000</v>
          </cell>
        </row>
        <row r="873">
          <cell r="A873" t="str">
            <v>В-14291/КЛ.Транш - 7_В-21082023/Ц</v>
          </cell>
          <cell r="B873" t="str">
            <v>Янишевская Анна Сергеевна</v>
          </cell>
          <cell r="C873">
            <v>44535</v>
          </cell>
          <cell r="D873">
            <v>50</v>
          </cell>
          <cell r="E873">
            <v>48</v>
          </cell>
          <cell r="F873" t="str">
            <v>50% годовых</v>
          </cell>
          <cell r="G873">
            <v>5.3999999999999999E-2</v>
          </cell>
          <cell r="H873">
            <v>720000</v>
          </cell>
        </row>
      </sheetData>
      <sheetData sheetId="1">
        <row r="1">
          <cell r="A1" t="str">
            <v>Заемщик</v>
          </cell>
        </row>
        <row r="2">
          <cell r="A2" t="str">
            <v>Жумабаев Умар Сонунбекович</v>
          </cell>
        </row>
        <row r="3">
          <cell r="A3" t="str">
            <v>Морозов Владимир Павлович</v>
          </cell>
        </row>
        <row r="4">
          <cell r="A4" t="str">
            <v>Сурагин Владимир Игоревич</v>
          </cell>
        </row>
        <row r="5">
          <cell r="A5" t="str">
            <v>Рыбникова Ольга Ивановна</v>
          </cell>
        </row>
        <row r="6">
          <cell r="A6" t="str">
            <v>ИП Русин Дмитрий Валерьевич</v>
          </cell>
        </row>
        <row r="7">
          <cell r="A7" t="str">
            <v>Сапунов Дмитрий Владимирович</v>
          </cell>
        </row>
        <row r="8">
          <cell r="A8" t="str">
            <v>Петухов Евгений Владимирович</v>
          </cell>
        </row>
        <row r="9">
          <cell r="A9" t="str">
            <v>Жалилов Марифжон Махамадаминович</v>
          </cell>
        </row>
        <row r="10">
          <cell r="A10" t="str">
            <v>Сидоров Александр Владимирович</v>
          </cell>
        </row>
        <row r="11">
          <cell r="A11" t="str">
            <v>Осмаев Абдул-Латиф Исламович</v>
          </cell>
        </row>
        <row r="12">
          <cell r="A12" t="str">
            <v>Дубовицкий Глеб Романович</v>
          </cell>
        </row>
        <row r="13">
          <cell r="A13" t="str">
            <v>Исаченков Сергей Алексеевич</v>
          </cell>
        </row>
        <row r="14">
          <cell r="A14" t="str">
            <v>Ларина Анна Ильинична</v>
          </cell>
        </row>
        <row r="15">
          <cell r="A15" t="str">
            <v>Харитонова Ирина Александровна</v>
          </cell>
        </row>
        <row r="16">
          <cell r="A16" t="str">
            <v>ГАЛАКТИКА ООО</v>
          </cell>
        </row>
        <row r="17">
          <cell r="A17" t="str">
            <v>Борисов Кирилл Александрович</v>
          </cell>
        </row>
        <row r="18">
          <cell r="A18" t="str">
            <v>Пинясов Александр Степанович</v>
          </cell>
        </row>
        <row r="19">
          <cell r="A19" t="str">
            <v>Щербаков Сергей Васильевич</v>
          </cell>
        </row>
        <row r="20">
          <cell r="A20" t="str">
            <v>Салихов Нурмагамед Гусенович</v>
          </cell>
        </row>
        <row r="21">
          <cell r="A21" t="str">
            <v>Романов Евгений Юрьевич</v>
          </cell>
        </row>
        <row r="22">
          <cell r="A22" t="str">
            <v>Дорохин Артем Олегович</v>
          </cell>
        </row>
        <row r="23">
          <cell r="A23" t="str">
            <v>Сафронова Кристина Руслановна</v>
          </cell>
        </row>
        <row r="24">
          <cell r="A24" t="str">
            <v>Ваньков Никита Валерьевич</v>
          </cell>
        </row>
        <row r="25">
          <cell r="A25" t="str">
            <v>Алиев Турал Эльдар Оглы</v>
          </cell>
        </row>
        <row r="26">
          <cell r="A26" t="str">
            <v>Гусейинов Рафиг Шамил</v>
          </cell>
        </row>
        <row r="27">
          <cell r="A27" t="str">
            <v>ВАЛАР ООО</v>
          </cell>
        </row>
        <row r="28">
          <cell r="A28" t="str">
            <v>Касаткин Евгений Олегович</v>
          </cell>
        </row>
        <row r="29">
          <cell r="A29" t="str">
            <v>Годуйко Николай Николаевич</v>
          </cell>
        </row>
        <row r="30">
          <cell r="A30" t="str">
            <v>Мустафин Ринад Исмаилович</v>
          </cell>
        </row>
        <row r="31">
          <cell r="A31" t="str">
            <v>Толкачева Елена Владимировна</v>
          </cell>
        </row>
        <row r="32">
          <cell r="A32" t="str">
            <v>Фролов Павел Андреевич</v>
          </cell>
        </row>
        <row r="33">
          <cell r="A33" t="str">
            <v>Смирнов Андрей Евгеньевич</v>
          </cell>
        </row>
        <row r="34">
          <cell r="A34" t="str">
            <v>Печеников Александр Иванович</v>
          </cell>
        </row>
        <row r="35">
          <cell r="A35" t="str">
            <v>Печеникова Оксана Александровна</v>
          </cell>
        </row>
        <row r="36">
          <cell r="A36" t="str">
            <v>Левин Сергей Сергеевич</v>
          </cell>
        </row>
        <row r="37">
          <cell r="A37" t="str">
            <v>Копытман Александр Семенович</v>
          </cell>
        </row>
        <row r="38">
          <cell r="A38" t="str">
            <v>Протасов Александр Николаевич</v>
          </cell>
        </row>
        <row r="39">
          <cell r="A39" t="str">
            <v>Загорулько Алексей Сергеевич</v>
          </cell>
        </row>
        <row r="40">
          <cell r="A40" t="str">
            <v>Талаев Алексей Анатольевич</v>
          </cell>
        </row>
        <row r="41">
          <cell r="A41" t="str">
            <v>Матюнин Алексей Владимирович</v>
          </cell>
        </row>
        <row r="42">
          <cell r="A42" t="str">
            <v>МСКСТРОЙ ООО</v>
          </cell>
        </row>
        <row r="43">
          <cell r="A43" t="str">
            <v>Корнилов Александр Дмитриевич</v>
          </cell>
        </row>
        <row r="44">
          <cell r="A44" t="str">
            <v>Залевский Александр Владиславович</v>
          </cell>
        </row>
        <row r="45">
          <cell r="A45" t="str">
            <v>Колесников Евгений Михайлович</v>
          </cell>
        </row>
        <row r="46">
          <cell r="A46" t="str">
            <v>Антонов Валерий Иванович</v>
          </cell>
        </row>
        <row r="47">
          <cell r="A47" t="str">
            <v>ИП Нартоков Анзор Русланович</v>
          </cell>
        </row>
        <row r="48">
          <cell r="A48" t="str">
            <v>Ивкин Александр Викторович</v>
          </cell>
        </row>
        <row r="49">
          <cell r="A49" t="str">
            <v>Мамлина Наталия Андреевна</v>
          </cell>
        </row>
        <row r="50">
          <cell r="A50" t="str">
            <v>Сорокин Руслан Энриевич</v>
          </cell>
        </row>
        <row r="51">
          <cell r="A51" t="str">
            <v>Саламатин Максим Витальевич</v>
          </cell>
        </row>
        <row r="52">
          <cell r="A52" t="str">
            <v>Мурина Оксана Викторовна</v>
          </cell>
        </row>
        <row r="54">
          <cell r="A54" t="str">
            <v>Травничек Андрей Михайлович</v>
          </cell>
        </row>
        <row r="55">
          <cell r="A55" t="str">
            <v>Вартикян Карен Смбатович</v>
          </cell>
        </row>
        <row r="56">
          <cell r="A56" t="str">
            <v>Конуркин Сергей Сергеевич</v>
          </cell>
        </row>
        <row r="57">
          <cell r="A57" t="str">
            <v>Афонский Максим Станиславович</v>
          </cell>
        </row>
        <row r="58">
          <cell r="A58" t="str">
            <v>Завойских Станислав Вадимович</v>
          </cell>
        </row>
        <row r="59">
          <cell r="A59" t="str">
            <v>Келешян Мария Георгиевна</v>
          </cell>
        </row>
        <row r="60">
          <cell r="A60" t="str">
            <v>Дементьев Василий Алексеевич</v>
          </cell>
        </row>
        <row r="61">
          <cell r="A61" t="str">
            <v>Хомутов Алексей Николаевич</v>
          </cell>
        </row>
        <row r="62">
          <cell r="A62" t="str">
            <v>Аутлева Сусанна Руслановна</v>
          </cell>
        </row>
        <row r="63">
          <cell r="A63" t="str">
            <v>Аксенчук Александр Вячеславович</v>
          </cell>
        </row>
        <row r="64">
          <cell r="A64" t="str">
            <v>Матченко Олеся Александровна</v>
          </cell>
        </row>
        <row r="65">
          <cell r="A65" t="str">
            <v>Бойко Василий Анатольевич</v>
          </cell>
        </row>
        <row r="66">
          <cell r="A66" t="str">
            <v>Глухов Максим Сергеевич</v>
          </cell>
        </row>
        <row r="67">
          <cell r="A67" t="str">
            <v>Кудрявцев Геннадий Владимирович</v>
          </cell>
        </row>
        <row r="68">
          <cell r="A68" t="str">
            <v>Мироненко Вадим Викторович</v>
          </cell>
        </row>
        <row r="69">
          <cell r="A69" t="str">
            <v>Овсепян Жирайр Араевич</v>
          </cell>
        </row>
        <row r="70">
          <cell r="A70" t="str">
            <v>ИП Артемов Александр Викторович</v>
          </cell>
        </row>
        <row r="72">
          <cell r="A72" t="str">
            <v>Кутанов Егор Сергеевич</v>
          </cell>
        </row>
        <row r="73">
          <cell r="A73" t="str">
            <v>Степанян Степан Бахтиярович</v>
          </cell>
        </row>
        <row r="74">
          <cell r="A74" t="str">
            <v>Тагаева Ольга Гиниядовна</v>
          </cell>
        </row>
        <row r="75">
          <cell r="A75" t="str">
            <v>ЭНБЕРЛИ ООО</v>
          </cell>
        </row>
        <row r="76">
          <cell r="A76" t="str">
            <v>Кудрин Роман Анатольевич</v>
          </cell>
        </row>
        <row r="77">
          <cell r="A77" t="str">
            <v>Искендеров Рашад Сахиб Оглы</v>
          </cell>
        </row>
        <row r="78">
          <cell r="A78" t="str">
            <v>Гусейнов Муслум Нурали Оглы</v>
          </cell>
        </row>
        <row r="79">
          <cell r="A79" t="str">
            <v>Саакян Оганнес Мнацаканович</v>
          </cell>
        </row>
        <row r="80">
          <cell r="A80" t="str">
            <v>Агросоюз ООО</v>
          </cell>
        </row>
        <row r="81">
          <cell r="A81" t="str">
            <v>Абдуллин Игорь Эдуардович</v>
          </cell>
        </row>
        <row r="82">
          <cell r="A82" t="str">
            <v>Баулин Андрей Валерьевич</v>
          </cell>
        </row>
        <row r="83">
          <cell r="A83" t="str">
            <v>Фомичев Павел Петрович</v>
          </cell>
        </row>
        <row r="84">
          <cell r="A84" t="str">
            <v>Ким Александр Эдуардович</v>
          </cell>
        </row>
        <row r="85">
          <cell r="A85" t="str">
            <v>Кобзев Олег Викторович</v>
          </cell>
        </row>
        <row r="86">
          <cell r="A86" t="str">
            <v>Иванов Сергей Викторович</v>
          </cell>
        </row>
        <row r="87">
          <cell r="A87" t="str">
            <v>Байрамов Сабир Вагифович</v>
          </cell>
        </row>
        <row r="88">
          <cell r="A88" t="str">
            <v>Худомясова Александра Антуановна</v>
          </cell>
        </row>
        <row r="89">
          <cell r="A89" t="str">
            <v>Гайдарлы Андрей Васильевич</v>
          </cell>
        </row>
        <row r="90">
          <cell r="A90" t="str">
            <v>Хамидуллов Линар Надырович</v>
          </cell>
        </row>
        <row r="91">
          <cell r="A91" t="str">
            <v>Елисеев Вячеслав Викторович</v>
          </cell>
        </row>
        <row r="92">
          <cell r="A92" t="str">
            <v>ИП Беляева Виктория Александровна</v>
          </cell>
        </row>
        <row r="93">
          <cell r="A93" t="str">
            <v>Долгошеев Александр Юрьевич</v>
          </cell>
        </row>
        <row r="94">
          <cell r="A94" t="str">
            <v>Бабаянц Артур Владимирович</v>
          </cell>
        </row>
        <row r="95">
          <cell r="A95" t="str">
            <v>Вековищев Андрей Анатольевич</v>
          </cell>
        </row>
        <row r="96">
          <cell r="A96" t="str">
            <v>Преснецов Андрей Владимирович</v>
          </cell>
        </row>
        <row r="97">
          <cell r="A97" t="str">
            <v>Садырбекова Дамира Маматовна</v>
          </cell>
        </row>
        <row r="98">
          <cell r="A98" t="str">
            <v>Бычков Алексей Александрович</v>
          </cell>
        </row>
        <row r="99">
          <cell r="A99" t="str">
            <v>Ильин Руслан Михайлович</v>
          </cell>
        </row>
        <row r="100">
          <cell r="A100" t="str">
            <v>Смирнов Игорь Александрович</v>
          </cell>
        </row>
        <row r="101">
          <cell r="A101" t="str">
            <v>Ишутин Станислав Андреевич</v>
          </cell>
        </row>
        <row r="102">
          <cell r="A102" t="str">
            <v>Ишутин Станислав Андреевич</v>
          </cell>
        </row>
        <row r="103">
          <cell r="A103" t="str">
            <v>Насонов Александр Александрович</v>
          </cell>
        </row>
        <row r="104">
          <cell r="A104" t="str">
            <v>Цинская Ольга Игоревна</v>
          </cell>
        </row>
        <row r="105">
          <cell r="A105" t="str">
            <v>Шишкарев Александр Павлович</v>
          </cell>
        </row>
        <row r="106">
          <cell r="A106" t="str">
            <v>Голосенин Тимофей Васильевич</v>
          </cell>
        </row>
        <row r="107">
          <cell r="A107" t="str">
            <v>Невешкин Роман Викторович</v>
          </cell>
        </row>
        <row r="108">
          <cell r="A108" t="str">
            <v>Уткин Алексей Александрович</v>
          </cell>
        </row>
        <row r="109">
          <cell r="A109" t="str">
            <v>Андреев Максим Вячеславович</v>
          </cell>
        </row>
        <row r="110">
          <cell r="A110" t="str">
            <v>Барчукова Марина Алексеевна</v>
          </cell>
        </row>
        <row r="111">
          <cell r="A111" t="str">
            <v>Ложкин Денис Юрьевич</v>
          </cell>
        </row>
        <row r="112">
          <cell r="A112" t="str">
            <v>Копытман Александр Семенович</v>
          </cell>
        </row>
        <row r="113">
          <cell r="A113" t="str">
            <v>Бобров Дмитрий Михайлович</v>
          </cell>
        </row>
        <row r="114">
          <cell r="A114" t="str">
            <v>Озарян Сергей Васильевич</v>
          </cell>
        </row>
        <row r="115">
          <cell r="A115" t="str">
            <v>Липницкая Калерия Алексеевна</v>
          </cell>
        </row>
        <row r="116">
          <cell r="A116" t="str">
            <v>Дрожжин Андрей Юрьевич</v>
          </cell>
        </row>
        <row r="117">
          <cell r="A117" t="str">
            <v>Бибнева Анастасия Дмитриевна</v>
          </cell>
        </row>
        <row r="118">
          <cell r="A118" t="str">
            <v>Смирнов Игорь Александрович</v>
          </cell>
        </row>
        <row r="119">
          <cell r="A119" t="str">
            <v>Шалдыбин Данил Геннадьевич</v>
          </cell>
        </row>
        <row r="120">
          <cell r="A120" t="str">
            <v>Шаулов Шаул Рамбомович</v>
          </cell>
        </row>
        <row r="121">
          <cell r="A121" t="str">
            <v>Оганесян Ваге Наириович</v>
          </cell>
        </row>
        <row r="122">
          <cell r="A122" t="str">
            <v>Головач Николай Михайлович</v>
          </cell>
        </row>
        <row r="123">
          <cell r="A123" t="str">
            <v>Гарнер Роман Борисович</v>
          </cell>
        </row>
        <row r="124">
          <cell r="A124" t="str">
            <v>Глухов Василий Александрович</v>
          </cell>
        </row>
        <row r="125">
          <cell r="A125" t="str">
            <v>Левченков Георгий Михайлович</v>
          </cell>
        </row>
        <row r="126">
          <cell r="A126" t="str">
            <v>Вдовенко Николай Николаевич</v>
          </cell>
        </row>
        <row r="127">
          <cell r="A127" t="str">
            <v>Баранов Вадим Викторович</v>
          </cell>
        </row>
        <row r="128">
          <cell r="A128" t="str">
            <v>ИП Зинченко Аркадий Александрович</v>
          </cell>
        </row>
        <row r="129">
          <cell r="A129" t="str">
            <v>Сойников Денис Валерьевич</v>
          </cell>
        </row>
        <row r="130">
          <cell r="A130" t="str">
            <v>Погребняк Константин Николаевич</v>
          </cell>
        </row>
        <row r="131">
          <cell r="A131" t="str">
            <v>Кутлуахметов Руслан Зауилович</v>
          </cell>
        </row>
        <row r="132">
          <cell r="A132" t="str">
            <v>Адилбеков Алмаз Адилбекович</v>
          </cell>
        </row>
        <row r="133">
          <cell r="A133" t="str">
            <v>Радыш Сергей Романович</v>
          </cell>
        </row>
        <row r="134">
          <cell r="A134" t="str">
            <v>Дядченко Елена Валентиновна</v>
          </cell>
        </row>
        <row r="135">
          <cell r="A135" t="str">
            <v>Заманов Сулейман Валех оглы</v>
          </cell>
        </row>
        <row r="136">
          <cell r="A136" t="str">
            <v>Мартазов Вадим Алексеевич</v>
          </cell>
        </row>
        <row r="137">
          <cell r="A137" t="str">
            <v>Дубров Алексей Владимирович</v>
          </cell>
        </row>
        <row r="138">
          <cell r="A138" t="str">
            <v>Макарова Ирина Сергеевна</v>
          </cell>
        </row>
        <row r="139">
          <cell r="A139" t="str">
            <v>Бабенышева Наталия Григорьевна</v>
          </cell>
        </row>
        <row r="140">
          <cell r="A140" t="str">
            <v>Фетисов Сергей Владимирович</v>
          </cell>
        </row>
        <row r="141">
          <cell r="A141" t="str">
            <v>Крюков Сергей Викторович</v>
          </cell>
        </row>
        <row r="142">
          <cell r="A142" t="str">
            <v>Казарян Валико Беникович</v>
          </cell>
        </row>
        <row r="143">
          <cell r="A143" t="str">
            <v>Аракелян Михаил Герасимович</v>
          </cell>
        </row>
        <row r="144">
          <cell r="A144" t="str">
            <v>Савчук Елена Александровна</v>
          </cell>
        </row>
        <row r="145">
          <cell r="A145" t="str">
            <v>Годуйко Николай Николаевич</v>
          </cell>
        </row>
        <row r="146">
          <cell r="A146" t="str">
            <v>Яковлев Борис Викторович</v>
          </cell>
        </row>
        <row r="147">
          <cell r="A147" t="str">
            <v>Крюков Сергей Викторович</v>
          </cell>
        </row>
        <row r="148">
          <cell r="A148" t="str">
            <v>Метлин Семён Петрович</v>
          </cell>
        </row>
        <row r="149">
          <cell r="A149" t="str">
            <v>Харагезян Армен Вартересович</v>
          </cell>
        </row>
        <row r="150">
          <cell r="A150" t="str">
            <v>Самойленко Роман Владимирович</v>
          </cell>
        </row>
        <row r="151">
          <cell r="A151" t="str">
            <v>Самойленко Ирина Геннадьевна</v>
          </cell>
        </row>
        <row r="152">
          <cell r="A152" t="str">
            <v>Шелухин Игорь Вадимович</v>
          </cell>
        </row>
        <row r="153">
          <cell r="A153" t="str">
            <v>Пугин Дмитрий Михайлович</v>
          </cell>
        </row>
        <row r="154">
          <cell r="A154" t="str">
            <v>Шопронку Сергей Харитонович</v>
          </cell>
        </row>
        <row r="155">
          <cell r="A155" t="str">
            <v>Дидиев Хасан Асланович</v>
          </cell>
        </row>
        <row r="156">
          <cell r="A156" t="str">
            <v>Алижанова Олмахон Базарбаевна</v>
          </cell>
        </row>
        <row r="157">
          <cell r="A157" t="str">
            <v>Вяткин Евгений Федорович</v>
          </cell>
        </row>
        <row r="158">
          <cell r="A158" t="str">
            <v>Зинина Анна Вячеславовна</v>
          </cell>
        </row>
        <row r="159">
          <cell r="A159" t="str">
            <v>Егоров Сергей Владимирович</v>
          </cell>
        </row>
        <row r="160">
          <cell r="A160" t="str">
            <v>Петку Сергей Владимирович</v>
          </cell>
        </row>
        <row r="161">
          <cell r="A161" t="str">
            <v>Вершинина Ольга Владимировна</v>
          </cell>
        </row>
        <row r="162">
          <cell r="A162" t="str">
            <v>Варданян Армен Вазгенович</v>
          </cell>
        </row>
        <row r="163">
          <cell r="A163" t="str">
            <v>Королев Максим Владимирович</v>
          </cell>
        </row>
        <row r="164">
          <cell r="A164" t="str">
            <v>Смирнов Игорь Александрович</v>
          </cell>
        </row>
        <row r="165">
          <cell r="A165" t="str">
            <v>Житаренко Юрий Иванович</v>
          </cell>
        </row>
        <row r="166">
          <cell r="A166" t="str">
            <v>Сапельников Юрий Александрович</v>
          </cell>
        </row>
        <row r="167">
          <cell r="A167" t="str">
            <v>ИП Жаворонков Сергей Владимирович</v>
          </cell>
        </row>
        <row r="168">
          <cell r="A168" t="str">
            <v>Кочарян Саргис Сетракович</v>
          </cell>
        </row>
        <row r="169">
          <cell r="A169" t="str">
            <v>Орехов Александр Викторович</v>
          </cell>
        </row>
        <row r="170">
          <cell r="A170" t="str">
            <v>Ципис Вадим Яковлевич</v>
          </cell>
        </row>
        <row r="171">
          <cell r="A171" t="str">
            <v>Варданян Ара Лаврентович</v>
          </cell>
        </row>
        <row r="172">
          <cell r="A172" t="str">
            <v>Трофимов Олег Владимирович</v>
          </cell>
        </row>
        <row r="173">
          <cell r="A173" t="str">
            <v>Егоршева Ирина Александровна</v>
          </cell>
        </row>
        <row r="174">
          <cell r="A174" t="str">
            <v>Харатян Гегам Арамаисович</v>
          </cell>
        </row>
        <row r="175">
          <cell r="A175" t="str">
            <v>Трененков Александр Николаевич</v>
          </cell>
        </row>
        <row r="176">
          <cell r="A176" t="str">
            <v>Пронина Кристина Яковлевна</v>
          </cell>
        </row>
        <row r="177">
          <cell r="A177" t="str">
            <v>ИП Махавкина Валентина Николаевна</v>
          </cell>
        </row>
        <row r="178">
          <cell r="A178" t="str">
            <v>Саакян Людвик Геворгович</v>
          </cell>
        </row>
        <row r="179">
          <cell r="A179" t="str">
            <v>Павлюк Татьяна Николаевна</v>
          </cell>
        </row>
        <row r="180">
          <cell r="A180" t="str">
            <v>Романов Евгений Юрьевич</v>
          </cell>
        </row>
        <row r="181">
          <cell r="A181" t="str">
            <v>Мокрицкий Константин Александрович</v>
          </cell>
        </row>
        <row r="182">
          <cell r="A182" t="str">
            <v>Рамазанов Абакар Рамазанович</v>
          </cell>
        </row>
        <row r="183">
          <cell r="A183" t="str">
            <v>Лянгасова Светлана Юрьевна</v>
          </cell>
        </row>
        <row r="184">
          <cell r="A184" t="str">
            <v>Камшилин Александр Александрович</v>
          </cell>
        </row>
        <row r="185">
          <cell r="A185" t="str">
            <v>Камшилин Александр Александрович</v>
          </cell>
        </row>
        <row r="186">
          <cell r="A186" t="str">
            <v>Ромайкина Анна Андреевна</v>
          </cell>
        </row>
        <row r="187">
          <cell r="A187" t="str">
            <v>Емелин Сергей Анатольевич</v>
          </cell>
        </row>
        <row r="188">
          <cell r="A188" t="str">
            <v>Хозяинов Сергей Александрович</v>
          </cell>
        </row>
        <row r="189">
          <cell r="A189" t="str">
            <v>Липатова Марина Александровна</v>
          </cell>
        </row>
        <row r="190">
          <cell r="A190" t="str">
            <v>Барамия Иракли Роинович</v>
          </cell>
        </row>
        <row r="191">
          <cell r="A191" t="str">
            <v>Сергеев Даниил Борисович</v>
          </cell>
        </row>
        <row r="192">
          <cell r="A192" t="str">
            <v>Пустовойтов Сергей Николаевич</v>
          </cell>
        </row>
        <row r="193">
          <cell r="A193" t="str">
            <v>Громов Алексей Геннадьевич</v>
          </cell>
        </row>
        <row r="194">
          <cell r="A194" t="str">
            <v>Ахметова Елена Леонидовна</v>
          </cell>
        </row>
        <row r="195">
          <cell r="A195" t="str">
            <v>Мамлина Наталия Андреевна</v>
          </cell>
        </row>
        <row r="196">
          <cell r="A196" t="str">
            <v>Елисеев Вячеслав Викторович</v>
          </cell>
        </row>
        <row r="197">
          <cell r="A197" t="str">
            <v>Ананина Татьяна Григорьевна</v>
          </cell>
        </row>
        <row r="198">
          <cell r="A198" t="str">
            <v>Курехян Жорж Эдуардович</v>
          </cell>
        </row>
        <row r="199">
          <cell r="A199" t="str">
            <v>ИП Мехтиев Артём Викторович</v>
          </cell>
        </row>
        <row r="200">
          <cell r="A200" t="str">
            <v>Потапов Виталий Борисович</v>
          </cell>
        </row>
        <row r="201">
          <cell r="A201" t="str">
            <v>ВЗАИМНО ООО</v>
          </cell>
        </row>
        <row r="202">
          <cell r="A202" t="str">
            <v>ООО СК ЭВЕРЕСТ</v>
          </cell>
        </row>
        <row r="203">
          <cell r="A203" t="str">
            <v>Эврика ООО</v>
          </cell>
        </row>
        <row r="204">
          <cell r="A204" t="str">
            <v>Ширманов Никита Александрович</v>
          </cell>
        </row>
        <row r="205">
          <cell r="A205" t="str">
            <v>Шаулов Шаул Рамбомович</v>
          </cell>
        </row>
        <row r="206">
          <cell r="A206" t="str">
            <v>Цирамуа Наталия Наполеоновна</v>
          </cell>
        </row>
        <row r="207">
          <cell r="A207" t="str">
            <v>Семененко Трофим Игоревич</v>
          </cell>
        </row>
        <row r="208">
          <cell r="A208" t="str">
            <v>Сапунов Дмитрий Владимирович</v>
          </cell>
        </row>
        <row r="209">
          <cell r="A209" t="str">
            <v>Розанов Сергей Александрович</v>
          </cell>
        </row>
        <row r="210">
          <cell r="A210" t="str">
            <v>Павлюк Татьяна Николаевна</v>
          </cell>
        </row>
        <row r="211">
          <cell r="A211" t="str">
            <v>Мокрицкий Константин Александрович</v>
          </cell>
        </row>
        <row r="212">
          <cell r="A212" t="str">
            <v>Колесников Евгений Михайлович</v>
          </cell>
        </row>
        <row r="213">
          <cell r="A213" t="str">
            <v>Измайлова Юлия Игоревна</v>
          </cell>
        </row>
        <row r="214">
          <cell r="A214" t="str">
            <v>Годуйко Николай Николаевич</v>
          </cell>
        </row>
        <row r="215">
          <cell r="A215" t="str">
            <v>Гуциев Илес Эдильбекович</v>
          </cell>
        </row>
        <row r="216">
          <cell r="A216" t="str">
            <v>Ципис Вадим Яковлевич</v>
          </cell>
        </row>
        <row r="217">
          <cell r="A217" t="str">
            <v>Прохоров Александр Владимирович</v>
          </cell>
        </row>
        <row r="218">
          <cell r="A218" t="str">
            <v>Дзюба Евгений Григорьевич</v>
          </cell>
        </row>
        <row r="219">
          <cell r="A219" t="str">
            <v>Байрамов Сабир Вагифович</v>
          </cell>
        </row>
        <row r="220">
          <cell r="A220" t="str">
            <v>Абдурашитов Озодбек Мавланжанович</v>
          </cell>
        </row>
        <row r="221">
          <cell r="A221" t="str">
            <v>ТРАНСЛОГ ООО</v>
          </cell>
        </row>
        <row r="222">
          <cell r="A222" t="str">
            <v>Селиверстова Евгения Владимировна</v>
          </cell>
        </row>
        <row r="223">
          <cell r="A223" t="str">
            <v>Бархударов Сергей Юрьевич</v>
          </cell>
        </row>
        <row r="224">
          <cell r="A224" t="str">
            <v>Чаплыгина Наталья Владимировна</v>
          </cell>
        </row>
        <row r="225">
          <cell r="A225" t="str">
            <v>ИП Артемов Александр Викторович</v>
          </cell>
        </row>
        <row r="226">
          <cell r="A226" t="str">
            <v>Король Маргарита Игоревна</v>
          </cell>
        </row>
        <row r="227">
          <cell r="A227" t="str">
            <v>Алхименков Даниил Андреевич</v>
          </cell>
        </row>
        <row r="228">
          <cell r="A228" t="str">
            <v>Ларичева Ольга Ивановна</v>
          </cell>
        </row>
        <row r="229">
          <cell r="A229" t="str">
            <v>Кожинов Дмитрий Сергеевич</v>
          </cell>
        </row>
        <row r="230">
          <cell r="A230" t="str">
            <v>Клинов Сергей Евгеньевич</v>
          </cell>
        </row>
        <row r="231">
          <cell r="A231" t="str">
            <v>Кисель Наталья Александровна</v>
          </cell>
        </row>
        <row r="232">
          <cell r="A232" t="str">
            <v>Егупов Дмитрий Сергеевич</v>
          </cell>
        </row>
        <row r="233">
          <cell r="A233" t="str">
            <v>Водолазкин Александр Юрьевич</v>
          </cell>
        </row>
        <row r="234">
          <cell r="A234" t="str">
            <v>Буниатян Арман Арменакович</v>
          </cell>
        </row>
        <row r="235">
          <cell r="A235" t="str">
            <v>Аюпов Данил Мухаметович</v>
          </cell>
        </row>
        <row r="236">
          <cell r="A236" t="str">
            <v>Чибисова Елена Валерьевна</v>
          </cell>
        </row>
        <row r="237">
          <cell r="A237" t="str">
            <v>Сидоров Александр Владимирович</v>
          </cell>
        </row>
        <row r="238">
          <cell r="A238" t="str">
            <v>Саркисян Ваган Вартанович</v>
          </cell>
        </row>
        <row r="239">
          <cell r="A239" t="str">
            <v>Хашидов Имамутдин Салимханович</v>
          </cell>
        </row>
        <row r="240">
          <cell r="A240" t="str">
            <v>Самедов Эльдар Абилевич</v>
          </cell>
        </row>
        <row r="241">
          <cell r="A241" t="str">
            <v>СПЕЦДОРСТРОЙ ООО</v>
          </cell>
        </row>
        <row r="243">
          <cell r="A243" t="str">
            <v>Перевозников Андрей Анатольевич</v>
          </cell>
        </row>
        <row r="244">
          <cell r="A244" t="str">
            <v>Тихонова Ирина Анатольевна</v>
          </cell>
        </row>
        <row r="245">
          <cell r="A245" t="str">
            <v>Азиев Абдурахман Авхадович</v>
          </cell>
        </row>
        <row r="246">
          <cell r="A246" t="str">
            <v>Барт Денис Михайлович</v>
          </cell>
        </row>
        <row r="247">
          <cell r="A247" t="str">
            <v>Цинская Ольга Игоревна</v>
          </cell>
        </row>
        <row r="248">
          <cell r="A248" t="str">
            <v>Смирнов Игорь Александрович</v>
          </cell>
        </row>
        <row r="249">
          <cell r="A249" t="str">
            <v>Романов Евгений Юрьевич</v>
          </cell>
        </row>
        <row r="250">
          <cell r="A250" t="str">
            <v>Сидоренко Надежда Алексеевна</v>
          </cell>
        </row>
        <row r="251">
          <cell r="A251" t="str">
            <v>Анищенкова Оксана Михайловна</v>
          </cell>
        </row>
        <row r="252">
          <cell r="A252" t="str">
            <v>Азиева Милана Зайнуладаевна</v>
          </cell>
        </row>
        <row r="253">
          <cell r="A253" t="str">
            <v>Чепрасова Галина Александровна</v>
          </cell>
        </row>
        <row r="254">
          <cell r="A254" t="str">
            <v>Конуркин Сергей Сергеевич</v>
          </cell>
        </row>
        <row r="255">
          <cell r="A255" t="str">
            <v>Юшков Юрий Валерьевич</v>
          </cell>
        </row>
        <row r="256">
          <cell r="A256" t="str">
            <v>Спирина Полина Витальевна</v>
          </cell>
        </row>
        <row r="257">
          <cell r="A257" t="str">
            <v>Колпаков Антон Валерьевич</v>
          </cell>
        </row>
        <row r="258">
          <cell r="A258" t="str">
            <v>Гукасян Павел Владимирович</v>
          </cell>
        </row>
        <row r="259">
          <cell r="A259" t="str">
            <v>Хадиев Фанис Рафисович</v>
          </cell>
        </row>
        <row r="260">
          <cell r="A260" t="str">
            <v>Сироткин Олег Георгиевич</v>
          </cell>
        </row>
        <row r="261">
          <cell r="A261" t="str">
            <v>Лемкин Николай Иванович</v>
          </cell>
        </row>
        <row r="262">
          <cell r="A262" t="str">
            <v>Крюков Сергей Викторович</v>
          </cell>
        </row>
        <row r="263">
          <cell r="A263" t="str">
            <v>Ахметов Ривкат Багызович</v>
          </cell>
        </row>
        <row r="264">
          <cell r="A264" t="str">
            <v>Аджаматова Рашия Магомеднуриевна</v>
          </cell>
        </row>
        <row r="265">
          <cell r="A265" t="str">
            <v>Рыцарева Анжелика Витальевна</v>
          </cell>
        </row>
        <row r="266">
          <cell r="A266" t="str">
            <v>Марочканич Василий Иванович</v>
          </cell>
        </row>
        <row r="267">
          <cell r="A267" t="str">
            <v>Сергеева Светлана Викторовна</v>
          </cell>
        </row>
        <row r="268">
          <cell r="A268" t="str">
            <v>Хачатрян Хачик Норайрович</v>
          </cell>
        </row>
        <row r="269">
          <cell r="A269" t="str">
            <v>Зайцев Иван Владимирович</v>
          </cell>
        </row>
        <row r="270">
          <cell r="A270" t="str">
            <v>Белгер Эрнест Владимирович</v>
          </cell>
        </row>
        <row r="271">
          <cell r="A271" t="str">
            <v>Эврика ООО</v>
          </cell>
        </row>
        <row r="272">
          <cell r="A272" t="str">
            <v>Худомясова Александра Антуановна</v>
          </cell>
        </row>
        <row r="273">
          <cell r="A273" t="str">
            <v>Гриценко Дмитрий Владимирович</v>
          </cell>
        </row>
        <row r="274">
          <cell r="A274" t="str">
            <v>ИП Жаворонков Сергей Владимирович</v>
          </cell>
        </row>
        <row r="275">
          <cell r="A275" t="str">
            <v>Коркина Елена Александровна</v>
          </cell>
        </row>
        <row r="276">
          <cell r="A276" t="str">
            <v>Акимцева Юлия Анатольевна</v>
          </cell>
        </row>
        <row r="277">
          <cell r="A277" t="str">
            <v>Смирнов Михаил Львович</v>
          </cell>
        </row>
        <row r="278">
          <cell r="A278" t="str">
            <v>Расулов Ахмедхан Саидбекович</v>
          </cell>
        </row>
        <row r="279">
          <cell r="A279" t="str">
            <v>Гридяева Лариса Павловна</v>
          </cell>
        </row>
        <row r="280">
          <cell r="A280" t="str">
            <v>Поляков Евгений Сергеевич</v>
          </cell>
        </row>
        <row r="281">
          <cell r="A281" t="str">
            <v>Токин Юрий Эдуардович</v>
          </cell>
        </row>
        <row r="282">
          <cell r="A282" t="str">
            <v>Антипов Антон Михайлович</v>
          </cell>
        </row>
        <row r="283">
          <cell r="A283" t="str">
            <v>Лысак Екатерина Дмитриевна</v>
          </cell>
        </row>
        <row r="284">
          <cell r="A284" t="str">
            <v>Майорова Наталья Вениаминовна</v>
          </cell>
        </row>
        <row r="285">
          <cell r="A285" t="str">
            <v>Рубайло Андрей Евгеньевич</v>
          </cell>
        </row>
        <row r="286">
          <cell r="A286" t="str">
            <v>Виноградова Светлана Витальевна</v>
          </cell>
        </row>
        <row r="287">
          <cell r="A287" t="str">
            <v>Баранов Сергей Алексеевич</v>
          </cell>
        </row>
        <row r="288">
          <cell r="A288" t="str">
            <v>Саакян Людвик Геворгович</v>
          </cell>
        </row>
        <row r="289">
          <cell r="A289" t="str">
            <v>Кожанов Александр Михайлович</v>
          </cell>
        </row>
        <row r="290">
          <cell r="A290" t="str">
            <v>Хлебников Владимир Витальевич</v>
          </cell>
        </row>
        <row r="291">
          <cell r="A291" t="str">
            <v>СПЕЦДОРСТРОЙ ООО</v>
          </cell>
        </row>
        <row r="292">
          <cell r="A292" t="str">
            <v>Семененко Трофим Игоревич</v>
          </cell>
        </row>
        <row r="293">
          <cell r="A293" t="str">
            <v>Рыбаков Виктор Васильевич</v>
          </cell>
        </row>
        <row r="294">
          <cell r="A294" t="str">
            <v>Манукян Артур Агасиевич</v>
          </cell>
        </row>
        <row r="295">
          <cell r="A295" t="str">
            <v>Куразян Гарий Рафаэлович</v>
          </cell>
        </row>
        <row r="296">
          <cell r="A296" t="str">
            <v>Колесников Евгений Михайлович</v>
          </cell>
        </row>
        <row r="297">
          <cell r="A297" t="str">
            <v>Жумабаев Умар Сонунбекович</v>
          </cell>
        </row>
        <row r="298">
          <cell r="A298" t="str">
            <v>Диденко Роман Владимирович</v>
          </cell>
        </row>
        <row r="299">
          <cell r="A299" t="str">
            <v>Сидоров Александр Владимирович</v>
          </cell>
        </row>
        <row r="300">
          <cell r="A300" t="str">
            <v>Сапунов Дмитрий Владимирович</v>
          </cell>
        </row>
        <row r="301">
          <cell r="A301" t="str">
            <v>Рахимов Фарход Каримович</v>
          </cell>
        </row>
        <row r="302">
          <cell r="A302" t="str">
            <v>Петросян Анаит Ервандовна</v>
          </cell>
        </row>
        <row r="303">
          <cell r="A303" t="str">
            <v>Набойченко Юлия Александровна</v>
          </cell>
        </row>
        <row r="304">
          <cell r="A304" t="str">
            <v>Мокрицкий Константин Александрович</v>
          </cell>
        </row>
        <row r="305">
          <cell r="A305" t="str">
            <v>Королёв Сергей Николаевич</v>
          </cell>
        </row>
        <row r="306">
          <cell r="A306" t="str">
            <v>Кормилицын Максим Геннадиевич</v>
          </cell>
        </row>
        <row r="307">
          <cell r="A307" t="str">
            <v>Егупов Дмитрий Сергеевич</v>
          </cell>
        </row>
        <row r="308">
          <cell r="A308" t="str">
            <v>Гевондян Сергей Норайрович</v>
          </cell>
        </row>
        <row r="309">
          <cell r="A309" t="str">
            <v>Варданян Ара Лаврентович</v>
          </cell>
        </row>
        <row r="310">
          <cell r="A310" t="str">
            <v>Багаев Феликс Давидович</v>
          </cell>
        </row>
        <row r="311">
          <cell r="A311" t="str">
            <v>Аракелян Арут Арменович</v>
          </cell>
        </row>
        <row r="312">
          <cell r="A312" t="str">
            <v>Берберян Эдуард Арутюнович</v>
          </cell>
        </row>
        <row r="313">
          <cell r="A313" t="str">
            <v>Рамазанов Абакар Рамазанович</v>
          </cell>
        </row>
        <row r="314">
          <cell r="A314" t="str">
            <v>Мырзалиев Абдырасул Израилович</v>
          </cell>
        </row>
        <row r="315">
          <cell r="A315" t="str">
            <v>Ширманов Никита Александрович</v>
          </cell>
        </row>
        <row r="316">
          <cell r="A316" t="str">
            <v>Ларина Анна Ильинична</v>
          </cell>
        </row>
        <row r="317">
          <cell r="A317" t="str">
            <v>Макси-Строй ООО</v>
          </cell>
        </row>
        <row r="318">
          <cell r="A318" t="str">
            <v>Ивакин Тимофей Геннадьевич</v>
          </cell>
        </row>
        <row r="319">
          <cell r="A319" t="str">
            <v>Погосян Давид Грачьяевич</v>
          </cell>
        </row>
        <row r="320">
          <cell r="A320" t="str">
            <v>Смирнов Михаил Львович</v>
          </cell>
        </row>
        <row r="321">
          <cell r="A321" t="str">
            <v>Новиков Артем Дмитриевич</v>
          </cell>
        </row>
        <row r="322">
          <cell r="A322" t="str">
            <v>Нахапетов Артур Валерьевич</v>
          </cell>
        </row>
        <row r="323">
          <cell r="A323" t="str">
            <v>Дробот Роман Вячеславович</v>
          </cell>
        </row>
        <row r="324">
          <cell r="A324" t="str">
            <v>Матвеева Дарья Вячеславовна</v>
          </cell>
        </row>
        <row r="325">
          <cell r="A325" t="str">
            <v>Цилевич Александр Сергеевич</v>
          </cell>
        </row>
        <row r="326">
          <cell r="A326" t="str">
            <v>Филатова Юлия Петровна</v>
          </cell>
        </row>
        <row r="327">
          <cell r="A327" t="str">
            <v>Шихалев Вячеслав Николаевич</v>
          </cell>
        </row>
        <row r="328">
          <cell r="A328" t="str">
            <v>Попов Михаил Александрович</v>
          </cell>
        </row>
        <row r="329">
          <cell r="A329" t="str">
            <v>Емелин Сергей Анатольевич</v>
          </cell>
        </row>
        <row r="330">
          <cell r="A330" t="str">
            <v>Смирнов Игорь Александрович</v>
          </cell>
        </row>
        <row r="331">
          <cell r="A331" t="str">
            <v>Журавлёв Денис Сергеевич</v>
          </cell>
        </row>
        <row r="332">
          <cell r="A332" t="str">
            <v>Лемкин Николай Иванович</v>
          </cell>
        </row>
        <row r="333">
          <cell r="A333" t="str">
            <v>Муратов Альмурат Муратович</v>
          </cell>
        </row>
        <row r="334">
          <cell r="A334" t="str">
            <v>ОРБИТА ООО</v>
          </cell>
        </row>
        <row r="335">
          <cell r="A335" t="str">
            <v>Юшков Юрий Валерьевич</v>
          </cell>
        </row>
        <row r="336">
          <cell r="A336" t="str">
            <v>Хечоян Владимир Левонович</v>
          </cell>
        </row>
        <row r="337">
          <cell r="A337" t="str">
            <v>Сидоренко Надежда Алексеевна</v>
          </cell>
        </row>
        <row r="338">
          <cell r="A338" t="str">
            <v>Платонов Николай Владимирович</v>
          </cell>
        </row>
        <row r="339">
          <cell r="A339" t="str">
            <v>Васильев Дмитрий Сергеевич</v>
          </cell>
        </row>
        <row r="340">
          <cell r="A340" t="str">
            <v>Иванов Алексей Александрович</v>
          </cell>
        </row>
        <row r="341">
          <cell r="A341" t="str">
            <v>Радев Николай Васильевич</v>
          </cell>
        </row>
        <row r="342">
          <cell r="A342" t="str">
            <v>Лебедев Мирон Робертович</v>
          </cell>
        </row>
        <row r="343">
          <cell r="A343" t="str">
            <v>Бурков Анатолий Александрович</v>
          </cell>
        </row>
        <row r="344">
          <cell r="A344" t="str">
            <v>Орехова Екатерина Юрьевна</v>
          </cell>
        </row>
        <row r="345">
          <cell r="A345" t="str">
            <v>Лапин Дмитрий Геннадьевич</v>
          </cell>
        </row>
        <row r="346">
          <cell r="A346" t="str">
            <v>Виноградова Светлана Витальевна</v>
          </cell>
        </row>
        <row r="347">
          <cell r="A347" t="str">
            <v>СПЕЦДОРСТРОЙ ООО</v>
          </cell>
        </row>
        <row r="348">
          <cell r="A348" t="str">
            <v>ТРАНСЛОГ ООО</v>
          </cell>
        </row>
        <row r="349">
          <cell r="A349" t="str">
            <v>Юров Михаил Витальевич</v>
          </cell>
        </row>
        <row r="350">
          <cell r="A350" t="str">
            <v>Сироткин Олег Георгиевич</v>
          </cell>
        </row>
        <row r="351">
          <cell r="A351" t="str">
            <v>Романов Евгений Юрьевич</v>
          </cell>
        </row>
        <row r="352">
          <cell r="A352" t="str">
            <v>Прохорова Лариса Александровна</v>
          </cell>
        </row>
        <row r="353">
          <cell r="A353" t="str">
            <v>Мамлина Наталия Андреевна</v>
          </cell>
        </row>
        <row r="354">
          <cell r="A354" t="str">
            <v>Макси-Строй ООО</v>
          </cell>
        </row>
        <row r="355">
          <cell r="A355" t="str">
            <v>Куразян Гарий Рафаэлович</v>
          </cell>
        </row>
        <row r="356">
          <cell r="A356" t="str">
            <v>Колесников Евгений Михайлович</v>
          </cell>
        </row>
        <row r="357">
          <cell r="A357" t="str">
            <v>Ципис Вадим Яковлевич</v>
          </cell>
        </row>
        <row r="358">
          <cell r="A358" t="str">
            <v>Павлов Максим Андреевич</v>
          </cell>
        </row>
        <row r="359">
          <cell r="A359" t="str">
            <v>Крюков Сергей Викторович</v>
          </cell>
        </row>
        <row r="360">
          <cell r="A360" t="str">
            <v>Сурин Георгий Николаевич</v>
          </cell>
        </row>
        <row r="361">
          <cell r="A361" t="str">
            <v>Сапунов Дмитрий Владимирович</v>
          </cell>
        </row>
        <row r="362">
          <cell r="A362" t="str">
            <v>Дробот Роман Вячеславович</v>
          </cell>
        </row>
        <row r="363">
          <cell r="A363" t="str">
            <v>Галицина Елена Викторовна</v>
          </cell>
        </row>
        <row r="364">
          <cell r="A364" t="str">
            <v>Матвеева Дарья Вячеславовна</v>
          </cell>
        </row>
        <row r="365">
          <cell r="A365" t="str">
            <v>Зинина Анна Вячеславовна</v>
          </cell>
        </row>
        <row r="366">
          <cell r="A366" t="str">
            <v>Диденко Роман Владимирович</v>
          </cell>
        </row>
        <row r="367">
          <cell r="A367" t="str">
            <v>Лякишев Павел Александрович</v>
          </cell>
        </row>
        <row r="368">
          <cell r="A368" t="str">
            <v>Король Маргарита Игоревна</v>
          </cell>
        </row>
        <row r="369">
          <cell r="A369" t="str">
            <v>Худомясова Александра Антуановна</v>
          </cell>
        </row>
        <row r="370">
          <cell r="A370" t="str">
            <v>Погосян Давид Грачьяевич</v>
          </cell>
        </row>
        <row r="371">
          <cell r="A371" t="str">
            <v>Нахапетов Артур Валерьевич</v>
          </cell>
        </row>
        <row r="372">
          <cell r="A372" t="str">
            <v>Худин Виктор Васильевич</v>
          </cell>
        </row>
        <row r="373">
          <cell r="A373" t="str">
            <v>Рузавина Наталья Викторовна</v>
          </cell>
        </row>
        <row r="374">
          <cell r="A374" t="str">
            <v>Кожанов Александр Михайлович</v>
          </cell>
        </row>
        <row r="375">
          <cell r="A375" t="str">
            <v>Зайцева Светлана Юрьевна</v>
          </cell>
        </row>
        <row r="376">
          <cell r="A376" t="str">
            <v>Байрамов Сабир Вагифович</v>
          </cell>
        </row>
        <row r="377">
          <cell r="A377" t="str">
            <v>Абдурашитов Озодбек Мавланжанович</v>
          </cell>
        </row>
        <row r="378">
          <cell r="A378" t="str">
            <v>Сомов Денис Валерьевич</v>
          </cell>
        </row>
        <row r="379">
          <cell r="A379" t="str">
            <v>Футыш Оксана Ярославовна</v>
          </cell>
        </row>
        <row r="380">
          <cell r="A380" t="str">
            <v>ИП Артемов Александр Викторович</v>
          </cell>
        </row>
        <row r="381">
          <cell r="A381" t="str">
            <v>Карташова Евгения Анатольевна</v>
          </cell>
        </row>
        <row r="382">
          <cell r="A382" t="str">
            <v>Шаулов Шаул Рамбомович</v>
          </cell>
        </row>
        <row r="383">
          <cell r="A383" t="str">
            <v>Рамазанов Абакар Рамазанович</v>
          </cell>
        </row>
        <row r="384">
          <cell r="A384" t="str">
            <v>Башкатов Егор Иванович</v>
          </cell>
        </row>
        <row r="385">
          <cell r="A385" t="str">
            <v>Логвинчук Василий Святославович</v>
          </cell>
        </row>
        <row r="386">
          <cell r="A386" t="str">
            <v>Первушина Юлия Владимировна</v>
          </cell>
        </row>
        <row r="387">
          <cell r="A387" t="str">
            <v>Хачикян Давид Алексеевич</v>
          </cell>
        </row>
        <row r="388">
          <cell r="A388" t="str">
            <v>Турумбекова Темиркан Кадырбековна</v>
          </cell>
        </row>
        <row r="389">
          <cell r="A389" t="str">
            <v>Осадчий Сергей Александрович</v>
          </cell>
        </row>
        <row r="390">
          <cell r="A390" t="str">
            <v>Аксенчук Александр Вячеславович</v>
          </cell>
        </row>
        <row r="391">
          <cell r="A391" t="str">
            <v>Тульнова Ольга Владимировна</v>
          </cell>
        </row>
        <row r="392">
          <cell r="A392" t="str">
            <v>Павлюк Татьяна Николаевна</v>
          </cell>
        </row>
        <row r="393">
          <cell r="A393" t="str">
            <v>Труханкин Анатолий Васильевич</v>
          </cell>
        </row>
        <row r="394">
          <cell r="A394" t="str">
            <v>Попов Михаил Александрович</v>
          </cell>
        </row>
        <row r="395">
          <cell r="A395" t="str">
            <v>Азиев Абдурахман Авхадович</v>
          </cell>
        </row>
        <row r="396">
          <cell r="A396" t="str">
            <v>Селиверстова Евгения Владимировна</v>
          </cell>
        </row>
        <row r="397">
          <cell r="A397" t="str">
            <v>Карагезян Шушаник Вачагановна</v>
          </cell>
        </row>
        <row r="398">
          <cell r="A398" t="str">
            <v>Белякова Марина Сергеевна</v>
          </cell>
        </row>
        <row r="399">
          <cell r="A399" t="str">
            <v>Самойлов Дмитрий Анатольевич</v>
          </cell>
        </row>
        <row r="400">
          <cell r="A400" t="str">
            <v>Владимиров Сергей Прохорович</v>
          </cell>
        </row>
        <row r="401">
          <cell r="A401" t="str">
            <v>Алексеев Михаил Александрович</v>
          </cell>
        </row>
        <row r="402">
          <cell r="A402" t="str">
            <v>Ибрагимов Тимирбулат Мусаевич</v>
          </cell>
        </row>
        <row r="403">
          <cell r="A403" t="str">
            <v>Ярунина Олеся Олеговна</v>
          </cell>
        </row>
        <row r="404">
          <cell r="A404" t="str">
            <v>Османов Расул Магомедович</v>
          </cell>
        </row>
        <row r="405">
          <cell r="A405" t="str">
            <v>Шабанова Элвира Назировна</v>
          </cell>
        </row>
        <row r="406">
          <cell r="A406" t="str">
            <v>Горбенко Олег Олегович</v>
          </cell>
        </row>
        <row r="407">
          <cell r="A407" t="str">
            <v>Коконев Николай Александрович</v>
          </cell>
        </row>
        <row r="408">
          <cell r="A408" t="str">
            <v>Коцуба Андрей Сергеевич</v>
          </cell>
        </row>
        <row r="409">
          <cell r="A409" t="str">
            <v>Мелоян Вардан Айкович</v>
          </cell>
        </row>
        <row r="410">
          <cell r="A410" t="str">
            <v>Навоян Георг Анатолевич</v>
          </cell>
        </row>
        <row r="411">
          <cell r="A411" t="str">
            <v>Гучуа Натия Геноевна</v>
          </cell>
        </row>
        <row r="412">
          <cell r="A412" t="str">
            <v>Бульбас Максим Юрьевич</v>
          </cell>
        </row>
        <row r="413">
          <cell r="A413" t="str">
            <v>Юшков Юрий Валерьевич</v>
          </cell>
        </row>
        <row r="414">
          <cell r="A414" t="str">
            <v>Хлебников Владимир Витальевич</v>
          </cell>
        </row>
        <row r="415">
          <cell r="A415" t="str">
            <v>Сироткин Олег Георгиевич</v>
          </cell>
        </row>
        <row r="416">
          <cell r="A416" t="str">
            <v>Прохорова Лариса Александровна</v>
          </cell>
        </row>
        <row r="417">
          <cell r="A417" t="str">
            <v>Макси-Строй ООО</v>
          </cell>
        </row>
        <row r="418">
          <cell r="A418" t="str">
            <v>Котляров Алексей Дмитриевич</v>
          </cell>
        </row>
        <row r="419">
          <cell r="A419" t="str">
            <v>ТРАНСЛОГ ООО</v>
          </cell>
        </row>
        <row r="420">
          <cell r="A420" t="str">
            <v>Мордвинцева Елена Александровна</v>
          </cell>
        </row>
        <row r="421">
          <cell r="A421" t="str">
            <v>Конуркин Сергей Сергеевич</v>
          </cell>
        </row>
        <row r="422">
          <cell r="A422" t="str">
            <v>Ичалов Абдула Гаджиахмедович</v>
          </cell>
        </row>
        <row r="423">
          <cell r="A423" t="str">
            <v>Бесаев Заур Маратович</v>
          </cell>
        </row>
        <row r="424">
          <cell r="A424" t="str">
            <v>Рикшпун Татьяна Александровна</v>
          </cell>
        </row>
        <row r="426">
          <cell r="A426" t="str">
            <v>Джулакян Мартирос Жораевич</v>
          </cell>
        </row>
        <row r="427">
          <cell r="A427" t="str">
            <v>Билалов Имам Исламович</v>
          </cell>
        </row>
        <row r="428">
          <cell r="A428" t="str">
            <v>Рахимов Фарход Каримович</v>
          </cell>
        </row>
        <row r="429">
          <cell r="A429" t="str">
            <v>Погосян Давид Грачьяевич</v>
          </cell>
        </row>
        <row r="430">
          <cell r="A430" t="str">
            <v>Хадиев Фанис Рафисович</v>
          </cell>
        </row>
        <row r="431">
          <cell r="A431" t="str">
            <v>Прохоров Александр Владимирович</v>
          </cell>
        </row>
        <row r="432">
          <cell r="A432" t="str">
            <v>Павлюк Татьяна Николаевна</v>
          </cell>
        </row>
        <row r="433">
          <cell r="A433" t="str">
            <v>Кравченко Вера Юрьевна</v>
          </cell>
        </row>
        <row r="434">
          <cell r="A434" t="str">
            <v>Набойченко Юлия Александровна</v>
          </cell>
        </row>
        <row r="435">
          <cell r="A435" t="str">
            <v>Дробот Роман Вячеславович</v>
          </cell>
        </row>
        <row r="436">
          <cell r="A436" t="str">
            <v>Буниатян Арман Арменакович</v>
          </cell>
        </row>
        <row r="437">
          <cell r="A437" t="str">
            <v>Петров Александр Владимирович</v>
          </cell>
        </row>
        <row r="438">
          <cell r="A438" t="str">
            <v>Манасян Ашот Сергеевич</v>
          </cell>
        </row>
        <row r="439">
          <cell r="A439" t="str">
            <v>ИП Камшонков Александр Владимирович</v>
          </cell>
        </row>
        <row r="440">
          <cell r="A440" t="str">
            <v>Гойгереев Камал Исаевич</v>
          </cell>
        </row>
        <row r="441">
          <cell r="A441" t="str">
            <v>Зинина Анна Вячеславовна</v>
          </cell>
        </row>
        <row r="442">
          <cell r="A442" t="str">
            <v>Хашидов Имамутдин Салимханович</v>
          </cell>
        </row>
        <row r="443">
          <cell r="A443" t="str">
            <v>Колпаков Антон Валерьевич</v>
          </cell>
        </row>
        <row r="444">
          <cell r="A444" t="str">
            <v>Жумабаев Умар Сонунбекович</v>
          </cell>
        </row>
        <row r="445">
          <cell r="A445" t="str">
            <v>Мырзалиев Абдырасул Израилович</v>
          </cell>
        </row>
        <row r="446">
          <cell r="A446" t="str">
            <v>Саакян Людвик Геворгович</v>
          </cell>
        </row>
        <row r="447">
          <cell r="A447" t="str">
            <v>Белгер Эрнест Владимирович</v>
          </cell>
        </row>
        <row r="448">
          <cell r="A448" t="str">
            <v>Азиев Абдурахман Авхадович</v>
          </cell>
        </row>
        <row r="449">
          <cell r="A449" t="str">
            <v>Кормилицын Максим Геннадиевич</v>
          </cell>
        </row>
        <row r="450">
          <cell r="A450" t="str">
            <v>Иванов Антон Олегович</v>
          </cell>
        </row>
        <row r="451">
          <cell r="A451" t="str">
            <v>Амбарцумян Франц Григорьевич</v>
          </cell>
        </row>
        <row r="452">
          <cell r="A452" t="str">
            <v>АС ООО</v>
          </cell>
        </row>
        <row r="453">
          <cell r="A453" t="str">
            <v>Пронина Кристина Яковлевна</v>
          </cell>
        </row>
        <row r="454">
          <cell r="A454" t="str">
            <v>Чаплыгина Наталья Владимировна</v>
          </cell>
        </row>
        <row r="455">
          <cell r="A455" t="str">
            <v>Ширманов Никита Александрович</v>
          </cell>
        </row>
        <row r="456">
          <cell r="A456" t="str">
            <v>ООО СК ЭВЕРЕСТ</v>
          </cell>
        </row>
        <row r="457">
          <cell r="A457" t="str">
            <v>Соловьёв Владимир Павлович</v>
          </cell>
        </row>
        <row r="458">
          <cell r="A458" t="str">
            <v>Семенов Николай Юрьевич</v>
          </cell>
        </row>
        <row r="459">
          <cell r="A459" t="str">
            <v>Журавлева Анастасия Александровна</v>
          </cell>
        </row>
        <row r="460">
          <cell r="A460" t="str">
            <v>Воробьёв Иван Сергеевич</v>
          </cell>
        </row>
        <row r="461">
          <cell r="A461" t="str">
            <v>Федорченко Любовь Сергеевна</v>
          </cell>
        </row>
        <row r="462">
          <cell r="A462" t="str">
            <v>Аркатов Денис Евгеньевич</v>
          </cell>
        </row>
        <row r="463">
          <cell r="A463" t="str">
            <v>Петров Сергей Владимирович</v>
          </cell>
        </row>
        <row r="464">
          <cell r="A464" t="str">
            <v>Каменев Константин Николаевич</v>
          </cell>
        </row>
        <row r="465">
          <cell r="A465" t="str">
            <v>Цирамуа Наталия Наполеоновна</v>
          </cell>
        </row>
        <row r="466">
          <cell r="A466" t="str">
            <v>Смирнов Михаил Львович</v>
          </cell>
        </row>
        <row r="467">
          <cell r="A467" t="str">
            <v>Семененко Трофим Игоревич</v>
          </cell>
        </row>
        <row r="468">
          <cell r="A468" t="str">
            <v>Рузавина Наталья Викторовна</v>
          </cell>
        </row>
        <row r="469">
          <cell r="A469" t="str">
            <v>Манасян Ашот Сергеевич</v>
          </cell>
        </row>
        <row r="470">
          <cell r="A470" t="str">
            <v>Лотонин Александр Олегович</v>
          </cell>
        </row>
        <row r="471">
          <cell r="A471" t="str">
            <v>Кравченко Вера Юрьевна</v>
          </cell>
        </row>
        <row r="472">
          <cell r="A472" t="str">
            <v>Колесников Евгений Михайлович</v>
          </cell>
        </row>
        <row r="473">
          <cell r="A473" t="str">
            <v>Ичалов Абдула Гаджиахмедович</v>
          </cell>
        </row>
        <row r="474">
          <cell r="A474" t="str">
            <v>Журавлёв Денис Сергеевич</v>
          </cell>
        </row>
        <row r="475">
          <cell r="A475" t="str">
            <v>Бакласова Мирабелла Викторовна</v>
          </cell>
        </row>
        <row r="476">
          <cell r="A476" t="str">
            <v>Анищенкова Оксана Михайловна</v>
          </cell>
        </row>
        <row r="477">
          <cell r="A477" t="str">
            <v>Абдурашитов Озодбек Мавланжанович</v>
          </cell>
        </row>
        <row r="478">
          <cell r="A478" t="str">
            <v>ИП Артемов Александр Викторович</v>
          </cell>
        </row>
        <row r="479">
          <cell r="A479" t="str">
            <v>Ширманов Никита Александрович</v>
          </cell>
        </row>
        <row r="480">
          <cell r="A480" t="str">
            <v>Чеботкова Полина Михайловна</v>
          </cell>
        </row>
        <row r="481">
          <cell r="A481" t="str">
            <v>Семенов Сергей Юрьевич</v>
          </cell>
        </row>
        <row r="482">
          <cell r="A482" t="str">
            <v>Комаров Роман Иванович</v>
          </cell>
        </row>
        <row r="483">
          <cell r="A483" t="str">
            <v>Попов Виктор Вячеславович</v>
          </cell>
        </row>
        <row r="484">
          <cell r="A484" t="str">
            <v>Мордвинцева Елена Александровна</v>
          </cell>
        </row>
        <row r="485">
          <cell r="A485" t="str">
            <v>Ципис Вадим Яковлевич</v>
          </cell>
        </row>
        <row r="486">
          <cell r="A486" t="str">
            <v>Сомов Денис Валерьевич</v>
          </cell>
        </row>
        <row r="487">
          <cell r="A487" t="str">
            <v>Овсепян Жирайр Араевич</v>
          </cell>
        </row>
        <row r="488">
          <cell r="A488" t="str">
            <v>Король Маргарита Игоревна</v>
          </cell>
        </row>
        <row r="489">
          <cell r="A489" t="str">
            <v>Пономарчук Андрей Борисович</v>
          </cell>
        </row>
        <row r="490">
          <cell r="A490" t="str">
            <v>Насырова Шахлохон Раимжановна</v>
          </cell>
        </row>
        <row r="491">
          <cell r="A491" t="str">
            <v>Тимошинин Сергей Сергеевич</v>
          </cell>
        </row>
        <row r="492">
          <cell r="A492" t="str">
            <v>Козлов Александр Борисович</v>
          </cell>
        </row>
        <row r="493">
          <cell r="A493" t="str">
            <v>Виноградова Светлана Витальевна</v>
          </cell>
        </row>
        <row r="494">
          <cell r="A494" t="str">
            <v>Хадиев Фанис Рафисович</v>
          </cell>
        </row>
        <row r="495">
          <cell r="A495" t="str">
            <v>Магомедов Саид Магомедрасулович</v>
          </cell>
        </row>
        <row r="496">
          <cell r="A496" t="str">
            <v>Попов Роман Николаевич</v>
          </cell>
        </row>
        <row r="497">
          <cell r="A497" t="str">
            <v>Амирханян Оганес Николаевич</v>
          </cell>
        </row>
        <row r="498">
          <cell r="A498" t="str">
            <v>Яковлев Борис Викторович</v>
          </cell>
        </row>
        <row r="499">
          <cell r="A499" t="str">
            <v>Юшков Юрий Валерьевич</v>
          </cell>
        </row>
        <row r="500">
          <cell r="A500" t="str">
            <v>Павлюк Татьяна Николаевна</v>
          </cell>
        </row>
        <row r="501">
          <cell r="A501" t="str">
            <v>Жумабаев Умар Сонунбекович</v>
          </cell>
        </row>
        <row r="502">
          <cell r="A502" t="str">
            <v>Алхименков Даниил Андреевич</v>
          </cell>
        </row>
        <row r="503">
          <cell r="A503" t="str">
            <v>Храмков Евгений Александрович</v>
          </cell>
        </row>
        <row r="504">
          <cell r="A504" t="str">
            <v>Рыбаков Виктор Васильевич</v>
          </cell>
        </row>
        <row r="505">
          <cell r="A505" t="str">
            <v>Моисеев Павел Викторович</v>
          </cell>
        </row>
        <row r="506">
          <cell r="A506" t="str">
            <v>Зайцев Иван Владимирович</v>
          </cell>
        </row>
        <row r="507">
          <cell r="A507" t="str">
            <v>Овчинников Виталий Сергеевич</v>
          </cell>
        </row>
        <row r="508">
          <cell r="A508" t="str">
            <v>Овчинников Виталий Сергеевич</v>
          </cell>
        </row>
        <row r="509">
          <cell r="A509" t="str">
            <v>Лямин Сергей Александрович</v>
          </cell>
        </row>
        <row r="510">
          <cell r="A510" t="str">
            <v>Куразян Гарий Рафаэлович</v>
          </cell>
        </row>
        <row r="511">
          <cell r="A511" t="str">
            <v>Колесников Михаил Вячеславович</v>
          </cell>
        </row>
        <row r="512">
          <cell r="A512" t="str">
            <v>Храмков Евгений Александрович</v>
          </cell>
        </row>
        <row r="513">
          <cell r="A513" t="str">
            <v>Спирина Полина Витальевна</v>
          </cell>
        </row>
        <row r="514">
          <cell r="A514" t="str">
            <v>Сергеев Даниил Борисович</v>
          </cell>
        </row>
        <row r="515">
          <cell r="A515" t="str">
            <v>Подтуркин Алексей Сергеевич</v>
          </cell>
        </row>
        <row r="516">
          <cell r="A516" t="str">
            <v>Карагезян Шушаник Вачагановна</v>
          </cell>
        </row>
        <row r="517">
          <cell r="A517" t="str">
            <v>Новиков Артем Дмитриевич</v>
          </cell>
        </row>
        <row r="518">
          <cell r="A518" t="str">
            <v>Расулов Ахмедхан Саидбекович</v>
          </cell>
        </row>
        <row r="519">
          <cell r="A519" t="str">
            <v>Гюльбалаев Азамат Шарфитдинович</v>
          </cell>
        </row>
        <row r="520">
          <cell r="A520" t="str">
            <v>Мамалюк Алексей Михайлович</v>
          </cell>
        </row>
        <row r="521">
          <cell r="A521" t="str">
            <v>Мухаев Андрей Игоревич</v>
          </cell>
        </row>
        <row r="522">
          <cell r="A522" t="str">
            <v>Степанов Алексей Геннадьевич</v>
          </cell>
        </row>
        <row r="523">
          <cell r="A523" t="str">
            <v>Мичурин Евгений Алексеевич</v>
          </cell>
        </row>
        <row r="524">
          <cell r="A524" t="str">
            <v>Азиев Абдурахман Авхадович</v>
          </cell>
        </row>
        <row r="525">
          <cell r="A525" t="str">
            <v>Гордеев Дмитрий Романович</v>
          </cell>
        </row>
        <row r="526">
          <cell r="A526" t="str">
            <v>ООО СК ЭВЕРЕСТ</v>
          </cell>
        </row>
        <row r="527">
          <cell r="A527" t="str">
            <v>Шелин Екатерина Вячеславовна</v>
          </cell>
        </row>
        <row r="528">
          <cell r="A528" t="str">
            <v>Митясов Вячеслав Владимирович</v>
          </cell>
        </row>
        <row r="529">
          <cell r="A529" t="str">
            <v>Пшеничников Дмитрий Станиславович</v>
          </cell>
        </row>
        <row r="530">
          <cell r="A530" t="str">
            <v>Хасанов Рамзан Вахаевич</v>
          </cell>
        </row>
        <row r="531">
          <cell r="A531" t="str">
            <v>Пшеничников Дмитрий Станиславович</v>
          </cell>
        </row>
        <row r="532">
          <cell r="A532" t="str">
            <v>Гуров Евгений Сергеевич</v>
          </cell>
        </row>
        <row r="533">
          <cell r="A533" t="str">
            <v>Якунин Валерий Викторович</v>
          </cell>
        </row>
        <row r="534">
          <cell r="A534" t="str">
            <v>Клочихина Ирина Валерьевна</v>
          </cell>
        </row>
        <row r="535">
          <cell r="A535" t="str">
            <v>СиБи Групп Рус ООО</v>
          </cell>
        </row>
        <row r="536">
          <cell r="A536" t="str">
            <v>Алыбаев Долеткельди Ягудович</v>
          </cell>
        </row>
        <row r="537">
          <cell r="A537" t="str">
            <v>Тихонова Ирина Анатольевна</v>
          </cell>
        </row>
        <row r="538">
          <cell r="A538" t="str">
            <v>Чикатуева Джульета Аслановна</v>
          </cell>
        </row>
        <row r="539">
          <cell r="A539" t="str">
            <v>Рузавина Наталья Викторовна</v>
          </cell>
        </row>
        <row r="540">
          <cell r="A540" t="str">
            <v>Кожанов Александр Михайлович</v>
          </cell>
        </row>
        <row r="541">
          <cell r="A541" t="str">
            <v>Ичалов Абдула Гаджиахмедович</v>
          </cell>
        </row>
        <row r="542">
          <cell r="A542" t="str">
            <v>Козин Яков Геннадьевич</v>
          </cell>
        </row>
        <row r="543">
          <cell r="A543" t="str">
            <v>ТРИТОНН ООО</v>
          </cell>
        </row>
        <row r="544">
          <cell r="A544" t="str">
            <v>ТРАНСЛОГ ООО</v>
          </cell>
        </row>
        <row r="545">
          <cell r="A545" t="str">
            <v>Юров Михаил Витальевич</v>
          </cell>
        </row>
        <row r="546">
          <cell r="A546" t="str">
            <v>Есиков Алексей Вячеславович</v>
          </cell>
        </row>
        <row r="547">
          <cell r="A547" t="str">
            <v>Мырзалиев Абдырасул Израилович</v>
          </cell>
        </row>
        <row r="548">
          <cell r="A548" t="str">
            <v>Спирина Полина Витальевна</v>
          </cell>
        </row>
        <row r="549">
          <cell r="A549" t="str">
            <v>Прохоров Александр Владимирович</v>
          </cell>
        </row>
        <row r="550">
          <cell r="A550" t="str">
            <v>Кузьмичев Иван Сергеевич</v>
          </cell>
        </row>
        <row r="551">
          <cell r="A551" t="str">
            <v>Григорьев Олег Вячеславович</v>
          </cell>
        </row>
        <row r="552">
          <cell r="A552" t="str">
            <v>Алексеева Светлана Николаевна</v>
          </cell>
        </row>
        <row r="553">
          <cell r="A553" t="str">
            <v>Шестаков Евгений Николаевич</v>
          </cell>
        </row>
        <row r="554">
          <cell r="A554" t="str">
            <v>Ципис Вадим Яковлевич</v>
          </cell>
        </row>
        <row r="555">
          <cell r="A555" t="str">
            <v>Поплавков Александр Петрович</v>
          </cell>
        </row>
        <row r="556">
          <cell r="A556" t="str">
            <v>Богданов Александр Сергеевич</v>
          </cell>
        </row>
        <row r="557">
          <cell r="A557" t="str">
            <v>СК ОЛИМП ООО</v>
          </cell>
        </row>
        <row r="558">
          <cell r="A558" t="str">
            <v>Колесников Евгений Михайлович</v>
          </cell>
        </row>
        <row r="559">
          <cell r="A559" t="str">
            <v>Кашуба Артем Сергеевич</v>
          </cell>
        </row>
        <row r="560">
          <cell r="A560" t="str">
            <v>Гатауллин Рафаэль Винерович</v>
          </cell>
        </row>
        <row r="561">
          <cell r="A561" t="str">
            <v>Морозов Евгений Станиславович</v>
          </cell>
        </row>
        <row r="562">
          <cell r="A562" t="str">
            <v>Зеленский Альберт Александрович</v>
          </cell>
        </row>
        <row r="563">
          <cell r="A563" t="str">
            <v>Пронина Кристина Яковлевна</v>
          </cell>
        </row>
        <row r="564">
          <cell r="A564" t="str">
            <v>Кузьмичев Иван Сергеевич</v>
          </cell>
        </row>
        <row r="565">
          <cell r="A565" t="str">
            <v>Нахапетов Артур Валерьевич</v>
          </cell>
        </row>
        <row r="566">
          <cell r="A566" t="str">
            <v>Селеверстов Михаил Васильевич</v>
          </cell>
        </row>
        <row r="567">
          <cell r="A567" t="str">
            <v>Ципис Вадим Яковлевич</v>
          </cell>
        </row>
        <row r="568">
          <cell r="A568" t="str">
            <v>Змиевский Владимир Владимирович</v>
          </cell>
        </row>
        <row r="569">
          <cell r="A569" t="str">
            <v>ИП Артемов Александр Викторович</v>
          </cell>
        </row>
        <row r="570">
          <cell r="A570" t="str">
            <v>Иванов Антон Олегович</v>
          </cell>
        </row>
        <row r="571">
          <cell r="A571" t="str">
            <v>Турумбекова Темиркан Кадырбековна</v>
          </cell>
        </row>
        <row r="572">
          <cell r="A572" t="str">
            <v>Гупало Илья Александрович</v>
          </cell>
        </row>
        <row r="573">
          <cell r="A573" t="str">
            <v>Османов Расул Магомедович</v>
          </cell>
        </row>
        <row r="574">
          <cell r="A574" t="str">
            <v>Барышникова Александра Андреевна</v>
          </cell>
        </row>
        <row r="575">
          <cell r="A575" t="str">
            <v>Дрожжин Андрей Юрьевич</v>
          </cell>
        </row>
        <row r="576">
          <cell r="A576" t="str">
            <v>Хижняк Лада Виталиевна</v>
          </cell>
        </row>
        <row r="577">
          <cell r="A577" t="str">
            <v>Моисеев Михаил Исаевич</v>
          </cell>
        </row>
        <row r="578">
          <cell r="A578" t="str">
            <v>Степанов Андрей Васильевич</v>
          </cell>
        </row>
        <row r="579">
          <cell r="A579" t="str">
            <v>Тертишник Павел Валерьевич</v>
          </cell>
        </row>
        <row r="580">
          <cell r="A580" t="str">
            <v>Курышев Дмитрий Александрович</v>
          </cell>
        </row>
        <row r="581">
          <cell r="A581" t="str">
            <v>Ильченко Анастасия Сергеевна</v>
          </cell>
        </row>
        <row r="582">
          <cell r="A582" t="str">
            <v>Егоров Павел Евгеньевич</v>
          </cell>
        </row>
        <row r="583">
          <cell r="A583" t="str">
            <v>Егоров Павел Евгеньевич</v>
          </cell>
        </row>
        <row r="584">
          <cell r="A584" t="str">
            <v>Галёна Ольга Владимировна</v>
          </cell>
        </row>
        <row r="585">
          <cell r="A585" t="str">
            <v>Гиенко Павел Анатольевич</v>
          </cell>
        </row>
        <row r="586">
          <cell r="A586" t="str">
            <v>Абдуллахи Амина Халифовна</v>
          </cell>
        </row>
        <row r="587">
          <cell r="A587" t="str">
            <v>Абдуллахи Амина Халифовна</v>
          </cell>
        </row>
        <row r="588">
          <cell r="A588" t="str">
            <v>Сычев Станислав Геннадьевич</v>
          </cell>
        </row>
        <row r="589">
          <cell r="A589" t="str">
            <v>Косинова Мария Евгеньевна</v>
          </cell>
        </row>
        <row r="590">
          <cell r="A590" t="str">
            <v>Ципис Вадим Яковлевич</v>
          </cell>
        </row>
        <row r="591">
          <cell r="A591" t="str">
            <v>Белан Надежда Александровна</v>
          </cell>
        </row>
        <row r="592">
          <cell r="A592" t="str">
            <v>Сычев Станислав Геннадьевич</v>
          </cell>
        </row>
        <row r="593">
          <cell r="A593" t="str">
            <v>Косинова Мария Евгеньевна</v>
          </cell>
        </row>
        <row r="594">
          <cell r="A594" t="str">
            <v>Косинова Мария Евгеньевна</v>
          </cell>
        </row>
        <row r="595">
          <cell r="A595" t="str">
            <v>Прусаков Максим Владимирович</v>
          </cell>
        </row>
        <row r="596">
          <cell r="A596" t="str">
            <v>Ширманов Никита Александрович</v>
          </cell>
        </row>
        <row r="598">
          <cell r="A598" t="str">
            <v>ФОРСАЙТ ООО</v>
          </cell>
        </row>
        <row r="599">
          <cell r="A599" t="str">
            <v>МСКСТРОЙ ООО</v>
          </cell>
        </row>
        <row r="600">
          <cell r="A600" t="str">
            <v>Хачатрян Лаврент Юрикович</v>
          </cell>
        </row>
        <row r="601">
          <cell r="A601" t="str">
            <v>Бакласова Мирабелла Викторовна</v>
          </cell>
        </row>
        <row r="602">
          <cell r="A602" t="str">
            <v>Крюков Сергей Викторович</v>
          </cell>
        </row>
        <row r="603">
          <cell r="A603" t="str">
            <v>Крюков Сергей Викторович</v>
          </cell>
        </row>
        <row r="604">
          <cell r="A604" t="str">
            <v>Белгер Эрнест Владимирович</v>
          </cell>
        </row>
        <row r="605">
          <cell r="A605" t="str">
            <v>Дробный Александр Олегович</v>
          </cell>
        </row>
        <row r="606">
          <cell r="A606" t="str">
            <v>Крикунов Тимофей Николаевич</v>
          </cell>
        </row>
        <row r="607">
          <cell r="A607" t="str">
            <v>Фомичев Денис Александрович</v>
          </cell>
        </row>
        <row r="608">
          <cell r="A608" t="str">
            <v>Люшняк Владислав Анатольевич</v>
          </cell>
        </row>
        <row r="609">
          <cell r="A609" t="str">
            <v>Рахимов Фарход Каримович</v>
          </cell>
        </row>
        <row r="610">
          <cell r="A610" t="str">
            <v>Карманов Виталий Петрович</v>
          </cell>
        </row>
        <row r="611">
          <cell r="A611" t="str">
            <v>ЭНБЕРЛИ ООО</v>
          </cell>
        </row>
        <row r="612">
          <cell r="A612" t="str">
            <v>Мазаев Вадим Викторович</v>
          </cell>
        </row>
        <row r="613">
          <cell r="A613" t="str">
            <v>Юров Михаил Витальевич</v>
          </cell>
        </row>
        <row r="614">
          <cell r="A614" t="str">
            <v>Цымбалов Виталий Павлович</v>
          </cell>
        </row>
        <row r="615">
          <cell r="A615" t="str">
            <v>Березин Виктор Владимирович</v>
          </cell>
        </row>
        <row r="616">
          <cell r="A616" t="str">
            <v>Валитов Марат Рифагатович</v>
          </cell>
        </row>
        <row r="617">
          <cell r="A617" t="str">
            <v>Атакишиев Гасым Гара Оглы</v>
          </cell>
        </row>
        <row r="618">
          <cell r="A618" t="str">
            <v>Перевозников Андрей Анатольевич</v>
          </cell>
        </row>
        <row r="619">
          <cell r="A619" t="str">
            <v>КЕЙСТОУН ООО</v>
          </cell>
        </row>
        <row r="620">
          <cell r="A620" t="str">
            <v>Саркисян Ваган Вартанович</v>
          </cell>
        </row>
        <row r="621">
          <cell r="A621" t="str">
            <v>Абраамян Арут Ширазович</v>
          </cell>
        </row>
        <row r="622">
          <cell r="A622" t="str">
            <v>ТРИТОНН ООО</v>
          </cell>
        </row>
        <row r="623">
          <cell r="A623" t="str">
            <v>Тагаева Ольга Гиниядовна</v>
          </cell>
        </row>
        <row r="624">
          <cell r="A624" t="str">
            <v>Матренин Сергей Викторович</v>
          </cell>
        </row>
        <row r="625">
          <cell r="A625" t="str">
            <v>Чеботкова Полина Михайловна</v>
          </cell>
        </row>
        <row r="626">
          <cell r="A626" t="str">
            <v>Ореховский Евгений Валериевич</v>
          </cell>
        </row>
        <row r="627">
          <cell r="A627" t="str">
            <v>Колобашкин Андрей Владимирович</v>
          </cell>
        </row>
        <row r="628">
          <cell r="A628" t="str">
            <v>Абдурашитов Озодбек Мавланжанович</v>
          </cell>
        </row>
        <row r="629">
          <cell r="A629" t="str">
            <v>Новоселов Сергей Владимирович</v>
          </cell>
        </row>
        <row r="630">
          <cell r="A630" t="str">
            <v>Мамлина Наталия Андреевна</v>
          </cell>
        </row>
        <row r="631">
          <cell r="A631" t="str">
            <v>Ичалов Абдула Гаджиахмедович</v>
          </cell>
        </row>
        <row r="632">
          <cell r="A632" t="str">
            <v>ИП Силкин Максим Алексеевич</v>
          </cell>
        </row>
        <row r="633">
          <cell r="A633" t="str">
            <v>Сердюк Вероника Владимировна</v>
          </cell>
        </row>
        <row r="634">
          <cell r="A634" t="str">
            <v>Геворгян Агаси Ашотович</v>
          </cell>
        </row>
        <row r="635">
          <cell r="A635" t="str">
            <v>Кильдюшкин Андрей Николаевич</v>
          </cell>
        </row>
        <row r="636">
          <cell r="A636" t="str">
            <v>Фомичева Маргарита Витальевна</v>
          </cell>
        </row>
        <row r="637">
          <cell r="A637" t="str">
            <v>Омаров Расул Казибекович</v>
          </cell>
        </row>
        <row r="638">
          <cell r="A638" t="str">
            <v>Матренин Сергей Викторович</v>
          </cell>
        </row>
        <row r="639">
          <cell r="A639" t="str">
            <v>Худин Виктор Васильевич</v>
          </cell>
        </row>
        <row r="640">
          <cell r="A640" t="str">
            <v>Рыбаков Виктор Васильевич</v>
          </cell>
        </row>
        <row r="641">
          <cell r="A641" t="str">
            <v>Пономарчук Андрей Борисович</v>
          </cell>
        </row>
        <row r="642">
          <cell r="A642" t="str">
            <v>Палоян Самвел Максимович</v>
          </cell>
        </row>
        <row r="643">
          <cell r="A643" t="str">
            <v>Акимова Жанна Константиновна</v>
          </cell>
        </row>
        <row r="644">
          <cell r="A644" t="str">
            <v>ОФИС КРАФТ ООО</v>
          </cell>
        </row>
        <row r="645">
          <cell r="A645" t="str">
            <v>Набойченко Юлия Александровна</v>
          </cell>
        </row>
        <row r="646">
          <cell r="A646" t="str">
            <v>Худин Виктор Васильевич</v>
          </cell>
        </row>
        <row r="647">
          <cell r="A647" t="str">
            <v>Молчанов Дмитрий Викторович</v>
          </cell>
        </row>
        <row r="648">
          <cell r="A648" t="str">
            <v>Азиев Абдурахман Авхадович</v>
          </cell>
        </row>
        <row r="649">
          <cell r="A649" t="str">
            <v>Овчинников Виталий Сергеевич</v>
          </cell>
        </row>
        <row r="650">
          <cell r="A650" t="str">
            <v>Колесников Михаил Вячеславович</v>
          </cell>
        </row>
        <row r="651">
          <cell r="A651" t="str">
            <v>Егиазарян Геворг Рубикович</v>
          </cell>
        </row>
        <row r="652">
          <cell r="A652" t="str">
            <v>Минашвили Юрий Мишаевич</v>
          </cell>
        </row>
        <row r="653">
          <cell r="A653" t="str">
            <v>Соколов Сергей Юрьевич</v>
          </cell>
        </row>
        <row r="654">
          <cell r="A654" t="str">
            <v>Овчинников Виталий Сергеевич</v>
          </cell>
        </row>
        <row r="655">
          <cell r="A655" t="str">
            <v>Аликулов Серик Ергалеевич</v>
          </cell>
        </row>
        <row r="656">
          <cell r="A656" t="str">
            <v>Нигметов Ренат Ерсаинович</v>
          </cell>
        </row>
        <row r="657">
          <cell r="A657" t="str">
            <v>Фомичева Маргарита Витальевна</v>
          </cell>
        </row>
        <row r="658">
          <cell r="A658" t="str">
            <v>Щелков Александр Владимирович</v>
          </cell>
        </row>
        <row r="659">
          <cell r="A659" t="str">
            <v>Цирамуа Наталия Наполеоновна</v>
          </cell>
        </row>
        <row r="660">
          <cell r="A660" t="str">
            <v>Хулхачиев Очир Васильевич</v>
          </cell>
        </row>
        <row r="661">
          <cell r="A661" t="str">
            <v>ТРИТОНН ООО</v>
          </cell>
        </row>
        <row r="662">
          <cell r="A662" t="str">
            <v>Акимцева Юлия Анатольевна</v>
          </cell>
        </row>
        <row r="663">
          <cell r="A663" t="str">
            <v>Прохорова Лариса Александровна</v>
          </cell>
        </row>
        <row r="664">
          <cell r="A664" t="str">
            <v>Печников Алексей Олегович</v>
          </cell>
        </row>
        <row r="665">
          <cell r="A665" t="str">
            <v>Загорулько Алексей Сергеевич</v>
          </cell>
        </row>
        <row r="666">
          <cell r="A666" t="str">
            <v>Агузов Мурат Вячеславович</v>
          </cell>
        </row>
        <row r="667">
          <cell r="A667" t="str">
            <v>Шереметов Мурат Анатольевич</v>
          </cell>
        </row>
        <row r="668">
          <cell r="A668" t="str">
            <v>Абелян Артак Шагенович</v>
          </cell>
        </row>
        <row r="669">
          <cell r="A669" t="str">
            <v>Степанова Анна Олеговна</v>
          </cell>
        </row>
        <row r="670">
          <cell r="A670" t="str">
            <v>Кобахидзе Тэмури Юрьевич</v>
          </cell>
        </row>
        <row r="671">
          <cell r="A671" t="str">
            <v>Эктов Евгений Александрович</v>
          </cell>
        </row>
        <row r="672">
          <cell r="A672" t="str">
            <v>Терновая Наталия Вячеславовна</v>
          </cell>
        </row>
        <row r="673">
          <cell r="A673" t="str">
            <v>Пилосов Павел Петрович</v>
          </cell>
        </row>
        <row r="674">
          <cell r="A674" t="str">
            <v>Маркова Екатерина Викторовна</v>
          </cell>
        </row>
        <row r="675">
          <cell r="A675" t="str">
            <v>КЕЙСТОУН ООО</v>
          </cell>
        </row>
        <row r="676">
          <cell r="A676" t="str">
            <v>Шиховцов Игорь Николаевич</v>
          </cell>
        </row>
        <row r="677">
          <cell r="A677" t="str">
            <v>Хайдаров Бехруз Сайдуллоевич</v>
          </cell>
        </row>
        <row r="678">
          <cell r="A678" t="str">
            <v>Зотов Дмитрий Анатольевич</v>
          </cell>
        </row>
        <row r="679">
          <cell r="A679" t="str">
            <v>Ермаков Кирилл Андреевич</v>
          </cell>
        </row>
        <row r="680">
          <cell r="A680" t="str">
            <v>Вяткин Евгений Федорович</v>
          </cell>
        </row>
        <row r="681">
          <cell r="A681" t="str">
            <v>Белгер Эрнест Владимирович</v>
          </cell>
        </row>
        <row r="682">
          <cell r="A682" t="str">
            <v>Алыбаев Долеткельди Ягудович</v>
          </cell>
        </row>
        <row r="683">
          <cell r="A683" t="str">
            <v>Сойников Денис Валерьевич</v>
          </cell>
        </row>
        <row r="684">
          <cell r="A684" t="str">
            <v>ИП Артемов Александр Викторович</v>
          </cell>
        </row>
        <row r="685">
          <cell r="A685" t="str">
            <v>Пушкарев Александр Юрьевич</v>
          </cell>
        </row>
        <row r="686">
          <cell r="A686" t="str">
            <v>Локшина Ольга Владимировна</v>
          </cell>
        </row>
        <row r="687">
          <cell r="A687" t="str">
            <v>Грабовская Вероника Викторовна</v>
          </cell>
        </row>
        <row r="688">
          <cell r="A688" t="str">
            <v>Аннишинец Вячеслав Иванович</v>
          </cell>
        </row>
        <row r="689">
          <cell r="A689" t="str">
            <v>Абакаров Абакар Магомедсалимович</v>
          </cell>
        </row>
        <row r="690">
          <cell r="A690" t="str">
            <v>ФСС ООО</v>
          </cell>
        </row>
        <row r="691">
          <cell r="A691" t="str">
            <v>Шаматава Давид Роиниевич</v>
          </cell>
        </row>
        <row r="692">
          <cell r="A692" t="str">
            <v>Сурин Георгий Николаевич</v>
          </cell>
        </row>
        <row r="693">
          <cell r="A693" t="str">
            <v>Беляев Андрей Сергеевич</v>
          </cell>
        </row>
        <row r="694">
          <cell r="A694" t="str">
            <v>Ельшин Владимир Анатольевич</v>
          </cell>
        </row>
        <row r="695">
          <cell r="A695" t="str">
            <v>МСКСТРОЙ ООО</v>
          </cell>
        </row>
        <row r="696">
          <cell r="A696" t="str">
            <v>Щетников Станислав Александрович</v>
          </cell>
        </row>
        <row r="697">
          <cell r="A697" t="str">
            <v>Сывороткин Сергей Валентинович</v>
          </cell>
        </row>
        <row r="698">
          <cell r="A698" t="str">
            <v>Григорьев Олег Вячеславович</v>
          </cell>
        </row>
        <row r="699">
          <cell r="A699" t="str">
            <v>Сутько Максим Николаевич</v>
          </cell>
        </row>
        <row r="700">
          <cell r="A700" t="str">
            <v>Сергеев Даниил Борисович</v>
          </cell>
        </row>
        <row r="701">
          <cell r="A701" t="str">
            <v>Кожинов Дмитрий Сергеевич</v>
          </cell>
        </row>
        <row r="702">
          <cell r="A702" t="str">
            <v>Егоров Павел Евгеньевич</v>
          </cell>
        </row>
        <row r="703">
          <cell r="A703" t="str">
            <v>Рамишвили Марина Зурабовна</v>
          </cell>
        </row>
        <row r="704">
          <cell r="A704" t="str">
            <v>Краснокутская Ирина Анатольевна</v>
          </cell>
        </row>
        <row r="705">
          <cell r="A705" t="str">
            <v>Погосян Давид Грачьяевич</v>
          </cell>
        </row>
        <row r="706">
          <cell r="A706" t="str">
            <v>Бикиева Ольга Альбертовна</v>
          </cell>
        </row>
        <row r="707">
          <cell r="A707" t="str">
            <v>Харагезян Армен Вартересович</v>
          </cell>
        </row>
        <row r="708">
          <cell r="A708" t="str">
            <v>Сытник Александр Владимирович</v>
          </cell>
        </row>
        <row r="709">
          <cell r="A709" t="str">
            <v>Кравченко Вера Юрьевна</v>
          </cell>
        </row>
        <row r="710">
          <cell r="A710" t="str">
            <v>Золотарева Марина Владимировна 2</v>
          </cell>
        </row>
        <row r="711">
          <cell r="A711" t="str">
            <v>Завойских Станислав Вадимович</v>
          </cell>
        </row>
        <row r="712">
          <cell r="A712" t="str">
            <v>Аракелян Лусине Вардановна</v>
          </cell>
        </row>
        <row r="713">
          <cell r="A713" t="str">
            <v>Аракелян Арут Арменович</v>
          </cell>
        </row>
        <row r="714">
          <cell r="A714" t="str">
            <v>Ефимчук Олег Николаевич</v>
          </cell>
        </row>
        <row r="715">
          <cell r="A715" t="str">
            <v>Эседуллаев Самур Камилович</v>
          </cell>
        </row>
        <row r="716">
          <cell r="A716" t="str">
            <v>Максаев Александр Михайлович</v>
          </cell>
        </row>
        <row r="717">
          <cell r="A717" t="str">
            <v>Жижкин Николай Петрович</v>
          </cell>
        </row>
        <row r="718">
          <cell r="A718" t="str">
            <v>Маликов Константин Евгеньевич</v>
          </cell>
        </row>
        <row r="719">
          <cell r="A719" t="str">
            <v>Султанов Феликс Салаватович</v>
          </cell>
        </row>
        <row r="720">
          <cell r="A720" t="str">
            <v>Кирейчиков Виктор Николаевич</v>
          </cell>
        </row>
        <row r="721">
          <cell r="A721" t="str">
            <v>Бакиров Теймур Бахрам оглы</v>
          </cell>
        </row>
        <row r="722">
          <cell r="A722" t="str">
            <v>Корчагина Татьяна Юрьевна</v>
          </cell>
        </row>
        <row r="723">
          <cell r="A723" t="str">
            <v>КРАЙСАВТО ООО</v>
          </cell>
        </row>
        <row r="724">
          <cell r="A724" t="str">
            <v>Погосян Мелания Гарниковна</v>
          </cell>
        </row>
        <row r="725">
          <cell r="A725" t="str">
            <v>Костанян Нерсик Арамович</v>
          </cell>
        </row>
        <row r="726">
          <cell r="A726" t="str">
            <v>Магомедтагиров Ибрахим Мухамадович</v>
          </cell>
        </row>
        <row r="727">
          <cell r="A727" t="str">
            <v>Гоголев Александр Александрович</v>
          </cell>
        </row>
        <row r="728">
          <cell r="A728" t="str">
            <v>Койдо Владислав Альфредович</v>
          </cell>
        </row>
        <row r="729">
          <cell r="A729" t="str">
            <v>Бандалак Олег Иванович</v>
          </cell>
        </row>
        <row r="730">
          <cell r="A730" t="str">
            <v>Бандалак Олег Иванович</v>
          </cell>
        </row>
        <row r="731">
          <cell r="A731" t="str">
            <v>Саламатин Максим Витальевич</v>
          </cell>
        </row>
        <row r="732">
          <cell r="A732" t="str">
            <v>Сариди Михаил Арсенович</v>
          </cell>
        </row>
        <row r="733">
          <cell r="A733" t="str">
            <v>Силкин Максим Алексеевич</v>
          </cell>
        </row>
        <row r="734">
          <cell r="A734" t="str">
            <v>Смирнов Михаил Львович</v>
          </cell>
        </row>
        <row r="735">
          <cell r="A735" t="str">
            <v>ИП Силкин Максим Алексеевич</v>
          </cell>
        </row>
        <row r="736">
          <cell r="A736" t="str">
            <v>Ханамиров Ханамир Казахмедович</v>
          </cell>
        </row>
        <row r="737">
          <cell r="A737" t="str">
            <v>Оганесян Наири Миранович</v>
          </cell>
        </row>
        <row r="738">
          <cell r="A738" t="str">
            <v>Вдовенко Николай Николаевич</v>
          </cell>
        </row>
        <row r="739">
          <cell r="A739" t="str">
            <v>Юров Михаил Витальевич</v>
          </cell>
        </row>
        <row r="740">
          <cell r="A740" t="str">
            <v>Чеботкова Полина Михайловна</v>
          </cell>
        </row>
        <row r="741">
          <cell r="A741" t="str">
            <v>Хадиев Фанис Рафисович</v>
          </cell>
        </row>
        <row r="742">
          <cell r="A742" t="str">
            <v>Павлюк Татьяна Николаевна</v>
          </cell>
        </row>
        <row r="743">
          <cell r="A743" t="str">
            <v>Матренин Сергей Викторович</v>
          </cell>
        </row>
        <row r="744">
          <cell r="A744" t="str">
            <v>Леднева Елена Владимировна</v>
          </cell>
        </row>
        <row r="745">
          <cell r="A745" t="str">
            <v>Королёв Сергей Николаевич</v>
          </cell>
        </row>
        <row r="746">
          <cell r="A746" t="str">
            <v>Дудин Василий Васильевич</v>
          </cell>
        </row>
        <row r="747">
          <cell r="A747" t="str">
            <v>Арутюнова Рузанна Георгиевна</v>
          </cell>
        </row>
        <row r="748">
          <cell r="A748" t="str">
            <v>Алыбаев Долеткельди Ягудович</v>
          </cell>
        </row>
        <row r="749">
          <cell r="A749" t="str">
            <v>Садигов Нарман Адждар Оглы</v>
          </cell>
        </row>
        <row r="750">
          <cell r="A750" t="str">
            <v>Мамедов Динар Рашид Оглы</v>
          </cell>
        </row>
        <row r="751">
          <cell r="A751" t="str">
            <v>Абраамян Арут Ширазович</v>
          </cell>
        </row>
        <row r="752">
          <cell r="A752" t="str">
            <v>Ципис Вадим Яковлевич</v>
          </cell>
        </row>
        <row r="753">
          <cell r="A753" t="str">
            <v>Худомясова Александра Антуановна</v>
          </cell>
        </row>
        <row r="754">
          <cell r="A754" t="str">
            <v>Розанов Сергей Александрович</v>
          </cell>
        </row>
        <row r="755">
          <cell r="A755" t="str">
            <v>Пыдык Сергей Васильевич</v>
          </cell>
        </row>
        <row r="756">
          <cell r="A756" t="str">
            <v>Мокрицкий Константин Александрович</v>
          </cell>
        </row>
        <row r="757">
          <cell r="A757" t="str">
            <v>Матренин Сергей Викторович</v>
          </cell>
        </row>
        <row r="758">
          <cell r="A758" t="str">
            <v>Мазурин Николай Анатольевич</v>
          </cell>
        </row>
        <row r="759">
          <cell r="A759" t="str">
            <v>ИП Белов Александр Сергеевич</v>
          </cell>
        </row>
        <row r="760">
          <cell r="A760" t="str">
            <v>Иванов Антон Олегович</v>
          </cell>
        </row>
        <row r="761">
          <cell r="A761" t="str">
            <v>Зайцев Герман Борисович</v>
          </cell>
        </row>
        <row r="762">
          <cell r="A762" t="str">
            <v>Воробьев Андрей Владимирович</v>
          </cell>
        </row>
        <row r="763">
          <cell r="A763" t="str">
            <v>Владимиров Сергей Прохорович</v>
          </cell>
        </row>
        <row r="764">
          <cell r="A764" t="str">
            <v>Белов Александр Сергеевич</v>
          </cell>
        </row>
        <row r="765">
          <cell r="A765" t="str">
            <v>Белов Александр Сергеевич</v>
          </cell>
        </row>
        <row r="766">
          <cell r="A766" t="str">
            <v>Агамов Карэн Вадимович</v>
          </cell>
        </row>
        <row r="767">
          <cell r="A767" t="str">
            <v>Геворгян Агаси Ашотович</v>
          </cell>
        </row>
        <row r="768">
          <cell r="A768" t="str">
            <v>Тагаева Ольга Гиниядовна</v>
          </cell>
        </row>
        <row r="769">
          <cell r="A769" t="str">
            <v>Семенов Сергей Юрьевич</v>
          </cell>
        </row>
        <row r="770">
          <cell r="A770" t="str">
            <v>Филатова Юлия Петровна</v>
          </cell>
        </row>
        <row r="771">
          <cell r="A771" t="str">
            <v>Алижанова Олмахон Базарбаевна</v>
          </cell>
        </row>
        <row r="772">
          <cell r="A772" t="str">
            <v>Рыбаков Виктор Васильевич</v>
          </cell>
        </row>
        <row r="773">
          <cell r="A773" t="str">
            <v>Егоян Вард Баласанович</v>
          </cell>
        </row>
        <row r="774">
          <cell r="A774" t="str">
            <v>Дыгова Раиса Мусарбиевна</v>
          </cell>
        </row>
        <row r="775">
          <cell r="A775" t="str">
            <v>Диденко Роман Владимирович</v>
          </cell>
        </row>
        <row r="776">
          <cell r="A776" t="str">
            <v>Горбачев Денис Леонидович</v>
          </cell>
        </row>
        <row r="777">
          <cell r="A777" t="str">
            <v>Виноградов Александр Александрович</v>
          </cell>
        </row>
        <row r="778">
          <cell r="A778" t="str">
            <v>Аристанов Булат Рахметунлаевич</v>
          </cell>
        </row>
        <row r="779">
          <cell r="A779" t="str">
            <v>Шерстнев Дмитрий Андреевич</v>
          </cell>
        </row>
        <row r="780">
          <cell r="A780" t="str">
            <v>Оганесян Ваге Наириович</v>
          </cell>
        </row>
        <row r="781">
          <cell r="A781" t="str">
            <v>Григорьев Эдуард Юрьевич</v>
          </cell>
        </row>
        <row r="782">
          <cell r="A782" t="str">
            <v>Пшеничников Дмитрий Станиславович</v>
          </cell>
        </row>
        <row r="783">
          <cell r="A783" t="str">
            <v>Молчанов Дмитрий Викторович</v>
          </cell>
        </row>
        <row r="784">
          <cell r="A784" t="str">
            <v>Хулхачиев Очир Васильевич</v>
          </cell>
        </row>
        <row r="785">
          <cell r="A785" t="str">
            <v>Омаров Расул Казибекович</v>
          </cell>
        </row>
        <row r="786">
          <cell r="A786" t="str">
            <v>Багаев Феликс Давидович</v>
          </cell>
        </row>
        <row r="787">
          <cell r="A787" t="str">
            <v>Саакян Людвик Геворгович</v>
          </cell>
        </row>
        <row r="788">
          <cell r="A788" t="str">
            <v>Мухаев Андрей Игоревич</v>
          </cell>
        </row>
        <row r="789">
          <cell r="A789" t="str">
            <v>Ларина Анна Ильинична</v>
          </cell>
        </row>
        <row r="790">
          <cell r="A790" t="str">
            <v>Дмитриев Алексей Евгеньевич</v>
          </cell>
        </row>
        <row r="791">
          <cell r="A791" t="str">
            <v>Силуков Александр Андреевич</v>
          </cell>
        </row>
        <row r="792">
          <cell r="A792" t="str">
            <v>Абдурашитов Озодбек Мавланжанович</v>
          </cell>
        </row>
        <row r="793">
          <cell r="A793" t="str">
            <v>МСКСТРОЙ ООО</v>
          </cell>
        </row>
        <row r="794">
          <cell r="A794" t="str">
            <v>Алыбаев Долеткельди Ягудович</v>
          </cell>
        </row>
        <row r="795">
          <cell r="A795" t="str">
            <v>Трунова Екатерина Юрьевна</v>
          </cell>
        </row>
        <row r="796">
          <cell r="A796" t="str">
            <v>Савельев Александр Владимирович</v>
          </cell>
        </row>
        <row r="797">
          <cell r="A797" t="str">
            <v>Пономарчук Андрей Борисович</v>
          </cell>
        </row>
        <row r="798">
          <cell r="A798" t="str">
            <v>Алешин Сергей Сергеевич</v>
          </cell>
        </row>
        <row r="799">
          <cell r="A799" t="str">
            <v>Чеботкова Полина Михайловна</v>
          </cell>
        </row>
        <row r="800">
          <cell r="A800" t="str">
            <v>Сидоров Александр Владимирович</v>
          </cell>
        </row>
        <row r="801">
          <cell r="A801" t="str">
            <v>Келешян Мария Георгиевна</v>
          </cell>
        </row>
        <row r="802">
          <cell r="A802" t="str">
            <v>Богачук Сергей Прокопьевич</v>
          </cell>
        </row>
        <row r="803">
          <cell r="A803" t="str">
            <v>Ханамиров Ханамир Казахмедович</v>
          </cell>
        </row>
        <row r="804">
          <cell r="A804" t="str">
            <v>Крюков Сергей Викторович</v>
          </cell>
        </row>
        <row r="805">
          <cell r="A805" t="str">
            <v>Корнилова Наталия Владимировна</v>
          </cell>
        </row>
        <row r="806">
          <cell r="A806" t="str">
            <v>Арустамян Диана Артуровна</v>
          </cell>
        </row>
        <row r="807">
          <cell r="A807" t="str">
            <v>Хайретдинова Айгуль Ильгизовна</v>
          </cell>
        </row>
        <row r="808">
          <cell r="A808" t="str">
            <v>Царев Антон Борисович</v>
          </cell>
        </row>
        <row r="809">
          <cell r="A809" t="str">
            <v>Азиев Абдурахман Авхадович</v>
          </cell>
        </row>
        <row r="810">
          <cell r="A810" t="str">
            <v>Малинина Оксана Александровна</v>
          </cell>
        </row>
        <row r="811">
          <cell r="A811" t="str">
            <v>Степанов Алексей Владимирович</v>
          </cell>
        </row>
        <row r="812">
          <cell r="A812" t="str">
            <v>Дорожинская Екатерина Андреевна</v>
          </cell>
        </row>
        <row r="813">
          <cell r="A813" t="str">
            <v>Алексанян Роберт Робертович</v>
          </cell>
        </row>
        <row r="814">
          <cell r="A814" t="str">
            <v>Иванов Антон Олегович</v>
          </cell>
        </row>
        <row r="815">
          <cell r="A815" t="str">
            <v>Ширманов Никита Александрович</v>
          </cell>
        </row>
        <row r="816">
          <cell r="A816" t="str">
            <v>Трененков Александр Николаевич</v>
          </cell>
        </row>
        <row r="817">
          <cell r="A817" t="str">
            <v>Хадиев Фанис Рафисович</v>
          </cell>
        </row>
        <row r="818">
          <cell r="A818" t="str">
            <v>Ореховский Евгений Валериевич</v>
          </cell>
        </row>
        <row r="819">
          <cell r="A819" t="str">
            <v>Симонян Армен Симикович</v>
          </cell>
        </row>
        <row r="820">
          <cell r="A820" t="str">
            <v>Гавриш Наталья Николаевна</v>
          </cell>
        </row>
        <row r="821">
          <cell r="A821" t="str">
            <v>Кучевский Сергей Геннадьевич</v>
          </cell>
        </row>
        <row r="822">
          <cell r="A822" t="str">
            <v>Стародубцева Екатерина Евгеньевна</v>
          </cell>
        </row>
        <row r="823">
          <cell r="A823" t="str">
            <v>Михеева Ольга Николаевна</v>
          </cell>
        </row>
        <row r="824">
          <cell r="A824" t="str">
            <v>Андреев Дмитрий Сергеевич</v>
          </cell>
        </row>
        <row r="825">
          <cell r="A825" t="str">
            <v>Ивкин Сергей Викторович</v>
          </cell>
        </row>
        <row r="826">
          <cell r="A826" t="str">
            <v>ОФИС КРАФТ ООО</v>
          </cell>
        </row>
        <row r="827">
          <cell r="A827" t="str">
            <v>Пивень Сергей Федорович</v>
          </cell>
        </row>
        <row r="828">
          <cell r="A828" t="str">
            <v>ИП Дедян Ашот Сократович</v>
          </cell>
        </row>
        <row r="829">
          <cell r="A829" t="str">
            <v>Пушкарева Виолетта Алексеевна</v>
          </cell>
        </row>
        <row r="830">
          <cell r="A830" t="str">
            <v>Сенокосов Евгений Александрович</v>
          </cell>
        </row>
        <row r="831">
          <cell r="A831" t="str">
            <v>Алексеева Светлана Николаевна</v>
          </cell>
        </row>
        <row r="832">
          <cell r="A832" t="str">
            <v>РЕСКОМ ООО</v>
          </cell>
        </row>
        <row r="833">
          <cell r="A833" t="str">
            <v>Морозов Сергей Павлович</v>
          </cell>
        </row>
        <row r="834">
          <cell r="A834" t="str">
            <v>Билтуев Юнади Юсупович</v>
          </cell>
        </row>
        <row r="836">
          <cell r="A836" t="str">
            <v>Хлебников Владимир Витальевич</v>
          </cell>
        </row>
        <row r="837">
          <cell r="A837" t="str">
            <v>Ливадина Марина Анатольевна</v>
          </cell>
        </row>
        <row r="838">
          <cell r="A838" t="str">
            <v>Губайдуллин Валерий Вячиславович</v>
          </cell>
        </row>
        <row r="839">
          <cell r="A839" t="str">
            <v>Соколов Сергей Юрьевич</v>
          </cell>
        </row>
        <row r="840">
          <cell r="A840" t="str">
            <v>Власов Денис Николаевич</v>
          </cell>
        </row>
        <row r="841">
          <cell r="A841" t="str">
            <v>Буниатян Арман Арменакович</v>
          </cell>
        </row>
        <row r="842">
          <cell r="A842" t="str">
            <v>Бабокин Евгений Александрович</v>
          </cell>
        </row>
        <row r="843">
          <cell r="A843" t="str">
            <v>Арутюнова Рузанна Георгиевна</v>
          </cell>
        </row>
        <row r="844">
          <cell r="A844" t="str">
            <v>Юдилевич Кирилл Аркадьевич</v>
          </cell>
        </row>
        <row r="845">
          <cell r="A845" t="str">
            <v>Аксененко Александр Сергеевич</v>
          </cell>
        </row>
        <row r="846">
          <cell r="A846" t="str">
            <v>Межевов Александр Васильевич</v>
          </cell>
        </row>
        <row r="847">
          <cell r="A847" t="str">
            <v>КАНЦПРОФ СПБ ООО</v>
          </cell>
        </row>
        <row r="848">
          <cell r="A848" t="str">
            <v>Лобачев Дмитрий Анатольевич</v>
          </cell>
        </row>
        <row r="849">
          <cell r="A849" t="str">
            <v>Алыбаев Долеткельди Ягудович</v>
          </cell>
        </row>
        <row r="850">
          <cell r="A850" t="str">
            <v>Шагивалеев Азат Азатович</v>
          </cell>
        </row>
        <row r="851">
          <cell r="A851" t="str">
            <v>Сапунов Дмитрий Владимирович</v>
          </cell>
        </row>
        <row r="852">
          <cell r="A852" t="str">
            <v>Лысенко Александр Викторович</v>
          </cell>
        </row>
        <row r="853">
          <cell r="A853" t="str">
            <v>Кузьмин Михаил Юрьевич</v>
          </cell>
        </row>
        <row r="854">
          <cell r="A854" t="str">
            <v>Кобахидзе Тэмури Юрьевич</v>
          </cell>
        </row>
        <row r="855">
          <cell r="A855" t="str">
            <v>Кебурия Илья Нугзариевич</v>
          </cell>
        </row>
        <row r="856">
          <cell r="A856" t="str">
            <v>Диденко Роман Владимирович</v>
          </cell>
        </row>
        <row r="857">
          <cell r="A857" t="str">
            <v>Диакону Сергей Борисович</v>
          </cell>
        </row>
        <row r="858">
          <cell r="A858" t="str">
            <v>Козлов Андрей Леонидович</v>
          </cell>
        </row>
        <row r="859">
          <cell r="A859" t="str">
            <v>Ярмусь Екатерина Юрьевна</v>
          </cell>
        </row>
        <row r="860">
          <cell r="A860" t="str">
            <v>Рикшпун Татьяна Александровна</v>
          </cell>
        </row>
        <row r="861">
          <cell r="A861" t="str">
            <v>Крюков Сергей Викторович</v>
          </cell>
        </row>
        <row r="862">
          <cell r="A862" t="str">
            <v>Крюков Сергей Викторович</v>
          </cell>
        </row>
        <row r="863">
          <cell r="A863" t="str">
            <v>Исаев Александр Васильевич</v>
          </cell>
        </row>
        <row r="864">
          <cell r="A864" t="str">
            <v>Айрапетян Нарек Гайкович</v>
          </cell>
        </row>
        <row r="865">
          <cell r="A865" t="str">
            <v>Шахкулян Владимир Михайлович</v>
          </cell>
        </row>
        <row r="866">
          <cell r="A866" t="str">
            <v>Кравченко Вера Юрьевна</v>
          </cell>
        </row>
        <row r="867">
          <cell r="A867" t="str">
            <v>Прусаков Максим Владимирович</v>
          </cell>
        </row>
        <row r="868">
          <cell r="A868" t="str">
            <v>Осадчий Сергей Александрович</v>
          </cell>
        </row>
        <row r="869">
          <cell r="A869" t="str">
            <v>Мокрицкий Константин Александрович</v>
          </cell>
        </row>
        <row r="870">
          <cell r="A870" t="str">
            <v>Женихов Александр Николаевич</v>
          </cell>
        </row>
        <row r="871">
          <cell r="A871" t="str">
            <v>Голубева Ольга Петровна</v>
          </cell>
        </row>
        <row r="872">
          <cell r="A872" t="str">
            <v>Шаулов Шаул Рамбомович</v>
          </cell>
        </row>
        <row r="873">
          <cell r="A873" t="str">
            <v>Никулкин Андрей Викторович</v>
          </cell>
        </row>
        <row r="874">
          <cell r="A874" t="str">
            <v>Ермаков Кирилл Андреевич</v>
          </cell>
        </row>
        <row r="875">
          <cell r="A875" t="str">
            <v>Фейзуллаев Альберт Нефтуллаевич</v>
          </cell>
        </row>
        <row r="876">
          <cell r="A876" t="str">
            <v>Демченко Андрей Сергеевич</v>
          </cell>
        </row>
        <row r="877">
          <cell r="A877" t="str">
            <v>Грабовская Вероника Викторовна</v>
          </cell>
        </row>
        <row r="878">
          <cell r="A878" t="str">
            <v>Кудрин Роман Анатольевич</v>
          </cell>
        </row>
        <row r="879">
          <cell r="A879" t="str">
            <v>ИП Разумова Регина Дмитриевна</v>
          </cell>
        </row>
        <row r="880">
          <cell r="A880" t="str">
            <v>Спиридонов Константин Александрович</v>
          </cell>
        </row>
        <row r="881">
          <cell r="A881" t="str">
            <v>Торопов Константин Сергеевич</v>
          </cell>
        </row>
        <row r="882">
          <cell r="A882" t="str">
            <v>Васильев Сергей Юрьевич</v>
          </cell>
        </row>
        <row r="883">
          <cell r="A883" t="str">
            <v>Илюшин Илья Игоревич</v>
          </cell>
        </row>
        <row r="884">
          <cell r="A884" t="str">
            <v>Толстиков Евгений Геннадьевич</v>
          </cell>
        </row>
        <row r="885">
          <cell r="A885" t="str">
            <v>Дубовицкий Глеб Романович</v>
          </cell>
        </row>
        <row r="886">
          <cell r="A886" t="str">
            <v>Дубовицкий Глеб Романович</v>
          </cell>
        </row>
        <row r="887">
          <cell r="A887" t="str">
            <v>Солдатенков Андрей Васильевич</v>
          </cell>
        </row>
        <row r="888">
          <cell r="A888" t="str">
            <v>Азимурадов Максатулло Сунатуллоевич</v>
          </cell>
        </row>
        <row r="889">
          <cell r="A889" t="str">
            <v>Авдеев Дмитрий Николаевич</v>
          </cell>
        </row>
        <row r="890">
          <cell r="A890" t="str">
            <v>Казак Татьяна Петровна</v>
          </cell>
        </row>
        <row r="891">
          <cell r="A891" t="str">
            <v>Каменев Константин Николаевич</v>
          </cell>
        </row>
        <row r="892">
          <cell r="A892" t="str">
            <v>Винокурова Юлия Геннадьевна</v>
          </cell>
        </row>
        <row r="893">
          <cell r="A893" t="str">
            <v>Дмитриев Дмитрий Михайлович</v>
          </cell>
        </row>
        <row r="894">
          <cell r="A894" t="str">
            <v>Хлебников Владимир Витальевич</v>
          </cell>
        </row>
        <row r="895">
          <cell r="A895" t="str">
            <v>Харитонова Ирина Александровна</v>
          </cell>
        </row>
        <row r="896">
          <cell r="A896" t="str">
            <v>Сорокина Екатерина Васильевна</v>
          </cell>
        </row>
        <row r="897">
          <cell r="A897" t="str">
            <v>Демченко Андрей Сергеевич</v>
          </cell>
        </row>
        <row r="898">
          <cell r="A898" t="str">
            <v>Буниатян Арман Арменакович</v>
          </cell>
        </row>
        <row r="899">
          <cell r="A899" t="str">
            <v>ВЗАИМНО ООО</v>
          </cell>
        </row>
        <row r="900">
          <cell r="A900" t="str">
            <v>Сутько Максим Николаевич</v>
          </cell>
        </row>
        <row r="901">
          <cell r="A901" t="str">
            <v>Бендас Евгений Васильевич</v>
          </cell>
        </row>
        <row r="902">
          <cell r="A902" t="str">
            <v>Зеленский Валентин Викторович</v>
          </cell>
        </row>
        <row r="903">
          <cell r="A903" t="str">
            <v>Спиридонов Константин Александрович</v>
          </cell>
        </row>
        <row r="904">
          <cell r="A904" t="str">
            <v>Домрачев Евгений Александрович</v>
          </cell>
        </row>
        <row r="905">
          <cell r="A905" t="str">
            <v>Цирамуа Наталия Наполеоновна</v>
          </cell>
        </row>
        <row r="906">
          <cell r="A906" t="str">
            <v>Омаров Расул Казибекович</v>
          </cell>
        </row>
        <row r="907">
          <cell r="A907" t="str">
            <v>Мазнев Алексей Николаевич</v>
          </cell>
        </row>
        <row r="908">
          <cell r="A908" t="str">
            <v>Лобачев Дмитрий Анатольевич</v>
          </cell>
        </row>
        <row r="909">
          <cell r="A909" t="str">
            <v>Шашков Константин Вячеславович</v>
          </cell>
        </row>
        <row r="910">
          <cell r="A910" t="str">
            <v>Симонян Армен Симикович</v>
          </cell>
        </row>
        <row r="911">
          <cell r="A911" t="str">
            <v>Саутин Александр Юрьевич</v>
          </cell>
        </row>
        <row r="912">
          <cell r="A912" t="str">
            <v>Сапунов Дмитрий Владимирович</v>
          </cell>
        </row>
        <row r="913">
          <cell r="A913" t="str">
            <v>Павлов Владимир Геннадьевич</v>
          </cell>
        </row>
        <row r="914">
          <cell r="A914" t="str">
            <v>Морозкина Наталья Сергеевна</v>
          </cell>
        </row>
        <row r="915">
          <cell r="A915" t="str">
            <v>Караева Татьяна Сергеевна</v>
          </cell>
        </row>
        <row r="916">
          <cell r="A916" t="str">
            <v>Зайцев Антон Эдуардович</v>
          </cell>
        </row>
        <row r="917">
          <cell r="A917" t="str">
            <v>Григорян Бениамин Эдуардович</v>
          </cell>
        </row>
        <row r="918">
          <cell r="A918" t="str">
            <v>Хачикян Давид Алексеевич</v>
          </cell>
        </row>
        <row r="919">
          <cell r="A919" t="str">
            <v>Пономарчук Андрей Борисович</v>
          </cell>
        </row>
        <row r="920">
          <cell r="A920" t="str">
            <v>Арменакян Армен Серёжаевич</v>
          </cell>
        </row>
        <row r="921">
          <cell r="A921" t="str">
            <v>Лебедева Евгения Александровна</v>
          </cell>
        </row>
        <row r="922">
          <cell r="A922" t="str">
            <v>Мархаев Анатолий Сергеевич</v>
          </cell>
        </row>
        <row r="923">
          <cell r="A923" t="str">
            <v>Ефанов Андрей Александрович</v>
          </cell>
        </row>
        <row r="924">
          <cell r="A924" t="str">
            <v>Павлова Ангелина Юрьевна</v>
          </cell>
        </row>
        <row r="925">
          <cell r="A925" t="str">
            <v>Мотовилов Александр Иванович</v>
          </cell>
        </row>
        <row r="926">
          <cell r="A926" t="str">
            <v>Харагезян Армен Вартересович</v>
          </cell>
        </row>
        <row r="927">
          <cell r="A927" t="str">
            <v>Широков Иван Андреевич</v>
          </cell>
        </row>
        <row r="928">
          <cell r="A928" t="str">
            <v>Ширманов Никита Александрович</v>
          </cell>
        </row>
        <row r="929">
          <cell r="A929" t="str">
            <v>Трененков Александр Николаевич</v>
          </cell>
        </row>
        <row r="930">
          <cell r="A930" t="str">
            <v>Тертишник Павел Валерьевич</v>
          </cell>
        </row>
        <row r="931">
          <cell r="A931" t="str">
            <v>Сергеев Анатолий Викторович</v>
          </cell>
        </row>
        <row r="932">
          <cell r="A932" t="str">
            <v>Полякова Дарья Евгеньевна</v>
          </cell>
        </row>
        <row r="933">
          <cell r="A933" t="str">
            <v>Павлов Вячеслав Игоревич</v>
          </cell>
        </row>
        <row r="934">
          <cell r="A934" t="str">
            <v>Мусаев Саид Рамазанович</v>
          </cell>
        </row>
        <row r="935">
          <cell r="A935" t="str">
            <v>Зеленский Валентин Викторович</v>
          </cell>
        </row>
        <row r="936">
          <cell r="A936" t="str">
            <v>Журавлёв Денис Сергеевич</v>
          </cell>
        </row>
        <row r="937">
          <cell r="A937" t="str">
            <v>Апухтина Виолетта Байрамовна</v>
          </cell>
        </row>
        <row r="938">
          <cell r="A938" t="str">
            <v>Мачнева Галина Петровна</v>
          </cell>
        </row>
        <row r="939">
          <cell r="A939" t="str">
            <v>Худомясова Александра Антуановна</v>
          </cell>
        </row>
        <row r="940">
          <cell r="A940" t="str">
            <v>Хачикян Давид Алексеевич</v>
          </cell>
        </row>
        <row r="941">
          <cell r="A941" t="str">
            <v>Тихонова Ирина Анатольевна</v>
          </cell>
        </row>
        <row r="942">
          <cell r="A942" t="str">
            <v>Сомов Денис Валерьевич</v>
          </cell>
        </row>
        <row r="943">
          <cell r="A943" t="str">
            <v>Сидоров Александр Владимирович</v>
          </cell>
        </row>
        <row r="944">
          <cell r="A944" t="str">
            <v>Писаренко Сергей Алексеевич</v>
          </cell>
        </row>
        <row r="945">
          <cell r="A945" t="str">
            <v>Кострюков Сергей Вячеславович</v>
          </cell>
        </row>
        <row r="946">
          <cell r="A946" t="str">
            <v>Корнилов Александр Дмитриевич</v>
          </cell>
        </row>
        <row r="947">
          <cell r="A947" t="str">
            <v>Киселев Андрей Владимирович</v>
          </cell>
        </row>
        <row r="948">
          <cell r="A948" t="str">
            <v>Ермаков Кирилл Андреевич</v>
          </cell>
        </row>
        <row r="949">
          <cell r="A949" t="str">
            <v>Исаев Александр Васильевич</v>
          </cell>
        </row>
        <row r="950">
          <cell r="A950" t="str">
            <v>Игнатенко Вера Александровна</v>
          </cell>
        </row>
        <row r="951">
          <cell r="A951" t="str">
            <v>Шелмаков Игорь Александрович</v>
          </cell>
        </row>
        <row r="952">
          <cell r="A952" t="str">
            <v>Власов Глеб Борисович</v>
          </cell>
        </row>
        <row r="953">
          <cell r="A953" t="str">
            <v>Сапельников Юрий Александрович</v>
          </cell>
        </row>
        <row r="954">
          <cell r="A954" t="str">
            <v>Муравьев Сергей Сергеевич</v>
          </cell>
        </row>
        <row r="955">
          <cell r="A955" t="str">
            <v>ФСС ООО</v>
          </cell>
        </row>
        <row r="956">
          <cell r="A956" t="str">
            <v>Апухтина Виолетта Байрамовна</v>
          </cell>
        </row>
        <row r="957">
          <cell r="A957" t="str">
            <v>Прач Денис Сергеевич</v>
          </cell>
        </row>
        <row r="958">
          <cell r="A958" t="str">
            <v>Майоров Александр Эдуардович</v>
          </cell>
        </row>
        <row r="959">
          <cell r="A959" t="str">
            <v>Шаматава Давид Роиниевич</v>
          </cell>
        </row>
        <row r="960">
          <cell r="A960" t="str">
            <v>Фейзуллаев Альберт Нефтуллаевич</v>
          </cell>
        </row>
        <row r="961">
          <cell r="A961" t="str">
            <v>Павлюк Павел Михайлович</v>
          </cell>
        </row>
        <row r="962">
          <cell r="A962" t="str">
            <v>Марецкий Андрей Юрьевич</v>
          </cell>
        </row>
        <row r="963">
          <cell r="A963" t="str">
            <v>Дьячук Анна Анатольевна</v>
          </cell>
        </row>
        <row r="964">
          <cell r="A964" t="str">
            <v>Диденко Роман Владимирович</v>
          </cell>
        </row>
        <row r="965">
          <cell r="A965" t="str">
            <v>Бибнева Анастасия Дмитриевна</v>
          </cell>
        </row>
        <row r="966">
          <cell r="A966" t="str">
            <v>Астапов Александр Иванович</v>
          </cell>
        </row>
        <row r="967">
          <cell r="A967" t="str">
            <v>Андреев Евгений Петрович</v>
          </cell>
        </row>
        <row r="968">
          <cell r="A968" t="str">
            <v>ИП Керимов Азер Байрам Оглы</v>
          </cell>
        </row>
        <row r="969">
          <cell r="A969" t="str">
            <v>Прусаков Максим Владимирович</v>
          </cell>
        </row>
        <row r="970">
          <cell r="A970" t="str">
            <v>Егоян Вард Баласанович</v>
          </cell>
        </row>
        <row r="971">
          <cell r="A971" t="str">
            <v>Харагезян Армен Вартересович</v>
          </cell>
        </row>
        <row r="972">
          <cell r="A972" t="str">
            <v>Юшков Юрий Валерьевич</v>
          </cell>
        </row>
        <row r="973">
          <cell r="A973" t="str">
            <v>Шопронку Сергей Харитонович</v>
          </cell>
        </row>
        <row r="974">
          <cell r="A974" t="str">
            <v>Члоян Геворк Мамбреович</v>
          </cell>
        </row>
        <row r="975">
          <cell r="A975" t="str">
            <v>Тараканов Евгений Валерьевич</v>
          </cell>
        </row>
        <row r="976">
          <cell r="A976" t="str">
            <v>Семенов Сергей Юрьевич</v>
          </cell>
        </row>
        <row r="977">
          <cell r="A977" t="str">
            <v>Саламатин Максим Витальевич</v>
          </cell>
        </row>
        <row r="978">
          <cell r="A978" t="str">
            <v>Погосян Мелания Гарниковна</v>
          </cell>
        </row>
        <row r="979">
          <cell r="A979" t="str">
            <v>Мылов Сергей Геннадьевич</v>
          </cell>
        </row>
        <row r="980">
          <cell r="A980" t="str">
            <v>Мурадян Эдгар Рафаелович</v>
          </cell>
        </row>
        <row r="981">
          <cell r="A981" t="str">
            <v>Кукушкин Сергей Петрович</v>
          </cell>
        </row>
        <row r="982">
          <cell r="A982" t="str">
            <v>Кузнецов Иван Михайлович</v>
          </cell>
        </row>
        <row r="983">
          <cell r="A983" t="str">
            <v>Крюков Сергей Викторович</v>
          </cell>
        </row>
        <row r="984">
          <cell r="A984" t="str">
            <v>Крюков Сергей Викторович</v>
          </cell>
        </row>
        <row r="985">
          <cell r="A985" t="str">
            <v>Костанян Нерсик Арамович</v>
          </cell>
        </row>
        <row r="986">
          <cell r="A986" t="str">
            <v>Космачевский Денис Алексеевич</v>
          </cell>
        </row>
        <row r="987">
          <cell r="A987" t="str">
            <v>Кончаков Дмитрий Валерьевич</v>
          </cell>
        </row>
        <row r="988">
          <cell r="A988" t="str">
            <v>Коврик Леонид Николаевич</v>
          </cell>
        </row>
        <row r="989">
          <cell r="A989" t="str">
            <v>Казак Татьяна Петровна</v>
          </cell>
        </row>
        <row r="990">
          <cell r="A990" t="str">
            <v>Дорохин Артем Олегович</v>
          </cell>
        </row>
        <row r="991">
          <cell r="A991" t="str">
            <v>Алхименков Даниил Андреевич</v>
          </cell>
        </row>
        <row r="992">
          <cell r="A992" t="str">
            <v>Акимцева Юлия Анатольевна</v>
          </cell>
        </row>
        <row r="993">
          <cell r="A993" t="str">
            <v>Абраамян Арут Ширазович</v>
          </cell>
        </row>
        <row r="994">
          <cell r="A994" t="str">
            <v>Макси-Строй ООО</v>
          </cell>
        </row>
        <row r="995">
          <cell r="A995" t="str">
            <v>Аминжонов Уктам Раимжонович</v>
          </cell>
        </row>
        <row r="996">
          <cell r="A996" t="str">
            <v>Юдилевич Кирилл Аркадьевич</v>
          </cell>
        </row>
        <row r="997">
          <cell r="A997" t="str">
            <v>Рыбаков Виктор Васильевич</v>
          </cell>
        </row>
        <row r="998">
          <cell r="A998" t="str">
            <v>Ковригина Ирина Евгеньевна</v>
          </cell>
        </row>
        <row r="999">
          <cell r="A999" t="str">
            <v>Журавлева Анастасия Александровна</v>
          </cell>
        </row>
        <row r="1000">
          <cell r="A1000" t="str">
            <v>Дмитриев Алексей Евгеньевич</v>
          </cell>
        </row>
        <row r="1001">
          <cell r="A1001" t="str">
            <v>Игнатенко Александр Анатольевич</v>
          </cell>
        </row>
        <row r="1002">
          <cell r="A1002" t="str">
            <v>Сироткин Игорь Маркович</v>
          </cell>
        </row>
        <row r="1003">
          <cell r="A1003" t="str">
            <v>Щербаков Сергей Васильевич</v>
          </cell>
        </row>
        <row r="1004">
          <cell r="A1004" t="str">
            <v>ИП Мурашов Виталий Игоревич</v>
          </cell>
        </row>
        <row r="1005">
          <cell r="A1005" t="str">
            <v>Матвеев Андрей Александрович</v>
          </cell>
        </row>
        <row r="1006">
          <cell r="A1006" t="str">
            <v>Ферани Эдуард Мамиконович</v>
          </cell>
        </row>
        <row r="1007">
          <cell r="A1007" t="str">
            <v>Данилов Денис Николаевич</v>
          </cell>
        </row>
        <row r="1008">
          <cell r="A1008" t="str">
            <v>Спичак Вадим Михайлович</v>
          </cell>
        </row>
        <row r="1009">
          <cell r="A1009" t="str">
            <v>Балыкина Марина Олеговна</v>
          </cell>
        </row>
        <row r="1010">
          <cell r="A1010" t="str">
            <v>Правдивцева Наталья Владимировна</v>
          </cell>
        </row>
        <row r="1011">
          <cell r="A1011" t="str">
            <v>Сарикян Ашот Ваникович</v>
          </cell>
        </row>
        <row r="1012">
          <cell r="A1012" t="str">
            <v>Маковеев Николай Владимирович</v>
          </cell>
        </row>
        <row r="1013">
          <cell r="A1013" t="str">
            <v>Степанов Игорь Александрович</v>
          </cell>
        </row>
        <row r="1014">
          <cell r="A1014" t="str">
            <v>КРАЙСАВТО ООО</v>
          </cell>
        </row>
        <row r="1015">
          <cell r="A1015" t="str">
            <v>Тараканов Евгений Валерьевич</v>
          </cell>
        </row>
        <row r="1016">
          <cell r="A1016" t="str">
            <v>Михалев Дмитрий Андреевич</v>
          </cell>
        </row>
        <row r="1017">
          <cell r="A1017" t="str">
            <v>Казак Татьяна Петровна</v>
          </cell>
        </row>
        <row r="1018">
          <cell r="A1018" t="str">
            <v>Билтуев Юнади Юсупович</v>
          </cell>
        </row>
        <row r="1019">
          <cell r="A1019" t="str">
            <v>Бендас Евгений Васильевич</v>
          </cell>
        </row>
        <row r="1020">
          <cell r="A1020" t="str">
            <v>Башленко Илья Васильевич</v>
          </cell>
        </row>
        <row r="1021">
          <cell r="A1021" t="str">
            <v>Акиньшин Олег Алексеевич</v>
          </cell>
        </row>
        <row r="1022">
          <cell r="A1022" t="str">
            <v>Стрельцов Денис Николаевич</v>
          </cell>
        </row>
        <row r="1023">
          <cell r="A1023" t="str">
            <v>Барт Денис Михайлович</v>
          </cell>
        </row>
        <row r="1024">
          <cell r="A1024" t="str">
            <v>Сельцова Наталья Юрьевна</v>
          </cell>
        </row>
        <row r="1025">
          <cell r="A1025" t="str">
            <v>Ростовцев Александр Петрович</v>
          </cell>
        </row>
        <row r="1026">
          <cell r="A1026" t="str">
            <v>Поляков Евгений Сергеевич</v>
          </cell>
        </row>
        <row r="1027">
          <cell r="A1027" t="str">
            <v>Бодров Дмитрий Владимирович</v>
          </cell>
        </row>
        <row r="1028">
          <cell r="A1028" t="str">
            <v>Келешян Мария Георгиевна</v>
          </cell>
        </row>
        <row r="1029">
          <cell r="A1029" t="str">
            <v>Шиховцов Игорь Николаевич</v>
          </cell>
        </row>
        <row r="1030">
          <cell r="A1030" t="str">
            <v>Юдаев Алексей Владимирович</v>
          </cell>
        </row>
        <row r="1031">
          <cell r="A1031" t="str">
            <v>Глухов Александр Федорович</v>
          </cell>
        </row>
        <row r="1032">
          <cell r="A1032" t="str">
            <v>Белов Александр Сергеевич</v>
          </cell>
        </row>
        <row r="1033">
          <cell r="A1033" t="str">
            <v>Морозов Алексей Павлович</v>
          </cell>
        </row>
        <row r="1034">
          <cell r="A1034" t="str">
            <v>Музыка Евгений Александрович</v>
          </cell>
        </row>
        <row r="1035">
          <cell r="A1035" t="str">
            <v>Минин Сергей Александрович</v>
          </cell>
        </row>
        <row r="1036">
          <cell r="A1036" t="str">
            <v>Тимофеев Юрий Юрьевич</v>
          </cell>
        </row>
        <row r="1037">
          <cell r="A1037" t="str">
            <v>Павлов Владимир Геннадьевич</v>
          </cell>
        </row>
        <row r="1038">
          <cell r="A1038" t="str">
            <v>Мамбетов Менглибий Курманбиевич</v>
          </cell>
        </row>
        <row r="1039">
          <cell r="A1039" t="str">
            <v>ИП Жаворонков Сергей Владимирович</v>
          </cell>
        </row>
        <row r="1040">
          <cell r="A1040" t="str">
            <v>Тахтаров Нурди Алиевич</v>
          </cell>
        </row>
        <row r="1041">
          <cell r="A1041" t="str">
            <v>Белгер Эрнест Владимирович</v>
          </cell>
        </row>
        <row r="1042">
          <cell r="A1042" t="str">
            <v>Геворгян Геворг Размикович</v>
          </cell>
        </row>
        <row r="1043">
          <cell r="A1043" t="str">
            <v>Белгер Эрнест Владимирович</v>
          </cell>
        </row>
        <row r="1044">
          <cell r="A1044" t="str">
            <v>Кебурия Илья Нугзариевич</v>
          </cell>
        </row>
        <row r="1045">
          <cell r="A1045" t="str">
            <v>Радь Игорь Михайлович</v>
          </cell>
        </row>
        <row r="1046">
          <cell r="A1046" t="str">
            <v>Ануфриенко Михаил Сергеевич</v>
          </cell>
        </row>
        <row r="1047">
          <cell r="A1047" t="str">
            <v>Трофимов Иван Борисович</v>
          </cell>
        </row>
        <row r="1048">
          <cell r="A1048" t="str">
            <v>Устюкова Лучия Сергеевна</v>
          </cell>
        </row>
        <row r="1049">
          <cell r="A1049" t="str">
            <v>Кузнецова Ирина Геннадьевна</v>
          </cell>
        </row>
        <row r="1050">
          <cell r="A1050" t="str">
            <v>Палев Сергей Михайлович</v>
          </cell>
        </row>
        <row r="1051">
          <cell r="A1051" t="str">
            <v>Тищенко Василий Борисович</v>
          </cell>
        </row>
        <row r="1052">
          <cell r="A1052" t="str">
            <v>Шахабутдинов Марат Камильевич</v>
          </cell>
        </row>
        <row r="1053">
          <cell r="A1053" t="str">
            <v>ИП Силкин Максим Алексеевич</v>
          </cell>
        </row>
        <row r="1054">
          <cell r="A1054" t="str">
            <v>Хуртов Сергей Георгиевич</v>
          </cell>
        </row>
        <row r="1055">
          <cell r="A1055" t="str">
            <v>Хачикян Давид Алексеевич</v>
          </cell>
        </row>
        <row r="1056">
          <cell r="A1056" t="str">
            <v>Харитонова Ирина Александровна</v>
          </cell>
        </row>
        <row r="1057">
          <cell r="A1057" t="str">
            <v>Хайретдинова Айгуль Ильгизовна</v>
          </cell>
        </row>
        <row r="1058">
          <cell r="A1058" t="str">
            <v>Селеверстов Михаил Васильевич</v>
          </cell>
        </row>
        <row r="1059">
          <cell r="A1059" t="str">
            <v>Погосян Давид Грачьяевич</v>
          </cell>
        </row>
        <row r="1060">
          <cell r="A1060" t="str">
            <v>Ляхович Александр Александрович</v>
          </cell>
        </row>
        <row r="1061">
          <cell r="A1061" t="str">
            <v>ИП Зинченко Аркадий Александрович</v>
          </cell>
        </row>
        <row r="1062">
          <cell r="A1062" t="str">
            <v>Зеленский Валентин Викторович</v>
          </cell>
        </row>
        <row r="1063">
          <cell r="A1063" t="str">
            <v>Журавлева Наталья Юрьевна</v>
          </cell>
        </row>
        <row r="1064">
          <cell r="A1064" t="str">
            <v>Гузенко Игорь Николаевич</v>
          </cell>
        </row>
        <row r="1065">
          <cell r="A1065" t="str">
            <v>Бабокин Евгений Александрович</v>
          </cell>
        </row>
        <row r="1066">
          <cell r="A1066" t="str">
            <v>Атрошенко Елена Владимировна</v>
          </cell>
        </row>
        <row r="1067">
          <cell r="A1067" t="str">
            <v>Арутюнова Рузанна Георгиевна</v>
          </cell>
        </row>
        <row r="1068">
          <cell r="A1068" t="str">
            <v>Алхименков Даниил Андреевич</v>
          </cell>
        </row>
        <row r="1069">
          <cell r="A1069" t="str">
            <v>Силуков Александр Андреевич</v>
          </cell>
        </row>
        <row r="1070">
          <cell r="A1070" t="str">
            <v>Винокурова Юлия Геннадьевна</v>
          </cell>
        </row>
        <row r="1071">
          <cell r="A1071" t="str">
            <v>Гладченко Владлен Валерьевич</v>
          </cell>
        </row>
        <row r="1072">
          <cell r="A1072" t="str">
            <v>Мелкин Юрий Алексеевич</v>
          </cell>
        </row>
        <row r="1073">
          <cell r="A1073" t="str">
            <v>Марков Михаил Андреевич</v>
          </cell>
        </row>
        <row r="1074">
          <cell r="A1074" t="str">
            <v>Авагян Максим Ашотович</v>
          </cell>
        </row>
        <row r="1075">
          <cell r="A1075" t="str">
            <v>Сидоров Александр Владимирович</v>
          </cell>
        </row>
        <row r="1076">
          <cell r="A1076" t="str">
            <v>Мырзалиев Абдырасул Израилович</v>
          </cell>
        </row>
        <row r="1077">
          <cell r="A1077" t="str">
            <v>Мартазов Вадим Алексеевич</v>
          </cell>
        </row>
        <row r="1078">
          <cell r="A1078" t="str">
            <v>Дыгова Раиса Мусарбиевна</v>
          </cell>
        </row>
        <row r="1079">
          <cell r="A1079" t="str">
            <v>Винников Андрей Владимирович</v>
          </cell>
        </row>
        <row r="1080">
          <cell r="A1080" t="str">
            <v>Деменьшин Всеволод Николаевич</v>
          </cell>
        </row>
        <row r="1081">
          <cell r="A1081" t="str">
            <v>Прусаков Максим Владимирович</v>
          </cell>
        </row>
        <row r="1082">
          <cell r="A1082" t="str">
            <v>Семерова Зоя Михайловна</v>
          </cell>
        </row>
        <row r="1083">
          <cell r="A1083" t="str">
            <v>Пархоменко Вячеслав Юрьевич</v>
          </cell>
        </row>
        <row r="1084">
          <cell r="A1084" t="str">
            <v>Мурашова Наталья Николаевна</v>
          </cell>
        </row>
        <row r="1085">
          <cell r="A1085" t="str">
            <v>Сергеев Анатолий Викторович</v>
          </cell>
        </row>
        <row r="1086">
          <cell r="A1086" t="str">
            <v>Ореховский Евгений Валериевич</v>
          </cell>
        </row>
        <row r="1087">
          <cell r="A1087" t="str">
            <v>Немод Лазарь Витальевич</v>
          </cell>
        </row>
        <row r="1088">
          <cell r="A1088" t="str">
            <v>Апухтина Виолетта Байрамовна</v>
          </cell>
        </row>
        <row r="1089">
          <cell r="A1089" t="str">
            <v>Степанов Алексей Владимирович</v>
          </cell>
        </row>
        <row r="1090">
          <cell r="A1090" t="str">
            <v>Самойленко Роман Владимирович</v>
          </cell>
        </row>
        <row r="1091">
          <cell r="A1091" t="str">
            <v>Рыбаков Виктор Васильевич</v>
          </cell>
        </row>
        <row r="1092">
          <cell r="A1092" t="str">
            <v>Мусаев Саид Рамазанович</v>
          </cell>
        </row>
        <row r="1093">
          <cell r="A1093" t="str">
            <v>Мурадян Эдгар Рафаелович</v>
          </cell>
        </row>
        <row r="1094">
          <cell r="A1094" t="str">
            <v>Коврик Леонид Николаевич</v>
          </cell>
        </row>
        <row r="1095">
          <cell r="A1095" t="str">
            <v>Кобахидзе Тэмури Юрьевич</v>
          </cell>
        </row>
        <row r="1096">
          <cell r="A1096" t="str">
            <v>Залётов Владимир Александрович</v>
          </cell>
        </row>
        <row r="1097">
          <cell r="A1097" t="str">
            <v>Захаркин Алексей Викторович</v>
          </cell>
        </row>
        <row r="1098">
          <cell r="A1098" t="str">
            <v>Вехова Ирина Александровна</v>
          </cell>
        </row>
        <row r="1099">
          <cell r="A1099" t="str">
            <v>Аладьин Никита Олегович</v>
          </cell>
        </row>
        <row r="1100">
          <cell r="A1100" t="str">
            <v>Семенов Сергей Юрьевич</v>
          </cell>
        </row>
        <row r="1101">
          <cell r="A1101" t="str">
            <v>Лапшин Владимир Николаевич</v>
          </cell>
        </row>
        <row r="1102">
          <cell r="A1102" t="str">
            <v>Узбеков Антон Сергеевич</v>
          </cell>
        </row>
        <row r="1103">
          <cell r="A1103" t="str">
            <v>Крюков Сергей Викторович</v>
          </cell>
        </row>
        <row r="1104">
          <cell r="A1104" t="str">
            <v>Арменакян Армен Серёжаевич</v>
          </cell>
        </row>
        <row r="1105">
          <cell r="A1105" t="str">
            <v>Пономарчук Андрей Борисович</v>
          </cell>
        </row>
        <row r="1106">
          <cell r="A1106" t="str">
            <v>ОРБИТА ООО</v>
          </cell>
        </row>
        <row r="1107">
          <cell r="A1107" t="str">
            <v>Михайлик Василий Александрович</v>
          </cell>
        </row>
        <row r="1108">
          <cell r="A1108" t="str">
            <v>Дергунов Андрей Владимирович</v>
          </cell>
        </row>
        <row r="1109">
          <cell r="A1109" t="str">
            <v>Блохина Наталья Борисовна</v>
          </cell>
        </row>
        <row r="1110">
          <cell r="A1110" t="str">
            <v>Блохин Виталий Анатольевич</v>
          </cell>
        </row>
        <row r="1111">
          <cell r="A1111" t="str">
            <v>Аликулов Серик Ергалеевич</v>
          </cell>
        </row>
        <row r="1112">
          <cell r="A1112" t="str">
            <v>Алексеев Михаил Александрович</v>
          </cell>
        </row>
        <row r="1113">
          <cell r="A1113" t="str">
            <v>Рикшпун Татьяна Александровна</v>
          </cell>
        </row>
        <row r="1114">
          <cell r="A1114" t="str">
            <v>Лазарева Ирина Михайловна</v>
          </cell>
        </row>
        <row r="1115">
          <cell r="A1115" t="str">
            <v>Кильдюшкин Андрей Николаевич</v>
          </cell>
        </row>
        <row r="1116">
          <cell r="A1116" t="str">
            <v>Абузярова Дания Ильясовна</v>
          </cell>
        </row>
        <row r="1117">
          <cell r="A1117" t="str">
            <v>Абраамян Арут Ширазович</v>
          </cell>
        </row>
        <row r="1118">
          <cell r="A1118" t="str">
            <v>Захаркин Алексей Викторович</v>
          </cell>
        </row>
        <row r="1119">
          <cell r="A1119" t="str">
            <v>Зайцев Сергей Сергеевич</v>
          </cell>
        </row>
        <row r="1120">
          <cell r="A1120" t="str">
            <v>Хачикян Давид Алексеевич</v>
          </cell>
        </row>
        <row r="1121">
          <cell r="A1121" t="str">
            <v>Сироткин Игорь Маркович</v>
          </cell>
        </row>
        <row r="1122">
          <cell r="A1122" t="str">
            <v>Сидорова Ольга Юрьевна</v>
          </cell>
        </row>
        <row r="1123">
          <cell r="A1123" t="str">
            <v>Кольчицкий Захар Викторович</v>
          </cell>
        </row>
        <row r="1124">
          <cell r="A1124" t="str">
            <v>Гавриленко Денис Владимирович</v>
          </cell>
        </row>
        <row r="1125">
          <cell r="A1125" t="str">
            <v>Царьков Павел Игоревич</v>
          </cell>
        </row>
        <row r="1126">
          <cell r="A1126" t="str">
            <v>Сироткин Игорь Маркович</v>
          </cell>
        </row>
        <row r="1127">
          <cell r="A1127" t="str">
            <v>Усиков Андрей Васильевич</v>
          </cell>
        </row>
        <row r="1128">
          <cell r="A1128" t="str">
            <v>Грабовская Вероника Викторовна</v>
          </cell>
        </row>
        <row r="1129">
          <cell r="A1129" t="str">
            <v>Глухов Александр Федорович</v>
          </cell>
        </row>
        <row r="1130">
          <cell r="A1130" t="str">
            <v>Шахабутдинов Марат Камильевич</v>
          </cell>
        </row>
        <row r="1131">
          <cell r="A1131" t="str">
            <v>Казаков Антон Ильич</v>
          </cell>
        </row>
        <row r="1132">
          <cell r="A1132" t="str">
            <v>Уварова Евгения Александровна</v>
          </cell>
        </row>
        <row r="1133">
          <cell r="A1133" t="str">
            <v>ИП Матвеев Николай Викторович</v>
          </cell>
        </row>
        <row r="1134">
          <cell r="A1134" t="str">
            <v>Кочарян Саргис Сетракович</v>
          </cell>
        </row>
        <row r="1135">
          <cell r="A1135" t="str">
            <v>Брусова Валерия Валерьевна</v>
          </cell>
        </row>
        <row r="1136">
          <cell r="A1136" t="str">
            <v>Сироткин Олег Георгиевич</v>
          </cell>
        </row>
        <row r="1137">
          <cell r="A1137" t="str">
            <v>Рамазанов Абакар Рамазанович</v>
          </cell>
        </row>
        <row r="1138">
          <cell r="A1138" t="str">
            <v>Карапетян Аргам Феодорович</v>
          </cell>
        </row>
        <row r="1139">
          <cell r="A1139" t="str">
            <v>Семилетов Алексей Борисович</v>
          </cell>
        </row>
        <row r="1140">
          <cell r="A1140" t="str">
            <v>Асулян Мгер Гарникович</v>
          </cell>
        </row>
        <row r="1141">
          <cell r="A1141" t="str">
            <v>Морозов Иван Сергеевич 2</v>
          </cell>
        </row>
        <row r="1142">
          <cell r="A1142" t="str">
            <v>Гузенко Игорь Николаевич</v>
          </cell>
        </row>
        <row r="1143">
          <cell r="A1143" t="str">
            <v>Бендас Евгений Васильевич</v>
          </cell>
        </row>
        <row r="1144">
          <cell r="A1144" t="str">
            <v>Юдилевич Кирилл Аркадьевич</v>
          </cell>
        </row>
        <row r="1145">
          <cell r="A1145" t="str">
            <v>Шиленков Александр Владимирович</v>
          </cell>
        </row>
        <row r="1146">
          <cell r="A1146" t="str">
            <v>Чертов Алексей Владимирович</v>
          </cell>
        </row>
        <row r="1147">
          <cell r="A1147" t="str">
            <v>Хазова Анна Андреевна</v>
          </cell>
        </row>
        <row r="1148">
          <cell r="A1148" t="str">
            <v>Тихонова Ирина Анатольевна</v>
          </cell>
        </row>
        <row r="1149">
          <cell r="A1149" t="str">
            <v>Матвеева Дарья Вячеславовна</v>
          </cell>
        </row>
        <row r="1150">
          <cell r="A1150" t="str">
            <v>Карташова Евгения Анатольевна</v>
          </cell>
        </row>
        <row r="1151">
          <cell r="A1151" t="str">
            <v>Алижанова Олмахон Базарбаевна</v>
          </cell>
        </row>
        <row r="1152">
          <cell r="A1152" t="str">
            <v>Семилетов Алексей Борисович</v>
          </cell>
        </row>
        <row r="1153">
          <cell r="A1153" t="str">
            <v>Овсепян Жирайр Араевич</v>
          </cell>
        </row>
        <row r="1154">
          <cell r="A1154" t="str">
            <v>Малыгин Максим Юрьевич</v>
          </cell>
        </row>
        <row r="1155">
          <cell r="A1155" t="str">
            <v>Диденко Роман Владимирович</v>
          </cell>
        </row>
        <row r="1156">
          <cell r="A1156" t="str">
            <v>Двухшерстнов Игорь Олегович</v>
          </cell>
        </row>
        <row r="1157">
          <cell r="A1157" t="str">
            <v>Гринь Юлия Владимировна</v>
          </cell>
        </row>
        <row r="1158">
          <cell r="A1158" t="str">
            <v>Бабокин Евгений Александрович</v>
          </cell>
        </row>
        <row r="1159">
          <cell r="A1159" t="str">
            <v>Есиков Алексей Вячеславович</v>
          </cell>
        </row>
        <row r="1160">
          <cell r="A1160" t="str">
            <v>Романова Анна Григорьевна</v>
          </cell>
        </row>
        <row r="1161">
          <cell r="A1161" t="str">
            <v>Мурашова Наталья Николаевна</v>
          </cell>
        </row>
        <row r="1162">
          <cell r="A1162" t="str">
            <v>Дрогин Дмитрий Владимирович</v>
          </cell>
        </row>
        <row r="1163">
          <cell r="A1163" t="str">
            <v>Гавриленко Денис Владимирович</v>
          </cell>
        </row>
        <row r="1164">
          <cell r="A1164" t="str">
            <v>Авдошина Светлана Викторовна</v>
          </cell>
        </row>
        <row r="1165">
          <cell r="A1165" t="str">
            <v>Воронко Александр Иванович</v>
          </cell>
        </row>
        <row r="1166">
          <cell r="A1166" t="str">
            <v>Хачатрян Хачик Норайрович</v>
          </cell>
        </row>
        <row r="1167">
          <cell r="A1167" t="str">
            <v>Фомичев Денис Александрович</v>
          </cell>
        </row>
        <row r="1168">
          <cell r="A1168" t="str">
            <v>Евсин Иван Евгеньевич</v>
          </cell>
        </row>
        <row r="1169">
          <cell r="A1169" t="str">
            <v>Пахомов Михаил Юрьевич</v>
          </cell>
        </row>
        <row r="1170">
          <cell r="A1170" t="str">
            <v>Муминов Фирдавс Юсуфович</v>
          </cell>
        </row>
        <row r="1171">
          <cell r="A1171" t="str">
            <v>Джумаева Муслима Султоновна</v>
          </cell>
        </row>
        <row r="1172">
          <cell r="A1172" t="str">
            <v>Лямин Сергей Александрович</v>
          </cell>
        </row>
        <row r="1173">
          <cell r="A1173" t="str">
            <v>Пономарчук Андрей Борисович</v>
          </cell>
        </row>
        <row r="1174">
          <cell r="A1174" t="str">
            <v>Владимиров Александр Андреевич</v>
          </cell>
        </row>
        <row r="1175">
          <cell r="A1175" t="str">
            <v>Бабаян Мартин Хачатурович</v>
          </cell>
        </row>
        <row r="1176">
          <cell r="A1176" t="str">
            <v>Правдивцева Наталья Владимировна</v>
          </cell>
        </row>
        <row r="1177">
          <cell r="A1177" t="str">
            <v>Шарыгин Семен Михайлович</v>
          </cell>
        </row>
        <row r="1178">
          <cell r="A1178" t="str">
            <v>Рыбаков Виктор Васильевич</v>
          </cell>
        </row>
        <row r="1179">
          <cell r="A1179" t="str">
            <v>Киселев Андрей Владимирович</v>
          </cell>
        </row>
        <row r="1180">
          <cell r="A1180" t="str">
            <v>Месропян Аревик Орбеловна</v>
          </cell>
        </row>
        <row r="1181">
          <cell r="A1181" t="str">
            <v>Павлов Владимир Геннадьевич</v>
          </cell>
        </row>
        <row r="1182">
          <cell r="A1182" t="str">
            <v>Шелин Екатерина Вячеславовна</v>
          </cell>
        </row>
        <row r="1183">
          <cell r="A1183" t="str">
            <v>Исаев Александр Васильевич</v>
          </cell>
        </row>
        <row r="1184">
          <cell r="A1184" t="str">
            <v>Залётов Владимир Александрович</v>
          </cell>
        </row>
        <row r="1185">
          <cell r="A1185" t="str">
            <v>Дмитриев Алексей Евгеньевич</v>
          </cell>
        </row>
        <row r="1186">
          <cell r="A1186" t="str">
            <v>Спицын Антон Вадимович</v>
          </cell>
        </row>
        <row r="1187">
          <cell r="A1187" t="str">
            <v>Ермаков Евгений Васильевич</v>
          </cell>
        </row>
        <row r="1188">
          <cell r="A1188" t="str">
            <v>Билтуев Юнади Юсупович</v>
          </cell>
        </row>
        <row r="1189">
          <cell r="A1189" t="str">
            <v>Манасян Ашот Сергеевич</v>
          </cell>
        </row>
        <row r="1190">
          <cell r="A1190" t="str">
            <v>ИП Носова Ирина Михайловна</v>
          </cell>
        </row>
        <row r="1191">
          <cell r="A1191" t="str">
            <v>ИП Носова Ирина Михайловна</v>
          </cell>
        </row>
        <row r="1192">
          <cell r="A1192" t="str">
            <v>Матвеев Андрей Александрович</v>
          </cell>
        </row>
        <row r="1193">
          <cell r="A1193" t="str">
            <v>Борисов Максим Валерьевич</v>
          </cell>
        </row>
        <row r="1194">
          <cell r="A1194" t="str">
            <v>Гринь Юлия Владимировна</v>
          </cell>
        </row>
        <row r="1196">
          <cell r="A1196" t="str">
            <v>Адилов Эмиль Раиз-Оглы</v>
          </cell>
        </row>
        <row r="1197">
          <cell r="A1197" t="str">
            <v>Калашникова Екатерина Васильевна</v>
          </cell>
        </row>
        <row r="1198">
          <cell r="A1198" t="str">
            <v>Калашникова Екатерина Васильевна</v>
          </cell>
        </row>
        <row r="1199">
          <cell r="A1199" t="str">
            <v>Калашникова Екатерина Васильевна</v>
          </cell>
        </row>
        <row r="1200">
          <cell r="A1200" t="str">
            <v>Ан Мария Витальевна</v>
          </cell>
        </row>
        <row r="1201">
          <cell r="A1201" t="str">
            <v>Медяник Владимир Станиславович</v>
          </cell>
        </row>
        <row r="1202">
          <cell r="A1202" t="str">
            <v>Шмелёв Денис Александрович</v>
          </cell>
        </row>
        <row r="1203">
          <cell r="A1203" t="str">
            <v>Сергеев Валерий Николаевич</v>
          </cell>
        </row>
        <row r="1204">
          <cell r="A1204" t="str">
            <v>Лого-Трейд ООО</v>
          </cell>
        </row>
        <row r="1205">
          <cell r="A1205" t="str">
            <v>Иноземцева Ольга Алексеевна</v>
          </cell>
        </row>
        <row r="1206">
          <cell r="A1206" t="str">
            <v>Тамарян Марат Мисакович</v>
          </cell>
        </row>
        <row r="1207">
          <cell r="A1207" t="str">
            <v>Тамарян Марат Мисакович</v>
          </cell>
        </row>
        <row r="1208">
          <cell r="A1208" t="str">
            <v>Рыжов Станислав Станиславович</v>
          </cell>
        </row>
        <row r="1209">
          <cell r="A1209" t="str">
            <v>Рогозина Инна Викторовна</v>
          </cell>
        </row>
        <row r="1210">
          <cell r="A1210" t="str">
            <v>Берберян Эдуард Арутюнович</v>
          </cell>
        </row>
        <row r="1211">
          <cell r="A1211" t="str">
            <v>ПРИНТСТОРИ ООО</v>
          </cell>
        </row>
        <row r="1212">
          <cell r="A1212" t="str">
            <v>Мурина Оксана Викторовна</v>
          </cell>
        </row>
        <row r="1213">
          <cell r="A1213" t="str">
            <v>Ханбеков Валерий Рифатович</v>
          </cell>
        </row>
        <row r="1214">
          <cell r="A1214" t="str">
            <v>Торосян Ара Вирапович</v>
          </cell>
        </row>
        <row r="1215">
          <cell r="A1215" t="str">
            <v>Сорочкин Сергей Эдуардович</v>
          </cell>
        </row>
        <row r="1216">
          <cell r="A1216" t="str">
            <v>Макси-Строй ООО</v>
          </cell>
        </row>
        <row r="1217">
          <cell r="A1217" t="str">
            <v>Шашков Константин Вячеславович</v>
          </cell>
        </row>
        <row r="1218">
          <cell r="A1218" t="str">
            <v>Худин Виктор Васильевич</v>
          </cell>
        </row>
        <row r="1219">
          <cell r="A1219" t="str">
            <v>Стойка Симион</v>
          </cell>
        </row>
        <row r="1220">
          <cell r="A1220" t="str">
            <v>Саутин Александр Юрьевич</v>
          </cell>
        </row>
        <row r="1221">
          <cell r="A1221" t="str">
            <v>Самойленко Ирина Геннадьевна</v>
          </cell>
        </row>
        <row r="1222">
          <cell r="A1222" t="str">
            <v>Мурашова Наталья Николаевна</v>
          </cell>
        </row>
        <row r="1223">
          <cell r="A1223" t="str">
            <v>Марецкий Андрей Юрьевич</v>
          </cell>
        </row>
        <row r="1224">
          <cell r="A1224" t="str">
            <v>Кудрявцев Геннадий Владимирович</v>
          </cell>
        </row>
        <row r="1225">
          <cell r="A1225" t="str">
            <v>Карташова Евгения Анатольевна</v>
          </cell>
        </row>
        <row r="1226">
          <cell r="A1226" t="str">
            <v>Бибнева Анастасия Дмитриевна</v>
          </cell>
        </row>
        <row r="1227">
          <cell r="A1227" t="str">
            <v>Галимов Руслан Рашитович</v>
          </cell>
        </row>
        <row r="1228">
          <cell r="A1228" t="str">
            <v>ПРИНТСТОРИ ООО</v>
          </cell>
        </row>
        <row r="1229">
          <cell r="A1229" t="str">
            <v>Седельник Сергей Федорович</v>
          </cell>
        </row>
        <row r="1230">
          <cell r="A1230" t="str">
            <v>Павлов Константин Вильямович</v>
          </cell>
        </row>
        <row r="1231">
          <cell r="A1231" t="str">
            <v>Хачикян Давид Алексеевич</v>
          </cell>
        </row>
        <row r="1232">
          <cell r="A1232" t="str">
            <v>Хачатрян Хачик Норайрович</v>
          </cell>
        </row>
        <row r="1233">
          <cell r="A1233" t="str">
            <v>Муминов Фирдавс Юсуфович</v>
          </cell>
        </row>
        <row r="1234">
          <cell r="A1234" t="str">
            <v>Джумаева Муслима Султоновна</v>
          </cell>
        </row>
        <row r="1235">
          <cell r="A1235" t="str">
            <v>Аладьин Никита Олегович</v>
          </cell>
        </row>
        <row r="1236">
          <cell r="A1236" t="str">
            <v>СЕЙЛМЕД ООО</v>
          </cell>
        </row>
        <row r="1237">
          <cell r="A1237" t="str">
            <v>Ясинский Константин Олегович</v>
          </cell>
        </row>
        <row r="1238">
          <cell r="A1238" t="str">
            <v>Межевов Александр Васильевич</v>
          </cell>
        </row>
        <row r="1239">
          <cell r="A1239" t="str">
            <v>Хасанов Рамзан Вахаевич</v>
          </cell>
        </row>
        <row r="1240">
          <cell r="A1240" t="str">
            <v>Сергеев Сергей Сергеевич</v>
          </cell>
        </row>
        <row r="1241">
          <cell r="A1241" t="str">
            <v>Пилюгин Олег Васильевич</v>
          </cell>
        </row>
        <row r="1242">
          <cell r="A1242" t="str">
            <v>Битюцких Александр Александрович</v>
          </cell>
        </row>
        <row r="1243">
          <cell r="A1243" t="str">
            <v>Балыкина Марина Олеговна</v>
          </cell>
        </row>
        <row r="1244">
          <cell r="A1244" t="str">
            <v>Хачикян Давид Алексеевич</v>
          </cell>
        </row>
        <row r="1245">
          <cell r="A1245" t="str">
            <v>Гончаров Роман Владимирович</v>
          </cell>
        </row>
        <row r="1246">
          <cell r="A1246" t="str">
            <v>Леднев Алексей Иванович</v>
          </cell>
        </row>
        <row r="1247">
          <cell r="A1247" t="str">
            <v>Шиленков Александр Владимирович</v>
          </cell>
        </row>
        <row r="1248">
          <cell r="A1248" t="str">
            <v>Азизов Эльшан Ровшан Оглы</v>
          </cell>
        </row>
        <row r="1249">
          <cell r="A1249" t="str">
            <v>Чащин Роджер Николаевич</v>
          </cell>
        </row>
        <row r="1250">
          <cell r="A1250" t="str">
            <v>Шиловский Михаил Абрамович</v>
          </cell>
        </row>
        <row r="1251">
          <cell r="A1251" t="str">
            <v>Выговская Валентина Николаевна</v>
          </cell>
        </row>
        <row r="1252">
          <cell r="A1252" t="str">
            <v>Евтушенко Александр Александрович</v>
          </cell>
        </row>
        <row r="1253">
          <cell r="A1253" t="str">
            <v>Дученко Анастасия Олеговна</v>
          </cell>
        </row>
        <row r="1254">
          <cell r="A1254" t="str">
            <v>Юлдашев Абдумажид Абдулхамиджонович</v>
          </cell>
        </row>
        <row r="1255">
          <cell r="A1255" t="str">
            <v>Тимохин Иван Алексеевич</v>
          </cell>
        </row>
        <row r="1256">
          <cell r="A1256" t="str">
            <v>Моргунова Виктория Юрьевна</v>
          </cell>
        </row>
        <row r="1257">
          <cell r="A1257" t="str">
            <v>ТРАНСЛОГ ООО</v>
          </cell>
        </row>
        <row r="1258">
          <cell r="A1258" t="str">
            <v>АРТЭС ООО</v>
          </cell>
        </row>
        <row r="1259">
          <cell r="A1259" t="str">
            <v>Селезнев Дмитрий Сергеевич</v>
          </cell>
        </row>
        <row r="1260">
          <cell r="A1260" t="str">
            <v>Мурашова Наталья Николаевна</v>
          </cell>
        </row>
        <row r="1261">
          <cell r="A1261" t="str">
            <v>Муравьев Сергей Сергеевич</v>
          </cell>
        </row>
        <row r="1262">
          <cell r="A1262" t="str">
            <v>Захаркин Алексей Викторович</v>
          </cell>
        </row>
        <row r="1263">
          <cell r="A1263" t="str">
            <v>Царев Кирилл Сергеевич</v>
          </cell>
        </row>
        <row r="1264">
          <cell r="A1264" t="str">
            <v>Третьякова Лариса Руслановна</v>
          </cell>
        </row>
        <row r="1265">
          <cell r="A1265" t="str">
            <v>Степанов Алексей Владимирович</v>
          </cell>
        </row>
        <row r="1266">
          <cell r="A1266" t="str">
            <v>Спиридонов Константин Александрович</v>
          </cell>
        </row>
        <row r="1267">
          <cell r="A1267" t="str">
            <v>Сорочкин Сергей Эдуардович</v>
          </cell>
        </row>
        <row r="1268">
          <cell r="A1268" t="str">
            <v>Пушкин Андрей Сергеевич</v>
          </cell>
        </row>
        <row r="1269">
          <cell r="A1269" t="str">
            <v>ПРОСТРАНСТВО РАЗВИТИЯ ЛЕРНЕР ООО</v>
          </cell>
        </row>
        <row r="1270">
          <cell r="A1270" t="str">
            <v>Элоян Артур Гамбарович</v>
          </cell>
        </row>
        <row r="1271">
          <cell r="A1271" t="str">
            <v>Чадин Владимир Владимирович</v>
          </cell>
        </row>
        <row r="1272">
          <cell r="A1272" t="str">
            <v>Сорочкин Сергей Эдуардович</v>
          </cell>
        </row>
        <row r="1273">
          <cell r="A1273" t="str">
            <v>Самойленко Ирина Геннадьевна</v>
          </cell>
        </row>
        <row r="1274">
          <cell r="A1274" t="str">
            <v>Парфенов Дмитрий Юрьевич</v>
          </cell>
        </row>
        <row r="1275">
          <cell r="A1275" t="str">
            <v>Омаров Расул Казибекович</v>
          </cell>
        </row>
        <row r="1276">
          <cell r="A1276" t="str">
            <v>Кравченко Вера Юрьевна</v>
          </cell>
        </row>
        <row r="1277">
          <cell r="A1277" t="str">
            <v>Войцеховский Виталий Геннадьевич</v>
          </cell>
        </row>
        <row r="1278">
          <cell r="A1278" t="str">
            <v>Баяндин Сергей Петрович</v>
          </cell>
        </row>
        <row r="1279">
          <cell r="A1279" t="str">
            <v>Арутюнова Рузанна Георгиевна</v>
          </cell>
        </row>
        <row r="1280">
          <cell r="A1280" t="str">
            <v>Абраамян Арут Ширазович</v>
          </cell>
        </row>
        <row r="1281">
          <cell r="A1281" t="str">
            <v>Мазнев Алексей Николаевич</v>
          </cell>
        </row>
        <row r="1282">
          <cell r="A1282" t="str">
            <v>Барт Денис Михайлович</v>
          </cell>
        </row>
        <row r="1283">
          <cell r="A1283" t="str">
            <v>ВЗАИМНО ООО</v>
          </cell>
        </row>
        <row r="1284">
          <cell r="A1284" t="str">
            <v>Шарыгин Семен Михайлович</v>
          </cell>
        </row>
        <row r="1285">
          <cell r="A1285" t="str">
            <v>Чистильников Алексей Вячеславович</v>
          </cell>
        </row>
        <row r="1286">
          <cell r="A1286" t="str">
            <v>Павлов Константин Вильямович</v>
          </cell>
        </row>
        <row r="1287">
          <cell r="A1287" t="str">
            <v>Павлов Владимир Геннадьевич</v>
          </cell>
        </row>
        <row r="1288">
          <cell r="A1288" t="str">
            <v>Стеняшин Александр Николаевич</v>
          </cell>
        </row>
        <row r="1289">
          <cell r="A1289" t="str">
            <v>Белова Евгения Валерьевна</v>
          </cell>
        </row>
        <row r="1290">
          <cell r="A1290" t="str">
            <v>Гусев Владимир Николаевич</v>
          </cell>
        </row>
        <row r="1291">
          <cell r="A1291" t="str">
            <v>Межевов Александр Васильевич</v>
          </cell>
        </row>
        <row r="1292">
          <cell r="A1292" t="str">
            <v>Пономарчук Андрей Борисович</v>
          </cell>
        </row>
        <row r="1293">
          <cell r="A1293" t="str">
            <v>Сапельников Юрий Александрович</v>
          </cell>
        </row>
        <row r="1294">
          <cell r="A1294" t="str">
            <v>Мифтахутдинов Айрат Ринатович</v>
          </cell>
        </row>
        <row r="1295">
          <cell r="A1295" t="str">
            <v>Масальский Руслан Иванович</v>
          </cell>
        </row>
        <row r="1296">
          <cell r="A1296" t="str">
            <v>Мартазов Вадим Алексеевич</v>
          </cell>
        </row>
        <row r="1297">
          <cell r="A1297" t="str">
            <v>Есиков Алексей Вячеславович</v>
          </cell>
        </row>
        <row r="1298">
          <cell r="A1298" t="str">
            <v>Диденко Роман Владимирович</v>
          </cell>
        </row>
        <row r="1299">
          <cell r="A1299" t="str">
            <v>Борисов Андрей Сергеевич</v>
          </cell>
        </row>
        <row r="1300">
          <cell r="A1300" t="str">
            <v>Белова Галина Борисовна</v>
          </cell>
        </row>
        <row r="1301">
          <cell r="A1301" t="str">
            <v>Морозкина Наталья Сергеевна</v>
          </cell>
        </row>
        <row r="1302">
          <cell r="A1302" t="str">
            <v>Мальсагов Махмуд Салманович</v>
          </cell>
        </row>
        <row r="1303">
          <cell r="A1303" t="str">
            <v>Калашникова Екатерина Васильевна</v>
          </cell>
        </row>
        <row r="1304">
          <cell r="A1304" t="str">
            <v>Калашникова Екатерина Васильевна</v>
          </cell>
        </row>
        <row r="1305">
          <cell r="A1305" t="str">
            <v>Калашникова Екатерина Васильевна</v>
          </cell>
        </row>
        <row r="1306">
          <cell r="A1306" t="str">
            <v>Худин Виктор Васильевич</v>
          </cell>
        </row>
        <row r="1307">
          <cell r="A1307" t="str">
            <v>Хасанов Рамзан Вахаевич</v>
          </cell>
        </row>
        <row r="1308">
          <cell r="A1308" t="str">
            <v>Киселев Андрей Владимирович</v>
          </cell>
        </row>
        <row r="1309">
          <cell r="A1309" t="str">
            <v>ИП Харченко Александр Юрьевич</v>
          </cell>
        </row>
        <row r="1310">
          <cell r="A1310" t="str">
            <v>Цикишев Сергей Николаевич</v>
          </cell>
        </row>
        <row r="1311">
          <cell r="A1311" t="str">
            <v>Архипов Данил Алексеевич</v>
          </cell>
        </row>
        <row r="1312">
          <cell r="A1312" t="str">
            <v>Травничек Андрей Михайлович</v>
          </cell>
        </row>
        <row r="1313">
          <cell r="A1313" t="str">
            <v>Богданова Марина Алексеевна</v>
          </cell>
        </row>
        <row r="1314">
          <cell r="A1314" t="str">
            <v>Гавриш Наталья Николаевна</v>
          </cell>
        </row>
        <row r="1315">
          <cell r="A1315" t="str">
            <v>Стрельцов Денис Николаевич</v>
          </cell>
        </row>
        <row r="1316">
          <cell r="A1316" t="str">
            <v>Перевалов Артём Владимирович</v>
          </cell>
        </row>
        <row r="1317">
          <cell r="A1317" t="str">
            <v>Травничек Андрей Михайлович</v>
          </cell>
        </row>
        <row r="1318">
          <cell r="A1318" t="str">
            <v>Игнатенко Вера Александровна</v>
          </cell>
        </row>
        <row r="1319">
          <cell r="A1319" t="str">
            <v>Берберян Эдуард Арутюнович</v>
          </cell>
        </row>
        <row r="1320">
          <cell r="A1320" t="str">
            <v>Гавриш Наталья Николаевна</v>
          </cell>
        </row>
        <row r="1321">
          <cell r="A1321" t="str">
            <v>Максаев Александр Михайлович</v>
          </cell>
        </row>
        <row r="1322">
          <cell r="A1322" t="str">
            <v>Абдулабеков Магомед Умарасхабович</v>
          </cell>
        </row>
        <row r="1323">
          <cell r="A1323" t="str">
            <v>Мамонтов Геннадий Юрьевич</v>
          </cell>
        </row>
        <row r="1324">
          <cell r="A1324" t="str">
            <v>Жаныбаев Арапбай Дуйшобаевич</v>
          </cell>
        </row>
        <row r="1325">
          <cell r="A1325" t="str">
            <v>Сенокосов Евгений Александрович</v>
          </cell>
        </row>
        <row r="1326">
          <cell r="A1326" t="str">
            <v>Володина Яна Петровна</v>
          </cell>
        </row>
        <row r="1327">
          <cell r="A1327" t="str">
            <v>Маковеев Николай Владимирович</v>
          </cell>
        </row>
        <row r="1328">
          <cell r="A1328" t="str">
            <v>Антонов Сергей Петрович</v>
          </cell>
        </row>
        <row r="1329">
          <cell r="A1329" t="str">
            <v>ИП Дедян Ашот Сократович</v>
          </cell>
        </row>
        <row r="1330">
          <cell r="A1330" t="str">
            <v>Маковеев Николай Владимирович</v>
          </cell>
        </row>
        <row r="1331">
          <cell r="A1331" t="str">
            <v>Чечуй Сергей Геннадьевич</v>
          </cell>
        </row>
        <row r="1332">
          <cell r="A1332" t="str">
            <v>Тихонов Борис Александрович</v>
          </cell>
        </row>
        <row r="1333">
          <cell r="A1333" t="str">
            <v>Бибнева Анастасия Дмитриевна</v>
          </cell>
        </row>
        <row r="1334">
          <cell r="A1334" t="str">
            <v>Газимагомаев Каир Русланович</v>
          </cell>
        </row>
        <row r="1335">
          <cell r="A1335" t="str">
            <v>Хатоев Хасан Вахтангович</v>
          </cell>
        </row>
        <row r="1336">
          <cell r="A1336" t="str">
            <v>ВАЛАР ООО</v>
          </cell>
        </row>
        <row r="1337">
          <cell r="A1337" t="str">
            <v>Александров Максим Александрович</v>
          </cell>
        </row>
        <row r="1338">
          <cell r="A1338" t="str">
            <v>Матвеев Игорь Александрович</v>
          </cell>
        </row>
        <row r="1339">
          <cell r="A1339" t="str">
            <v>Лотонин Александр Олегович</v>
          </cell>
        </row>
        <row r="1340">
          <cell r="A1340" t="str">
            <v>Тунбаев Максим Валерович</v>
          </cell>
        </row>
        <row r="1341">
          <cell r="A1341" t="str">
            <v>Логинов Максим Александрович</v>
          </cell>
        </row>
        <row r="1342">
          <cell r="A1342" t="str">
            <v>Бажуткин Николай Владимирович</v>
          </cell>
        </row>
        <row r="1343">
          <cell r="A1343" t="str">
            <v>Саутин Александр Юрьевич</v>
          </cell>
        </row>
        <row r="1344">
          <cell r="A1344" t="str">
            <v>Марецкий Андрей Юрьевич</v>
          </cell>
        </row>
        <row r="1345">
          <cell r="A1345" t="str">
            <v>Искендеров Рашад Сахиб Оглы</v>
          </cell>
        </row>
        <row r="1346">
          <cell r="A1346" t="str">
            <v>Захаркин Алексей Викторович</v>
          </cell>
        </row>
        <row r="1347">
          <cell r="A1347" t="str">
            <v>Васильевич Здравко</v>
          </cell>
        </row>
        <row r="1348">
          <cell r="A1348" t="str">
            <v>Рыбаков Виктор Васильевич</v>
          </cell>
        </row>
        <row r="1349">
          <cell r="A1349" t="str">
            <v>Марецкий Андрей Юрьевич</v>
          </cell>
        </row>
        <row r="1350">
          <cell r="A1350" t="str">
            <v>Бабокин Евгений Александрович</v>
          </cell>
        </row>
        <row r="1351">
          <cell r="A1351" t="str">
            <v>Мурашова Наталья Николаевна</v>
          </cell>
        </row>
        <row r="1352">
          <cell r="A1352" t="str">
            <v>Лазарева Ирина Михайловна</v>
          </cell>
        </row>
        <row r="1353">
          <cell r="A1353" t="str">
            <v>Чепикова Анна Александровна</v>
          </cell>
        </row>
        <row r="1354">
          <cell r="A1354" t="str">
            <v>Лапшин Владимир Николаевич</v>
          </cell>
        </row>
        <row r="1355">
          <cell r="A1355" t="str">
            <v>Перевалов Артём Владимирович</v>
          </cell>
        </row>
        <row r="1356">
          <cell r="A1356" t="str">
            <v>Зюнин Александр Сергеевич</v>
          </cell>
        </row>
        <row r="1357">
          <cell r="A1357" t="str">
            <v>Рева Анастасия Владимировна</v>
          </cell>
        </row>
        <row r="1358">
          <cell r="A1358" t="str">
            <v>ИП Тен Елена Манкильевна</v>
          </cell>
        </row>
        <row r="1359">
          <cell r="A1359" t="str">
            <v>Шувалов Александр Вячеславович</v>
          </cell>
        </row>
        <row r="1360">
          <cell r="A1360" t="str">
            <v>Сурин Георгий Николаевич</v>
          </cell>
        </row>
        <row r="1361">
          <cell r="A1361" t="str">
            <v>Калашникова Екатерина Васильевна</v>
          </cell>
        </row>
        <row r="1362">
          <cell r="A1362" t="str">
            <v>Белоконева Елена Ивановна</v>
          </cell>
        </row>
        <row r="1363">
          <cell r="A1363" t="str">
            <v>Межевов Александр Васильевич</v>
          </cell>
        </row>
        <row r="1364">
          <cell r="A1364" t="str">
            <v>Мемешев Шабан Юсуфович</v>
          </cell>
        </row>
        <row r="1365">
          <cell r="A1365" t="str">
            <v>Дюнина Светлана Владимировна</v>
          </cell>
        </row>
        <row r="1366">
          <cell r="A1366" t="str">
            <v>Стойка Симион</v>
          </cell>
        </row>
        <row r="1367">
          <cell r="A1367" t="str">
            <v>Радько Владимир Петрович</v>
          </cell>
        </row>
        <row r="1368">
          <cell r="A1368" t="str">
            <v>Радько Владимир Петрович</v>
          </cell>
        </row>
        <row r="1369">
          <cell r="A1369" t="str">
            <v>Абраамян Арут Ширазович</v>
          </cell>
        </row>
        <row r="1370">
          <cell r="A1370" t="str">
            <v>Рубайло Андрей Евгеньевич</v>
          </cell>
        </row>
        <row r="1371">
          <cell r="A1371" t="str">
            <v>Сорочкин Сергей Эдуардович</v>
          </cell>
        </row>
        <row r="1372">
          <cell r="A1372" t="str">
            <v>Широков Иван Андреевич</v>
          </cell>
        </row>
        <row r="1373">
          <cell r="A1373" t="str">
            <v>Акимова Жанна Константиновна</v>
          </cell>
        </row>
        <row r="1374">
          <cell r="A1374" t="str">
            <v>Сукач Олег Константинович</v>
          </cell>
        </row>
        <row r="1375">
          <cell r="A1375" t="str">
            <v>Моисеенков Дмитрий Владимирович</v>
          </cell>
        </row>
        <row r="1376">
          <cell r="A1376" t="str">
            <v>Абраамян Арут Ширазович</v>
          </cell>
        </row>
        <row r="1377">
          <cell r="A1377" t="str">
            <v>Гурьянов Кирилл Владимирович</v>
          </cell>
        </row>
        <row r="1378">
          <cell r="A1378" t="str">
            <v>Жигалов Юрий Валентинович</v>
          </cell>
        </row>
        <row r="1379">
          <cell r="A1379" t="str">
            <v>ТК МЕЖРЕГИОНСЕРВИС-77 ООО</v>
          </cell>
        </row>
        <row r="1380">
          <cell r="A1380" t="str">
            <v>Лобачев Дмитрий Анатольевич</v>
          </cell>
        </row>
        <row r="1381">
          <cell r="A1381" t="str">
            <v>Лещинский Михаил Дмитриевич</v>
          </cell>
        </row>
        <row r="1382">
          <cell r="A1382" t="str">
            <v>Космачевский Денис Алексеевич</v>
          </cell>
        </row>
        <row r="1383">
          <cell r="A1383" t="str">
            <v>Гузенко Игорь Николаевич</v>
          </cell>
        </row>
        <row r="1384">
          <cell r="A1384" t="str">
            <v>Сутько Максим Николаевич</v>
          </cell>
        </row>
        <row r="1385">
          <cell r="A1385" t="str">
            <v>Гузенко Игорь Николаевич</v>
          </cell>
        </row>
        <row r="1386">
          <cell r="A1386" t="str">
            <v>Базарова Нафиса Ибрагимжановна</v>
          </cell>
        </row>
        <row r="1387">
          <cell r="A1387" t="str">
            <v>Космачевский Денис Алексеевич</v>
          </cell>
        </row>
        <row r="1388">
          <cell r="A1388" t="str">
            <v>Шешуков Вячеслав Анатольевич</v>
          </cell>
        </row>
        <row r="1389">
          <cell r="A1389" t="str">
            <v>Галимов Руслан Рашитович</v>
          </cell>
        </row>
        <row r="1390">
          <cell r="A1390" t="str">
            <v>Бобров Дмитрий Михайлович</v>
          </cell>
        </row>
        <row r="1391">
          <cell r="A1391" t="str">
            <v>Царьков Павел Игоревич</v>
          </cell>
        </row>
        <row r="1392">
          <cell r="A1392" t="str">
            <v>Глухов Максим Сергеевич</v>
          </cell>
        </row>
        <row r="1393">
          <cell r="A1393" t="str">
            <v>Владимиров Александр Андреевич</v>
          </cell>
        </row>
        <row r="1394">
          <cell r="A1394" t="str">
            <v>Первушина Юлия Владимировна</v>
          </cell>
        </row>
        <row r="1395">
          <cell r="A1395" t="str">
            <v>Мылов Сергей Геннадьевич</v>
          </cell>
        </row>
        <row r="1396">
          <cell r="A1396" t="str">
            <v>Пономаренко Михаил Юрьевич</v>
          </cell>
        </row>
        <row r="1397">
          <cell r="A1397" t="str">
            <v>Амирханян Оганес Николаевич</v>
          </cell>
        </row>
        <row r="1398">
          <cell r="A1398" t="str">
            <v>Амирханян Эмиль Оганесович</v>
          </cell>
        </row>
        <row r="1399">
          <cell r="A1399" t="str">
            <v>Кубаев Эдуард Рамазанович</v>
          </cell>
        </row>
        <row r="1400">
          <cell r="A1400" t="str">
            <v>Рогозина Инна Викторовна</v>
          </cell>
        </row>
        <row r="1401">
          <cell r="A1401" t="str">
            <v>Фейзуллаев Альберт Нефтуллаевич</v>
          </cell>
        </row>
        <row r="1402">
          <cell r="A1402" t="str">
            <v>Сорочкин Сергей Эдуардович</v>
          </cell>
        </row>
        <row r="1403">
          <cell r="A1403" t="str">
            <v>КАНЦПРОФ СПБ ООО</v>
          </cell>
        </row>
        <row r="1404">
          <cell r="A1404" t="str">
            <v>ИП Зинченко Аркадий Александрович</v>
          </cell>
        </row>
        <row r="1405">
          <cell r="A1405" t="str">
            <v>Сорочкин Сергей Эдуардович</v>
          </cell>
        </row>
        <row r="1406">
          <cell r="A1406" t="str">
            <v>Адилов Низамудин Айнюдинович</v>
          </cell>
        </row>
        <row r="1407">
          <cell r="A1407" t="str">
            <v>Соболев Евгений Романович</v>
          </cell>
        </row>
        <row r="1408">
          <cell r="A1408" t="str">
            <v>Горгинова Ирина Рубеновна</v>
          </cell>
        </row>
        <row r="1409">
          <cell r="A1409" t="str">
            <v>Пиксайкин Денис Владимирович</v>
          </cell>
        </row>
        <row r="1410">
          <cell r="A1410" t="str">
            <v>Маликов Константин Евгеньевич</v>
          </cell>
        </row>
        <row r="1411">
          <cell r="A1411" t="str">
            <v>Хворова Надежда Юрьевна</v>
          </cell>
        </row>
        <row r="1412">
          <cell r="A1412" t="str">
            <v>Стеняшин Александр Николаевич</v>
          </cell>
        </row>
        <row r="1413">
          <cell r="A1413" t="str">
            <v>Коренев Александр Николаевич</v>
          </cell>
        </row>
        <row r="1414">
          <cell r="A1414" t="str">
            <v>Гавриленко Денис Владимирович</v>
          </cell>
        </row>
        <row r="1415">
          <cell r="A1415" t="str">
            <v>Павлов Владимир Геннадьевич</v>
          </cell>
        </row>
        <row r="1416">
          <cell r="A1416" t="str">
            <v>Сапельников Юрий Александрович</v>
          </cell>
        </row>
        <row r="1417">
          <cell r="A1417" t="str">
            <v>Остапенко Максим Дмитриевич</v>
          </cell>
        </row>
        <row r="1418">
          <cell r="A1418" t="str">
            <v>Каганович Сусанна Ильинична</v>
          </cell>
        </row>
        <row r="1419">
          <cell r="A1419" t="str">
            <v>Гаджиев Магомед Османович</v>
          </cell>
        </row>
        <row r="1420">
          <cell r="A1420" t="str">
            <v>Гаджиев Магомед Османович</v>
          </cell>
        </row>
        <row r="1422">
          <cell r="A1422" t="str">
            <v>Бадуев Александр Леонидович</v>
          </cell>
        </row>
        <row r="1423">
          <cell r="A1423" t="str">
            <v>Свинцов Сергей Викторович</v>
          </cell>
        </row>
        <row r="1424">
          <cell r="A1424" t="str">
            <v>Гаджиев Нюрбек Магомедтагирович</v>
          </cell>
        </row>
        <row r="1425">
          <cell r="A1425" t="str">
            <v>Саркисян Геннадий Владимирович</v>
          </cell>
        </row>
        <row r="1426">
          <cell r="A1426" t="str">
            <v>Хубян Левон Сергеевич</v>
          </cell>
        </row>
        <row r="1427">
          <cell r="A1427" t="str">
            <v>Жулева Галина Анатольевна</v>
          </cell>
        </row>
        <row r="1428">
          <cell r="A1428" t="str">
            <v>ИП Гагарин Алексей Александрович</v>
          </cell>
        </row>
        <row r="1429">
          <cell r="A1429" t="str">
            <v>Щербаков Сергей Васильевич</v>
          </cell>
        </row>
        <row r="1430">
          <cell r="A1430" t="str">
            <v>Азаров Александр Юрьевич</v>
          </cell>
        </row>
        <row r="1431">
          <cell r="A1431" t="str">
            <v>Торосян Ара Вирапович</v>
          </cell>
        </row>
        <row r="1432">
          <cell r="A1432" t="str">
            <v>Беляев Игорь Юрьевич</v>
          </cell>
        </row>
        <row r="1433">
          <cell r="A1433" t="str">
            <v>Шопронку Сергей Харитонович</v>
          </cell>
        </row>
        <row r="1434">
          <cell r="A1434" t="str">
            <v>Скопинов Иван Алексеевич</v>
          </cell>
        </row>
        <row r="1435">
          <cell r="A1435" t="str">
            <v>Росляков Артем Владимирович</v>
          </cell>
        </row>
        <row r="1436">
          <cell r="A1436" t="str">
            <v>Манашев Валерий Юрьевич</v>
          </cell>
        </row>
        <row r="1437">
          <cell r="A1437" t="str">
            <v>Лещинский Михаил Дмитриевич</v>
          </cell>
        </row>
        <row r="1438">
          <cell r="A1438" t="str">
            <v>Калинин Алексей Васильевич</v>
          </cell>
        </row>
        <row r="1439">
          <cell r="A1439" t="str">
            <v>Абузярова Дания Ильясовна</v>
          </cell>
        </row>
        <row r="1440">
          <cell r="A1440" t="str">
            <v>Сукач Олег Константинович</v>
          </cell>
        </row>
        <row r="1441">
          <cell r="A1441" t="str">
            <v>Евтеев Павел Петрович</v>
          </cell>
        </row>
        <row r="1442">
          <cell r="A1442" t="str">
            <v>Киселев Андрей Владимирович</v>
          </cell>
        </row>
        <row r="1443">
          <cell r="A1443" t="str">
            <v>Овчинникова Марина Сергеевна</v>
          </cell>
        </row>
        <row r="1444">
          <cell r="A1444" t="str">
            <v>Рыбаков Виктор Васильевич</v>
          </cell>
        </row>
        <row r="1445">
          <cell r="A1445" t="str">
            <v>Титова Юлия Сергеевна</v>
          </cell>
        </row>
        <row r="1446">
          <cell r="A1446" t="str">
            <v>Зюнин Александр Сергеевич</v>
          </cell>
        </row>
        <row r="1447">
          <cell r="A1447" t="str">
            <v>Юдилевич Кирилл Аркадьевич</v>
          </cell>
        </row>
        <row r="1448">
          <cell r="A1448" t="str">
            <v>Ферани Эдуард Мамиконович</v>
          </cell>
        </row>
        <row r="1449">
          <cell r="A1449" t="str">
            <v>ОФИС КРАФТ ООО</v>
          </cell>
        </row>
        <row r="1450">
          <cell r="A1450" t="str">
            <v>Козлов Андрей Леонидович</v>
          </cell>
        </row>
        <row r="1451">
          <cell r="A1451" t="str">
            <v>Федоров Виктор Владимирович</v>
          </cell>
        </row>
        <row r="1452">
          <cell r="A1452" t="str">
            <v>Каширин Иван Алексеевич</v>
          </cell>
        </row>
        <row r="1453">
          <cell r="A1453" t="str">
            <v>КРИСТЕКО ЛОГИСТИК ООО</v>
          </cell>
        </row>
        <row r="1454">
          <cell r="A1454" t="str">
            <v>Трофименко Игорь Геннадьевич</v>
          </cell>
        </row>
        <row r="1455">
          <cell r="A1455" t="str">
            <v>Татьянин Николай Георгиевич</v>
          </cell>
        </row>
        <row r="1456">
          <cell r="A1456" t="str">
            <v>Сурин Георгий Николаевич</v>
          </cell>
        </row>
        <row r="1457">
          <cell r="A1457" t="str">
            <v>Спичак Вадим Михайлович</v>
          </cell>
        </row>
        <row r="1458">
          <cell r="A1458" t="str">
            <v>Спичак Вадим Михайлович</v>
          </cell>
        </row>
        <row r="1459">
          <cell r="A1459" t="str">
            <v>Сорокина Екатерина Васильевна</v>
          </cell>
        </row>
        <row r="1460">
          <cell r="A1460" t="str">
            <v>Вековищев Андрей Анатольевич</v>
          </cell>
        </row>
        <row r="1461">
          <cell r="A1461" t="str">
            <v>ГАЛАКТИКА ООО</v>
          </cell>
        </row>
        <row r="1462">
          <cell r="A1462" t="str">
            <v>Макси-Строй ООО</v>
          </cell>
        </row>
        <row r="1463">
          <cell r="A1463" t="str">
            <v>Бобров Дмитрий Михайлович</v>
          </cell>
        </row>
        <row r="1464">
          <cell r="A1464" t="str">
            <v>Юров Михаил Витальевич</v>
          </cell>
        </row>
        <row r="1465">
          <cell r="A1465" t="str">
            <v>Терещенко Алексей Юрьевич</v>
          </cell>
        </row>
        <row r="1466">
          <cell r="A1466" t="str">
            <v>Сукач Галина Александровна</v>
          </cell>
        </row>
        <row r="1467">
          <cell r="A1467" t="str">
            <v>Сомов Денис Валерьевич</v>
          </cell>
        </row>
        <row r="1468">
          <cell r="A1468" t="str">
            <v>Римский Григорий Юрьевич</v>
          </cell>
        </row>
        <row r="1469">
          <cell r="A1469" t="str">
            <v>Петров Сергей Владимирович</v>
          </cell>
        </row>
        <row r="1470">
          <cell r="A1470" t="str">
            <v>Новиков Алексей Леонидович</v>
          </cell>
        </row>
        <row r="1471">
          <cell r="A1471" t="str">
            <v>Марецкий Андрей Юрьевич</v>
          </cell>
        </row>
        <row r="1472">
          <cell r="A1472" t="str">
            <v>Калашникова Екатерина Васильевна</v>
          </cell>
        </row>
        <row r="1473">
          <cell r="A1473" t="str">
            <v>Калашникова Екатерина Васильевна</v>
          </cell>
        </row>
        <row r="1474">
          <cell r="A1474" t="str">
            <v>Калашникова Екатерина Васильевна</v>
          </cell>
        </row>
        <row r="1475">
          <cell r="A1475" t="str">
            <v>Ивакин Тимофей Геннадьевич</v>
          </cell>
        </row>
        <row r="1476">
          <cell r="A1476" t="str">
            <v>Диденко Роман Владимирович</v>
          </cell>
        </row>
        <row r="1477">
          <cell r="A1477" t="str">
            <v>Барегамян Арам Эдуардович</v>
          </cell>
        </row>
        <row r="1478">
          <cell r="A1478" t="str">
            <v>Нигметов Ренат Ерсаинович</v>
          </cell>
        </row>
        <row r="1479">
          <cell r="A1479" t="str">
            <v>Дагиров Рустам Шамсутдинович</v>
          </cell>
        </row>
        <row r="1480">
          <cell r="A1480" t="str">
            <v>Глухов Максим Сергеевич</v>
          </cell>
        </row>
        <row r="1481">
          <cell r="A1481" t="str">
            <v>Белова Галина Борисовна</v>
          </cell>
        </row>
        <row r="1482">
          <cell r="A1482" t="str">
            <v>Шешуков Вячеслав Анатольевич</v>
          </cell>
        </row>
        <row r="1483">
          <cell r="A1483" t="str">
            <v>Агамов Карэн Вадимович</v>
          </cell>
        </row>
        <row r="1484">
          <cell r="A1484" t="str">
            <v>Белова Евгения Валерьевна</v>
          </cell>
        </row>
        <row r="1485">
          <cell r="A1485" t="str">
            <v>Белоконева Елена Ивановна</v>
          </cell>
        </row>
        <row r="1486">
          <cell r="A1486" t="str">
            <v>Тоноян Карен Вачикович</v>
          </cell>
        </row>
        <row r="1487">
          <cell r="A1487" t="str">
            <v>Федоров Алексей Сергеевич</v>
          </cell>
        </row>
        <row r="1488">
          <cell r="A1488" t="str">
            <v>Степанов Алексей Владимирович</v>
          </cell>
        </row>
        <row r="1489">
          <cell r="A1489" t="str">
            <v>Сорочкин Сергей Эдуардович</v>
          </cell>
        </row>
        <row r="1490">
          <cell r="A1490" t="str">
            <v>Павлов Константин Вильямович</v>
          </cell>
        </row>
        <row r="1491">
          <cell r="A1491" t="str">
            <v>Лещев Андрей Николаевич</v>
          </cell>
        </row>
        <row r="1492">
          <cell r="A1492" t="str">
            <v>Дыгова Раиса Мусарбиевна</v>
          </cell>
        </row>
        <row r="1493">
          <cell r="A1493" t="str">
            <v>Дученко Анастасия Олеговна</v>
          </cell>
        </row>
        <row r="1494">
          <cell r="A1494" t="str">
            <v>Владимиров Александр Андреевич</v>
          </cell>
        </row>
        <row r="1495">
          <cell r="A1495" t="str">
            <v>ИП Ежов Дмитрий Сергеевич</v>
          </cell>
        </row>
        <row r="1496">
          <cell r="A1496" t="str">
            <v>Тараканов Евгений Валерьевич</v>
          </cell>
        </row>
        <row r="1497">
          <cell r="A1497" t="str">
            <v>Казак Татьяна Петровна</v>
          </cell>
        </row>
        <row r="1498">
          <cell r="A1498" t="str">
            <v>Калашникова Екатерина Васильевна</v>
          </cell>
        </row>
        <row r="1499">
          <cell r="A1499" t="str">
            <v>Цуриков Яков Владимирович</v>
          </cell>
        </row>
        <row r="1500">
          <cell r="A1500" t="str">
            <v>Фейзуллаев Альберт Нефтуллаевич</v>
          </cell>
        </row>
        <row r="1501">
          <cell r="A1501" t="str">
            <v>Самойлов Сергей Владимирович</v>
          </cell>
        </row>
        <row r="1502">
          <cell r="A1502" t="str">
            <v>Калашникова Екатерина Васильевна</v>
          </cell>
        </row>
        <row r="1503">
          <cell r="A1503" t="str">
            <v>Калашникова Екатерина Васильевна</v>
          </cell>
        </row>
        <row r="1504">
          <cell r="A1504" t="str">
            <v>Пономарчук Андрей Борисович</v>
          </cell>
        </row>
        <row r="1505">
          <cell r="A1505" t="str">
            <v>Малыгин Максим Юрьевич</v>
          </cell>
        </row>
        <row r="1506">
          <cell r="A1506" t="str">
            <v>Лямин Сергей Александрович</v>
          </cell>
        </row>
        <row r="1507">
          <cell r="A1507" t="str">
            <v>Громов Николай Дмитриевич</v>
          </cell>
        </row>
        <row r="1508">
          <cell r="A1508" t="str">
            <v>Уголькова Любовь Александровна</v>
          </cell>
        </row>
        <row r="1509">
          <cell r="A1509" t="str">
            <v>Стеняшин Александр Николаевич</v>
          </cell>
        </row>
        <row r="1510">
          <cell r="A1510" t="str">
            <v>Белинский Сергей Игоревич</v>
          </cell>
        </row>
        <row r="1511">
          <cell r="A1511" t="str">
            <v>Попова Марина Альбертовна</v>
          </cell>
        </row>
        <row r="1512">
          <cell r="A1512" t="str">
            <v>Овчинников Виталий Сергеевич</v>
          </cell>
        </row>
        <row r="1513">
          <cell r="A1513" t="str">
            <v>Юшков Юрий Валерьевич</v>
          </cell>
        </row>
        <row r="1514">
          <cell r="A1514" t="str">
            <v>Румянцев Александр Александрович</v>
          </cell>
        </row>
        <row r="1515">
          <cell r="A1515" t="str">
            <v>Морозкина Наталья Сергеевна</v>
          </cell>
        </row>
        <row r="1516">
          <cell r="A1516" t="str">
            <v>Куренкова Марина Анатольевна</v>
          </cell>
        </row>
        <row r="1517">
          <cell r="A1517" t="str">
            <v>Деревяга Илья Викторович</v>
          </cell>
        </row>
        <row r="1518">
          <cell r="A1518" t="str">
            <v>Крюков Сергей Викторович</v>
          </cell>
        </row>
        <row r="1519">
          <cell r="A1519" t="str">
            <v>Крюков Сергей Викторович</v>
          </cell>
        </row>
        <row r="1520">
          <cell r="A1520" t="str">
            <v>Гудименко Константин Алексеевич</v>
          </cell>
        </row>
        <row r="1521">
          <cell r="A1521" t="str">
            <v>Абраамян Арут Ширазович</v>
          </cell>
        </row>
        <row r="1522">
          <cell r="A1522" t="str">
            <v>Пинясов Александр Степанович</v>
          </cell>
        </row>
        <row r="1523">
          <cell r="A1523" t="str">
            <v>Чичикина Людмила Валентиновна</v>
          </cell>
        </row>
        <row r="1524">
          <cell r="A1524" t="str">
            <v>Эльдаров Магомед Вахаевич</v>
          </cell>
        </row>
        <row r="1525">
          <cell r="A1525" t="str">
            <v>Кодесников Владимир Игоревич</v>
          </cell>
        </row>
        <row r="1526">
          <cell r="A1526" t="str">
            <v>Никифоров Родион Борисович</v>
          </cell>
        </row>
        <row r="1527">
          <cell r="A1527" t="str">
            <v>Василевский Константин Дмитриевич</v>
          </cell>
        </row>
        <row r="1528">
          <cell r="A1528" t="str">
            <v>Муродов Шерзод Пулотхонович</v>
          </cell>
        </row>
        <row r="1529">
          <cell r="A1529" t="str">
            <v>Галечян Саят Вардгесович</v>
          </cell>
        </row>
        <row r="1530">
          <cell r="A1530" t="str">
            <v>Галечян Саят Вардгесович</v>
          </cell>
        </row>
        <row r="1531">
          <cell r="A1531" t="str">
            <v>Морозов Евгений Станиславович</v>
          </cell>
        </row>
        <row r="1532">
          <cell r="A1532" t="str">
            <v>Маковеев Николай Владимирович</v>
          </cell>
        </row>
        <row r="1533">
          <cell r="A1533" t="str">
            <v>Рогава Ольга Евгеньевна</v>
          </cell>
        </row>
        <row r="1534">
          <cell r="A1534" t="str">
            <v>Рыбаков Виктор Васильевич</v>
          </cell>
        </row>
        <row r="1535">
          <cell r="A1535" t="str">
            <v>Шешуков Вячеслав Анатольевич</v>
          </cell>
        </row>
        <row r="1536">
          <cell r="A1536" t="str">
            <v>Федоркина Елена Александровна</v>
          </cell>
        </row>
        <row r="1537">
          <cell r="A1537" t="str">
            <v>Гогохия Вероника Валериевна</v>
          </cell>
        </row>
        <row r="1538">
          <cell r="A1538" t="str">
            <v>АРТЭС ООО</v>
          </cell>
        </row>
        <row r="1539">
          <cell r="A1539" t="str">
            <v>Кобальт ООО</v>
          </cell>
        </row>
        <row r="1540">
          <cell r="A1540" t="str">
            <v>Лещинский Михаил Дмитриевич</v>
          </cell>
        </row>
        <row r="1541">
          <cell r="A1541" t="str">
            <v>Стрельцов Денис Николаевич</v>
          </cell>
        </row>
        <row r="1542">
          <cell r="A1542" t="str">
            <v>ИП Камшонков Александр Владимирович</v>
          </cell>
        </row>
        <row r="1543">
          <cell r="A1543" t="str">
            <v>Дагиров Рустам Шамсутдинович</v>
          </cell>
        </row>
        <row r="1544">
          <cell r="A1544" t="str">
            <v>ИП Носова Ирина Михайловна</v>
          </cell>
        </row>
        <row r="1545">
          <cell r="A1545" t="str">
            <v>Оганесян Наири Миранович</v>
          </cell>
        </row>
        <row r="1546">
          <cell r="A1546" t="str">
            <v>Коврик Леонид Николаевич</v>
          </cell>
        </row>
        <row r="1547">
          <cell r="A1547" t="str">
            <v>Ростовцев Александр Петрович</v>
          </cell>
        </row>
        <row r="1548">
          <cell r="A1548" t="str">
            <v>Прасолов Владимир Анатольевич</v>
          </cell>
        </row>
        <row r="1549">
          <cell r="A1549" t="str">
            <v>Амирханян Оганес Николаевич</v>
          </cell>
        </row>
        <row r="1550">
          <cell r="A1550" t="str">
            <v>АРТПРОЕКТ ООО</v>
          </cell>
        </row>
        <row r="1551">
          <cell r="A1551" t="str">
            <v>Аушева Зарета Беслановна</v>
          </cell>
        </row>
        <row r="1552">
          <cell r="A1552" t="str">
            <v>Исаков Магомед Владимирович</v>
          </cell>
        </row>
        <row r="1553">
          <cell r="A1553" t="str">
            <v>Садигов Нарман Адждар Оглы</v>
          </cell>
        </row>
        <row r="1554">
          <cell r="A1554" t="str">
            <v>Наумов Олег Владимирович</v>
          </cell>
        </row>
        <row r="1555">
          <cell r="A1555" t="str">
            <v>Поддубный Николай Станиславович</v>
          </cell>
        </row>
        <row r="1556">
          <cell r="A1556" t="str">
            <v>Малевич Вадим Владимирович</v>
          </cell>
        </row>
        <row r="1557">
          <cell r="A1557" t="str">
            <v>Игнатенко Константин Сергеевич</v>
          </cell>
        </row>
        <row r="1558">
          <cell r="A1558" t="str">
            <v>Сорочкин Сергей Эдуардович</v>
          </cell>
        </row>
        <row r="1559">
          <cell r="A1559" t="str">
            <v>Поддубный Николай Станиславович</v>
          </cell>
        </row>
        <row r="1560">
          <cell r="A1560" t="str">
            <v>Стрельцова Елена Владимировна</v>
          </cell>
        </row>
        <row r="1561">
          <cell r="A1561" t="str">
            <v>Захаркин Алексей Викторович</v>
          </cell>
        </row>
        <row r="1562">
          <cell r="A1562" t="str">
            <v>Могунов Виталий Сергеевич</v>
          </cell>
        </row>
        <row r="1563">
          <cell r="A1563" t="str">
            <v>Травничек Андрей Михайлович</v>
          </cell>
        </row>
        <row r="1564">
          <cell r="A1564" t="str">
            <v>Сорочкин Сергей Эдуардович</v>
          </cell>
        </row>
        <row r="1565">
          <cell r="A1565" t="str">
            <v>Рыжкова Наталья Николаевна</v>
          </cell>
        </row>
        <row r="1566">
          <cell r="A1566" t="str">
            <v>Сорочкин Сергей Эдуардович</v>
          </cell>
        </row>
        <row r="1567">
          <cell r="A1567" t="str">
            <v>Мальсагов Махмуд Салманович</v>
          </cell>
        </row>
        <row r="1568">
          <cell r="A1568" t="str">
            <v>Трипунов Алексей Владимирович</v>
          </cell>
        </row>
        <row r="1569">
          <cell r="A1569" t="str">
            <v>Мекшило Сергей Михайлович</v>
          </cell>
        </row>
        <row r="1570">
          <cell r="A1570" t="str">
            <v>Борисов Максим Валерьевич</v>
          </cell>
        </row>
        <row r="1571">
          <cell r="A1571" t="str">
            <v>Трофименко Игорь Геннадьевич</v>
          </cell>
        </row>
        <row r="1572">
          <cell r="A1572" t="str">
            <v>ФИНПРОМ ООО</v>
          </cell>
        </row>
        <row r="1573">
          <cell r="A1573" t="str">
            <v>Поддубный Николай Станиславович</v>
          </cell>
        </row>
        <row r="1574">
          <cell r="A1574" t="str">
            <v>Смагин Владимир Валерьевич</v>
          </cell>
        </row>
        <row r="1575">
          <cell r="A1575" t="str">
            <v>Кодрян Евгения Валентиновна</v>
          </cell>
        </row>
        <row r="1576">
          <cell r="A1576" t="str">
            <v>Пушкин Андрей Сергеевич</v>
          </cell>
        </row>
        <row r="1577">
          <cell r="A1577" t="str">
            <v>Сутько Максим Николаевич</v>
          </cell>
        </row>
        <row r="1578">
          <cell r="A1578" t="str">
            <v>Громов Николай Дмитриевич</v>
          </cell>
        </row>
        <row r="1579">
          <cell r="A1579" t="str">
            <v>Мурашова Наталья Николаевна</v>
          </cell>
        </row>
        <row r="1580">
          <cell r="A1580" t="str">
            <v>Барышникова Александра Андреевна</v>
          </cell>
        </row>
        <row r="1581">
          <cell r="A1581" t="str">
            <v>Чикунов Дмитрий Александрович</v>
          </cell>
        </row>
        <row r="1582">
          <cell r="A1582" t="str">
            <v>Мылов Сергей Геннадьевич</v>
          </cell>
        </row>
        <row r="1583">
          <cell r="A1583" t="str">
            <v>Зиновьева Елена Николаевна</v>
          </cell>
        </row>
        <row r="1584">
          <cell r="A1584" t="str">
            <v>Макси-Строй ООО</v>
          </cell>
        </row>
        <row r="1585">
          <cell r="A1585" t="str">
            <v>ИП Галкина Юлия Александровна</v>
          </cell>
        </row>
        <row r="1586">
          <cell r="A1586" t="str">
            <v>Сутько Максим Николаевич</v>
          </cell>
        </row>
        <row r="1587">
          <cell r="A1587" t="str">
            <v>Сидорова Оксана Павловна</v>
          </cell>
        </row>
        <row r="1588">
          <cell r="A1588" t="str">
            <v>Гаджиев Магомед Османович</v>
          </cell>
        </row>
        <row r="1589">
          <cell r="A1589" t="str">
            <v>Гаджиев Магомед Османович</v>
          </cell>
        </row>
        <row r="1590">
          <cell r="A1590" t="str">
            <v>Кульчак Екатерина Александровна</v>
          </cell>
        </row>
        <row r="1591">
          <cell r="A1591" t="str">
            <v>Соболев Владимир Александрович</v>
          </cell>
        </row>
        <row r="1592">
          <cell r="A1592" t="str">
            <v>Орехов Александр Викторович</v>
          </cell>
        </row>
        <row r="1593">
          <cell r="A1593" t="str">
            <v>Узбеков Антон Сергеевич</v>
          </cell>
        </row>
        <row r="1594">
          <cell r="A1594" t="str">
            <v>Атаманов Максим Владимирович</v>
          </cell>
        </row>
        <row r="1595">
          <cell r="A1595" t="str">
            <v>Зайцев Николай Владимирович</v>
          </cell>
        </row>
        <row r="1596">
          <cell r="A1596" t="str">
            <v>Ершова Кристина Михайловна</v>
          </cell>
        </row>
        <row r="1597">
          <cell r="A1597" t="str">
            <v>ИП Арутюнян Ваге Андреасович</v>
          </cell>
        </row>
        <row r="1598">
          <cell r="A1598" t="str">
            <v>ТК МЕЖРЕГИОНСЕРВИС-77 ООО</v>
          </cell>
        </row>
        <row r="1599">
          <cell r="A1599" t="str">
            <v>Хворова Надежда Юрьевна</v>
          </cell>
        </row>
        <row r="1600">
          <cell r="A1600" t="str">
            <v>Степанов Алексей Владимирович</v>
          </cell>
        </row>
        <row r="1601">
          <cell r="A1601" t="str">
            <v>Леднев Алексей Иванович</v>
          </cell>
        </row>
        <row r="1602">
          <cell r="A1602" t="str">
            <v>Климахина Татьяна Сергеевна</v>
          </cell>
        </row>
        <row r="1603">
          <cell r="A1603" t="str">
            <v>КРИСТЕКО ЛОГИСТИК ООО</v>
          </cell>
        </row>
        <row r="1604">
          <cell r="A1604" t="str">
            <v>Кульчак Екатерина Александровна</v>
          </cell>
        </row>
        <row r="1605">
          <cell r="A1605" t="str">
            <v>Лебедев Андрей Николаевич</v>
          </cell>
        </row>
        <row r="1606">
          <cell r="A1606" t="str">
            <v>Фейзуллаев Альберт Нефтуллаевич</v>
          </cell>
        </row>
        <row r="1607">
          <cell r="A1607" t="str">
            <v>Сурин Георгий Николаевич</v>
          </cell>
        </row>
        <row r="1608">
          <cell r="A1608" t="str">
            <v>Мухамедсалин Алибек Булатович</v>
          </cell>
        </row>
        <row r="1609">
          <cell r="A1609" t="str">
            <v>Гусаков Алексей Владимирович</v>
          </cell>
        </row>
        <row r="1610">
          <cell r="A1610" t="str">
            <v>Арефьев Максим Алексеевич</v>
          </cell>
        </row>
        <row r="1611">
          <cell r="A1611" t="str">
            <v>ТРАНСЛОГ ООО</v>
          </cell>
        </row>
        <row r="1612">
          <cell r="A1612" t="str">
            <v>Реберт Катарина Александровна</v>
          </cell>
        </row>
        <row r="1613">
          <cell r="A1613" t="str">
            <v>Шешуков Вячеслав Анатольевич</v>
          </cell>
        </row>
        <row r="1614">
          <cell r="A1614" t="str">
            <v>Парфенов Дмитрий Юрьевич</v>
          </cell>
        </row>
        <row r="1615">
          <cell r="A1615" t="str">
            <v>Боровик Сергей Владимирович</v>
          </cell>
        </row>
        <row r="1616">
          <cell r="A1616" t="str">
            <v>Зограбян Манук Вардкесович</v>
          </cell>
        </row>
        <row r="1617">
          <cell r="A1617" t="str">
            <v>Ерманова Диана Рашитовна</v>
          </cell>
        </row>
        <row r="1618">
          <cell r="A1618" t="str">
            <v>Гагаринский Денис Михайлович</v>
          </cell>
        </row>
        <row r="1619">
          <cell r="A1619" t="str">
            <v>Конев Лаврентий Лаврентьевич</v>
          </cell>
        </row>
        <row r="1620">
          <cell r="A1620" t="str">
            <v>Старов Илья Александрович</v>
          </cell>
        </row>
        <row r="1621">
          <cell r="A1621" t="str">
            <v>Галёна Ольга Владимировна</v>
          </cell>
        </row>
        <row r="1622">
          <cell r="A1622" t="str">
            <v>Остапенко Максим Дмитриевич</v>
          </cell>
        </row>
        <row r="1623">
          <cell r="A1623" t="str">
            <v>Морозов Евгений Станиславович</v>
          </cell>
        </row>
        <row r="1624">
          <cell r="A1624" t="str">
            <v>Спирина Полина Витальевна</v>
          </cell>
        </row>
        <row r="1625">
          <cell r="A1625" t="str">
            <v>Шахабутдинов Марат Камильевич</v>
          </cell>
        </row>
        <row r="1626">
          <cell r="A1626" t="str">
            <v>Тюкаев Алексей Николаевич</v>
          </cell>
        </row>
        <row r="1627">
          <cell r="A1627" t="str">
            <v>Рубцов Михаил Викторович</v>
          </cell>
        </row>
        <row r="1628">
          <cell r="A1628" t="str">
            <v>Гаджиев Нюрбек Магомедтагирович</v>
          </cell>
        </row>
        <row r="1629">
          <cell r="A1629" t="str">
            <v>Бобров Дмитрий Михайлович</v>
          </cell>
        </row>
        <row r="1630">
          <cell r="A1630" t="str">
            <v>Мазнев Алексей Николаевич</v>
          </cell>
        </row>
        <row r="1631">
          <cell r="A1631" t="str">
            <v>Травничек Андрей Михайлович</v>
          </cell>
        </row>
        <row r="1632">
          <cell r="A1632" t="str">
            <v>ВАЛАР ООО</v>
          </cell>
        </row>
        <row r="1633">
          <cell r="A1633" t="str">
            <v>Абраамян Арут Ширазович</v>
          </cell>
        </row>
        <row r="1634">
          <cell r="A1634" t="str">
            <v>Морозов Евгений Станиславович</v>
          </cell>
        </row>
        <row r="1635">
          <cell r="A1635" t="str">
            <v>Павлов Владимир Геннадьевич</v>
          </cell>
        </row>
        <row r="1636">
          <cell r="A1636" t="str">
            <v>Орловский Ян Новомирович</v>
          </cell>
        </row>
        <row r="1637">
          <cell r="A1637" t="str">
            <v>Шумилов Валерий Игоревич</v>
          </cell>
        </row>
        <row r="1638">
          <cell r="A1638" t="str">
            <v>Пушкарев Александр Борисович</v>
          </cell>
        </row>
        <row r="1639">
          <cell r="A1639" t="str">
            <v>Беляев Игорь Юрьевич</v>
          </cell>
        </row>
        <row r="1640">
          <cell r="A1640" t="str">
            <v>Рыбаков Виктор Васильевич</v>
          </cell>
        </row>
        <row r="1641">
          <cell r="A1641" t="str">
            <v>Полоз Александр Иванович</v>
          </cell>
        </row>
        <row r="1642">
          <cell r="A1642" t="str">
            <v>Манашев Валерий Юрьевич</v>
          </cell>
        </row>
        <row r="1643">
          <cell r="A1643" t="str">
            <v>Рафаилов Ефим Годович</v>
          </cell>
        </row>
        <row r="1644">
          <cell r="A1644" t="str">
            <v>Стеняшин Александр Николаевич</v>
          </cell>
        </row>
        <row r="1645">
          <cell r="A1645" t="str">
            <v>Гузенко Игорь Николаевич</v>
          </cell>
        </row>
        <row r="1646">
          <cell r="A1646" t="str">
            <v>Гавриленко Денис Владимирович</v>
          </cell>
        </row>
        <row r="1647">
          <cell r="A1647" t="str">
            <v>Ростовцев Александр Петрович</v>
          </cell>
        </row>
        <row r="1648">
          <cell r="A1648" t="str">
            <v>Гаджиев Магомед Османович</v>
          </cell>
        </row>
        <row r="1649">
          <cell r="A1649" t="str">
            <v>Гаджиев Магомед Османович</v>
          </cell>
        </row>
        <row r="1650">
          <cell r="A1650" t="str">
            <v>Битюцких Александр Александрович</v>
          </cell>
        </row>
        <row r="1651">
          <cell r="A1651" t="str">
            <v>Филатов Андрей Петрович</v>
          </cell>
        </row>
        <row r="1652">
          <cell r="A1652" t="str">
            <v>Барышникова Александра Андреевна</v>
          </cell>
        </row>
        <row r="1653">
          <cell r="A1653" t="str">
            <v>Григорьев Алексей Викторович</v>
          </cell>
        </row>
        <row r="1654">
          <cell r="A1654" t="str">
            <v>Плищенко Андрей Владимирович</v>
          </cell>
        </row>
        <row r="1655">
          <cell r="A1655" t="str">
            <v>Перевалов Артём Владимирович</v>
          </cell>
        </row>
        <row r="1656">
          <cell r="A1656" t="str">
            <v>Горгинова Ирина Рубеновна</v>
          </cell>
        </row>
        <row r="1657">
          <cell r="A1657" t="str">
            <v>Белова Галина Борисовна</v>
          </cell>
        </row>
        <row r="1658">
          <cell r="A1658" t="str">
            <v>Амирханян Оганес Николаевич</v>
          </cell>
        </row>
        <row r="1659">
          <cell r="A1659" t="str">
            <v>ПРОМХИМ-ВЭД ООО</v>
          </cell>
        </row>
        <row r="1660">
          <cell r="A1660" t="str">
            <v>Сапельников Юрий Александрович</v>
          </cell>
        </row>
        <row r="1661">
          <cell r="A1661" t="str">
            <v>Гавриш Наталья Николаевна</v>
          </cell>
        </row>
        <row r="1662">
          <cell r="A1662" t="str">
            <v>Закарьян Цовинар Андрониковна</v>
          </cell>
        </row>
        <row r="1663">
          <cell r="A1663" t="str">
            <v>Закарьян Цовинар Андрониковна</v>
          </cell>
        </row>
        <row r="1664">
          <cell r="A1664" t="str">
            <v>Сорочкин Сергей Эдуардович</v>
          </cell>
        </row>
        <row r="1665">
          <cell r="A1665" t="str">
            <v>Гусаков Алексей Владимирович</v>
          </cell>
        </row>
        <row r="1666">
          <cell r="A1666" t="str">
            <v>Серков Сергей Викторович</v>
          </cell>
        </row>
        <row r="1667">
          <cell r="A1667" t="str">
            <v>Белозеров Дмитрий Владимирович</v>
          </cell>
        </row>
        <row r="1668">
          <cell r="A1668" t="str">
            <v>Скворцова Ольга Сергеевна</v>
          </cell>
        </row>
        <row r="1669">
          <cell r="A1669" t="str">
            <v>Анохина Вероника Валерьевна</v>
          </cell>
        </row>
        <row r="1670">
          <cell r="A1670" t="str">
            <v>Шопронку Сергей Харитонович</v>
          </cell>
        </row>
        <row r="1671">
          <cell r="A1671" t="str">
            <v>Зинченко Андрей Артурович</v>
          </cell>
        </row>
        <row r="1672">
          <cell r="A1672" t="str">
            <v>Ерохов Андрей Вячеславович</v>
          </cell>
        </row>
        <row r="1673">
          <cell r="A1673" t="str">
            <v>Лазарева Ирина Михайловна</v>
          </cell>
        </row>
        <row r="1674">
          <cell r="A1674" t="str">
            <v>Бардин Андрей Юрьевич</v>
          </cell>
        </row>
        <row r="1675">
          <cell r="A1675" t="str">
            <v>Володин Виктор Михайлович</v>
          </cell>
        </row>
        <row r="1676">
          <cell r="A1676" t="str">
            <v>Черновисова Вера Николаевна</v>
          </cell>
        </row>
        <row r="1677">
          <cell r="A1677" t="str">
            <v>Маккаева Рузанна Абдулаевна</v>
          </cell>
        </row>
        <row r="1678">
          <cell r="A1678" t="str">
            <v>Купцов Геннадий Николаевич</v>
          </cell>
        </row>
        <row r="1679">
          <cell r="A1679" t="str">
            <v>Багдасарян Сергей Анатольевич</v>
          </cell>
        </row>
        <row r="1680">
          <cell r="A1680" t="str">
            <v>Володин Виктор Михайлович</v>
          </cell>
        </row>
        <row r="1681">
          <cell r="A1681" t="str">
            <v>Черновисова Вера Николаевна</v>
          </cell>
        </row>
        <row r="1682">
          <cell r="A1682" t="str">
            <v>Мещерский Василий Александрович</v>
          </cell>
        </row>
        <row r="1683">
          <cell r="A1683" t="str">
            <v>СИТИИНФО ООО</v>
          </cell>
        </row>
        <row r="1684">
          <cell r="A1684" t="str">
            <v>Любушкин Сергей Васильевич</v>
          </cell>
        </row>
        <row r="1685">
          <cell r="A1685" t="str">
            <v>Соломатин Алексей Юрьевич</v>
          </cell>
        </row>
        <row r="1686">
          <cell r="A1686" t="str">
            <v>Соломатин Алексей Юрьевич</v>
          </cell>
        </row>
        <row r="1687">
          <cell r="A1687" t="str">
            <v>Галечян Саят Вардгесович</v>
          </cell>
        </row>
        <row r="1688">
          <cell r="A1688" t="str">
            <v>Гудименко Константин Алексеевич</v>
          </cell>
        </row>
        <row r="1689">
          <cell r="A1689" t="str">
            <v>ВАЛАР ООО</v>
          </cell>
        </row>
        <row r="1690">
          <cell r="A1690" t="str">
            <v>ИП Мурашов Виталий Игоревич</v>
          </cell>
        </row>
        <row r="1691">
          <cell r="A1691" t="str">
            <v>Стойка Симион</v>
          </cell>
        </row>
        <row r="1692">
          <cell r="A1692" t="str">
            <v>Рябоконов Алексей Викторович</v>
          </cell>
        </row>
        <row r="1693">
          <cell r="A1693" t="str">
            <v>ИП Богданова Лариса Анатольевна</v>
          </cell>
        </row>
        <row r="1694">
          <cell r="A1694" t="str">
            <v>Долгополов Сергей Юрьевич</v>
          </cell>
        </row>
        <row r="1695">
          <cell r="A1695" t="str">
            <v>Рубцов Михаил Викторович</v>
          </cell>
        </row>
        <row r="1696">
          <cell r="A1696" t="str">
            <v>Новицкая Ирина Станиславовна</v>
          </cell>
        </row>
        <row r="1697">
          <cell r="A1697" t="str">
            <v>Науменко Вячеслав Николаевич</v>
          </cell>
        </row>
        <row r="1698">
          <cell r="A1698" t="str">
            <v>Захаркин Алексей Викторович</v>
          </cell>
        </row>
        <row r="1699">
          <cell r="A1699" t="str">
            <v>Дмитриев Дмитрий Михайлович</v>
          </cell>
        </row>
        <row r="1700">
          <cell r="A1700" t="str">
            <v>Лапшин Александр Сергеевич</v>
          </cell>
        </row>
        <row r="1701">
          <cell r="A1701" t="str">
            <v>Рафаилов Ефим Годович</v>
          </cell>
        </row>
        <row r="1702">
          <cell r="A1702" t="str">
            <v>Михеева Ольга Николаевна</v>
          </cell>
        </row>
        <row r="1703">
          <cell r="A1703" t="str">
            <v>Прокофьев Андрей Павлович</v>
          </cell>
        </row>
        <row r="1704">
          <cell r="A1704" t="str">
            <v>Гавриленко Денис Владимирович</v>
          </cell>
        </row>
        <row r="1705">
          <cell r="A1705" t="str">
            <v>Михеева Ольга Николаевна</v>
          </cell>
        </row>
        <row r="1706">
          <cell r="A1706" t="str">
            <v>Белоусов Сергей Александрович</v>
          </cell>
        </row>
        <row r="1707">
          <cell r="A1707" t="str">
            <v>Мальсагов Махмуд Салманович</v>
          </cell>
        </row>
        <row r="1708">
          <cell r="A1708" t="str">
            <v>Лютов Игорь Александрович</v>
          </cell>
        </row>
        <row r="1709">
          <cell r="A1709" t="str">
            <v>Лютов Игорь Александрович</v>
          </cell>
        </row>
        <row r="1710">
          <cell r="A1710" t="str">
            <v>Лазарев Павел Александрович</v>
          </cell>
        </row>
        <row r="1711">
          <cell r="A1711" t="str">
            <v>Татьянин Николай Георгиевич</v>
          </cell>
        </row>
        <row r="1712">
          <cell r="A1712" t="str">
            <v>Манашев Валерий Юрьевич</v>
          </cell>
        </row>
        <row r="1713">
          <cell r="A1713" t="str">
            <v>ИП Зинченко Аркадий Александрович</v>
          </cell>
        </row>
        <row r="1714">
          <cell r="A1714" t="str">
            <v>Ильин Сергей Вадимович</v>
          </cell>
        </row>
        <row r="1715">
          <cell r="A1715" t="str">
            <v>"МаммиЛэнд" ООО</v>
          </cell>
        </row>
        <row r="1716">
          <cell r="A1716" t="str">
            <v>Селезнев Дмитрий Сергеевич</v>
          </cell>
        </row>
        <row r="1717">
          <cell r="A1717" t="str">
            <v>Шашков Константин Вячеславович</v>
          </cell>
        </row>
        <row r="1718">
          <cell r="A1718" t="str">
            <v>Сапельников Юрий Александрович</v>
          </cell>
        </row>
        <row r="1719">
          <cell r="A1719" t="str">
            <v>Цечоев Али Исмаилович</v>
          </cell>
        </row>
        <row r="1720">
          <cell r="A1720" t="str">
            <v>Ростовцев Александр Петрович</v>
          </cell>
        </row>
        <row r="1721">
          <cell r="A1721" t="str">
            <v>Толкачева Елена Владимировна</v>
          </cell>
        </row>
        <row r="1722">
          <cell r="A1722" t="str">
            <v>Самойлов Сергей Владимирович</v>
          </cell>
        </row>
        <row r="1723">
          <cell r="A1723" t="str">
            <v>Прасолов Владимир Анатольевич</v>
          </cell>
        </row>
        <row r="1724">
          <cell r="A1724" t="str">
            <v>Остапенко Максим Дмитриевич</v>
          </cell>
        </row>
        <row r="1725">
          <cell r="A1725" t="str">
            <v>Тихонов Дмитрий Сергеевич</v>
          </cell>
        </row>
        <row r="1726">
          <cell r="A1726" t="str">
            <v>Крюков Сергей Викторович</v>
          </cell>
        </row>
        <row r="1727">
          <cell r="A1727" t="str">
            <v>Григорьев Эдуард Юрьевич</v>
          </cell>
        </row>
        <row r="1728">
          <cell r="A1728" t="str">
            <v>Потапов Виталий Борисович</v>
          </cell>
        </row>
        <row r="1729">
          <cell r="A1729" t="str">
            <v>Канев Станислав Олегович</v>
          </cell>
        </row>
        <row r="1730">
          <cell r="A1730" t="str">
            <v>Сельцова Наталья Юрьевна</v>
          </cell>
        </row>
        <row r="1731">
          <cell r="A1731" t="str">
            <v>Калинин Алексей Васильевич</v>
          </cell>
        </row>
        <row r="1732">
          <cell r="A1732" t="str">
            <v>Тихонов Дмитрий Сергеевич</v>
          </cell>
        </row>
        <row r="1733">
          <cell r="A1733" t="str">
            <v>Комаров Роман Иванович</v>
          </cell>
        </row>
        <row r="1734">
          <cell r="A1734" t="str">
            <v>ТЕХНИКА ЮГА ООО</v>
          </cell>
        </row>
        <row r="1735">
          <cell r="A1735" t="str">
            <v>Калашникова Екатерина Васильевна</v>
          </cell>
        </row>
        <row r="1736">
          <cell r="A1736" t="str">
            <v>Калашникова Екатерина Васильевна</v>
          </cell>
        </row>
        <row r="1737">
          <cell r="A1737" t="str">
            <v>Калашникова Екатерина Васильевна</v>
          </cell>
        </row>
        <row r="1738">
          <cell r="A1738" t="str">
            <v>ИП Клякин Станислав Анатольевич</v>
          </cell>
        </row>
        <row r="1739">
          <cell r="A1739" t="str">
            <v>Володин Виктор Михайлович</v>
          </cell>
        </row>
        <row r="1740">
          <cell r="A1740" t="str">
            <v>Марчук Иван Алексеевич</v>
          </cell>
        </row>
        <row r="1741">
          <cell r="A1741" t="str">
            <v>Абдульманова Ангелина Рамилевна</v>
          </cell>
        </row>
        <row r="1742">
          <cell r="A1742" t="str">
            <v>Тищенко Василий Борисович</v>
          </cell>
        </row>
        <row r="1743">
          <cell r="A1743" t="str">
            <v>Кузьмин Кирилл Вадимович</v>
          </cell>
        </row>
        <row r="1744">
          <cell r="A1744" t="str">
            <v>Исматов Руслан Гурезович</v>
          </cell>
        </row>
        <row r="1745">
          <cell r="A1745" t="str">
            <v>Гарнер Роман Борисович</v>
          </cell>
        </row>
        <row r="1746">
          <cell r="A1746" t="str">
            <v>Николаев Владислав Владимирович</v>
          </cell>
        </row>
        <row r="1747">
          <cell r="A1747" t="str">
            <v>Енцова Виктория Александровна</v>
          </cell>
        </row>
        <row r="1748">
          <cell r="A1748" t="str">
            <v>Лебедев Андрей Николаевич</v>
          </cell>
        </row>
        <row r="1749">
          <cell r="A1749" t="str">
            <v>Соломатин Алексей Юрьевич</v>
          </cell>
        </row>
        <row r="1750">
          <cell r="A1750" t="str">
            <v>Погорелов Александр Владимирович</v>
          </cell>
        </row>
        <row r="1751">
          <cell r="A1751" t="str">
            <v>Молодцова Ульяна Алексеевна</v>
          </cell>
        </row>
        <row r="1752">
          <cell r="A1752" t="str">
            <v>Карабанов Евгений Михайлович</v>
          </cell>
        </row>
        <row r="1753">
          <cell r="A1753" t="str">
            <v>"МаммиЛэнд" ООО</v>
          </cell>
        </row>
        <row r="1754">
          <cell r="A1754" t="str">
            <v>Щербаков Алексей Евгеньевич</v>
          </cell>
        </row>
        <row r="1755">
          <cell r="A1755" t="str">
            <v>Рыбаков Виктор Васильевич</v>
          </cell>
        </row>
        <row r="1756">
          <cell r="A1756" t="str">
            <v>Мелкумян Масис Владимирович</v>
          </cell>
        </row>
        <row r="1757">
          <cell r="A1757" t="str">
            <v>Коцуба Андрей Сергеевич</v>
          </cell>
        </row>
        <row r="1758">
          <cell r="A1758" t="str">
            <v>Громов Николай Дмитриевич</v>
          </cell>
        </row>
        <row r="1759">
          <cell r="A1759" t="str">
            <v>Овчинникова Марина Сергеевна</v>
          </cell>
        </row>
        <row r="1760">
          <cell r="A1760" t="str">
            <v>Гавриленко Денис Владимирович</v>
          </cell>
        </row>
        <row r="1761">
          <cell r="A1761" t="str">
            <v>Исаков Магомед Владимирович</v>
          </cell>
        </row>
        <row r="1762">
          <cell r="A1762" t="str">
            <v>Гусев Владимир Николаевич</v>
          </cell>
        </row>
        <row r="1763">
          <cell r="A1763" t="str">
            <v>Борисов Максим Валерьевич</v>
          </cell>
        </row>
        <row r="1764">
          <cell r="A1764" t="str">
            <v>ИП Мурашов Виталий Игоревич</v>
          </cell>
        </row>
        <row r="1765">
          <cell r="A1765" t="str">
            <v>Хозяинов Сергей Александрович</v>
          </cell>
        </row>
        <row r="1766">
          <cell r="A1766" t="str">
            <v>Филатов Андрей Петрович</v>
          </cell>
        </row>
        <row r="1767">
          <cell r="A1767" t="str">
            <v>"МаммиЛэнд" ООО</v>
          </cell>
        </row>
        <row r="1768">
          <cell r="A1768" t="str">
            <v>Соломатин Алексей Юрьевич</v>
          </cell>
        </row>
        <row r="1769">
          <cell r="A1769" t="str">
            <v>Бажанов Сергей Анатольевич</v>
          </cell>
        </row>
        <row r="1770">
          <cell r="A1770" t="str">
            <v>Потёмкин Алексей Николаевич</v>
          </cell>
        </row>
        <row r="1771">
          <cell r="A1771" t="str">
            <v>Васильев Лев Викторович</v>
          </cell>
        </row>
        <row r="1772">
          <cell r="A1772" t="str">
            <v>Васильев Лев Викторович</v>
          </cell>
        </row>
        <row r="1773">
          <cell r="A1773" t="str">
            <v>Ваньков Никита Валерьевич</v>
          </cell>
        </row>
        <row r="1774">
          <cell r="A1774" t="str">
            <v>Ласковец Андрей Викторович</v>
          </cell>
        </row>
        <row r="1775">
          <cell r="A1775" t="str">
            <v>Корзиков Сергей Игоревич</v>
          </cell>
        </row>
        <row r="1776">
          <cell r="A1776" t="str">
            <v>Калинин Алексей Дмитриевич</v>
          </cell>
        </row>
        <row r="1777">
          <cell r="A1777" t="str">
            <v>Гаджиев Нюрбек Магомедтагирович</v>
          </cell>
        </row>
        <row r="1778">
          <cell r="A1778" t="str">
            <v>Балозян Геннадий Теймуразович</v>
          </cell>
        </row>
        <row r="1779">
          <cell r="A1779" t="str">
            <v>Морозов Олег Викторович</v>
          </cell>
        </row>
        <row r="1780">
          <cell r="A1780" t="str">
            <v>Комаревцев Виктор Егорович</v>
          </cell>
        </row>
        <row r="1781">
          <cell r="A1781" t="str">
            <v>Кашлач Нафисия Юрьевна</v>
          </cell>
        </row>
        <row r="1782">
          <cell r="A1782" t="str">
            <v>Шулимов Дмитрий Андреевич</v>
          </cell>
        </row>
        <row r="1783">
          <cell r="A1783" t="str">
            <v>Мерш Анна Дмитриевна</v>
          </cell>
        </row>
        <row r="1784">
          <cell r="A1784" t="str">
            <v>Комаревцев Виктор Егорович</v>
          </cell>
        </row>
        <row r="1785">
          <cell r="A1785" t="str">
            <v>Митин Антон Александрович</v>
          </cell>
        </row>
        <row r="1786">
          <cell r="A1786" t="str">
            <v>Микрюков Илья Леонидович</v>
          </cell>
        </row>
        <row r="1787">
          <cell r="A1787" t="str">
            <v>Ковылин Герман Олегович</v>
          </cell>
        </row>
        <row r="1788">
          <cell r="A1788" t="str">
            <v>Антонов Павел Владимирович</v>
          </cell>
        </row>
        <row r="1789">
          <cell r="A1789" t="str">
            <v>Смирнов Сергей Валерьевич</v>
          </cell>
        </row>
        <row r="1790">
          <cell r="A1790" t="str">
            <v>Аветисян Гарик Сережаевич</v>
          </cell>
        </row>
        <row r="1791">
          <cell r="A1791" t="str">
            <v>Тахмазов Солтан Агарашид Оглы</v>
          </cell>
        </row>
        <row r="1792">
          <cell r="A1792" t="str">
            <v>Агакишиев Ядуллах Али Оглы</v>
          </cell>
        </row>
        <row r="1793">
          <cell r="A1793" t="str">
            <v>Умарова Индира Ризвановна</v>
          </cell>
        </row>
        <row r="1794">
          <cell r="A1794" t="str">
            <v>Шитова Виктория Викторовна</v>
          </cell>
        </row>
        <row r="1795">
          <cell r="A1795" t="str">
            <v>Балозян Геннадий Теймуразович</v>
          </cell>
        </row>
        <row r="1796">
          <cell r="A1796" t="str">
            <v>Павлов Константин Вильямович</v>
          </cell>
        </row>
        <row r="1797">
          <cell r="A1797" t="str">
            <v>Черных Андрей Сергеевич</v>
          </cell>
        </row>
        <row r="1798">
          <cell r="A1798" t="str">
            <v>Балозян Геннадий Теймуразович</v>
          </cell>
        </row>
        <row r="1799">
          <cell r="A1799" t="str">
            <v>Анкудинов Алексей Сергеевич</v>
          </cell>
        </row>
        <row r="1800">
          <cell r="A1800" t="str">
            <v>Калашникова Екатерина Васильевна</v>
          </cell>
        </row>
        <row r="1801">
          <cell r="A1801" t="str">
            <v>Калашникова Екатерина Васильевна</v>
          </cell>
        </row>
        <row r="1802">
          <cell r="A1802" t="str">
            <v>Калашникова Екатерина Васильевна</v>
          </cell>
        </row>
        <row r="1803">
          <cell r="A1803" t="str">
            <v>Корчагина Татьяна Юрьевна</v>
          </cell>
        </row>
        <row r="1804">
          <cell r="A1804" t="str">
            <v>ИП Клякин Станислав Анатольевич</v>
          </cell>
        </row>
        <row r="1805">
          <cell r="A1805" t="str">
            <v>ИП Бойко Василий Анатольевич</v>
          </cell>
        </row>
        <row r="1806">
          <cell r="A1806" t="str">
            <v>Атаманов Максим Владимирович</v>
          </cell>
        </row>
        <row r="1807">
          <cell r="A1807" t="str">
            <v>Абраамян Арут Ширазович</v>
          </cell>
        </row>
        <row r="1808">
          <cell r="A1808" t="str">
            <v>Гриценко Юрий Сергеевич</v>
          </cell>
        </row>
        <row r="1809">
          <cell r="A1809" t="str">
            <v>Бойко Василий Анатольевич</v>
          </cell>
        </row>
        <row r="1810">
          <cell r="A1810" t="str">
            <v>Шахабутдинов Марат Камильевич</v>
          </cell>
        </row>
        <row r="1811">
          <cell r="A1811" t="str">
            <v>Соломатин Алексей Юрьевич</v>
          </cell>
        </row>
        <row r="1812">
          <cell r="A1812" t="str">
            <v>Соломатин Алексей Юрьевич</v>
          </cell>
        </row>
        <row r="1813">
          <cell r="A1813" t="str">
            <v>Сапельников Юрий Александрович</v>
          </cell>
        </row>
        <row r="1814">
          <cell r="A1814" t="str">
            <v>Полищук Кирилл Владимирович</v>
          </cell>
        </row>
        <row r="1815">
          <cell r="A1815" t="str">
            <v>Перевалов Артём Владимирович</v>
          </cell>
        </row>
        <row r="1816">
          <cell r="A1816" t="str">
            <v>Космачевский Денис Алексеевич</v>
          </cell>
        </row>
        <row r="1817">
          <cell r="A1817" t="str">
            <v>Малыгин Максим Юрьевич</v>
          </cell>
        </row>
        <row r="1818">
          <cell r="A1818" t="str">
            <v>Чурилов Максим Юрьевич</v>
          </cell>
        </row>
        <row r="1819">
          <cell r="A1819" t="str">
            <v>ИП Харин Евгений Александрович</v>
          </cell>
        </row>
        <row r="1820">
          <cell r="A1820" t="str">
            <v>ИП Харин Евгений Александрович</v>
          </cell>
        </row>
        <row r="1821">
          <cell r="A1821" t="str">
            <v>Хачикян Давид Алексеевич</v>
          </cell>
        </row>
        <row r="1822">
          <cell r="A1822" t="str">
            <v>Радько Владимир Петрович</v>
          </cell>
        </row>
        <row r="1823">
          <cell r="A1823" t="str">
            <v>Радько Владимир Петрович</v>
          </cell>
        </row>
        <row r="1824">
          <cell r="A1824" t="str">
            <v>Чечуй Сергей Геннадьевич</v>
          </cell>
        </row>
        <row r="1825">
          <cell r="A1825" t="str">
            <v>Шиленков Александр Владимирович</v>
          </cell>
        </row>
        <row r="1826">
          <cell r="A1826" t="str">
            <v>Чикунов Дмитрий Александрович</v>
          </cell>
        </row>
        <row r="1827">
          <cell r="A1827" t="str">
            <v>Рубцов Михаил Викторович</v>
          </cell>
        </row>
        <row r="1828">
          <cell r="A1828" t="str">
            <v>Пиртахия Кето Джемаловна</v>
          </cell>
        </row>
        <row r="1829">
          <cell r="A1829" t="str">
            <v>Мурашова Наталья Николаевна</v>
          </cell>
        </row>
        <row r="1830">
          <cell r="A1830" t="str">
            <v>ВАЛАР ООО</v>
          </cell>
        </row>
        <row r="1831">
          <cell r="A1831" t="str">
            <v>Ласковец Андрей Викторович</v>
          </cell>
        </row>
        <row r="1832">
          <cell r="A1832" t="str">
            <v>Ласковец Андрей Викторович</v>
          </cell>
        </row>
        <row r="1833">
          <cell r="A1833" t="str">
            <v>ТЕХНИКА ЮГА ООО</v>
          </cell>
        </row>
        <row r="1834">
          <cell r="A1834" t="str">
            <v>Ширинов Сахиб Джебраил Оглы</v>
          </cell>
        </row>
        <row r="1835">
          <cell r="A1835" t="str">
            <v>Козлов Александр Борисович</v>
          </cell>
        </row>
        <row r="1836">
          <cell r="A1836" t="str">
            <v>Бузовский Вадим Сергеевич</v>
          </cell>
        </row>
        <row r="1837">
          <cell r="A1837" t="str">
            <v>Захаркин Алексей Викторович</v>
          </cell>
        </row>
        <row r="1838">
          <cell r="A1838" t="str">
            <v>Гаджиев Магомед Османович</v>
          </cell>
        </row>
        <row r="1839">
          <cell r="A1839" t="str">
            <v>Гаджиев Магомед Османович</v>
          </cell>
        </row>
        <row r="1840">
          <cell r="A1840" t="str">
            <v>Арутюнова Рузанна Георгиевна</v>
          </cell>
        </row>
        <row r="1841">
          <cell r="A1841" t="str">
            <v>Розанов Сергей Александрович</v>
          </cell>
        </row>
        <row r="1842">
          <cell r="A1842" t="str">
            <v>Чепикова Анна Александровна</v>
          </cell>
        </row>
        <row r="1843">
          <cell r="A1843" t="str">
            <v>СИТИИНФО ООО</v>
          </cell>
        </row>
        <row r="1844">
          <cell r="A1844" t="str">
            <v>Шубитидзе Алекс Мамукович</v>
          </cell>
        </row>
        <row r="1845">
          <cell r="A1845" t="str">
            <v>ИП Галкина Юлия Александровна</v>
          </cell>
        </row>
        <row r="1846">
          <cell r="A1846" t="str">
            <v>Громов Сергей Дмитриевич</v>
          </cell>
        </row>
        <row r="1847">
          <cell r="A1847" t="str">
            <v>Щербаков Алексей Евгеньевич</v>
          </cell>
        </row>
        <row r="1848">
          <cell r="A1848" t="str">
            <v>Овчинникова Марина Сергеевна</v>
          </cell>
        </row>
        <row r="1849">
          <cell r="A1849" t="str">
            <v>Канев Станислав Олегович</v>
          </cell>
        </row>
        <row r="1850">
          <cell r="A1850" t="str">
            <v>Григорян Бениамин Эдуардович</v>
          </cell>
        </row>
        <row r="1851">
          <cell r="A1851" t="str">
            <v>Химинец Надежда Валерьевна</v>
          </cell>
        </row>
        <row r="1852">
          <cell r="A1852" t="str">
            <v>Рыбаков Виктор Васильевич</v>
          </cell>
        </row>
        <row r="1853">
          <cell r="A1853" t="str">
            <v>Артемова Любовь Анатольевна</v>
          </cell>
        </row>
        <row r="1854">
          <cell r="A1854" t="str">
            <v>Поддубный Николай Станиславович</v>
          </cell>
        </row>
        <row r="1855">
          <cell r="A1855" t="str">
            <v>Ваньков Никита Валерьевич</v>
          </cell>
        </row>
        <row r="1856">
          <cell r="A1856" t="str">
            <v>Гальчук Илья Анатольевич</v>
          </cell>
        </row>
        <row r="1857">
          <cell r="A1857" t="str">
            <v>Черкасов Евгений Викторович</v>
          </cell>
        </row>
        <row r="1858">
          <cell r="A1858" t="str">
            <v>Скопинов Иван Алексеевич</v>
          </cell>
        </row>
        <row r="1859">
          <cell r="A1859" t="str">
            <v>Азаренков Антон Сергеевич</v>
          </cell>
        </row>
        <row r="1860">
          <cell r="A1860" t="str">
            <v>Ложечник Сергей Владимирович</v>
          </cell>
        </row>
        <row r="1861">
          <cell r="A1861" t="str">
            <v>ИП Цыбусова Снежана Викторовна</v>
          </cell>
        </row>
        <row r="1862">
          <cell r="A1862" t="str">
            <v>Сорочкин Сергей Эдуардович</v>
          </cell>
        </row>
        <row r="1863">
          <cell r="A1863" t="str">
            <v>Цечоев Али Исмаилович</v>
          </cell>
        </row>
        <row r="1864">
          <cell r="A1864" t="str">
            <v>Тюкаев Алексей Николаевич</v>
          </cell>
        </row>
        <row r="1865">
          <cell r="A1865" t="str">
            <v>Калинин Алексей Васильевич</v>
          </cell>
        </row>
        <row r="1866">
          <cell r="A1866" t="str">
            <v>Ильин Сергей Вадимович</v>
          </cell>
        </row>
        <row r="1867">
          <cell r="A1867" t="str">
            <v>Ростовцев Александр Петрович</v>
          </cell>
        </row>
        <row r="1868">
          <cell r="A1868" t="str">
            <v>Рубцов Михаил Викторович</v>
          </cell>
        </row>
        <row r="1869">
          <cell r="A1869" t="str">
            <v>Молодцова Ульяна Алексеевна</v>
          </cell>
        </row>
        <row r="1870">
          <cell r="A1870" t="str">
            <v>Кузнецов Денис Михайлович</v>
          </cell>
        </row>
        <row r="1871">
          <cell r="A1871" t="str">
            <v>СиБи Групп Рус ООО</v>
          </cell>
        </row>
        <row r="1872">
          <cell r="A1872" t="str">
            <v>Радев Николай Васильевич</v>
          </cell>
        </row>
        <row r="1873">
          <cell r="A1873" t="str">
            <v>Власов Сергей Александрович</v>
          </cell>
        </row>
        <row r="1874">
          <cell r="A1874" t="str">
            <v>Курятов Олег Владимирович</v>
          </cell>
        </row>
        <row r="1875">
          <cell r="A1875" t="str">
            <v>Алаев Роман Иванович</v>
          </cell>
        </row>
        <row r="1876">
          <cell r="A1876" t="str">
            <v>Трго Ясмин</v>
          </cell>
        </row>
        <row r="1877">
          <cell r="A1877" t="str">
            <v>Ибрагимов Тимирбулат Мусаевич</v>
          </cell>
        </row>
        <row r="1878">
          <cell r="A1878" t="str">
            <v>Сулейманов Герей Кайибович</v>
          </cell>
        </row>
        <row r="1879">
          <cell r="A1879" t="str">
            <v>Сулейманов Герей Кайибович</v>
          </cell>
        </row>
        <row r="1880">
          <cell r="A1880" t="str">
            <v>Вековищев Андрей Анатольевич</v>
          </cell>
        </row>
        <row r="1881">
          <cell r="A1881" t="str">
            <v>Уголькова Любовь Александровна</v>
          </cell>
        </row>
        <row r="1882">
          <cell r="A1882" t="str">
            <v>Агафонов Алексей Юрьевич</v>
          </cell>
        </row>
        <row r="1883">
          <cell r="A1883" t="str">
            <v>Шишулин Сергей Александрович</v>
          </cell>
        </row>
        <row r="1884">
          <cell r="A1884" t="str">
            <v>Шишулин Сергей Александрович</v>
          </cell>
        </row>
        <row r="1885">
          <cell r="A1885" t="str">
            <v>Маковеев Николай Владимирович</v>
          </cell>
        </row>
        <row r="1886">
          <cell r="A1886" t="str">
            <v>Варданян Эдик Самвелович</v>
          </cell>
        </row>
        <row r="1887">
          <cell r="A1887" t="str">
            <v>Варданян Эдик Самвелович</v>
          </cell>
        </row>
        <row r="1888">
          <cell r="A1888" t="str">
            <v>Шашков Константин Вячеславович</v>
          </cell>
        </row>
        <row r="1889">
          <cell r="A1889" t="str">
            <v>Остапенко Максим Дмитриевич</v>
          </cell>
        </row>
        <row r="1890">
          <cell r="A1890" t="str">
            <v>Науменко Вячеслав Николаевич</v>
          </cell>
        </row>
        <row r="1891">
          <cell r="A1891" t="str">
            <v>Ковтунов Александр Васильевич</v>
          </cell>
        </row>
        <row r="1892">
          <cell r="A1892" t="str">
            <v>Стойка Симион</v>
          </cell>
        </row>
        <row r="1893">
          <cell r="A1893" t="str">
            <v>Гальчук Илья Анатольевич</v>
          </cell>
        </row>
        <row r="1894">
          <cell r="A1894" t="str">
            <v>Правдивцева Наталья Владимировна</v>
          </cell>
        </row>
        <row r="1895">
          <cell r="A1895" t="str">
            <v>Шешуков Вячеслав Анатольевич</v>
          </cell>
        </row>
        <row r="1896">
          <cell r="A1896" t="str">
            <v>Пиртахия Кето Джемаловна</v>
          </cell>
        </row>
        <row r="1897">
          <cell r="A1897" t="str">
            <v>Ибрагимов Тимирбулат Мусаевич</v>
          </cell>
        </row>
        <row r="1898">
          <cell r="A1898" t="str">
            <v>Химинец Надежда Валерьевна</v>
          </cell>
        </row>
        <row r="1899">
          <cell r="A1899" t="str">
            <v>Садовникова Лариса Алексеевна</v>
          </cell>
        </row>
        <row r="1900">
          <cell r="A1900" t="str">
            <v>Морозов Евгений Станиславович</v>
          </cell>
        </row>
        <row r="1901">
          <cell r="A1901" t="str">
            <v>Петренко Ольга Николаевна</v>
          </cell>
        </row>
        <row r="1902">
          <cell r="A1902" t="str">
            <v>Магомедова Альбина Бастаминовна</v>
          </cell>
        </row>
        <row r="1903">
          <cell r="A1903" t="str">
            <v>Ихно Константин Александрович</v>
          </cell>
        </row>
        <row r="1904">
          <cell r="A1904" t="str">
            <v>Филатова Юлия Петровна</v>
          </cell>
        </row>
        <row r="1905">
          <cell r="A1905" t="str">
            <v>Фомичев Денис Александрович</v>
          </cell>
        </row>
        <row r="1906">
          <cell r="A1906" t="str">
            <v>Охоцкий Владимир Андреевич</v>
          </cell>
        </row>
        <row r="1907">
          <cell r="A1907" t="str">
            <v>Охоцкий Владимир Андреевич</v>
          </cell>
        </row>
        <row r="1908">
          <cell r="A1908" t="str">
            <v>Охоцкий Владимир Андреевич</v>
          </cell>
        </row>
        <row r="1909">
          <cell r="A1909" t="str">
            <v>Синюхаев Петр Миронович</v>
          </cell>
        </row>
        <row r="1910">
          <cell r="A1910" t="str">
            <v>Радько Владимир Петрович</v>
          </cell>
        </row>
        <row r="1911">
          <cell r="A1911" t="str">
            <v>Радько Владимир Петрович</v>
          </cell>
        </row>
        <row r="1912">
          <cell r="A1912" t="str">
            <v>Новицкая Ирина Станиславовна</v>
          </cell>
        </row>
        <row r="1913">
          <cell r="A1913" t="str">
            <v>Бобров Дмитрий Михайлович</v>
          </cell>
        </row>
        <row r="1914">
          <cell r="A1914" t="str">
            <v>Подгорный Михаил Семенович</v>
          </cell>
        </row>
        <row r="1915">
          <cell r="A1915" t="str">
            <v>ИП Зинченко Аркадий Александрович</v>
          </cell>
        </row>
        <row r="1916">
          <cell r="A1916" t="str">
            <v>Якубов Роман Сергеевич</v>
          </cell>
        </row>
        <row r="1917">
          <cell r="A1917" t="str">
            <v>Спичак Вадим Михайлович</v>
          </cell>
        </row>
        <row r="1918">
          <cell r="A1918" t="str">
            <v>Спичак Вадим Михайлович</v>
          </cell>
        </row>
        <row r="1919">
          <cell r="A1919" t="str">
            <v>Космачевский Денис Алексеевич</v>
          </cell>
        </row>
        <row r="1920">
          <cell r="A1920" t="str">
            <v>Ханукаев Михаил Гавриилович</v>
          </cell>
        </row>
        <row r="1921">
          <cell r="A1921" t="str">
            <v>Михеева Ольга Николаевна</v>
          </cell>
        </row>
        <row r="1922">
          <cell r="A1922" t="str">
            <v>ИП Богданова Лариса Анатольевна</v>
          </cell>
        </row>
        <row r="1923">
          <cell r="A1923" t="str">
            <v>Манашев Валерий Юрьевич</v>
          </cell>
        </row>
        <row r="1924">
          <cell r="A1924" t="str">
            <v>Харитонов Александр Васильевич</v>
          </cell>
        </row>
        <row r="1925">
          <cell r="A1925" t="str">
            <v>Подвербный Сергей Михайлович</v>
          </cell>
        </row>
        <row r="1926">
          <cell r="A1926" t="str">
            <v>Подвербный Сергей Михайлович</v>
          </cell>
        </row>
        <row r="1927">
          <cell r="A1927" t="str">
            <v>ИП Брылев Павел Валерьевич</v>
          </cell>
        </row>
        <row r="1928">
          <cell r="A1928" t="str">
            <v>Чурилов Максим Юрьевич</v>
          </cell>
        </row>
        <row r="1929">
          <cell r="A1929" t="str">
            <v>Калинин Лев Викторович</v>
          </cell>
        </row>
        <row r="1930">
          <cell r="A1930" t="str">
            <v>Сурин Георгий Николаевич</v>
          </cell>
        </row>
        <row r="1931">
          <cell r="A1931" t="str">
            <v>ИП Ежов Дмитрий Сергеевич</v>
          </cell>
        </row>
        <row r="1932">
          <cell r="A1932" t="str">
            <v>Рафаилов Ефим Годович</v>
          </cell>
        </row>
        <row r="1933">
          <cell r="A1933" t="str">
            <v>Самойлов Сергей Владимирович</v>
          </cell>
        </row>
        <row r="1934">
          <cell r="A1934" t="str">
            <v>Никонов Андрей Георгиевич</v>
          </cell>
        </row>
        <row r="1935">
          <cell r="A1935" t="str">
            <v>Гузенко Игорь Николаевич</v>
          </cell>
        </row>
        <row r="1936">
          <cell r="A1936" t="str">
            <v>Гречишкин Валерий Викторович</v>
          </cell>
        </row>
        <row r="1937">
          <cell r="A1937" t="str">
            <v>ИП Харин Евгений Александрович</v>
          </cell>
        </row>
        <row r="1938">
          <cell r="A1938" t="str">
            <v>Чащин Роджер Николаевич</v>
          </cell>
        </row>
        <row r="1939">
          <cell r="A1939" t="str">
            <v>Сенокосов Евгений Александрович</v>
          </cell>
        </row>
        <row r="1940">
          <cell r="A1940" t="str">
            <v>Самойлов Сергей Владимирович</v>
          </cell>
        </row>
        <row r="1941">
          <cell r="A1941" t="str">
            <v>Полищук Кирилл Владимирович</v>
          </cell>
        </row>
        <row r="1942">
          <cell r="A1942" t="str">
            <v>Новиков Алексей Леонидович</v>
          </cell>
        </row>
        <row r="1943">
          <cell r="A1943" t="str">
            <v>Морозов Евгений Станиславович</v>
          </cell>
        </row>
        <row r="1944">
          <cell r="A1944" t="str">
            <v>Морозов Евгений Станиславович</v>
          </cell>
        </row>
        <row r="1945">
          <cell r="A1945" t="str">
            <v>Енцова Виктория Александровна</v>
          </cell>
        </row>
        <row r="1946">
          <cell r="A1946" t="str">
            <v>Евтеев Денис Владимирович</v>
          </cell>
        </row>
        <row r="1947">
          <cell r="A1947" t="str">
            <v>Аракелян Арут Арменович</v>
          </cell>
        </row>
        <row r="1948">
          <cell r="A1948" t="str">
            <v>Шаулов Шаул Рамбомович</v>
          </cell>
        </row>
        <row r="1949">
          <cell r="A1949" t="str">
            <v>Сурагин Владимир Игоревич</v>
          </cell>
        </row>
        <row r="1950">
          <cell r="A1950" t="str">
            <v>Сердюк Вероника Владимировна</v>
          </cell>
        </row>
        <row r="1951">
          <cell r="A1951" t="str">
            <v>Кукушкин Сергей Петрович</v>
          </cell>
        </row>
        <row r="1952">
          <cell r="A1952" t="str">
            <v>Прач Денис Сергеевич</v>
          </cell>
        </row>
        <row r="1953">
          <cell r="A1953" t="str">
            <v>Минаков Алексей Васильевич</v>
          </cell>
        </row>
        <row r="1954">
          <cell r="A1954" t="str">
            <v>Губайдуллин Валерий Вячиславович</v>
          </cell>
        </row>
        <row r="1955">
          <cell r="A1955" t="str">
            <v>Бетешвили Серго Хвичаевич</v>
          </cell>
        </row>
        <row r="1956">
          <cell r="A1956" t="str">
            <v>Байбуртян Роланд Степанович</v>
          </cell>
        </row>
        <row r="1957">
          <cell r="A1957" t="str">
            <v>ИП Матвеев Николай Викторович</v>
          </cell>
        </row>
        <row r="1958">
          <cell r="A1958" t="str">
            <v>Кобальт ООО</v>
          </cell>
        </row>
        <row r="1959">
          <cell r="A1959" t="str">
            <v>Гречкин Максим Алексеевич</v>
          </cell>
        </row>
        <row r="1960">
          <cell r="A1960" t="str">
            <v>Гречкин Максим Алексеевич</v>
          </cell>
        </row>
        <row r="1961">
          <cell r="A1961" t="str">
            <v>Морозкина Наталья Сергеевна</v>
          </cell>
        </row>
        <row r="1962">
          <cell r="A1962" t="str">
            <v>Войнаровская Анна Николаевна</v>
          </cell>
        </row>
        <row r="1963">
          <cell r="A1963" t="str">
            <v>Ткаченко Павел Сергеевич</v>
          </cell>
        </row>
        <row r="1964">
          <cell r="A1964" t="str">
            <v>Спирина Полина Витальевна</v>
          </cell>
        </row>
        <row r="1965">
          <cell r="A1965" t="str">
            <v>Сойников Денис Валерьевич</v>
          </cell>
        </row>
        <row r="1966">
          <cell r="A1966" t="str">
            <v>Овчинников Андрей Николаевич</v>
          </cell>
        </row>
        <row r="1967">
          <cell r="A1967" t="str">
            <v>Кодрян Евгения Валентиновна</v>
          </cell>
        </row>
        <row r="1968">
          <cell r="A1968" t="str">
            <v>Антонов Павел Владимирович</v>
          </cell>
        </row>
        <row r="1969">
          <cell r="A1969" t="str">
            <v>Алыев Вафадар Бакир Оглы</v>
          </cell>
        </row>
        <row r="1970">
          <cell r="A1970" t="str">
            <v>Адилов Низамудин Айнюдинович</v>
          </cell>
        </row>
        <row r="1971">
          <cell r="A1971" t="str">
            <v>Гавриленко Денис Владимирович</v>
          </cell>
        </row>
        <row r="1972">
          <cell r="A1972" t="str">
            <v>Кульчак Екатерина Александровна</v>
          </cell>
        </row>
        <row r="1973">
          <cell r="A1973" t="str">
            <v>Соломатин Алексей Юрьевич</v>
          </cell>
        </row>
        <row r="1974">
          <cell r="A1974" t="str">
            <v>Соломатин Алексей Юрьевич</v>
          </cell>
        </row>
        <row r="1975">
          <cell r="A1975" t="str">
            <v>Путря Сергей Федорович</v>
          </cell>
        </row>
        <row r="1976">
          <cell r="A1976" t="str">
            <v>Павлов Владимир Геннадьевич</v>
          </cell>
        </row>
        <row r="1977">
          <cell r="A1977" t="str">
            <v>Долгополов Сергей Юрьевич</v>
          </cell>
        </row>
        <row r="1978">
          <cell r="A1978" t="str">
            <v>Клюшниченко Станислав Сергеевич</v>
          </cell>
        </row>
        <row r="1979">
          <cell r="A1979" t="str">
            <v>ИП Камшонков Александр Владимирович</v>
          </cell>
        </row>
        <row r="1980">
          <cell r="A1980" t="str">
            <v>Ромайкина Анна Андреевна</v>
          </cell>
        </row>
        <row r="1981">
          <cell r="A1981" t="str">
            <v>Гарнер Роман Борисович</v>
          </cell>
        </row>
        <row r="1982">
          <cell r="A1982" t="str">
            <v>Винокурова Юлия Геннадьевна</v>
          </cell>
        </row>
        <row r="1983">
          <cell r="A1983" t="str">
            <v>Матюхин Алексей Юрьевич</v>
          </cell>
        </row>
        <row r="1984">
          <cell r="A1984" t="str">
            <v>Руштов Файзулло Руштович</v>
          </cell>
        </row>
        <row r="1985">
          <cell r="A1985" t="str">
            <v>Захаркин Алексей Викторович</v>
          </cell>
        </row>
        <row r="1986">
          <cell r="A1986" t="str">
            <v>Селезнев Дмитрий Сергеевич</v>
          </cell>
        </row>
        <row r="1987">
          <cell r="A1987" t="str">
            <v>Морозов Владимир Павлович</v>
          </cell>
        </row>
        <row r="1988">
          <cell r="A1988" t="str">
            <v>Цуканов Сергей Владимирович</v>
          </cell>
        </row>
        <row r="1989">
          <cell r="A1989" t="str">
            <v>Акимцева Юлия Анатольевна</v>
          </cell>
        </row>
        <row r="1990">
          <cell r="A1990" t="str">
            <v>Чечуй Сергей Геннадьевич</v>
          </cell>
        </row>
        <row r="1991">
          <cell r="A1991" t="str">
            <v>Мошкин Андрей Викторович</v>
          </cell>
        </row>
        <row r="1992">
          <cell r="A1992" t="str">
            <v>Калинин Алексей Васильевич</v>
          </cell>
        </row>
        <row r="1993">
          <cell r="A1993" t="str">
            <v>Кульчак Екатерина Александровна</v>
          </cell>
        </row>
        <row r="1994">
          <cell r="A1994" t="str">
            <v>Геранд-2 ООО</v>
          </cell>
        </row>
        <row r="1995">
          <cell r="A1995" t="str">
            <v>Шахабутдинов Марат Камильевич</v>
          </cell>
        </row>
        <row r="1996">
          <cell r="A1996" t="str">
            <v>Матросов Дмитрий Сергеевич</v>
          </cell>
        </row>
        <row r="1997">
          <cell r="A1997" t="str">
            <v>Мамедов Рамиз Рафик Оглы</v>
          </cell>
        </row>
        <row r="1998">
          <cell r="A1998" t="str">
            <v>Чикунов Дмитрий Александрович</v>
          </cell>
        </row>
        <row r="1999">
          <cell r="A1999" t="str">
            <v>Тимошинин Сергей Сергеевич</v>
          </cell>
        </row>
        <row r="2000">
          <cell r="A2000" t="str">
            <v>Полоз Александр Иванович</v>
          </cell>
        </row>
        <row r="2001">
          <cell r="A2001" t="str">
            <v>Полищук Кирилл Владимирович</v>
          </cell>
        </row>
        <row r="2002">
          <cell r="A2002" t="str">
            <v>Ваньков Никита Валерьевич</v>
          </cell>
        </row>
        <row r="2003">
          <cell r="A2003" t="str">
            <v>Умаров Бобиржон Баходирович</v>
          </cell>
        </row>
        <row r="2004">
          <cell r="A2004" t="str">
            <v>Штыкова Ольга Александровна</v>
          </cell>
        </row>
        <row r="2005">
          <cell r="A2005" t="str">
            <v>Крюков Сергей Викторович</v>
          </cell>
        </row>
        <row r="2006">
          <cell r="A2006" t="str">
            <v>Сельцова Наталья Юрьевна</v>
          </cell>
        </row>
        <row r="2007">
          <cell r="A2007" t="str">
            <v>Никулин Юрий Владимирович</v>
          </cell>
        </row>
        <row r="2008">
          <cell r="A2008" t="str">
            <v>Чурилов Максим Юрьевич</v>
          </cell>
        </row>
        <row r="2009">
          <cell r="A2009" t="str">
            <v>Овчинников Виталий Сергеевич</v>
          </cell>
        </row>
        <row r="2010">
          <cell r="A2010" t="str">
            <v>Головко Владимир Павлович</v>
          </cell>
        </row>
        <row r="2011">
          <cell r="A2011" t="str">
            <v>Калантарян Артур Вазгени</v>
          </cell>
        </row>
        <row r="2012">
          <cell r="A2012" t="str">
            <v>Пинясов Александр Степанович</v>
          </cell>
        </row>
        <row r="2013">
          <cell r="A2013" t="str">
            <v>Гусев Владимир Николаевич</v>
          </cell>
        </row>
        <row r="2014">
          <cell r="A2014" t="str">
            <v>Зенин Кирилл Николаевич</v>
          </cell>
        </row>
        <row r="2015">
          <cell r="A2015" t="str">
            <v>Манашев Валерий Юрьевич</v>
          </cell>
        </row>
        <row r="2016">
          <cell r="A2016" t="str">
            <v>Джанджулия Иосиф Алексеевич</v>
          </cell>
        </row>
        <row r="2017">
          <cell r="A2017" t="str">
            <v>Поддубный Николай Станиславович</v>
          </cell>
        </row>
        <row r="2018">
          <cell r="A2018" t="str">
            <v>Реберт Катарина Александровна</v>
          </cell>
        </row>
        <row r="2020">
          <cell r="A2020" t="str">
            <v>Белов Александр Сергеевич</v>
          </cell>
        </row>
        <row r="2021">
          <cell r="A2021" t="str">
            <v>Матевосян Генрик Мурадович</v>
          </cell>
        </row>
        <row r="2022">
          <cell r="A2022" t="str">
            <v>Ковылин Герман Олегович</v>
          </cell>
        </row>
        <row r="2023">
          <cell r="A2023" t="str">
            <v>Шмелев Павел Владимирович</v>
          </cell>
        </row>
        <row r="2024">
          <cell r="A2024" t="str">
            <v>Шмелев Павел Владимирович</v>
          </cell>
        </row>
        <row r="2025">
          <cell r="A2025" t="str">
            <v>Давтян Аршак Амбарцумович</v>
          </cell>
        </row>
        <row r="2026">
          <cell r="A2026" t="str">
            <v>Давтян Аршак Амбарцумович</v>
          </cell>
        </row>
        <row r="2027">
          <cell r="A2027" t="str">
            <v>Давтян Аршак Амбарцумович</v>
          </cell>
        </row>
        <row r="2028">
          <cell r="A2028" t="str">
            <v>Стрельцов Денис Николаевич</v>
          </cell>
        </row>
        <row r="2029">
          <cell r="A2029" t="str">
            <v>ТРАНСЛОГ ООО</v>
          </cell>
        </row>
        <row r="2030">
          <cell r="A2030" t="str">
            <v>Пиртахия Кето Джемаловна</v>
          </cell>
        </row>
        <row r="2031">
          <cell r="A2031" t="str">
            <v>"ВИВАР" ООО</v>
          </cell>
        </row>
        <row r="2032">
          <cell r="A2032" t="str">
            <v>Пикалов Евгений Витальевич</v>
          </cell>
        </row>
        <row r="2033">
          <cell r="A2033" t="str">
            <v>Науменко Вячеслав Николаевич</v>
          </cell>
        </row>
        <row r="2034">
          <cell r="A2034" t="str">
            <v>Абраамян Арут Ширазович</v>
          </cell>
        </row>
        <row r="2035">
          <cell r="A2035" t="str">
            <v>Новиков Алексей Леонидович</v>
          </cell>
        </row>
        <row r="2036">
          <cell r="A2036" t="str">
            <v>Охоцкий Владимир Андреевич</v>
          </cell>
        </row>
        <row r="2037">
          <cell r="A2037" t="str">
            <v>Охоцкий Владимир Андреевич</v>
          </cell>
        </row>
        <row r="2038">
          <cell r="A2038" t="str">
            <v>Охоцкий Владимир Андреевич</v>
          </cell>
        </row>
        <row r="2039">
          <cell r="A2039" t="str">
            <v>Шиманкин Александр Вячеславович</v>
          </cell>
        </row>
        <row r="2040">
          <cell r="A2040" t="str">
            <v>Космачевский Денис Алексеевич</v>
          </cell>
        </row>
        <row r="2041">
          <cell r="A2041" t="str">
            <v>Бажуткин Николай Владимирович</v>
          </cell>
        </row>
        <row r="2042">
          <cell r="A2042" t="str">
            <v>Ильичев Иван Александрович</v>
          </cell>
        </row>
        <row r="2043">
          <cell r="A2043" t="str">
            <v>Торкановский Евгений Петрович</v>
          </cell>
        </row>
        <row r="2044">
          <cell r="A2044" t="str">
            <v>Гаджиев Нюрбек Магомедтагирович</v>
          </cell>
        </row>
        <row r="2045">
          <cell r="A2045" t="str">
            <v>Агафонов Алексей Юрьевич</v>
          </cell>
        </row>
        <row r="2046">
          <cell r="A2046" t="str">
            <v>Соломатин Алексей Юрьевич</v>
          </cell>
        </row>
        <row r="2047">
          <cell r="A2047" t="str">
            <v>Соломатин Алексей Юрьевич</v>
          </cell>
        </row>
        <row r="2048">
          <cell r="A2048" t="str">
            <v>Полоз Александр Иванович</v>
          </cell>
        </row>
        <row r="2049">
          <cell r="A2049" t="str">
            <v>Ибрагимов Тимирбулат Мусаевич</v>
          </cell>
        </row>
        <row r="2050">
          <cell r="A2050" t="str">
            <v>Залевский Александр Владиславович</v>
          </cell>
        </row>
        <row r="2051">
          <cell r="A2051" t="str">
            <v>Майоров Александр Эдуардович</v>
          </cell>
        </row>
        <row r="2052">
          <cell r="A2052" t="str">
            <v>Мошкин Андрей Викторович</v>
          </cell>
        </row>
        <row r="2053">
          <cell r="A2053" t="str">
            <v>Полоз Александр Иванович</v>
          </cell>
        </row>
        <row r="2054">
          <cell r="A2054" t="str">
            <v>Рубайло Андрей Евгеньевич</v>
          </cell>
        </row>
        <row r="2055">
          <cell r="A2055" t="str">
            <v>Сурин Георгий Николаевич</v>
          </cell>
        </row>
        <row r="2056">
          <cell r="A2056" t="str">
            <v>Городенок Дмитрий Петрович</v>
          </cell>
        </row>
        <row r="2057">
          <cell r="A2057" t="str">
            <v>Семенов Николай Юрьевич</v>
          </cell>
        </row>
        <row r="2058">
          <cell r="A2058" t="str">
            <v>Морозкина Наталья Сергеевна</v>
          </cell>
        </row>
        <row r="2059">
          <cell r="A2059" t="str">
            <v>Гальчук Илья Анатольевич</v>
          </cell>
        </row>
        <row r="2060">
          <cell r="A2060" t="str">
            <v>Колесова Марина Сергеевна</v>
          </cell>
        </row>
        <row r="2061">
          <cell r="A2061" t="str">
            <v>Колесова Марина Сергеевна</v>
          </cell>
        </row>
        <row r="2062">
          <cell r="A2062" t="str">
            <v>СИТИИНФО ООО</v>
          </cell>
        </row>
        <row r="2063">
          <cell r="A2063" t="str">
            <v>Лачугин Роман Владимирович</v>
          </cell>
        </row>
        <row r="2064">
          <cell r="A2064" t="str">
            <v>Ильин Сергей Вадимович</v>
          </cell>
        </row>
        <row r="2065">
          <cell r="A2065" t="str">
            <v>Мурадян Микаел Гагикович</v>
          </cell>
        </row>
        <row r="2066">
          <cell r="A2066" t="str">
            <v>Пименов Юрий Сергеевич</v>
          </cell>
        </row>
        <row r="2067">
          <cell r="A2067" t="str">
            <v>Рязанцев Михаил Викторович</v>
          </cell>
        </row>
        <row r="2068">
          <cell r="A2068" t="str">
            <v>Федоренко Андрей Вячеславович</v>
          </cell>
        </row>
        <row r="2069">
          <cell r="A2069" t="str">
            <v>Соколов Антон Геннадьевич</v>
          </cell>
        </row>
        <row r="2070">
          <cell r="A2070" t="str">
            <v>Соколов Антон Геннадьевич</v>
          </cell>
        </row>
        <row r="2071">
          <cell r="A2071" t="str">
            <v>Соколов Антон Геннадьевич</v>
          </cell>
        </row>
        <row r="2072">
          <cell r="A2072" t="str">
            <v>Закарян Гагик Чубарович</v>
          </cell>
        </row>
        <row r="2073">
          <cell r="A2073" t="str">
            <v>Балаян Важно Амирович</v>
          </cell>
        </row>
        <row r="2074">
          <cell r="A2074" t="str">
            <v>ИП Зотьев Игорь Васильевич</v>
          </cell>
        </row>
        <row r="2075">
          <cell r="A2075" t="str">
            <v>ИП Ежов Дмитрий Сергеевич</v>
          </cell>
        </row>
        <row r="2076">
          <cell r="A2076" t="str">
            <v>Таварацян Артак Григорьевич</v>
          </cell>
        </row>
        <row r="2077">
          <cell r="A2077" t="str">
            <v>Умаров Бобиржон Баходирович</v>
          </cell>
        </row>
        <row r="2078">
          <cell r="A2078" t="str">
            <v>ИП Минаев Николай Тамазович</v>
          </cell>
        </row>
        <row r="2079">
          <cell r="A2079" t="str">
            <v>Нефедова Людмила Александровна</v>
          </cell>
        </row>
        <row r="2080">
          <cell r="A2080" t="str">
            <v>Николаев Игорь Владимирович</v>
          </cell>
        </row>
        <row r="2081">
          <cell r="A2081" t="str">
            <v>Скалозубов Антон Сергеевич</v>
          </cell>
        </row>
        <row r="2082">
          <cell r="A2082" t="str">
            <v>Султаналиев Магомед Магомедкамилович</v>
          </cell>
        </row>
        <row r="2083">
          <cell r="A2083" t="str">
            <v>Охоцкий Владимир Андреевич</v>
          </cell>
        </row>
        <row r="2084">
          <cell r="A2084" t="str">
            <v>Охоцкий Владимир Андреевич</v>
          </cell>
        </row>
        <row r="2085">
          <cell r="A2085" t="str">
            <v>Гузенко Игорь Николаевич</v>
          </cell>
        </row>
        <row r="2086">
          <cell r="A2086" t="str">
            <v>Охоцкий Владимир Андреевич</v>
          </cell>
        </row>
        <row r="2087">
          <cell r="A2087" t="str">
            <v>Присадов Алексей Владимирович</v>
          </cell>
        </row>
        <row r="2088">
          <cell r="A2088" t="str">
            <v>Татьянин Николай Георгиевич</v>
          </cell>
        </row>
        <row r="2089">
          <cell r="A2089" t="str">
            <v>Ильин Игорь Александрович</v>
          </cell>
        </row>
        <row r="2090">
          <cell r="A2090" t="str">
            <v>Щербаков Алексей Евгеньевич</v>
          </cell>
        </row>
        <row r="2091">
          <cell r="A2091" t="str">
            <v>Чепикова Анна Александровна</v>
          </cell>
        </row>
        <row r="2092">
          <cell r="A2092" t="str">
            <v>Акимцева Юлия Анатольевна</v>
          </cell>
        </row>
        <row r="2093">
          <cell r="A2093" t="str">
            <v>Самойлов Алексей Владимирович</v>
          </cell>
        </row>
        <row r="2094">
          <cell r="A2094" t="str">
            <v>Карасева Дарья Сергеевна</v>
          </cell>
        </row>
        <row r="2095">
          <cell r="A2095" t="str">
            <v>Авагимян Ара Жораевич</v>
          </cell>
        </row>
        <row r="2096">
          <cell r="A2096" t="str">
            <v>Карасева Дарья Сергеевна</v>
          </cell>
        </row>
        <row r="2097">
          <cell r="A2097" t="str">
            <v>Сорочкин Сергей Эдуардович</v>
          </cell>
        </row>
        <row r="2098">
          <cell r="A2098" t="str">
            <v>Рыбаков Виктор Васильевич</v>
          </cell>
        </row>
        <row r="2099">
          <cell r="A2099" t="str">
            <v>Калинин Алексей Васильевич</v>
          </cell>
        </row>
        <row r="2100">
          <cell r="A2100" t="str">
            <v>Воронцова Инна Сергеевна</v>
          </cell>
        </row>
        <row r="2101">
          <cell r="A2101" t="str">
            <v>Травков Михаил Александрович</v>
          </cell>
        </row>
        <row r="2102">
          <cell r="A2102" t="str">
            <v>Закарьян Цовинар Андрониковна</v>
          </cell>
        </row>
        <row r="2103">
          <cell r="A2103" t="str">
            <v>ТЕХНИКА ЮГА ООО</v>
          </cell>
        </row>
        <row r="2104">
          <cell r="A2104" t="str">
            <v>КАНЦПРОФ СПБ ООО</v>
          </cell>
        </row>
        <row r="2105">
          <cell r="A2105" t="str">
            <v>Жиганов Сергей Петрович</v>
          </cell>
        </row>
        <row r="2106">
          <cell r="A2106" t="str">
            <v>Иванов Михаил Петрович</v>
          </cell>
        </row>
        <row r="2107">
          <cell r="A2107" t="str">
            <v>Никифоров Александр Андреевич</v>
          </cell>
        </row>
        <row r="2108">
          <cell r="A2108" t="str">
            <v>Голота Илья Викторович</v>
          </cell>
        </row>
        <row r="2109">
          <cell r="A2109" t="str">
            <v>Власов Глеб Борисович</v>
          </cell>
        </row>
        <row r="2110">
          <cell r="A2110" t="str">
            <v>Тунбаев Максим Валерович</v>
          </cell>
        </row>
        <row r="2111">
          <cell r="A2111" t="str">
            <v>Сапельников Юрий Александрович</v>
          </cell>
        </row>
        <row r="2112">
          <cell r="A2112" t="str">
            <v>Кулешов Сергей Валентинович</v>
          </cell>
        </row>
        <row r="2113">
          <cell r="A2113" t="str">
            <v>Малышева Вера Владимировна</v>
          </cell>
        </row>
        <row r="2114">
          <cell r="A2114" t="str">
            <v>Куренкова Марина Анатольевна</v>
          </cell>
        </row>
        <row r="2115">
          <cell r="A2115" t="str">
            <v>Иманов Джейхун Латиф Оглы</v>
          </cell>
        </row>
        <row r="2116">
          <cell r="A2116" t="str">
            <v>Якубов Роман Сергеевич</v>
          </cell>
        </row>
        <row r="2117">
          <cell r="A2117" t="str">
            <v>Асрян Андроник Валерьевич</v>
          </cell>
        </row>
        <row r="2118">
          <cell r="A2118" t="str">
            <v>Залевский Александр Владиславович</v>
          </cell>
        </row>
        <row r="2119">
          <cell r="A2119" t="str">
            <v>ИП Камшонков Александр Владимирович</v>
          </cell>
        </row>
        <row r="2120">
          <cell r="A2120" t="str">
            <v>Михеева Ольга Николаевна</v>
          </cell>
        </row>
        <row r="2121">
          <cell r="A2121" t="str">
            <v>Рубайло Андрей Евгеньевич</v>
          </cell>
        </row>
        <row r="2122">
          <cell r="A2122" t="str">
            <v>Лямин Сергей Александрович</v>
          </cell>
        </row>
        <row r="2123">
          <cell r="A2123" t="str">
            <v>Черных Андрей Сергеевич</v>
          </cell>
        </row>
        <row r="2124">
          <cell r="A2124" t="str">
            <v>Попова Марина Альбертовна</v>
          </cell>
        </row>
        <row r="2125">
          <cell r="A2125" t="str">
            <v>Ахназаров Вардан Левонович</v>
          </cell>
        </row>
        <row r="2126">
          <cell r="A2126" t="str">
            <v>Исламов Магомед Ахмедович</v>
          </cell>
        </row>
        <row r="2127">
          <cell r="A2127" t="str">
            <v>Шмелев Павел Владимирович</v>
          </cell>
        </row>
        <row r="2128">
          <cell r="A2128" t="str">
            <v>ИП Зинченко Аркадий Александрович</v>
          </cell>
        </row>
        <row r="2129">
          <cell r="A2129" t="str">
            <v>Ибрагимов Тимирбулат Мусаевич</v>
          </cell>
        </row>
        <row r="2130">
          <cell r="A2130" t="str">
            <v>Еремян Артур Корюнович</v>
          </cell>
        </row>
        <row r="2131">
          <cell r="A2131" t="str">
            <v>Битюцких Александр Александрович</v>
          </cell>
        </row>
        <row r="2132">
          <cell r="A2132" t="str">
            <v>Шихалев Вячеслав Николаевич</v>
          </cell>
        </row>
        <row r="2133">
          <cell r="A2133" t="str">
            <v>Лазарева Ирина Михайловна</v>
          </cell>
        </row>
        <row r="2134">
          <cell r="A2134" t="str">
            <v>Атоян Меружан Нурикович</v>
          </cell>
        </row>
        <row r="2135">
          <cell r="A2135" t="str">
            <v>Атоян Меружан Нурикович</v>
          </cell>
        </row>
        <row r="2136">
          <cell r="A2136" t="str">
            <v>ИП Пулянина Вероника Александровна</v>
          </cell>
        </row>
        <row r="2137">
          <cell r="A2137" t="str">
            <v>Пинясов Александр Степанович</v>
          </cell>
        </row>
        <row r="2138">
          <cell r="A2138" t="str">
            <v>Поддубный Николай Станиславович</v>
          </cell>
        </row>
        <row r="2139">
          <cell r="A2139" t="str">
            <v>Микрюков Илья Леонидович</v>
          </cell>
        </row>
        <row r="2140">
          <cell r="A2140" t="str">
            <v>Бобров Дмитрий Михайлович</v>
          </cell>
        </row>
        <row r="2141">
          <cell r="A2141" t="str">
            <v>Исматов Руслан Гурезович</v>
          </cell>
        </row>
        <row r="2142">
          <cell r="A2142" t="str">
            <v>Сабардин Александр Семенович</v>
          </cell>
        </row>
        <row r="2143">
          <cell r="A2143" t="str">
            <v>Мамедов Рамиз Рафик Оглы</v>
          </cell>
        </row>
        <row r="2144">
          <cell r="A2144" t="str">
            <v>Калинин Владислав Евгеньевич</v>
          </cell>
        </row>
        <row r="2145">
          <cell r="A2145" t="str">
            <v>Эльдаров Магомед Вахаевич</v>
          </cell>
        </row>
        <row r="2146">
          <cell r="A2146" t="str">
            <v>Подвербный Сергей Михайлович</v>
          </cell>
        </row>
        <row r="2147">
          <cell r="A2147" t="str">
            <v>Подвербный Сергей Михайлович</v>
          </cell>
        </row>
        <row r="2148">
          <cell r="A2148" t="str">
            <v>Калинин Владислав Евгеньевич</v>
          </cell>
        </row>
        <row r="2149">
          <cell r="A2149" t="str">
            <v>Гурочкин Андрей Викторович</v>
          </cell>
        </row>
        <row r="2150">
          <cell r="A2150" t="str">
            <v>Жулев Максим Геннадьевич</v>
          </cell>
        </row>
        <row r="2151">
          <cell r="A2151" t="str">
            <v>Сантехвоз ООО</v>
          </cell>
        </row>
        <row r="2152">
          <cell r="A2152" t="str">
            <v>Кудзиева Марина Герсановна</v>
          </cell>
        </row>
        <row r="2153">
          <cell r="A2153" t="str">
            <v>Селиванов Павел Валентинович</v>
          </cell>
        </row>
        <row r="2154">
          <cell r="A2154" t="str">
            <v>Шарапов Евгений Вячеславович</v>
          </cell>
        </row>
        <row r="2155">
          <cell r="A2155" t="str">
            <v>Саркисян Геннадий Владимирович</v>
          </cell>
        </row>
        <row r="2156">
          <cell r="A2156" t="str">
            <v>Погребняк Федор Олегович</v>
          </cell>
        </row>
        <row r="2157">
          <cell r="A2157" t="str">
            <v>Юдилевич Кирилл Аркадьевич</v>
          </cell>
        </row>
        <row r="2158">
          <cell r="A2158" t="str">
            <v>Шорин Денис Валерьевич</v>
          </cell>
        </row>
        <row r="2159">
          <cell r="A2159" t="str">
            <v>Толкачева Елена Владимировна</v>
          </cell>
        </row>
        <row r="2160">
          <cell r="A2160" t="str">
            <v>Ковылин Герман Олегович</v>
          </cell>
        </row>
        <row r="2161">
          <cell r="A2161" t="str">
            <v>Стефанков Игорь Борисович</v>
          </cell>
        </row>
        <row r="2162">
          <cell r="A2162" t="str">
            <v>Саргсян Степан Егишеевич</v>
          </cell>
        </row>
        <row r="2163">
          <cell r="A2163" t="str">
            <v>Борисов Владимир Григорьевич</v>
          </cell>
        </row>
        <row r="2164">
          <cell r="A2164" t="str">
            <v>Кудрявцев Сергей Николаевич</v>
          </cell>
        </row>
        <row r="2165">
          <cell r="A2165" t="str">
            <v>Кириллов Александр Николаевич</v>
          </cell>
        </row>
        <row r="2166">
          <cell r="A2166" t="str">
            <v>Ионин Виталий Сергеевич</v>
          </cell>
        </row>
        <row r="2167">
          <cell r="A2167" t="str">
            <v>Бурьянов Андрей Михайлович</v>
          </cell>
        </row>
        <row r="2168">
          <cell r="A2168" t="str">
            <v>Дудник Юрий Григорьевич</v>
          </cell>
        </row>
        <row r="2169">
          <cell r="A2169" t="str">
            <v>Ткаченко Павел Сергеевич</v>
          </cell>
        </row>
        <row r="2170">
          <cell r="A2170" t="str">
            <v>Трипунов Алексей Владимирович</v>
          </cell>
        </row>
        <row r="2171">
          <cell r="A2171" t="str">
            <v>Шашков Константин Вячеславович</v>
          </cell>
        </row>
        <row r="2172">
          <cell r="A2172" t="str">
            <v>Шахабутдинов Марат Камильевич</v>
          </cell>
        </row>
        <row r="2173">
          <cell r="A2173" t="str">
            <v>Тищенко Василий Борисович</v>
          </cell>
        </row>
        <row r="2174">
          <cell r="A2174" t="str">
            <v>Рябоконов Алексей Викторович</v>
          </cell>
        </row>
        <row r="2175">
          <cell r="A2175" t="str">
            <v>Агафонов Алексей Юрьевич</v>
          </cell>
        </row>
        <row r="2176">
          <cell r="A2176" t="str">
            <v>Фомичев Денис Александрович</v>
          </cell>
        </row>
        <row r="2177">
          <cell r="A2177" t="str">
            <v>Рыбаков Виктор Васильевич</v>
          </cell>
        </row>
        <row r="2178">
          <cell r="A2178" t="str">
            <v>Хон Игорь Илексеевич</v>
          </cell>
        </row>
        <row r="2179">
          <cell r="A2179" t="str">
            <v>Химинец Надежда Валерьевна</v>
          </cell>
        </row>
        <row r="2180">
          <cell r="A2180" t="str">
            <v>Садовникова Лариса Алексеевна</v>
          </cell>
        </row>
        <row r="2181">
          <cell r="A2181" t="str">
            <v>Полоз Александр Иванович</v>
          </cell>
        </row>
        <row r="2182">
          <cell r="A2182" t="str">
            <v>Гречкин Максим Алексеевич</v>
          </cell>
        </row>
        <row r="2183">
          <cell r="A2183" t="str">
            <v>Акимцева Юлия Анатольевна</v>
          </cell>
        </row>
        <row r="2184">
          <cell r="A2184" t="str">
            <v>Замураев Василий Николаевич</v>
          </cell>
        </row>
        <row r="2185">
          <cell r="A2185" t="str">
            <v>Новиков Егор Викторович</v>
          </cell>
        </row>
        <row r="2186">
          <cell r="A2186" t="str">
            <v>Гречкин Максим Алексеевич</v>
          </cell>
        </row>
        <row r="2187">
          <cell r="A2187" t="str">
            <v>Солдатенко Николай Васильевич</v>
          </cell>
        </row>
        <row r="2188">
          <cell r="A2188" t="str">
            <v>Ильин Игорь Александрович</v>
          </cell>
        </row>
        <row r="2189">
          <cell r="A2189" t="str">
            <v>Абрегов Айдамир Хаджимагаметович</v>
          </cell>
        </row>
        <row r="2190">
          <cell r="A2190" t="str">
            <v>Сухомлина Ирина Владимировна</v>
          </cell>
        </row>
        <row r="2191">
          <cell r="A2191" t="str">
            <v>Протасов Денис Николаевич</v>
          </cell>
        </row>
        <row r="2192">
          <cell r="A2192" t="str">
            <v>Уалханова Айжан Токтаргазиновна</v>
          </cell>
        </row>
        <row r="2193">
          <cell r="A2193" t="str">
            <v>Тюкаев Алексей Николаевич</v>
          </cell>
        </row>
        <row r="2194">
          <cell r="A2194" t="str">
            <v>Шиленков Александр Владимирович</v>
          </cell>
        </row>
        <row r="2195">
          <cell r="A2195" t="str">
            <v>Чертов Алексей Владимирович</v>
          </cell>
        </row>
        <row r="2196">
          <cell r="A2196" t="str">
            <v>Стойка Симион</v>
          </cell>
        </row>
        <row r="2197">
          <cell r="A2197" t="str">
            <v>Залевский Александр Владиславович</v>
          </cell>
        </row>
        <row r="2198">
          <cell r="A2198" t="str">
            <v>Власов Сергей Александрович</v>
          </cell>
        </row>
        <row r="2199">
          <cell r="A2199" t="str">
            <v>Адилов Низамудин Айнюдинович</v>
          </cell>
        </row>
        <row r="2200">
          <cell r="A2200" t="str">
            <v>Сорочкин Сергей Эдуардович</v>
          </cell>
        </row>
        <row r="2201">
          <cell r="A2201" t="str">
            <v>Кодесников Владимир Игоревич</v>
          </cell>
        </row>
        <row r="2202">
          <cell r="A2202" t="str">
            <v>Гельцер Александр Александрович</v>
          </cell>
        </row>
        <row r="2203">
          <cell r="A2203" t="str">
            <v>Назарян Ольга Аликовна</v>
          </cell>
        </row>
        <row r="2204">
          <cell r="A2204" t="str">
            <v>Ткаченко Павел Сергеевич</v>
          </cell>
        </row>
        <row r="2205">
          <cell r="A2205" t="str">
            <v>Соломатин Алексей Юрьевич</v>
          </cell>
        </row>
        <row r="2206">
          <cell r="A2206" t="str">
            <v>Соломатин Алексей Юрьевич</v>
          </cell>
        </row>
        <row r="2207">
          <cell r="A2207" t="str">
            <v>Михеева Ольга Николаевна</v>
          </cell>
        </row>
        <row r="2208">
          <cell r="A2208" t="str">
            <v>Мекшило Сергей Михайлович</v>
          </cell>
        </row>
        <row r="2209">
          <cell r="A2209" t="str">
            <v>ИП Коломоец Сергей Сергеевич</v>
          </cell>
        </row>
        <row r="2210">
          <cell r="A2210" t="str">
            <v>Черняев Дмитрий Николаевич</v>
          </cell>
        </row>
        <row r="2211">
          <cell r="A2211" t="str">
            <v>Сурагин Владимир Игоревич</v>
          </cell>
        </row>
        <row r="2212">
          <cell r="A2212" t="str">
            <v>Заманов Вагиф Карам оглы</v>
          </cell>
        </row>
        <row r="2213">
          <cell r="A2213" t="str">
            <v>Белякова Наталия Юрьевна</v>
          </cell>
        </row>
        <row r="2214">
          <cell r="A2214" t="str">
            <v>Багрицевич Дмитрий Александрович</v>
          </cell>
        </row>
        <row r="2215">
          <cell r="A2215" t="str">
            <v>Оленичев Сергей Вячеславович</v>
          </cell>
        </row>
        <row r="2216">
          <cell r="A2216" t="str">
            <v>Нюхов Руслан Нюхович</v>
          </cell>
        </row>
        <row r="2217">
          <cell r="A2217" t="str">
            <v>Громов Алексей Геннадьевич</v>
          </cell>
        </row>
        <row r="2218">
          <cell r="A2218" t="str">
            <v>Черномырдин Александр Викторович</v>
          </cell>
        </row>
        <row r="2219">
          <cell r="A2219" t="str">
            <v>Шарапова Ирина Николаевна</v>
          </cell>
        </row>
        <row r="2220">
          <cell r="A2220" t="str">
            <v>Кузнецов Денис Михайлович</v>
          </cell>
        </row>
        <row r="2221">
          <cell r="A2221" t="str">
            <v>Агакишиев Ядуллах Али Оглы</v>
          </cell>
        </row>
        <row r="2222">
          <cell r="A2222" t="str">
            <v>КАНЦПРОФ СПБ ООО</v>
          </cell>
        </row>
        <row r="2223">
          <cell r="A2223" t="str">
            <v>Толкачева Елена Владимировна</v>
          </cell>
        </row>
        <row r="2224">
          <cell r="A2224" t="str">
            <v>Ханукаев Михаил Гавриилович</v>
          </cell>
        </row>
        <row r="2225">
          <cell r="A2225" t="str">
            <v>Гарнер Роман Борисович</v>
          </cell>
        </row>
        <row r="2226">
          <cell r="A2226" t="str">
            <v>Анкудинов Алексей Сергеевич</v>
          </cell>
        </row>
        <row r="2227">
          <cell r="A2227" t="str">
            <v>Анкудинов Алексей Сергеевич</v>
          </cell>
        </row>
        <row r="2228">
          <cell r="A2228" t="str">
            <v>Анкудинов Алексей Сергеевич</v>
          </cell>
        </row>
        <row r="2229">
          <cell r="A2229" t="str">
            <v>Стеблевская Юлия Александровна</v>
          </cell>
        </row>
        <row r="2230">
          <cell r="A2230" t="str">
            <v>Саркисян Геворк Александрович</v>
          </cell>
        </row>
        <row r="2231">
          <cell r="A2231" t="str">
            <v>Булгаков Юрий Сергеевич</v>
          </cell>
        </row>
        <row r="2232">
          <cell r="A2232" t="str">
            <v>Мишин Алексей Борисович</v>
          </cell>
        </row>
        <row r="2233">
          <cell r="A2233" t="str">
            <v>Харитонов Александр Васильевич</v>
          </cell>
        </row>
        <row r="2234">
          <cell r="A2234" t="str">
            <v>Кульчак Екатерина Александровна</v>
          </cell>
        </row>
        <row r="2235">
          <cell r="A2235" t="str">
            <v>Кульчак Екатерина Александровна</v>
          </cell>
        </row>
        <row r="2236">
          <cell r="A2236" t="str">
            <v>Калинин Лев Викторович</v>
          </cell>
        </row>
        <row r="2237">
          <cell r="A2237" t="str">
            <v>Кирсанова Анастасия Андреевна</v>
          </cell>
        </row>
        <row r="2238">
          <cell r="A2238" t="str">
            <v>Росляков Алексей Юрьевич</v>
          </cell>
        </row>
        <row r="2239">
          <cell r="A2239" t="str">
            <v>Сазанова Екатерина Владимировна</v>
          </cell>
        </row>
        <row r="2240">
          <cell r="A2240" t="str">
            <v>Шанаурова Ольга Борисовна</v>
          </cell>
        </row>
        <row r="2241">
          <cell r="A2241" t="str">
            <v>Васильев Вадим Владимирович</v>
          </cell>
        </row>
        <row r="2242">
          <cell r="A2242" t="str">
            <v>Адилбеков Алмаз Адилбекович</v>
          </cell>
        </row>
        <row r="2243">
          <cell r="A2243" t="str">
            <v>Самойлов Сергей Владимирович</v>
          </cell>
        </row>
        <row r="2244">
          <cell r="A2244" t="str">
            <v>Радько Владимир Петрович</v>
          </cell>
        </row>
        <row r="2245">
          <cell r="A2245" t="str">
            <v>Радько Владимир Петрович</v>
          </cell>
        </row>
        <row r="2246">
          <cell r="A2246" t="str">
            <v>Максимов Никита Андреевич</v>
          </cell>
        </row>
        <row r="2247">
          <cell r="A2247" t="str">
            <v>Максимов Никита Андреевич</v>
          </cell>
        </row>
        <row r="2248">
          <cell r="A2248" t="str">
            <v>Балоян Армен Юрьевич</v>
          </cell>
        </row>
        <row r="2249">
          <cell r="A2249" t="str">
            <v>Городенок Дмитрий Петрович</v>
          </cell>
        </row>
        <row r="2250">
          <cell r="A2250" t="str">
            <v>Илюшин Илья Игоревич</v>
          </cell>
        </row>
        <row r="2251">
          <cell r="A2251" t="str">
            <v>Селезнев Дмитрий Сергеевич</v>
          </cell>
        </row>
        <row r="2252">
          <cell r="A2252" t="str">
            <v>Татьянин Николай Георгиевич</v>
          </cell>
        </row>
        <row r="2253">
          <cell r="A2253" t="str">
            <v>ИП Зотьев Игорь Васильевич</v>
          </cell>
        </row>
        <row r="2254">
          <cell r="A2254" t="str">
            <v>Соколов Антон Геннадьевич</v>
          </cell>
        </row>
        <row r="2255">
          <cell r="A2255" t="str">
            <v>Соколов Антон Геннадьевич</v>
          </cell>
        </row>
        <row r="2256">
          <cell r="A2256" t="str">
            <v>Соколов Антон Геннадьевич</v>
          </cell>
        </row>
        <row r="2257">
          <cell r="A2257" t="str">
            <v>Атоян Меружан Нурикович</v>
          </cell>
        </row>
        <row r="2258">
          <cell r="A2258" t="str">
            <v>Крамсин Антон Николаевич</v>
          </cell>
        </row>
        <row r="2259">
          <cell r="A2259" t="str">
            <v>Рыбаков Виктор Васильевич</v>
          </cell>
        </row>
        <row r="2260">
          <cell r="A2260" t="str">
            <v>Межера Мария Сергеевна</v>
          </cell>
        </row>
        <row r="2261">
          <cell r="A2261" t="str">
            <v>Артемов Михаил Васильевич</v>
          </cell>
        </row>
        <row r="2262">
          <cell r="A2262" t="str">
            <v>Радько Владимир Петрович</v>
          </cell>
        </row>
        <row r="2263">
          <cell r="A2263" t="str">
            <v>ИП Камшонков Александр Владимирович</v>
          </cell>
        </row>
        <row r="2264">
          <cell r="A2264" t="str">
            <v>Коваль Татьяна Васильевна</v>
          </cell>
        </row>
        <row r="2265">
          <cell r="A2265" t="str">
            <v>Аванесян Лилит Эдуардовна</v>
          </cell>
        </row>
        <row r="2266">
          <cell r="A2266" t="str">
            <v>Герман Ян Георгиевич</v>
          </cell>
        </row>
        <row r="2267">
          <cell r="A2267" t="str">
            <v>Хачикян Давид Алексеевич</v>
          </cell>
        </row>
        <row r="2268">
          <cell r="A2268" t="str">
            <v>Теслюк Игорь Анатольевич</v>
          </cell>
        </row>
        <row r="2269">
          <cell r="A2269" t="str">
            <v>Бардин Андрей Юрьевич</v>
          </cell>
        </row>
        <row r="2270">
          <cell r="A2270" t="str">
            <v>Войнаровская Анна Николаевна</v>
          </cell>
        </row>
        <row r="2271">
          <cell r="A2271" t="str">
            <v>Тихонова Ирина Анатольевна</v>
          </cell>
        </row>
        <row r="2272">
          <cell r="A2272" t="str">
            <v>Мурадян Асмик Альбертовна</v>
          </cell>
        </row>
        <row r="2273">
          <cell r="A2273" t="str">
            <v>Сафронова Кристина Руслановна</v>
          </cell>
        </row>
        <row r="2274">
          <cell r="A2274" t="str">
            <v>Шиленков Александр Владимирович</v>
          </cell>
        </row>
        <row r="2275">
          <cell r="A2275" t="str">
            <v>Глущенко Дарья Алексеевна</v>
          </cell>
        </row>
        <row r="2276">
          <cell r="A2276" t="str">
            <v>Лапотников Андрей Саввич</v>
          </cell>
        </row>
        <row r="2277">
          <cell r="A2277" t="str">
            <v>Каштанов Дмитрий Викторович</v>
          </cell>
        </row>
        <row r="2278">
          <cell r="A2278" t="str">
            <v>Лагутин Сергей Александрович</v>
          </cell>
        </row>
        <row r="2279">
          <cell r="A2279" t="str">
            <v>Захаров Евгений Николаевич 2</v>
          </cell>
        </row>
        <row r="2280">
          <cell r="A2280" t="str">
            <v>Гаспарян Норайр Овсепович</v>
          </cell>
        </row>
        <row r="2281">
          <cell r="A2281" t="str">
            <v>Шагивалеев Азат Азатович</v>
          </cell>
        </row>
        <row r="2282">
          <cell r="A2282" t="str">
            <v>Крупский Никита Андреевич</v>
          </cell>
        </row>
        <row r="2283">
          <cell r="A2283" t="str">
            <v>ИП Озеров Василий Игоревич</v>
          </cell>
        </row>
        <row r="2284">
          <cell r="A2284" t="str">
            <v>Березин Владислав Витальевич</v>
          </cell>
        </row>
        <row r="2285">
          <cell r="A2285" t="str">
            <v>Ташкулова Гавхар Абдувалиевна</v>
          </cell>
        </row>
        <row r="2286">
          <cell r="A2286" t="str">
            <v>ИП Бидердинов Сергей Юрьевич</v>
          </cell>
        </row>
        <row r="2287">
          <cell r="A2287" t="str">
            <v>Молчанова Марина Вячеславовна</v>
          </cell>
        </row>
        <row r="2288">
          <cell r="A2288" t="str">
            <v>Молчанова Марина Вячеславовна</v>
          </cell>
        </row>
        <row r="2289">
          <cell r="A2289" t="str">
            <v>БУЛАТ-Ъ ООО</v>
          </cell>
        </row>
        <row r="2290">
          <cell r="A2290" t="str">
            <v>Малинин Евгений Александрович</v>
          </cell>
        </row>
        <row r="2291">
          <cell r="A2291" t="str">
            <v>Григорьева Ольга Евгеньевна</v>
          </cell>
        </row>
        <row r="2292">
          <cell r="A2292" t="str">
            <v>Чичикина Людмила Валентиновна</v>
          </cell>
        </row>
        <row r="2293">
          <cell r="A2293" t="str">
            <v>Развозжаев Андрей Юрьевич</v>
          </cell>
        </row>
        <row r="2294">
          <cell r="A2294" t="str">
            <v>Егоршева Ирина Александровна</v>
          </cell>
        </row>
        <row r="2295">
          <cell r="A2295" t="str">
            <v>Шопронку Сергей Харитонович</v>
          </cell>
        </row>
        <row r="2296">
          <cell r="A2296" t="str">
            <v>Стеблевская Юлия Александровна</v>
          </cell>
        </row>
        <row r="2297">
          <cell r="A2297" t="str">
            <v>Малышева Вера Владимировна</v>
          </cell>
        </row>
        <row r="2298">
          <cell r="A2298" t="str">
            <v>Ханукаев Михаил Гавриилович</v>
          </cell>
        </row>
        <row r="2299">
          <cell r="A2299" t="str">
            <v>Райков Дмитрий Васильевич</v>
          </cell>
        </row>
        <row r="2300">
          <cell r="A2300" t="str">
            <v>Маковеев Николай Владимирович</v>
          </cell>
        </row>
        <row r="2301">
          <cell r="A2301" t="str">
            <v>Секриеру Вячеслав Андреевич</v>
          </cell>
        </row>
        <row r="2302">
          <cell r="A2302" t="str">
            <v>Сапельников Юрий Александрович</v>
          </cell>
        </row>
        <row r="2303">
          <cell r="A2303" t="str">
            <v>Мещеряков Евгений Геннадьевич</v>
          </cell>
        </row>
        <row r="2304">
          <cell r="A2304" t="str">
            <v>ЭНЕРГИЯ ООО</v>
          </cell>
        </row>
        <row r="2305">
          <cell r="A2305" t="str">
            <v>БУЛАТ-Ъ ООО</v>
          </cell>
        </row>
        <row r="2306">
          <cell r="A2306" t="str">
            <v>Тюкаев Алексей Николаевич</v>
          </cell>
        </row>
        <row r="2307">
          <cell r="A2307" t="str">
            <v>Лямин Сергей Александрович</v>
          </cell>
        </row>
        <row r="2308">
          <cell r="A2308" t="str">
            <v>Васильев Лев Викторович</v>
          </cell>
        </row>
        <row r="2309">
          <cell r="A2309" t="str">
            <v>Васильев Лев Викторович</v>
          </cell>
        </row>
        <row r="2310">
          <cell r="A2310" t="str">
            <v>Антоненко Дмитрий Владимирович</v>
          </cell>
        </row>
        <row r="2311">
          <cell r="A2311" t="str">
            <v>Рябоконов Алексей Викторович</v>
          </cell>
        </row>
        <row r="2312">
          <cell r="A2312" t="str">
            <v>Семёнов Вячеслав Юрьевич</v>
          </cell>
        </row>
        <row r="2313">
          <cell r="A2313" t="str">
            <v>Григорян Бениамин Эдуардович</v>
          </cell>
        </row>
        <row r="2314">
          <cell r="A2314" t="str">
            <v>Ильин Сергей Вадимович</v>
          </cell>
        </row>
        <row r="2315">
          <cell r="A2315" t="str">
            <v>Толкачева Елена Владимировна</v>
          </cell>
        </row>
        <row r="2316">
          <cell r="A2316" t="str">
            <v>Шинкарев Игорь Витальевич</v>
          </cell>
        </row>
        <row r="2317">
          <cell r="A2317" t="str">
            <v>Ступников Павел Николаевич</v>
          </cell>
        </row>
        <row r="2318">
          <cell r="A2318" t="str">
            <v>Реберт Катарина Александровна</v>
          </cell>
        </row>
        <row r="2319">
          <cell r="A2319" t="str">
            <v>Балозян Геннадий Теймуразович</v>
          </cell>
        </row>
        <row r="2320">
          <cell r="A2320" t="str">
            <v>Трго Ясмин</v>
          </cell>
        </row>
        <row r="2321">
          <cell r="A2321" t="str">
            <v>Дмитриев Алексей Евгеньевич</v>
          </cell>
        </row>
        <row r="2322">
          <cell r="A2322" t="str">
            <v>Бураков Александр Александрович</v>
          </cell>
        </row>
        <row r="2323">
          <cell r="A2323" t="str">
            <v>Стойка Симион</v>
          </cell>
        </row>
        <row r="2324">
          <cell r="A2324" t="str">
            <v>Голота Илья Викторович</v>
          </cell>
        </row>
        <row r="2325">
          <cell r="A2325" t="str">
            <v>Балозян Геннадий Теймуразович</v>
          </cell>
        </row>
        <row r="2326">
          <cell r="A2326" t="str">
            <v>Балозян Геннадий Теймуразович</v>
          </cell>
        </row>
        <row r="2327">
          <cell r="A2327" t="str">
            <v>Агамов Карэн Вадимович</v>
          </cell>
        </row>
        <row r="2328">
          <cell r="A2328" t="str">
            <v>Потёмкин Алексей Николаевич</v>
          </cell>
        </row>
        <row r="2329">
          <cell r="A2329" t="str">
            <v>Синицин Иван Валерьевич</v>
          </cell>
        </row>
        <row r="2330">
          <cell r="A2330" t="str">
            <v>ПромМаркет ООО</v>
          </cell>
        </row>
        <row r="2331">
          <cell r="A2331" t="str">
            <v>Кувшинчиков Александр Сергеевич</v>
          </cell>
        </row>
        <row r="2332">
          <cell r="A2332" t="str">
            <v>Алешинский Юрий Николаевич</v>
          </cell>
        </row>
        <row r="2333">
          <cell r="A2333" t="str">
            <v>Бураков Александр Александрович</v>
          </cell>
        </row>
        <row r="2334">
          <cell r="A2334" t="str">
            <v>Гусев Владимир Николаевич</v>
          </cell>
        </row>
        <row r="2335">
          <cell r="A2335" t="str">
            <v>Косинова Мария Евгеньевна</v>
          </cell>
        </row>
        <row r="2336">
          <cell r="A2336" t="str">
            <v>Авагян Арман Аветикович</v>
          </cell>
        </row>
        <row r="2337">
          <cell r="A2337" t="str">
            <v>Сурагин Владимир Игоревич</v>
          </cell>
        </row>
        <row r="2338">
          <cell r="A2338" t="str">
            <v>Хачикян Давид Алексеевич</v>
          </cell>
        </row>
        <row r="2339">
          <cell r="A2339" t="str">
            <v>ЭНЕРГИЯ ООО</v>
          </cell>
        </row>
        <row r="2340">
          <cell r="A2340" t="str">
            <v>Щербаков Дмитрий Валентинович</v>
          </cell>
        </row>
        <row r="2341">
          <cell r="A2341" t="str">
            <v>Калинин Алексей Васильевич</v>
          </cell>
        </row>
        <row r="2342">
          <cell r="A2342" t="str">
            <v>Кирилушкина Татьяна Геннадьевна</v>
          </cell>
        </row>
        <row r="2343">
          <cell r="A2343" t="str">
            <v>Попова Марина Альбертовна</v>
          </cell>
        </row>
        <row r="2344">
          <cell r="A2344" t="str">
            <v>Андреев Максим Вячеславович</v>
          </cell>
        </row>
        <row r="2345">
          <cell r="A2345" t="str">
            <v>Чурилов Максим Юрьевич</v>
          </cell>
        </row>
        <row r="2346">
          <cell r="A2346" t="str">
            <v>Быстров Михаил Владимирович</v>
          </cell>
        </row>
        <row r="2347">
          <cell r="A2347" t="str">
            <v>Клюшниченко Станислав Сергеевич</v>
          </cell>
        </row>
        <row r="2348">
          <cell r="A2348" t="str">
            <v>МЕТАЛЛПРОЕКТ ООО</v>
          </cell>
        </row>
        <row r="2349">
          <cell r="A2349" t="str">
            <v>ИП Кетрарь Сергей Михайлович</v>
          </cell>
        </row>
        <row r="2350">
          <cell r="A2350" t="str">
            <v>Камшилин Александр Александрович</v>
          </cell>
        </row>
        <row r="2351">
          <cell r="A2351" t="str">
            <v>Камшилина Татьяна Ивановна</v>
          </cell>
        </row>
        <row r="2352">
          <cell r="A2352" t="str">
            <v>Валигурский Дмитрий Иванович</v>
          </cell>
        </row>
        <row r="2353">
          <cell r="A2353" t="str">
            <v>Игнатов Алексей Анатольевич 2</v>
          </cell>
        </row>
        <row r="2354">
          <cell r="A2354" t="str">
            <v>Никонов Андрей Георгиевич</v>
          </cell>
        </row>
        <row r="2355">
          <cell r="A2355" t="str">
            <v>Радько Владимир Петрович</v>
          </cell>
        </row>
        <row r="2356">
          <cell r="A2356" t="str">
            <v>Радько Владимир Петрович</v>
          </cell>
        </row>
        <row r="2357">
          <cell r="A2357" t="str">
            <v>Бабумара Федор Александрович</v>
          </cell>
        </row>
        <row r="2358">
          <cell r="A2358" t="str">
            <v>Артюшенко Владимир Анатольевич</v>
          </cell>
        </row>
        <row r="2359">
          <cell r="A2359" t="str">
            <v>Брич Кирилл Сергеевич</v>
          </cell>
        </row>
        <row r="2360">
          <cell r="A2360" t="str">
            <v>Лутфуллин Ильяс Ильгизярович</v>
          </cell>
        </row>
        <row r="2361">
          <cell r="A2361" t="str">
            <v>Моисеев Михаил Исаевич</v>
          </cell>
        </row>
        <row r="2362">
          <cell r="A2362" t="str">
            <v>Петку Сергей Владимирович</v>
          </cell>
        </row>
        <row r="2363">
          <cell r="A2363" t="str">
            <v>Хон Игорь Илексеевич</v>
          </cell>
        </row>
        <row r="2364">
          <cell r="A2364" t="str">
            <v>Баранов Сергей Алексеевич</v>
          </cell>
        </row>
        <row r="2365">
          <cell r="A2365" t="str">
            <v>Симонова Валентина Викторовна</v>
          </cell>
        </row>
        <row r="2366">
          <cell r="A2366" t="str">
            <v>Громов Николай Дмитриевич</v>
          </cell>
        </row>
        <row r="2367">
          <cell r="A2367" t="str">
            <v>Пантелеева Светлана Вячеславовна</v>
          </cell>
        </row>
        <row r="2368">
          <cell r="A2368" t="str">
            <v>Потапов Виталий Борисович</v>
          </cell>
        </row>
        <row r="2369">
          <cell r="A2369" t="str">
            <v>Симонова Валентина Викторовна</v>
          </cell>
        </row>
        <row r="2370">
          <cell r="A2370" t="str">
            <v>Акимцева Юлия Анатольевна</v>
          </cell>
        </row>
        <row r="2371">
          <cell r="A2371" t="str">
            <v>Горских Владимир Николаевич</v>
          </cell>
        </row>
        <row r="2372">
          <cell r="A2372" t="str">
            <v>Котляров Алексей Дмитриевич</v>
          </cell>
        </row>
        <row r="2373">
          <cell r="A2373" t="str">
            <v>Татьянин Николай Георгиевич</v>
          </cell>
        </row>
        <row r="2374">
          <cell r="A2374" t="str">
            <v>Пилосов Павел Петрович</v>
          </cell>
        </row>
        <row r="2375">
          <cell r="A2375" t="str">
            <v>Иджян Соломон Сергеевич</v>
          </cell>
        </row>
        <row r="2376">
          <cell r="A2376" t="str">
            <v>Бурков Анатолий Александрович</v>
          </cell>
        </row>
        <row r="2377">
          <cell r="A2377" t="str">
            <v>Серков Сергей Викторович</v>
          </cell>
        </row>
        <row r="2378">
          <cell r="A2378" t="str">
            <v>Белов Александр Сергеевич</v>
          </cell>
        </row>
        <row r="2379">
          <cell r="A2379" t="str">
            <v>Белов Александр Сергеевич</v>
          </cell>
        </row>
        <row r="2380">
          <cell r="A2380" t="str">
            <v>Гавриш Наталья Николаевна</v>
          </cell>
        </row>
        <row r="2381">
          <cell r="A2381" t="str">
            <v>Горелова Юлия Валерьевна</v>
          </cell>
        </row>
        <row r="2382">
          <cell r="A2382" t="str">
            <v>Петренко Ольга Николаевна</v>
          </cell>
        </row>
        <row r="2383">
          <cell r="A2383" t="str">
            <v>Киселев Антон Владимирович</v>
          </cell>
        </row>
        <row r="2384">
          <cell r="A2384" t="str">
            <v>Ерохов Андрей Вячеславович</v>
          </cell>
        </row>
        <row r="2385">
          <cell r="A2385" t="str">
            <v>Захаркин Алексей Викторович</v>
          </cell>
        </row>
        <row r="2386">
          <cell r="A2386" t="str">
            <v>Егоров Сергей Владимирович</v>
          </cell>
        </row>
        <row r="2387">
          <cell r="A2387" t="str">
            <v>Радев Николай Васильевич</v>
          </cell>
        </row>
        <row r="2388">
          <cell r="A2388" t="str">
            <v>Черкасова Дарья Владимировна</v>
          </cell>
        </row>
        <row r="2389">
          <cell r="A2389" t="str">
            <v>Купцов Геннадий Николаевич</v>
          </cell>
        </row>
        <row r="2390">
          <cell r="A2390" t="str">
            <v>Петушкова Наталья Александровна</v>
          </cell>
        </row>
        <row r="2391">
          <cell r="A2391" t="str">
            <v>Петушкова Наталья Александровна</v>
          </cell>
        </row>
        <row r="2392">
          <cell r="A2392" t="str">
            <v>Петушкова Наталья Александровна</v>
          </cell>
        </row>
        <row r="2393">
          <cell r="A2393" t="str">
            <v>Минаева Алла Витальевна</v>
          </cell>
        </row>
        <row r="2394">
          <cell r="A2394" t="str">
            <v>Матвеева Надежда Сергеевна</v>
          </cell>
        </row>
        <row r="2395">
          <cell r="A2395" t="str">
            <v>Павлова Ангелина Юрьевна</v>
          </cell>
        </row>
        <row r="2396">
          <cell r="A2396" t="str">
            <v>Озёрская Дарья Семеновна</v>
          </cell>
        </row>
        <row r="2397">
          <cell r="A2397" t="str">
            <v>Смирнов Николай Владимирович</v>
          </cell>
        </row>
        <row r="2398">
          <cell r="A2398" t="str">
            <v>Мякишев Евгений Викторович</v>
          </cell>
        </row>
        <row r="2399">
          <cell r="A2399" t="str">
            <v>Агафонов Алексей Юрьевич</v>
          </cell>
        </row>
        <row r="2400">
          <cell r="A2400" t="str">
            <v>Смагин Владимир Валерьевич</v>
          </cell>
        </row>
        <row r="2401">
          <cell r="A2401" t="str">
            <v>Иванов Михаил Петрович</v>
          </cell>
        </row>
        <row r="2402">
          <cell r="A2402" t="str">
            <v>ИП Кузнецов Михаил Александрович</v>
          </cell>
        </row>
        <row r="2403">
          <cell r="A2403" t="str">
            <v>Иванов Евгений Владимирович</v>
          </cell>
        </row>
        <row r="2404">
          <cell r="A2404" t="str">
            <v>Иванов Евгений Владимирович</v>
          </cell>
        </row>
        <row r="2405">
          <cell r="A2405" t="str">
            <v>Бойко Андрей Сергеевич</v>
          </cell>
        </row>
        <row r="2406">
          <cell r="A2406" t="str">
            <v>Баутина Ольга Сергеевна</v>
          </cell>
        </row>
        <row r="2407">
          <cell r="A2407" t="str">
            <v>Сирунянц Елена Владимировна</v>
          </cell>
        </row>
        <row r="2408">
          <cell r="A2408" t="str">
            <v>Прасолов Владимир Анатольевич</v>
          </cell>
        </row>
        <row r="2409">
          <cell r="A2409" t="str">
            <v>Белоглазов Алексей Юрьевич</v>
          </cell>
        </row>
        <row r="2410">
          <cell r="A2410" t="str">
            <v>Азамова Фариза</v>
          </cell>
        </row>
        <row r="2411">
          <cell r="A2411" t="str">
            <v>Кухтенков Владимир Петрович</v>
          </cell>
        </row>
        <row r="2412">
          <cell r="A2412" t="str">
            <v>Кухтенков Владимир Петрович</v>
          </cell>
        </row>
        <row r="2413">
          <cell r="A2413" t="str">
            <v>Азамова Фариза</v>
          </cell>
        </row>
        <row r="2414">
          <cell r="A2414" t="str">
            <v>Азамова Фариза</v>
          </cell>
        </row>
        <row r="2415">
          <cell r="A2415" t="str">
            <v>Александров Евгений Александрович</v>
          </cell>
        </row>
        <row r="2416">
          <cell r="A2416" t="str">
            <v>Балаев Ахмед Расул Оглы</v>
          </cell>
        </row>
        <row r="2417">
          <cell r="A2417" t="str">
            <v>Белокуров Олег Юрьевич</v>
          </cell>
        </row>
        <row r="2418">
          <cell r="A2418" t="str">
            <v>Бельская Анна Юрьевна</v>
          </cell>
        </row>
        <row r="2419">
          <cell r="A2419" t="str">
            <v>Власов Анатолий Андреевич</v>
          </cell>
        </row>
        <row r="2420">
          <cell r="A2420" t="str">
            <v>Вовк Антон Викторович</v>
          </cell>
        </row>
        <row r="2421">
          <cell r="A2421" t="str">
            <v>Геращенко Иван Олегович</v>
          </cell>
        </row>
        <row r="2422">
          <cell r="A2422" t="str">
            <v>Голунов Иван Сергеевич</v>
          </cell>
        </row>
        <row r="2423">
          <cell r="A2423" t="str">
            <v>Гольянов Сергей Владимирович</v>
          </cell>
        </row>
        <row r="2424">
          <cell r="A2424" t="str">
            <v>Гречко Георгий Сергеевич</v>
          </cell>
        </row>
        <row r="2425">
          <cell r="A2425" t="str">
            <v>Гулиев Сахиб Аллахверди Оглы</v>
          </cell>
        </row>
        <row r="2426">
          <cell r="A2426" t="str">
            <v>Дмитренок Михаил Александрович</v>
          </cell>
        </row>
        <row r="2427">
          <cell r="A2427" t="str">
            <v>Дрожжин Сергей Витальевич</v>
          </cell>
        </row>
        <row r="2428">
          <cell r="A2428" t="str">
            <v>Жуков Михаил Андреевич</v>
          </cell>
        </row>
        <row r="2429">
          <cell r="A2429" t="str">
            <v>Зуева Наталья Николаевна</v>
          </cell>
        </row>
        <row r="2430">
          <cell r="A2430" t="str">
            <v>Казарян Артур Петрович</v>
          </cell>
        </row>
        <row r="2431">
          <cell r="A2431" t="str">
            <v>Конашинская Марина Владимировна</v>
          </cell>
        </row>
        <row r="2432">
          <cell r="A2432" t="str">
            <v>Кузьмин Кирилл Вадимович</v>
          </cell>
        </row>
        <row r="2433">
          <cell r="A2433" t="str">
            <v>Куртучёва Елена Валерьевна</v>
          </cell>
        </row>
        <row r="2434">
          <cell r="A2434" t="str">
            <v>Марченко Петр Владимирович</v>
          </cell>
        </row>
        <row r="2435">
          <cell r="A2435" t="str">
            <v>Насырова Виктория Тахировна</v>
          </cell>
        </row>
        <row r="2436">
          <cell r="A2436" t="str">
            <v>Невматулин Ринат Саитович</v>
          </cell>
        </row>
        <row r="2437">
          <cell r="A2437" t="str">
            <v>Носырев Вадим Сергеевич</v>
          </cell>
        </row>
        <row r="2438">
          <cell r="A2438" t="str">
            <v>Овчинников Кирилл Германович</v>
          </cell>
        </row>
        <row r="2439">
          <cell r="A2439" t="str">
            <v>Пономарев Олег Юрьевич</v>
          </cell>
        </row>
        <row r="2440">
          <cell r="A2440" t="str">
            <v>Пушкин Николай Владимирович</v>
          </cell>
        </row>
        <row r="2441">
          <cell r="A2441" t="str">
            <v>Развозжаев Андрей Юрьевич</v>
          </cell>
        </row>
        <row r="2442">
          <cell r="A2442" t="str">
            <v>Ребров Виктор Сергеевич</v>
          </cell>
        </row>
        <row r="2443">
          <cell r="A2443" t="str">
            <v>Ромашкин Сергей Михайлович</v>
          </cell>
        </row>
        <row r="2444">
          <cell r="A2444" t="str">
            <v>Санакоев Славик Ибрагимович</v>
          </cell>
        </row>
        <row r="2445">
          <cell r="A2445" t="str">
            <v>Серегин Руслан Владимирович</v>
          </cell>
        </row>
        <row r="2446">
          <cell r="A2446" t="str">
            <v>Соболев Сергей Сергеевич</v>
          </cell>
        </row>
        <row r="2447">
          <cell r="A2447" t="str">
            <v>Строжук Игорь Мирославович</v>
          </cell>
        </row>
        <row r="2448">
          <cell r="A2448" t="str">
            <v>Термиянц Арнольд Эдуардович</v>
          </cell>
        </row>
        <row r="2449">
          <cell r="A2449" t="str">
            <v>Тулеганова Лилия Минигалимовна</v>
          </cell>
        </row>
        <row r="2450">
          <cell r="A2450" t="str">
            <v>Чижов Антон Сергеевич</v>
          </cell>
        </row>
        <row r="2451">
          <cell r="A2451" t="str">
            <v>Щербакова Людмила Николаевна</v>
          </cell>
        </row>
        <row r="2452">
          <cell r="A2452" t="str">
            <v>Черкасова Дарья Владимировна</v>
          </cell>
        </row>
        <row r="2453">
          <cell r="A2453" t="str">
            <v>Санников Денис Альбертович</v>
          </cell>
        </row>
        <row r="2454">
          <cell r="A2454" t="str">
            <v>АкустикСтройИнжиниринг ООО</v>
          </cell>
        </row>
        <row r="2455">
          <cell r="A2455" t="str">
            <v>Альфа ВС ООО</v>
          </cell>
        </row>
        <row r="2456">
          <cell r="A2456" t="str">
            <v>АРВА ГРУПП ООО</v>
          </cell>
        </row>
        <row r="2457">
          <cell r="A2457" t="str">
            <v>Архангельский лес ООО</v>
          </cell>
        </row>
        <row r="2458">
          <cell r="A2458" t="str">
            <v>БЕЛА ООО</v>
          </cell>
        </row>
        <row r="2459">
          <cell r="A2459" t="str">
            <v>БИЗНЕСПАРТНЕРСТВО ООО</v>
          </cell>
        </row>
        <row r="2460">
          <cell r="A2460" t="str">
            <v>Блу Библос-МСК ООО</v>
          </cell>
        </row>
        <row r="2461">
          <cell r="A2461" t="str">
            <v>ГРАНДМОТОРСАВТО ООО</v>
          </cell>
        </row>
        <row r="2462">
          <cell r="A2462" t="str">
            <v>Два по двести ООО</v>
          </cell>
        </row>
        <row r="2463">
          <cell r="A2463" t="str">
            <v>КОРИ ООО</v>
          </cell>
        </row>
        <row r="2464">
          <cell r="A2464" t="str">
            <v>КС-МСК ООО</v>
          </cell>
        </row>
        <row r="2465">
          <cell r="A2465" t="str">
            <v>МИРАЖ ООО</v>
          </cell>
        </row>
        <row r="2466">
          <cell r="A2466" t="str">
            <v>МС ГРУПП СПБ ООО</v>
          </cell>
        </row>
        <row r="2467">
          <cell r="A2467" t="str">
            <v>МСККОРП ООО</v>
          </cell>
        </row>
        <row r="2468">
          <cell r="A2468" t="str">
            <v>Н2О-Лидер ООО</v>
          </cell>
        </row>
        <row r="2469">
          <cell r="A2469" t="str">
            <v>Паритет ООО</v>
          </cell>
        </row>
        <row r="2470">
          <cell r="A2470" t="str">
            <v>РЕСКОМ ООО</v>
          </cell>
        </row>
        <row r="2471">
          <cell r="A2471" t="str">
            <v>Сенсей ООО</v>
          </cell>
        </row>
        <row r="2472">
          <cell r="A2472" t="str">
            <v>Строительная компания - КАЙГЕР ООО</v>
          </cell>
        </row>
        <row r="2473">
          <cell r="A2473" t="str">
            <v>ТЕХСТРОЙ-СЕРВИС ООО</v>
          </cell>
        </row>
        <row r="2474">
          <cell r="A2474" t="str">
            <v>ТРАНС-ТОРГ ООО</v>
          </cell>
        </row>
        <row r="2475">
          <cell r="A2475" t="str">
            <v>ТРАНСЭРН ООО</v>
          </cell>
        </row>
        <row r="2476">
          <cell r="A2476" t="str">
            <v>ТРИДА ООО</v>
          </cell>
        </row>
        <row r="2477">
          <cell r="A2477" t="str">
            <v>ФАБ ООО</v>
          </cell>
        </row>
        <row r="2478">
          <cell r="A2478" t="str">
            <v>Философия СПА ООО</v>
          </cell>
        </row>
        <row r="2479">
          <cell r="A2479" t="str">
            <v>ФорвардТехнолоджис ООО</v>
          </cell>
        </row>
        <row r="2480">
          <cell r="A2480" t="str">
            <v>ШМЕЛЬ ООО</v>
          </cell>
        </row>
        <row r="2481">
          <cell r="A2481" t="str">
            <v>Абгарян Сурен Зоракович</v>
          </cell>
        </row>
        <row r="2482">
          <cell r="A2482" t="str">
            <v>Абдумуталипов Ильяз Абдумуталипович</v>
          </cell>
        </row>
        <row r="2483">
          <cell r="A2483" t="str">
            <v>Аванесян Валерий Васильевич</v>
          </cell>
        </row>
        <row r="2484">
          <cell r="A2484" t="str">
            <v>Акимов Сергей Юрьевич</v>
          </cell>
        </row>
        <row r="2488">
          <cell r="A2488" t="str">
            <v>Водогреев Алексей Анатольевич</v>
          </cell>
        </row>
        <row r="2489">
          <cell r="A2489" t="str">
            <v>Глазатов Артем Юрьевич</v>
          </cell>
        </row>
        <row r="2490">
          <cell r="A2490" t="str">
            <v>Гордеев Вадим Михайлович</v>
          </cell>
        </row>
        <row r="2491">
          <cell r="A2491" t="str">
            <v>Гребенина Елена Борисовна</v>
          </cell>
        </row>
        <row r="2492">
          <cell r="A2492" t="str">
            <v>Гребенина Елена Борисовна</v>
          </cell>
        </row>
        <row r="2494">
          <cell r="A2494" t="str">
            <v>Илларионова Елена Викторовна</v>
          </cell>
        </row>
        <row r="2498">
          <cell r="A2498" t="str">
            <v>Арена Лидер ООО</v>
          </cell>
        </row>
        <row r="2499">
          <cell r="A2499" t="str">
            <v>Созыкин Эдуард Геннадьевич</v>
          </cell>
        </row>
        <row r="2500">
          <cell r="A2500" t="str">
            <v>ИП Матвеев Николай Викторович</v>
          </cell>
        </row>
        <row r="2501">
          <cell r="A2501" t="str">
            <v>Денисов Вячеслав Алексеевич</v>
          </cell>
        </row>
        <row r="2502">
          <cell r="A2502" t="str">
            <v>Малышева Вера Владимировна</v>
          </cell>
        </row>
        <row r="2503">
          <cell r="A2503" t="str">
            <v>Шарапова Ирина Николаевна</v>
          </cell>
        </row>
        <row r="2504">
          <cell r="A2504" t="str">
            <v>Искендеров Рашад Сахиб Оглы</v>
          </cell>
        </row>
        <row r="2505">
          <cell r="A2505" t="str">
            <v>Искендеров Рашад Сахиб Оглы</v>
          </cell>
        </row>
        <row r="2506">
          <cell r="A2506" t="str">
            <v>Петушкова Наталья Александровна</v>
          </cell>
        </row>
        <row r="2507">
          <cell r="A2507" t="str">
            <v>Рязанов Юрий Анатольевич</v>
          </cell>
        </row>
        <row r="2508">
          <cell r="A2508" t="str">
            <v>ИП Брылев Павел Валерьевич</v>
          </cell>
        </row>
        <row r="2509">
          <cell r="A2509" t="str">
            <v>Лукошков Виктор Геннадьевич</v>
          </cell>
        </row>
        <row r="2510">
          <cell r="A2510" t="str">
            <v>Баруткин Артур Сергеевич</v>
          </cell>
        </row>
        <row r="2511">
          <cell r="A2511" t="str">
            <v>Баруткин Артур Сергеевич</v>
          </cell>
        </row>
        <row r="2512">
          <cell r="A2512" t="str">
            <v>Корниенко Андрей Юрьевич</v>
          </cell>
        </row>
        <row r="2513">
          <cell r="A2513" t="str">
            <v>Митин Антон Александрович</v>
          </cell>
        </row>
        <row r="2514">
          <cell r="A2514" t="str">
            <v>Михеева Ольга Николаевна</v>
          </cell>
        </row>
        <row r="2515">
          <cell r="A2515" t="str">
            <v>Геворгян Геворг Размикович</v>
          </cell>
        </row>
        <row r="2516">
          <cell r="A2516" t="str">
            <v>Соколов Антон Геннадьевич</v>
          </cell>
        </row>
        <row r="2517">
          <cell r="A2517" t="str">
            <v>Соколов Антон Геннадьевич</v>
          </cell>
        </row>
        <row r="2518">
          <cell r="A2518" t="str">
            <v>Соколов Антон Геннадьевич</v>
          </cell>
        </row>
        <row r="2519">
          <cell r="A2519" t="str">
            <v>Косинова Мария Евгеньевна</v>
          </cell>
        </row>
        <row r="2520">
          <cell r="A2520" t="str">
            <v>Косинова Мария Евгеньевна</v>
          </cell>
        </row>
        <row r="2521">
          <cell r="A2521" t="str">
            <v>Серков Сергей Викторович</v>
          </cell>
        </row>
        <row r="2522">
          <cell r="A2522" t="str">
            <v>Искендеров Рашад Сахиб Оглы</v>
          </cell>
        </row>
        <row r="2523">
          <cell r="A2523" t="str">
            <v>Булгаков Юрий Сергеевич</v>
          </cell>
        </row>
        <row r="2524">
          <cell r="A2524" t="str">
            <v>Охоцкий Владимир Андреевич</v>
          </cell>
        </row>
        <row r="2525">
          <cell r="A2525" t="str">
            <v>Трофимов Иван Борисович</v>
          </cell>
        </row>
        <row r="2526">
          <cell r="A2526" t="str">
            <v>Никулин Юрий Владимирович</v>
          </cell>
        </row>
        <row r="2527">
          <cell r="A2527" t="str">
            <v>Шешуков Вячеслав Анатольевич</v>
          </cell>
        </row>
        <row r="2528">
          <cell r="A2528" t="str">
            <v>Некрасов Алексей Сергеевич</v>
          </cell>
        </row>
        <row r="2529">
          <cell r="A2529" t="str">
            <v>Соломатин Алексей Юрьевич</v>
          </cell>
        </row>
        <row r="2530">
          <cell r="A2530" t="str">
            <v>Бардин Андрей Юрьевич</v>
          </cell>
        </row>
        <row r="2531">
          <cell r="A2531" t="str">
            <v>Мильто Игорь Святославович</v>
          </cell>
        </row>
        <row r="2532">
          <cell r="A2532" t="str">
            <v>Соломатин Алексей Юрьевич</v>
          </cell>
        </row>
        <row r="2533">
          <cell r="A2533" t="str">
            <v>Ткаченко Павел Сергеевич</v>
          </cell>
        </row>
        <row r="2534">
          <cell r="A2534" t="str">
            <v>Коцуба Андрей Сергеевич</v>
          </cell>
        </row>
        <row r="2535">
          <cell r="A2535" t="str">
            <v>Николаев Максим Викторович</v>
          </cell>
        </row>
        <row r="2536">
          <cell r="A2536" t="str">
            <v>Сабардин Александр Семенович</v>
          </cell>
        </row>
        <row r="2537">
          <cell r="A2537" t="str">
            <v>Черных Андрей Сергеевич</v>
          </cell>
        </row>
        <row r="2538">
          <cell r="A2538" t="str">
            <v>Авагимян Ара Жораевич</v>
          </cell>
        </row>
        <row r="2539">
          <cell r="A2539" t="str">
            <v>Скалозубов Антон Сергеевич</v>
          </cell>
        </row>
        <row r="2540">
          <cell r="A2540" t="str">
            <v>Юдаев Алексей Владимирович</v>
          </cell>
        </row>
        <row r="2541">
          <cell r="A2541" t="str">
            <v>Юзбашян Ходедан Зограбович</v>
          </cell>
        </row>
        <row r="2542">
          <cell r="A2542" t="str">
            <v>Синяев Андрей Николаевич</v>
          </cell>
        </row>
        <row r="2543">
          <cell r="A2543" t="str">
            <v>Бойко Василий Анатольевич</v>
          </cell>
        </row>
        <row r="2544">
          <cell r="A2544" t="str">
            <v>Ромайкина Анна Андреевна</v>
          </cell>
        </row>
        <row r="2545">
          <cell r="A2545" t="str">
            <v>Головина Екатерина Давидовна</v>
          </cell>
        </row>
        <row r="2546">
          <cell r="A2546" t="str">
            <v>ЭНЕРГИЯ ООО</v>
          </cell>
        </row>
        <row r="2547">
          <cell r="A2547" t="str">
            <v>ИП Брылев Павел Валерьевич</v>
          </cell>
        </row>
        <row r="2548">
          <cell r="A2548" t="str">
            <v>Погосян Самвел Михайлович</v>
          </cell>
        </row>
        <row r="2549">
          <cell r="A2549" t="str">
            <v>Туманова Анжелика Артуровна</v>
          </cell>
        </row>
        <row r="2550">
          <cell r="A2550" t="str">
            <v>Кирилушкина Татьяна Геннадьевна</v>
          </cell>
        </row>
        <row r="2551">
          <cell r="A2551" t="str">
            <v>Манасян Грачия Зурабович</v>
          </cell>
        </row>
        <row r="2552">
          <cell r="A2552" t="str">
            <v>Прохорова Наталья Васильевна</v>
          </cell>
        </row>
        <row r="2553">
          <cell r="A2553" t="str">
            <v>Прохорова Наталья Васильевна</v>
          </cell>
        </row>
        <row r="2554">
          <cell r="A2554" t="str">
            <v>Григорьева Ольга Евгеньевна</v>
          </cell>
        </row>
        <row r="2555">
          <cell r="A2555" t="str">
            <v>Межера Мария Сергеевна</v>
          </cell>
        </row>
        <row r="2556">
          <cell r="A2556" t="str">
            <v>Келехсаев Эдуард Павлович</v>
          </cell>
        </row>
        <row r="2557">
          <cell r="A2557" t="str">
            <v>Бурьянов Андрей Михайлович</v>
          </cell>
        </row>
        <row r="2558">
          <cell r="A2558" t="str">
            <v>Булгаков Юрий Сергеевич</v>
          </cell>
        </row>
        <row r="2559">
          <cell r="A2559" t="str">
            <v>Идрисов Исмаил Вахаевич</v>
          </cell>
        </row>
        <row r="2560">
          <cell r="A2560" t="str">
            <v>Манасян Грачия Зурабович</v>
          </cell>
        </row>
        <row r="2561">
          <cell r="A2561" t="str">
            <v>Медведева Юлия Леонидовна</v>
          </cell>
        </row>
        <row r="2562">
          <cell r="A2562" t="str">
            <v>Рыченков Александр Николаевич</v>
          </cell>
        </row>
        <row r="2563">
          <cell r="A2563" t="str">
            <v>Чикунов Дмитрий Александрович</v>
          </cell>
        </row>
        <row r="2564">
          <cell r="A2564" t="str">
            <v>Солохин Александр Игоревич</v>
          </cell>
        </row>
        <row r="2565">
          <cell r="A2565" t="str">
            <v>Игнатов Алексей Анатольевич 2</v>
          </cell>
        </row>
        <row r="2566">
          <cell r="A2566" t="str">
            <v>Ястребов Михаил Юрьевич</v>
          </cell>
        </row>
        <row r="2567">
          <cell r="A2567" t="str">
            <v>Халилов Идрак Зардаби Оглы</v>
          </cell>
        </row>
        <row r="2568">
          <cell r="A2568" t="str">
            <v>Гулина Елена Александровна</v>
          </cell>
        </row>
        <row r="2569">
          <cell r="A2569" t="str">
            <v>Ли Анатолий Сергеевич</v>
          </cell>
        </row>
        <row r="2570">
          <cell r="A2570" t="str">
            <v>Мекшило Сергей Михайлович</v>
          </cell>
        </row>
        <row r="2571">
          <cell r="A2571" t="str">
            <v>Юрчук Николай Олегович</v>
          </cell>
        </row>
        <row r="2572">
          <cell r="A2572" t="str">
            <v>Попова Оксана Алексеевна</v>
          </cell>
        </row>
        <row r="2573">
          <cell r="A2573" t="str">
            <v>Нефедова Людмила Александровна</v>
          </cell>
        </row>
        <row r="2574">
          <cell r="A2574" t="str">
            <v>Седельник Сергей Федорович</v>
          </cell>
        </row>
        <row r="2575">
          <cell r="A2575" t="str">
            <v>Артемов Михаил Васильевич</v>
          </cell>
        </row>
        <row r="2576">
          <cell r="A2576" t="str">
            <v>Толкачева Елена Владимировна</v>
          </cell>
        </row>
        <row r="2577">
          <cell r="A2577" t="str">
            <v>Климчук Ярослав Михайлович</v>
          </cell>
        </row>
        <row r="2578">
          <cell r="A2578" t="str">
            <v>Даллакян Гегецик Артаковна</v>
          </cell>
        </row>
        <row r="2579">
          <cell r="A2579" t="str">
            <v>Илюшин Илья Игоревич</v>
          </cell>
        </row>
        <row r="2580">
          <cell r="A2580" t="str">
            <v>Скопинов Иван Алексеевич</v>
          </cell>
        </row>
        <row r="2581">
          <cell r="A2581" t="str">
            <v>Шахбанов Ахмед Абдулвагабович</v>
          </cell>
        </row>
        <row r="2582">
          <cell r="A2582" t="str">
            <v>Микрюков Илья Леонидович</v>
          </cell>
        </row>
        <row r="2583">
          <cell r="A2583" t="str">
            <v>Степанов Алексей Геннадьевич</v>
          </cell>
        </row>
        <row r="2584">
          <cell r="A2584" t="str">
            <v>Алексанян Карине Размиковна</v>
          </cell>
        </row>
        <row r="2585">
          <cell r="A2585" t="str">
            <v>Аванесян Лилит Эдуардовна</v>
          </cell>
        </row>
        <row r="2586">
          <cell r="A2586" t="str">
            <v>Копосов Роман Валерьевич</v>
          </cell>
        </row>
        <row r="2587">
          <cell r="A2587" t="str">
            <v>Авагимян Ара Жораевич</v>
          </cell>
        </row>
        <row r="2588">
          <cell r="A2588" t="str">
            <v>Малинин Евгений Александрович</v>
          </cell>
        </row>
        <row r="2589">
          <cell r="A2589" t="str">
            <v>Платова Наталья Михайловна</v>
          </cell>
        </row>
        <row r="2590">
          <cell r="A2590" t="str">
            <v>Тигранян Гор Робертович</v>
          </cell>
        </row>
        <row r="2591">
          <cell r="A2591" t="str">
            <v>Аванесян Лилит Эдуардовна</v>
          </cell>
        </row>
        <row r="2592">
          <cell r="A2592" t="str">
            <v>ИП Силютина Анна Геннадьевна</v>
          </cell>
        </row>
        <row r="2593">
          <cell r="A2593" t="str">
            <v>Заманов Сулейман Валех оглы</v>
          </cell>
        </row>
        <row r="2594">
          <cell r="A2594" t="str">
            <v>Овакимян Андраник Григорьович</v>
          </cell>
        </row>
        <row r="2595">
          <cell r="A2595" t="str">
            <v>Овакимян Андраник Григорьович</v>
          </cell>
        </row>
        <row r="2596">
          <cell r="A2596" t="str">
            <v>Степанов Сергей Сергеевич</v>
          </cell>
        </row>
        <row r="2597">
          <cell r="A2597" t="str">
            <v>Климова Наталья Анатольевна</v>
          </cell>
        </row>
        <row r="2598">
          <cell r="A2598" t="str">
            <v>Мамедов Сехран Нураддин Оглы</v>
          </cell>
        </row>
        <row r="2599">
          <cell r="A2599" t="str">
            <v>Малышева Вера Владимировна</v>
          </cell>
        </row>
        <row r="2600">
          <cell r="A2600" t="str">
            <v>Деречина Светлана Робертовна</v>
          </cell>
        </row>
        <row r="2601">
          <cell r="A2601" t="str">
            <v>Синяев Андрей Николаевич</v>
          </cell>
        </row>
        <row r="2602">
          <cell r="A2602" t="str">
            <v>Барчукова Марина Алексеевна</v>
          </cell>
        </row>
        <row r="2603">
          <cell r="A2603" t="str">
            <v>Невешкин Роман Викторович</v>
          </cell>
        </row>
        <row r="2604">
          <cell r="A2604" t="str">
            <v>Гюльбалаев Азамат Шарфитдинович</v>
          </cell>
        </row>
        <row r="2605">
          <cell r="A2605" t="str">
            <v>Исламов Ибрагим Тахирович</v>
          </cell>
        </row>
        <row r="2606">
          <cell r="A2606" t="str">
            <v>Лисичкина Елена Александровна</v>
          </cell>
        </row>
        <row r="2607">
          <cell r="A2607" t="str">
            <v>Стойка Симион</v>
          </cell>
        </row>
        <row r="2608">
          <cell r="A2608" t="str">
            <v>Селиванов Андрей Иванович</v>
          </cell>
        </row>
        <row r="2609">
          <cell r="A2609" t="str">
            <v>Войнаровская Анна Николаевна</v>
          </cell>
        </row>
        <row r="2610">
          <cell r="A2610" t="str">
            <v>Печников Алексей Олегович</v>
          </cell>
        </row>
        <row r="2611">
          <cell r="A2611" t="str">
            <v>Прокофьев Андрей Павлович</v>
          </cell>
        </row>
        <row r="2612">
          <cell r="A2612" t="str">
            <v>Ткаченко Павел Сергеевич</v>
          </cell>
        </row>
        <row r="2613">
          <cell r="A2613" t="str">
            <v>Вековищев Андрей Анатольевич</v>
          </cell>
        </row>
        <row r="2614">
          <cell r="A2614" t="str">
            <v>Подвербный Сергей Михайлович</v>
          </cell>
        </row>
        <row r="2615">
          <cell r="A2615" t="str">
            <v>Матвеев Дмитрий Олегович</v>
          </cell>
        </row>
        <row r="2616">
          <cell r="A2616" t="str">
            <v>Власов Глеб Борисович</v>
          </cell>
        </row>
        <row r="2617">
          <cell r="A2617" t="str">
            <v>Калинин Алексей Дмитриевич</v>
          </cell>
        </row>
        <row r="2618">
          <cell r="A2618" t="str">
            <v>Кузнецов Денис Михайлович</v>
          </cell>
        </row>
        <row r="2619">
          <cell r="A2619" t="str">
            <v>Хон Игорь Илексеевич</v>
          </cell>
        </row>
        <row r="2620">
          <cell r="A2620" t="str">
            <v>Акимцева Юлия Анатольевна</v>
          </cell>
        </row>
        <row r="2621">
          <cell r="A2621" t="str">
            <v>Ахназаров Вардан Левонович</v>
          </cell>
        </row>
        <row r="2622">
          <cell r="A2622" t="str">
            <v>Чичикина Людмила Валентиновна</v>
          </cell>
        </row>
        <row r="2623">
          <cell r="A2623" t="str">
            <v>СИТИИНФО ООО</v>
          </cell>
        </row>
        <row r="2624">
          <cell r="A2624" t="str">
            <v>Ступников Павел Николаевич</v>
          </cell>
        </row>
        <row r="2625">
          <cell r="A2625" t="str">
            <v>Карапетян Гайк Гарникович</v>
          </cell>
        </row>
        <row r="2626">
          <cell r="A2626" t="str">
            <v>Карапетян Гайк Гарникович</v>
          </cell>
        </row>
        <row r="2627">
          <cell r="A2627" t="str">
            <v>Карапетян Гайк Гарникович</v>
          </cell>
        </row>
        <row r="2628">
          <cell r="A2628" t="str">
            <v>Марейчев Игорь Валентинович</v>
          </cell>
        </row>
        <row r="2629">
          <cell r="A2629" t="str">
            <v>Афанасьев Леонид Михайлович</v>
          </cell>
        </row>
        <row r="2630">
          <cell r="A2630" t="str">
            <v>Петелин Андрей Юрьевич</v>
          </cell>
        </row>
        <row r="2631">
          <cell r="A2631" t="str">
            <v>Балозян Геннадий Теймуразович</v>
          </cell>
        </row>
        <row r="2632">
          <cell r="A2632" t="str">
            <v>Балозян Геннадий Теймуразович</v>
          </cell>
        </row>
        <row r="2633">
          <cell r="A2633" t="str">
            <v>Балозян Геннадий Теймуразович</v>
          </cell>
        </row>
        <row r="2634">
          <cell r="A2634" t="str">
            <v>Исоев Мирзокарим Рабиевич</v>
          </cell>
        </row>
        <row r="2635">
          <cell r="A2635" t="str">
            <v>Ляндусов Вячеслав Сергеевич</v>
          </cell>
        </row>
        <row r="2636">
          <cell r="A2636" t="str">
            <v>Клюшниченко Станислав Сергеевич</v>
          </cell>
        </row>
        <row r="2637">
          <cell r="A2637" t="str">
            <v>ИП Пулянина Вероника Александровна</v>
          </cell>
        </row>
        <row r="2638">
          <cell r="A2638" t="str">
            <v>Синицына Надежда Евгеньевна</v>
          </cell>
        </row>
        <row r="2639">
          <cell r="A2639" t="str">
            <v>МЕТАЛЛПРОЕКТ ООО</v>
          </cell>
        </row>
        <row r="2640">
          <cell r="A2640" t="str">
            <v>Авагимян Ара Жораевич</v>
          </cell>
        </row>
        <row r="2641">
          <cell r="A2641" t="str">
            <v>Ткаченко Павел Сергеевич</v>
          </cell>
        </row>
        <row r="2642">
          <cell r="A2642" t="str">
            <v>Кульчак Екатерина Александровна</v>
          </cell>
        </row>
        <row r="2643">
          <cell r="A2643" t="str">
            <v>Кульчак Екатерина Александровна</v>
          </cell>
        </row>
        <row r="2644">
          <cell r="A2644" t="str">
            <v>Сычев Станислав Геннадьевич</v>
          </cell>
        </row>
        <row r="2645">
          <cell r="A2645" t="str">
            <v>Сычев Станислав Геннадьевич</v>
          </cell>
        </row>
        <row r="2646">
          <cell r="A2646" t="str">
            <v>Росляков Алексей Юрьевич</v>
          </cell>
        </row>
        <row r="2647">
          <cell r="A2647" t="str">
            <v>Печников Алексей Олегович</v>
          </cell>
        </row>
        <row r="2648">
          <cell r="A2648" t="str">
            <v>Крюков Сергей Викторович</v>
          </cell>
        </row>
        <row r="2649">
          <cell r="A2649" t="str">
            <v>Гучок Артур Владимирович</v>
          </cell>
        </row>
        <row r="2650">
          <cell r="A2650" t="str">
            <v>Павлов Константин Вильямович</v>
          </cell>
        </row>
        <row r="2651">
          <cell r="A2651" t="str">
            <v>Екатеринчева Элина Ашотовна</v>
          </cell>
        </row>
        <row r="2652">
          <cell r="A2652" t="str">
            <v>Симовонян Григор Эдуардович</v>
          </cell>
        </row>
        <row r="2653">
          <cell r="A2653" t="str">
            <v>Милюкова Нина Николаевна</v>
          </cell>
        </row>
        <row r="2654">
          <cell r="A2654" t="str">
            <v>Милюкова Нина Николаевна</v>
          </cell>
        </row>
        <row r="2655">
          <cell r="A2655" t="str">
            <v>Ермаков Дмитрий Сергеевич</v>
          </cell>
        </row>
        <row r="2656">
          <cell r="A2656" t="str">
            <v>Милюкова Нина Николаевна</v>
          </cell>
        </row>
        <row r="2657">
          <cell r="A2657" t="str">
            <v>ФСС ООО</v>
          </cell>
        </row>
        <row r="2658">
          <cell r="A2658" t="str">
            <v>Крюков Сергей Викторович</v>
          </cell>
        </row>
        <row r="2659">
          <cell r="A2659" t="str">
            <v>Крюков Сергей Викторович</v>
          </cell>
        </row>
        <row r="2660">
          <cell r="A2660" t="str">
            <v>Бойко Андрей Сергеевич</v>
          </cell>
        </row>
        <row r="2661">
          <cell r="A2661" t="str">
            <v>Павлов Владимир Геннадьевич</v>
          </cell>
        </row>
        <row r="2662">
          <cell r="A2662" t="str">
            <v>Павлов Владимир Геннадьевич</v>
          </cell>
        </row>
        <row r="2663">
          <cell r="A2663" t="str">
            <v>Штыкова Ольга Александровна</v>
          </cell>
        </row>
        <row r="2664">
          <cell r="A2664" t="str">
            <v>Воробьев Евгений Валерьевич</v>
          </cell>
        </row>
        <row r="2665">
          <cell r="A2665" t="str">
            <v>Барышникова Александра Андреевна</v>
          </cell>
        </row>
        <row r="2666">
          <cell r="A2666" t="str">
            <v>Мамедов Рамиз Рафик Оглы</v>
          </cell>
        </row>
        <row r="2667">
          <cell r="A2667" t="str">
            <v>Макаров Андрей Анатольевич</v>
          </cell>
        </row>
        <row r="2668">
          <cell r="A2668" t="str">
            <v>Юзбашян Ходедан Зограбович</v>
          </cell>
        </row>
        <row r="2669">
          <cell r="A2669" t="str">
            <v>МАДЖЕНТЛ ООО</v>
          </cell>
        </row>
        <row r="2670">
          <cell r="A2670" t="str">
            <v>Барамия Иракли Роинович</v>
          </cell>
        </row>
        <row r="2671">
          <cell r="A2671" t="str">
            <v>Охоцкий Владимир Андреевич</v>
          </cell>
        </row>
        <row r="2672">
          <cell r="A2672" t="str">
            <v>Охоцкий Владимир Андреевич</v>
          </cell>
        </row>
        <row r="2673">
          <cell r="A2673" t="str">
            <v>Охоцкий Владимир Андреевич</v>
          </cell>
        </row>
        <row r="2674">
          <cell r="A2674" t="str">
            <v>Барышникова Александра Андреевна</v>
          </cell>
        </row>
        <row r="2675">
          <cell r="A2675" t="str">
            <v>Полоз Александр Иванович</v>
          </cell>
        </row>
        <row r="2676">
          <cell r="A2676" t="str">
            <v>Терновая Наталия Вячеславовна</v>
          </cell>
        </row>
        <row r="2677">
          <cell r="A2677" t="str">
            <v>Жуков Андрей Викторович</v>
          </cell>
        </row>
        <row r="2678">
          <cell r="A2678" t="str">
            <v>Шахвердова Ольга Сергеевна</v>
          </cell>
        </row>
        <row r="2679">
          <cell r="A2679" t="str">
            <v>Леднева Елена Владимировна</v>
          </cell>
        </row>
        <row r="2680">
          <cell r="A2680" t="str">
            <v>Васильев Лев Викторович</v>
          </cell>
        </row>
        <row r="2681">
          <cell r="A2681" t="str">
            <v>Кетцян Владимир Александрович</v>
          </cell>
        </row>
        <row r="2682">
          <cell r="A2682" t="str">
            <v>Васильев Лев Викторович</v>
          </cell>
        </row>
        <row r="2683">
          <cell r="A2683" t="str">
            <v>ТРАНСЛОГ ООО</v>
          </cell>
        </row>
        <row r="2684">
          <cell r="A2684" t="str">
            <v>Милюкова Нина Николаевна</v>
          </cell>
        </row>
        <row r="2685">
          <cell r="A2685" t="str">
            <v>Еремеев Виталий Валерьевич</v>
          </cell>
        </row>
        <row r="2686">
          <cell r="A2686" t="str">
            <v>Голота Илья Викторович</v>
          </cell>
        </row>
        <row r="2687">
          <cell r="A2687" t="str">
            <v>Межера Мария Сергеевна</v>
          </cell>
        </row>
        <row r="2688">
          <cell r="A2688" t="str">
            <v>Бамгбала Ольга Эдуардовна</v>
          </cell>
        </row>
        <row r="2689">
          <cell r="A2689" t="str">
            <v>Максимов Никита Андреевич</v>
          </cell>
        </row>
        <row r="2690">
          <cell r="A2690" t="str">
            <v>Максимов Никита Андреевич</v>
          </cell>
        </row>
        <row r="2691">
          <cell r="A2691" t="str">
            <v>Сантехвоз ООО</v>
          </cell>
        </row>
        <row r="2692">
          <cell r="A2692" t="str">
            <v>Терновая Наталия Вячеславовна</v>
          </cell>
        </row>
        <row r="2693">
          <cell r="A2693" t="str">
            <v>КАСКАД ТУРИЗМ ООО</v>
          </cell>
        </row>
        <row r="2694">
          <cell r="A2694" t="str">
            <v>Анкудинов Алексей Сергеевич</v>
          </cell>
        </row>
        <row r="2695">
          <cell r="A2695" t="str">
            <v>Анкудинов Алексей Сергеевич</v>
          </cell>
        </row>
        <row r="2696">
          <cell r="A2696" t="str">
            <v>Гладченко Владлен Валерьевич</v>
          </cell>
        </row>
        <row r="2697">
          <cell r="A2697" t="str">
            <v>Никитина Анастасия Витальевна</v>
          </cell>
        </row>
        <row r="2698">
          <cell r="A2698" t="str">
            <v>Обозина Любовь Сергеевна</v>
          </cell>
        </row>
        <row r="2699">
          <cell r="A2699" t="str">
            <v>Травков Михаил Александрович</v>
          </cell>
        </row>
        <row r="2700">
          <cell r="A2700" t="str">
            <v>Моисеев Михаил Исаевич</v>
          </cell>
        </row>
        <row r="2701">
          <cell r="A2701" t="str">
            <v>Шишкарев Александр Павлович</v>
          </cell>
        </row>
        <row r="2702">
          <cell r="A2702" t="str">
            <v>Видяев Алексей Сергеевич</v>
          </cell>
        </row>
        <row r="2703">
          <cell r="A2703" t="str">
            <v>Шиленков Александр Владимирович</v>
          </cell>
        </row>
        <row r="2704">
          <cell r="A2704" t="str">
            <v>Краснянский Анатолий Сергеевич</v>
          </cell>
        </row>
        <row r="2705">
          <cell r="A2705" t="str">
            <v>Божеску Алексей Дмитриевич</v>
          </cell>
        </row>
        <row r="2706">
          <cell r="A2706" t="str">
            <v>Барсегян Сисак Леваевич</v>
          </cell>
        </row>
        <row r="2707">
          <cell r="A2707" t="str">
            <v>Новицкая Ирина Станиславовна</v>
          </cell>
        </row>
        <row r="2708">
          <cell r="A2708" t="str">
            <v>Рябоконов Алексей Викторович</v>
          </cell>
        </row>
        <row r="2709">
          <cell r="A2709" t="str">
            <v>Радько Владимир Петрович</v>
          </cell>
        </row>
        <row r="2710">
          <cell r="A2710" t="str">
            <v>Тищенко Василий Борисович</v>
          </cell>
        </row>
        <row r="2711">
          <cell r="A2711" t="str">
            <v>Комаревцев Виктор Егорович</v>
          </cell>
        </row>
        <row r="2712">
          <cell r="A2712" t="str">
            <v>Погребняк Константин Николаевич</v>
          </cell>
        </row>
        <row r="2713">
          <cell r="A2713" t="str">
            <v>Симакова Ольга Юрьевна</v>
          </cell>
        </row>
        <row r="2714">
          <cell r="A2714" t="str">
            <v>ИП Тен Елена Манкильевна</v>
          </cell>
        </row>
        <row r="2715">
          <cell r="A2715" t="str">
            <v>Савилова Светлана Самировна</v>
          </cell>
        </row>
        <row r="2716">
          <cell r="A2716" t="str">
            <v>Каганович Сусанна Ильинична</v>
          </cell>
        </row>
        <row r="2717">
          <cell r="A2717" t="str">
            <v>Полоз Александр Иванович</v>
          </cell>
        </row>
        <row r="2718">
          <cell r="A2718" t="str">
            <v>Пасюков Эдуард Александрович</v>
          </cell>
        </row>
        <row r="2719">
          <cell r="A2719" t="str">
            <v>ЦВО ООО</v>
          </cell>
        </row>
        <row r="2720">
          <cell r="A2720" t="str">
            <v>Ковылин Герман Олегович</v>
          </cell>
        </row>
        <row r="2721">
          <cell r="A2721" t="str">
            <v>Ковылин Герман Олегович</v>
          </cell>
        </row>
        <row r="2722">
          <cell r="A2722" t="str">
            <v>Артемов Михаил Васильевич</v>
          </cell>
        </row>
        <row r="2723">
          <cell r="A2723" t="str">
            <v>Абдурашитов Озодбек Мавланжанович</v>
          </cell>
        </row>
        <row r="2724">
          <cell r="A2724" t="str">
            <v>Ганиев Элдияр Абдухалилович</v>
          </cell>
        </row>
        <row r="2725">
          <cell r="A2725" t="str">
            <v>КАНЦПРОФ СПБ ООО</v>
          </cell>
        </row>
        <row r="2726">
          <cell r="A2726" t="str">
            <v>Пасюков Эдуард Александрович</v>
          </cell>
        </row>
        <row r="2727">
          <cell r="A2727" t="str">
            <v>Матренина Ольга Владимировна</v>
          </cell>
        </row>
        <row r="2728">
          <cell r="A2728" t="str">
            <v>Зайцев Николай Владимирович</v>
          </cell>
        </row>
        <row r="2729">
          <cell r="A2729" t="str">
            <v>Балозян Геннадий Теймуразович</v>
          </cell>
        </row>
        <row r="2730">
          <cell r="A2730" t="str">
            <v>Балозян Геннадий Теймуразович</v>
          </cell>
        </row>
        <row r="2731">
          <cell r="A2731" t="str">
            <v>Балозян Геннадий Теймуразович</v>
          </cell>
        </row>
        <row r="2732">
          <cell r="A2732" t="str">
            <v>Каганович Сусанна Ильинична</v>
          </cell>
        </row>
        <row r="2733">
          <cell r="A2733" t="str">
            <v>Секриеру Вячеслав Андреевич</v>
          </cell>
        </row>
        <row r="2734">
          <cell r="A2734" t="str">
            <v>Нюхов Руслан Нюхович</v>
          </cell>
        </row>
        <row r="2735">
          <cell r="A2735" t="str">
            <v>Зограбян Манук Вардкесович</v>
          </cell>
        </row>
        <row r="2736">
          <cell r="A2736" t="str">
            <v>Гурская Ольга Владимировна</v>
          </cell>
        </row>
        <row r="2737">
          <cell r="A2737" t="str">
            <v>Самойленко Наталья Сергеевна</v>
          </cell>
        </row>
        <row r="2738">
          <cell r="A2738" t="str">
            <v>Оленичев Сергей Вячеславович</v>
          </cell>
        </row>
        <row r="2739">
          <cell r="A2739" t="str">
            <v>Кухтенков Владимир Петрович</v>
          </cell>
        </row>
        <row r="2740">
          <cell r="A2740" t="str">
            <v>Кухтенков Владимир Петрович</v>
          </cell>
        </row>
        <row r="2741">
          <cell r="A2741" t="str">
            <v>Трофимов Олег Владимирович</v>
          </cell>
        </row>
        <row r="2742">
          <cell r="A2742" t="str">
            <v>Юров Михаил Витальевич</v>
          </cell>
        </row>
        <row r="2743">
          <cell r="A2743" t="str">
            <v>Авдеев Дмитрий Николаевич</v>
          </cell>
        </row>
        <row r="2744">
          <cell r="A2744" t="str">
            <v>Скалозубов Антон Сергеевич</v>
          </cell>
        </row>
        <row r="2745">
          <cell r="A2745" t="str">
            <v>Руштов Файзулло Руштович</v>
          </cell>
        </row>
        <row r="2746">
          <cell r="A2746" t="str">
            <v>Далгатов Гаджимурад Магомедович</v>
          </cell>
        </row>
        <row r="2747">
          <cell r="A2747" t="str">
            <v>Сапельников Юрий Александрович</v>
          </cell>
        </row>
        <row r="2748">
          <cell r="A2748" t="str">
            <v>СиБи Групп Рус ООО</v>
          </cell>
        </row>
        <row r="2749">
          <cell r="A2749" t="str">
            <v>Кадиров Дилшод Рустамович</v>
          </cell>
        </row>
        <row r="2750">
          <cell r="A2750" t="str">
            <v>Нижник Сергей Николаевич</v>
          </cell>
        </row>
        <row r="2751">
          <cell r="A2751" t="str">
            <v>Айриян Николай Эрнестович</v>
          </cell>
        </row>
        <row r="2752">
          <cell r="A2752" t="str">
            <v>Азоев Стаматис Рудикович</v>
          </cell>
        </row>
        <row r="2753">
          <cell r="A2753" t="str">
            <v>Голота Илья Викторович</v>
          </cell>
        </row>
        <row r="2754">
          <cell r="A2754" t="str">
            <v>Старкова Динара Шамиловна</v>
          </cell>
        </row>
        <row r="2755">
          <cell r="A2755" t="str">
            <v>Юрченко Дмитрий Валерьевич</v>
          </cell>
        </row>
        <row r="2756">
          <cell r="A2756" t="str">
            <v>Ваганов Алексей Алексеевич</v>
          </cell>
        </row>
        <row r="2757">
          <cell r="A2757" t="str">
            <v>Ходжоян Вартан Грачикович</v>
          </cell>
        </row>
        <row r="2758">
          <cell r="A2758" t="str">
            <v>Ходжоян Вартан Грачикович</v>
          </cell>
        </row>
        <row r="2759">
          <cell r="A2759" t="str">
            <v>Одинцова Ирина Вячеславовна</v>
          </cell>
        </row>
        <row r="2760">
          <cell r="A2760" t="str">
            <v>ИП Никульшин Дмитрий Анатольевич</v>
          </cell>
        </row>
        <row r="2761">
          <cell r="A2761" t="str">
            <v>СТК ООО</v>
          </cell>
        </row>
        <row r="2762">
          <cell r="A2762" t="str">
            <v>Амирханян Оганес Николаевич</v>
          </cell>
        </row>
        <row r="2763">
          <cell r="A2763" t="str">
            <v>Амирханян Оганес Николаевич</v>
          </cell>
        </row>
        <row r="2764">
          <cell r="A2764" t="str">
            <v>Тихомиров Илья Александрович</v>
          </cell>
        </row>
        <row r="2765">
          <cell r="A2765" t="str">
            <v>Мирошниченко Денис Игоревич</v>
          </cell>
        </row>
        <row r="2766">
          <cell r="A2766" t="str">
            <v>Мирошниченко Денис Игоревич</v>
          </cell>
        </row>
        <row r="2767">
          <cell r="A2767" t="str">
            <v>Куценко Елена Викторовна</v>
          </cell>
        </row>
        <row r="2768">
          <cell r="A2768" t="str">
            <v>Амирханян Оганес Николаевич</v>
          </cell>
        </row>
        <row r="2769">
          <cell r="A2769" t="str">
            <v>Амирханян Оганес Николаевич</v>
          </cell>
        </row>
        <row r="2770">
          <cell r="A2770" t="str">
            <v>Радько Владимир Петрович</v>
          </cell>
        </row>
        <row r="2771">
          <cell r="A2771" t="str">
            <v>Саркисян Геворк Александрович</v>
          </cell>
        </row>
        <row r="2772">
          <cell r="A2772" t="str">
            <v>Надежкин Владимир Викторович</v>
          </cell>
        </row>
        <row r="2773">
          <cell r="A2773" t="str">
            <v>Кузнецова Дарья Алексеевна</v>
          </cell>
        </row>
        <row r="2774">
          <cell r="A2774" t="str">
            <v>Асадбеков Александр Файзович</v>
          </cell>
        </row>
        <row r="2775">
          <cell r="A2775" t="str">
            <v>Груничев Александр Леонидович</v>
          </cell>
        </row>
        <row r="2776">
          <cell r="A2776" t="str">
            <v>Везденецкий Иван Владимирович</v>
          </cell>
        </row>
        <row r="2777">
          <cell r="A2777" t="str">
            <v>Сильцов Максим Евгеньевич</v>
          </cell>
        </row>
        <row r="2778">
          <cell r="A2778" t="str">
            <v>ИП Ячменёва Ольга Сергеевна</v>
          </cell>
        </row>
        <row r="2779">
          <cell r="A2779" t="str">
            <v>Лазарев Дмитрий Вячеславович</v>
          </cell>
        </row>
        <row r="2780">
          <cell r="A2780" t="str">
            <v>Бабак Николай Анатольевич</v>
          </cell>
        </row>
        <row r="2781">
          <cell r="A2781" t="str">
            <v>Стойка Симион</v>
          </cell>
        </row>
        <row r="2782">
          <cell r="A2782" t="str">
            <v>Городенок Дмитрий Петрович</v>
          </cell>
        </row>
        <row r="2783">
          <cell r="A2783" t="str">
            <v>Медяник Владимир Станиславович</v>
          </cell>
        </row>
        <row r="2784">
          <cell r="A2784" t="str">
            <v>Адилов Низамудин Айнюдинович</v>
          </cell>
        </row>
        <row r="2785">
          <cell r="A2785" t="str">
            <v>Селиванов Андрей Иванович</v>
          </cell>
        </row>
        <row r="2786">
          <cell r="A2786" t="str">
            <v>Харитонов Александр Васильевич</v>
          </cell>
        </row>
        <row r="2787">
          <cell r="A2787" t="str">
            <v>Акимов Григорий Михайлович</v>
          </cell>
        </row>
        <row r="2788">
          <cell r="A2788" t="str">
            <v>Сабардин Александр Семенович</v>
          </cell>
        </row>
        <row r="2789">
          <cell r="A2789" t="str">
            <v>Райков Дмитрий Васильевич</v>
          </cell>
        </row>
        <row r="2790">
          <cell r="A2790" t="str">
            <v>Мальсагов Махмуд Салманович</v>
          </cell>
        </row>
        <row r="2791">
          <cell r="A2791" t="str">
            <v>Серков Сергей Викторович</v>
          </cell>
        </row>
        <row r="2792">
          <cell r="A2792" t="str">
            <v>Чернышова Татьяна Николаевна</v>
          </cell>
        </row>
        <row r="2793">
          <cell r="A2793" t="str">
            <v>Тимаков Сергей Сергеевич</v>
          </cell>
        </row>
        <row r="2794">
          <cell r="A2794" t="str">
            <v>Галёна Ольга Владимировна</v>
          </cell>
        </row>
        <row r="2795">
          <cell r="A2795" t="str">
            <v>Бозров Руслан Михайлович</v>
          </cell>
        </row>
        <row r="2796">
          <cell r="A2796" t="str">
            <v>Бозров Руслан Михайлович</v>
          </cell>
        </row>
        <row r="2797">
          <cell r="A2797" t="str">
            <v>Садофьев Андрей Александрович</v>
          </cell>
        </row>
        <row r="2798">
          <cell r="A2798" t="str">
            <v>Николаев Максим Викторович</v>
          </cell>
        </row>
        <row r="2799">
          <cell r="A2799" t="str">
            <v>Горелова Юлия Валерьевна</v>
          </cell>
        </row>
        <row r="2800">
          <cell r="A2800" t="str">
            <v>Москалев Ярослав Вячеславович</v>
          </cell>
        </row>
        <row r="2801">
          <cell r="A2801" t="str">
            <v>Жидкин Кирилл Романович</v>
          </cell>
        </row>
        <row r="2802">
          <cell r="A2802" t="str">
            <v>Мальсагов Махмуд Салманович</v>
          </cell>
        </row>
        <row r="2803">
          <cell r="A2803" t="str">
            <v>Паладе Иван Петрович</v>
          </cell>
        </row>
        <row r="2804">
          <cell r="A2804" t="str">
            <v>Кольцов Андрей Александрович</v>
          </cell>
        </row>
        <row r="2805">
          <cell r="A2805" t="str">
            <v>Сулейманов Герей Кайибович</v>
          </cell>
        </row>
        <row r="2806">
          <cell r="A2806" t="str">
            <v>Курбанов Арсен Омарович</v>
          </cell>
        </row>
        <row r="2807">
          <cell r="A2807" t="str">
            <v>Джоробекова Аида Раимжановна</v>
          </cell>
        </row>
        <row r="2808">
          <cell r="A2808" t="str">
            <v>Цуканов Сергей Владимирович</v>
          </cell>
        </row>
        <row r="2809">
          <cell r="A2809" t="str">
            <v>Никитенко Роман Владимирович</v>
          </cell>
        </row>
        <row r="2810">
          <cell r="A2810" t="str">
            <v>Адилбеков Алмаз Адилбекович</v>
          </cell>
        </row>
        <row r="2811">
          <cell r="A2811" t="str">
            <v>ИП Ячменёва Ольга Сергеевна</v>
          </cell>
        </row>
        <row r="2812">
          <cell r="A2812" t="str">
            <v>Попова Светлана Борисовна</v>
          </cell>
        </row>
        <row r="2813">
          <cell r="A2813" t="str">
            <v>Шинкарев Игорь Витальевич</v>
          </cell>
        </row>
        <row r="2814">
          <cell r="A2814" t="str">
            <v>Баландина Алина Валерьевна</v>
          </cell>
        </row>
        <row r="2815">
          <cell r="A2815" t="str">
            <v>Лисичкина Елена Александровна</v>
          </cell>
        </row>
        <row r="2816">
          <cell r="A2816" t="str">
            <v>Слепцова Маргарита Олеговна</v>
          </cell>
        </row>
        <row r="2817">
          <cell r="A2817" t="str">
            <v>Корзиков Сергей Игоревич</v>
          </cell>
        </row>
        <row r="2818">
          <cell r="A2818" t="str">
            <v>Кокоев Мирлан Жыргалбекович</v>
          </cell>
        </row>
        <row r="2819">
          <cell r="A2819" t="str">
            <v>ИП Матвеев Николай Викторович</v>
          </cell>
        </row>
        <row r="2820">
          <cell r="A2820" t="str">
            <v>Дмитриев Алексей Евгеньевич</v>
          </cell>
        </row>
        <row r="2821">
          <cell r="A2821" t="str">
            <v>Радько Владимир Петрович</v>
          </cell>
        </row>
        <row r="2822">
          <cell r="A2822" t="str">
            <v>Поддубный Николай Станиславович</v>
          </cell>
        </row>
        <row r="2823">
          <cell r="A2823" t="str">
            <v>Песняк Владимир Владимирович</v>
          </cell>
        </row>
        <row r="2824">
          <cell r="A2824" t="str">
            <v>Дудник Юрий Григорьевич</v>
          </cell>
        </row>
        <row r="2825">
          <cell r="A2825" t="str">
            <v>Павлов Владимир Геннадьевич</v>
          </cell>
        </row>
        <row r="2826">
          <cell r="A2826" t="str">
            <v>Толкачева Елена Владимировна</v>
          </cell>
        </row>
        <row r="2827">
          <cell r="A2827" t="str">
            <v>Коцуба Андрей Сергеевич</v>
          </cell>
        </row>
        <row r="2828">
          <cell r="A2828" t="str">
            <v>Зенин Кирилл Николаевич</v>
          </cell>
        </row>
        <row r="2829">
          <cell r="A2829" t="str">
            <v>СИТИИНФО ООО</v>
          </cell>
        </row>
        <row r="2830">
          <cell r="A2830" t="str">
            <v>Деменкова София Дмитриевна</v>
          </cell>
        </row>
        <row r="2831">
          <cell r="A2831" t="str">
            <v>Деменкова София Дмитриевна</v>
          </cell>
        </row>
        <row r="2832">
          <cell r="A2832" t="str">
            <v>Медяник Владимир Станиславович</v>
          </cell>
        </row>
        <row r="2833">
          <cell r="A2833" t="str">
            <v>Келехсаев Эдуард Павлович</v>
          </cell>
        </row>
        <row r="2834">
          <cell r="A2834" t="str">
            <v>Исламов Магомед Ахмедович</v>
          </cell>
        </row>
        <row r="2835">
          <cell r="A2835" t="str">
            <v>Храпов Андрей Анатольевич</v>
          </cell>
        </row>
        <row r="2836">
          <cell r="A2836" t="str">
            <v>ИП Леднева Елена Владимировна</v>
          </cell>
        </row>
        <row r="2837">
          <cell r="A2837" t="str">
            <v>Радев Николай Васильевич</v>
          </cell>
        </row>
        <row r="2838">
          <cell r="A2838" t="str">
            <v>Подгорный Михаил Семенович</v>
          </cell>
        </row>
        <row r="2839">
          <cell r="A2839" t="str">
            <v>Назаров Сергей Михайлович</v>
          </cell>
        </row>
        <row r="2840">
          <cell r="A2840" t="str">
            <v>Шмелев Павел Владимирович</v>
          </cell>
        </row>
        <row r="2841">
          <cell r="A2841" t="str">
            <v>Гурская Ольга Владимировна</v>
          </cell>
        </row>
        <row r="2842">
          <cell r="A2842" t="str">
            <v>Дмитриева Любовь Юрьевна</v>
          </cell>
        </row>
        <row r="2843">
          <cell r="A2843" t="str">
            <v>Моисеенков Дмитрий Владимирович</v>
          </cell>
        </row>
        <row r="2844">
          <cell r="A2844" t="str">
            <v>Ерема Андрей Геннадиевич</v>
          </cell>
        </row>
        <row r="2845">
          <cell r="A2845" t="str">
            <v>Голубева Юлия Константиновна</v>
          </cell>
        </row>
        <row r="2846">
          <cell r="A2846" t="str">
            <v>ИП Виноградский Роман Георгиевич</v>
          </cell>
        </row>
        <row r="2847">
          <cell r="A2847" t="str">
            <v>Гузенко Игорь Николаевич</v>
          </cell>
        </row>
        <row r="2848">
          <cell r="A2848" t="str">
            <v>Фомичев Денис Александрович</v>
          </cell>
        </row>
        <row r="2849">
          <cell r="A2849" t="str">
            <v>Шешуков Вячеслав Анатольевич</v>
          </cell>
        </row>
        <row r="2850">
          <cell r="A2850" t="str">
            <v>ИП Брылев Павел Валерьевич</v>
          </cell>
        </row>
        <row r="2851">
          <cell r="A2851" t="str">
            <v>Гергедава Михаил Михайлович</v>
          </cell>
        </row>
        <row r="2852">
          <cell r="A2852" t="str">
            <v>Адилов Низамудин Айнюдинович</v>
          </cell>
        </row>
        <row r="2853">
          <cell r="A2853" t="str">
            <v>Абраамян Карен Левикович</v>
          </cell>
        </row>
        <row r="2854">
          <cell r="A2854" t="str">
            <v>Жукова Ольга Игоревна</v>
          </cell>
        </row>
        <row r="2855">
          <cell r="A2855" t="str">
            <v>Щербаков Алексей Евгеньевич</v>
          </cell>
        </row>
        <row r="2856">
          <cell r="A2856" t="str">
            <v>ИП Зинченко Аркадий Александрович</v>
          </cell>
        </row>
        <row r="2857">
          <cell r="A2857" t="str">
            <v>Бутенко Надежда Анатольевна</v>
          </cell>
        </row>
        <row r="2858">
          <cell r="A2858" t="str">
            <v>Шахабутдинов Марат Камильевич</v>
          </cell>
        </row>
        <row r="2859">
          <cell r="A2859" t="str">
            <v>Куликов Михаил Петрович</v>
          </cell>
        </row>
        <row r="2860">
          <cell r="A2860" t="str">
            <v>Ромайкина Анна Андреевна</v>
          </cell>
        </row>
        <row r="2861">
          <cell r="A2861" t="str">
            <v>Рыбаков Виктор Васильевич</v>
          </cell>
        </row>
        <row r="2862">
          <cell r="A2862" t="str">
            <v>Абдуганиев Салохиддин Сирожидинович</v>
          </cell>
        </row>
        <row r="2863">
          <cell r="A2863" t="str">
            <v>Абдуганиев Салохиддин Сирожидинович</v>
          </cell>
        </row>
        <row r="2864">
          <cell r="A2864" t="str">
            <v>Нагель Лия Александровна</v>
          </cell>
        </row>
        <row r="2865">
          <cell r="A2865" t="str">
            <v>Пантелеева Светлана Вячеславовна</v>
          </cell>
        </row>
        <row r="2866">
          <cell r="A2866" t="str">
            <v>Райков Дмитрий Васильевич</v>
          </cell>
        </row>
        <row r="2867">
          <cell r="A2867" t="str">
            <v>Бабокин Евгений Александрович</v>
          </cell>
        </row>
        <row r="2868">
          <cell r="A2868" t="str">
            <v>Деменкова София Дмитриевна</v>
          </cell>
        </row>
        <row r="2869">
          <cell r="A2869" t="str">
            <v>Новицкий Антон Павлович</v>
          </cell>
        </row>
        <row r="2870">
          <cell r="A2870" t="str">
            <v>Шахабутдинов Марат Камильевич</v>
          </cell>
        </row>
        <row r="2871">
          <cell r="A2871" t="str">
            <v>Воробьев Евгений Валерьевич</v>
          </cell>
        </row>
        <row r="2872">
          <cell r="A2872" t="str">
            <v>Бонч-Бруевич Татьяна Антоновна</v>
          </cell>
        </row>
        <row r="2873">
          <cell r="A2873" t="str">
            <v>Макаренков Алексей Геннадьевич</v>
          </cell>
        </row>
        <row r="2874">
          <cell r="A2874" t="str">
            <v>Акимцева Юлия Анатольевна</v>
          </cell>
        </row>
        <row r="2875">
          <cell r="A2875" t="str">
            <v>Соколов Антон Геннадьевич</v>
          </cell>
        </row>
        <row r="2876">
          <cell r="A2876" t="str">
            <v>Соколов Антон Геннадьевич</v>
          </cell>
        </row>
        <row r="2877">
          <cell r="A2877" t="str">
            <v>Соколов Антон Геннадьевич</v>
          </cell>
        </row>
        <row r="2878">
          <cell r="A2878" t="str">
            <v>Скворцова Ольга Сергеевна</v>
          </cell>
        </row>
        <row r="2879">
          <cell r="A2879" t="str">
            <v>Скворцова Ольга Сергеевна</v>
          </cell>
        </row>
        <row r="2880">
          <cell r="A2880" t="str">
            <v>Богомилов Михаил Михайлович</v>
          </cell>
        </row>
        <row r="2881">
          <cell r="A2881" t="str">
            <v>ИП Махавкина Валентина Николаевна</v>
          </cell>
        </row>
        <row r="2882">
          <cell r="A2882" t="str">
            <v>Пригожаев Виталий Васильевич</v>
          </cell>
        </row>
        <row r="2883">
          <cell r="A2883" t="str">
            <v>ИП Кетрарь Сергей Михайлович</v>
          </cell>
        </row>
        <row r="2884">
          <cell r="A2884" t="str">
            <v>Тимофеев Михаил Владимирович</v>
          </cell>
        </row>
        <row r="2885">
          <cell r="A2885" t="str">
            <v>Шахабутдинов Марат Камильевич</v>
          </cell>
        </row>
        <row r="2886">
          <cell r="A2886" t="str">
            <v>Литвинович Сергей Игоревич</v>
          </cell>
        </row>
        <row r="2887">
          <cell r="A2887" t="str">
            <v>Калинин Лев Викторович</v>
          </cell>
        </row>
        <row r="2888">
          <cell r="A2888" t="str">
            <v>Андреев Максим Вячеславович</v>
          </cell>
        </row>
        <row r="2889">
          <cell r="A2889" t="str">
            <v>Гукасян Павел Владимирович</v>
          </cell>
        </row>
        <row r="2890">
          <cell r="A2890" t="str">
            <v>Пиртахия Кето Джемаловна</v>
          </cell>
        </row>
        <row r="2891">
          <cell r="A2891" t="str">
            <v>ИП Ежов Дмитрий Сергеевич</v>
          </cell>
        </row>
        <row r="2892">
          <cell r="A2892" t="str">
            <v>Моисеев Михаил Исаевич</v>
          </cell>
        </row>
        <row r="2893">
          <cell r="A2893" t="str">
            <v>Загорулько Елена Михайловна</v>
          </cell>
        </row>
        <row r="2894">
          <cell r="A2894" t="str">
            <v>Ураков Мурат Асланович</v>
          </cell>
        </row>
        <row r="2895">
          <cell r="A2895" t="str">
            <v>Никульшин Дмитрий Анатольевич</v>
          </cell>
        </row>
        <row r="2896">
          <cell r="A2896" t="str">
            <v>Иванов Евгений Владимирович</v>
          </cell>
        </row>
        <row r="2897">
          <cell r="A2897" t="str">
            <v>Иванов Евгений Владимирович</v>
          </cell>
        </row>
        <row r="2898">
          <cell r="A2898" t="str">
            <v>Ильин Игорь Борисович</v>
          </cell>
        </row>
        <row r="2899">
          <cell r="A2899" t="str">
            <v>Авагян Арман Аветикович</v>
          </cell>
        </row>
        <row r="2900">
          <cell r="A2900" t="str">
            <v>Овчинников Андрей Николаевич</v>
          </cell>
        </row>
        <row r="2901">
          <cell r="A2901" t="str">
            <v>Якубов Роман Сергеевич</v>
          </cell>
        </row>
        <row r="2902">
          <cell r="A2902" t="str">
            <v>Джоробекова Аида Раимжановна</v>
          </cell>
        </row>
        <row r="2903">
          <cell r="A2903" t="str">
            <v>Медведева Юлия Леонидовна</v>
          </cell>
        </row>
        <row r="2904">
          <cell r="A2904" t="str">
            <v>Майоров Александр Эдуардович</v>
          </cell>
        </row>
        <row r="2905">
          <cell r="A2905" t="str">
            <v>Чесноков Александр Алексеевич</v>
          </cell>
        </row>
        <row r="2906">
          <cell r="A2906" t="str">
            <v>Бурцева Олеся Анатольевна</v>
          </cell>
        </row>
        <row r="2907">
          <cell r="A2907" t="str">
            <v>Копылов Андрей Викторович</v>
          </cell>
        </row>
        <row r="2908">
          <cell r="A2908" t="str">
            <v>Прокофьев Никита Вячеславович</v>
          </cell>
        </row>
        <row r="2909">
          <cell r="A2909" t="str">
            <v>Павлов Владимир Геннадьевич</v>
          </cell>
        </row>
        <row r="2910">
          <cell r="A2910" t="str">
            <v>Павлов Владимир Геннадьевич</v>
          </cell>
        </row>
        <row r="2911">
          <cell r="A2911" t="str">
            <v>Баруткин Артур Сергеевич</v>
          </cell>
        </row>
        <row r="2912">
          <cell r="A2912" t="str">
            <v>ИП Богданова Лариса Анатольевна</v>
          </cell>
        </row>
        <row r="2913">
          <cell r="A2913" t="str">
            <v>Бокарев Виталий Викторович</v>
          </cell>
        </row>
        <row r="2914">
          <cell r="A2914" t="str">
            <v>Шелин Екатерина Вячеславовна</v>
          </cell>
        </row>
        <row r="2915">
          <cell r="A2915" t="str">
            <v>ИП Озеров Василий Игоревич</v>
          </cell>
        </row>
        <row r="2916">
          <cell r="A2916" t="str">
            <v>Курятов Олег Владимирович</v>
          </cell>
        </row>
        <row r="2917">
          <cell r="A2917" t="str">
            <v>Михайлова Наталья Геннадьевна</v>
          </cell>
        </row>
        <row r="2918">
          <cell r="A2918" t="str">
            <v>Калантарян Артур Вазгени</v>
          </cell>
        </row>
        <row r="2919">
          <cell r="A2919" t="str">
            <v>Геворгян Геворг Размикович</v>
          </cell>
        </row>
        <row r="2920">
          <cell r="A2920" t="str">
            <v>Мошкин Андрей Викторович</v>
          </cell>
        </row>
        <row r="2921">
          <cell r="A2921" t="str">
            <v>Юров Михаил Витальевич</v>
          </cell>
        </row>
        <row r="2922">
          <cell r="A2922" t="str">
            <v>Протасов Александр Николаевич</v>
          </cell>
        </row>
        <row r="2923">
          <cell r="A2923" t="str">
            <v>Сантехвоз ООО</v>
          </cell>
        </row>
        <row r="2924">
          <cell r="A2924" t="str">
            <v>ИП Таран Валентин Викторович</v>
          </cell>
        </row>
        <row r="2925">
          <cell r="A2925" t="str">
            <v>ИП Таран Валентин Викторович</v>
          </cell>
        </row>
        <row r="2926">
          <cell r="A2926" t="str">
            <v>Бойко Андрей Сергеевич</v>
          </cell>
        </row>
        <row r="2927">
          <cell r="A2927" t="str">
            <v>Черных Андрей Сергеевич</v>
          </cell>
        </row>
        <row r="2928">
          <cell r="A2928" t="str">
            <v>Шихалев Вячеслав Николаевич</v>
          </cell>
        </row>
        <row r="2929">
          <cell r="A2929" t="str">
            <v>Ростовцев Александр Петрович</v>
          </cell>
        </row>
        <row r="2930">
          <cell r="A2930" t="str">
            <v>Камшилин Александр Александрович</v>
          </cell>
        </row>
        <row r="2931">
          <cell r="A2931" t="str">
            <v>Камшилина Татьяна Ивановна</v>
          </cell>
        </row>
        <row r="2932">
          <cell r="A2932" t="str">
            <v>Камшилина Татьяна Ивановна</v>
          </cell>
        </row>
        <row r="2933">
          <cell r="A2933" t="str">
            <v>ИП Обогоров Евгений Владимирович</v>
          </cell>
        </row>
        <row r="2934">
          <cell r="A2934" t="str">
            <v>Савилова Светлана Самировна</v>
          </cell>
        </row>
        <row r="2935">
          <cell r="A2935" t="str">
            <v>Степанов Денис Валерьевич</v>
          </cell>
        </row>
        <row r="2936">
          <cell r="A2936" t="str">
            <v>Калашникова Екатерина Васильевна</v>
          </cell>
        </row>
        <row r="2937">
          <cell r="A2937" t="str">
            <v>Калашникова Екатерина Васильевна</v>
          </cell>
        </row>
        <row r="2938">
          <cell r="A2938" t="str">
            <v>Михеева Ольга Николаевна</v>
          </cell>
        </row>
        <row r="2939">
          <cell r="A2939" t="str">
            <v>Семенов Николай Юрьевич</v>
          </cell>
        </row>
        <row r="2940">
          <cell r="A2940" t="str">
            <v>ИП Кругляк Наталья Анатольевна</v>
          </cell>
        </row>
        <row r="2941">
          <cell r="A2941" t="str">
            <v>ЭНЕРГИЯ ООО</v>
          </cell>
        </row>
        <row r="2942">
          <cell r="A2942" t="str">
            <v>Камшилина Татьяна Ивановна</v>
          </cell>
        </row>
        <row r="2943">
          <cell r="A2943" t="str">
            <v>Радь Игорь Михайлович</v>
          </cell>
        </row>
        <row r="2944">
          <cell r="A2944" t="str">
            <v>Хачикян Давид Алексеевич</v>
          </cell>
        </row>
        <row r="2945">
          <cell r="A2945" t="str">
            <v>Аванесян Виген Эмикович</v>
          </cell>
        </row>
        <row r="2946">
          <cell r="A2946" t="str">
            <v>Брич Кирилл Сергеевич</v>
          </cell>
        </row>
        <row r="2947">
          <cell r="A2947" t="str">
            <v>Рыченков Александр Николаевич</v>
          </cell>
        </row>
        <row r="2948">
          <cell r="A2948" t="str">
            <v>Ганиев Элдияр Абдухалилович</v>
          </cell>
        </row>
        <row r="2949">
          <cell r="A2949" t="str">
            <v>Синяев Андрей Николаевич</v>
          </cell>
        </row>
        <row r="2950">
          <cell r="A2950" t="str">
            <v>Муханов Игорь Евгеньевич</v>
          </cell>
        </row>
        <row r="2951">
          <cell r="A2951" t="str">
            <v>Голота Илья Викторович</v>
          </cell>
        </row>
        <row r="2952">
          <cell r="A2952" t="str">
            <v>МЕТАЛЛПРОЕКТ ООО</v>
          </cell>
        </row>
        <row r="2953">
          <cell r="A2953" t="str">
            <v>Васильев Лев Викторович</v>
          </cell>
        </row>
        <row r="2954">
          <cell r="A2954" t="str">
            <v>Самойлов Сергей Владимирович</v>
          </cell>
        </row>
        <row r="2955">
          <cell r="A2955" t="str">
            <v>ИП Дедян Ашот Сократович</v>
          </cell>
        </row>
        <row r="2956">
          <cell r="A2956" t="str">
            <v>ИП Махавкина Валентина Николаевна</v>
          </cell>
        </row>
        <row r="2957">
          <cell r="A2957" t="str">
            <v>Гусев Владимир Николаевич</v>
          </cell>
        </row>
        <row r="2958">
          <cell r="A2958" t="str">
            <v>Тюкаев Алексей Николаевич</v>
          </cell>
        </row>
        <row r="2959">
          <cell r="A2959" t="str">
            <v>ИП Зинченко Аркадий Александрович</v>
          </cell>
        </row>
        <row r="2960">
          <cell r="A2960" t="str">
            <v>Ерохов Андрей Вячеславович</v>
          </cell>
        </row>
        <row r="2961">
          <cell r="A2961" t="str">
            <v>Мамедова Илона Вановна</v>
          </cell>
        </row>
        <row r="2962">
          <cell r="A2962" t="str">
            <v>Мамедова Илона Вановна</v>
          </cell>
        </row>
        <row r="2963">
          <cell r="A2963" t="str">
            <v>Мамедова Илона Вановна</v>
          </cell>
        </row>
        <row r="2964">
          <cell r="A2964" t="str">
            <v>Мамедов Сеймур Фазил Оглы</v>
          </cell>
        </row>
        <row r="2965">
          <cell r="A2965" t="str">
            <v>Мамедов Сеймур Фазил Оглы</v>
          </cell>
        </row>
        <row r="2966">
          <cell r="A2966" t="str">
            <v>Мамедов Сеймур Фазил Оглы</v>
          </cell>
        </row>
        <row r="2967">
          <cell r="A2967" t="str">
            <v>Варданян Эдик Самвелович</v>
          </cell>
        </row>
        <row r="2968">
          <cell r="A2968" t="str">
            <v>Копытман Александр Семенович</v>
          </cell>
        </row>
        <row r="2969">
          <cell r="A2969" t="str">
            <v>Мнацаканян Карен Аракелович</v>
          </cell>
        </row>
        <row r="2970">
          <cell r="A2970" t="str">
            <v>Чепелова Анастасия Юрьевна</v>
          </cell>
        </row>
        <row r="2971">
          <cell r="A2971" t="str">
            <v>Журавлев Дмитрий Юрьевич 2</v>
          </cell>
        </row>
        <row r="2972">
          <cell r="A2972" t="str">
            <v>Овчинникова Марина Сергеевна</v>
          </cell>
        </row>
        <row r="2973">
          <cell r="A2973" t="str">
            <v>Егоров Владимир Борисович</v>
          </cell>
        </row>
        <row r="2974">
          <cell r="A2974" t="str">
            <v>Голубков Олег Борисович</v>
          </cell>
        </row>
        <row r="2975">
          <cell r="A2975" t="str">
            <v>Сулейманов Герей Кайибович</v>
          </cell>
        </row>
        <row r="2976">
          <cell r="A2976" t="str">
            <v>Балозян Геннадий Теймуразович</v>
          </cell>
        </row>
        <row r="2977">
          <cell r="A2977" t="str">
            <v>Сатюков Денис Владимирович</v>
          </cell>
        </row>
        <row r="2978">
          <cell r="A2978" t="str">
            <v>Брич Кирилл Сергеевич</v>
          </cell>
        </row>
        <row r="2979">
          <cell r="A2979" t="str">
            <v>ИП Филатов Андрей Анатольевич</v>
          </cell>
        </row>
        <row r="2980">
          <cell r="A2980" t="str">
            <v>ИП Фараджов Зейнал Алинаги Оглы</v>
          </cell>
        </row>
        <row r="2981">
          <cell r="A2981" t="str">
            <v>ИП Аббасов Амин Тофиг Оглы</v>
          </cell>
        </row>
        <row r="2982">
          <cell r="A2982" t="str">
            <v>ИП Мальцев Александр Анатольевич</v>
          </cell>
        </row>
        <row r="2983">
          <cell r="A2983" t="str">
            <v>ИП Коломоец Сергей Сергеевич</v>
          </cell>
        </row>
        <row r="2984">
          <cell r="A2984" t="str">
            <v>Каганович Сусанна Ильинична</v>
          </cell>
        </row>
        <row r="2985">
          <cell r="A2985" t="str">
            <v>Каганович Сусанна Ильинична</v>
          </cell>
        </row>
        <row r="2986">
          <cell r="A2986" t="str">
            <v>Головина Екатерина Давидовна</v>
          </cell>
        </row>
        <row r="2987">
          <cell r="A2987" t="str">
            <v>Гладченко Владлен Валерьевич</v>
          </cell>
        </row>
        <row r="2988">
          <cell r="A2988" t="str">
            <v>Крюков Сергей Викторович</v>
          </cell>
        </row>
        <row r="2989">
          <cell r="A2989" t="str">
            <v>Дорохин Александр Пантелеевич</v>
          </cell>
        </row>
        <row r="2990">
          <cell r="A2990" t="str">
            <v>Савилова Светлана Самировна</v>
          </cell>
        </row>
        <row r="2991">
          <cell r="A2991" t="str">
            <v>Строй-Универсал ООО</v>
          </cell>
        </row>
        <row r="2992">
          <cell r="A2992" t="str">
            <v>Попова Светлана Борисовна</v>
          </cell>
        </row>
        <row r="2993">
          <cell r="A2993" t="str">
            <v>Водянов Иван Николаевич</v>
          </cell>
        </row>
        <row r="2994">
          <cell r="A2994" t="str">
            <v>Водянов Иван Николаевич</v>
          </cell>
        </row>
        <row r="2995">
          <cell r="A2995" t="str">
            <v>Тимаков Сергей Сергеевич</v>
          </cell>
        </row>
        <row r="2996">
          <cell r="A2996" t="str">
            <v>Акимов Григорий Михайлович</v>
          </cell>
        </row>
        <row r="2997">
          <cell r="A2997" t="str">
            <v>Мишин Алексей Борисович</v>
          </cell>
        </row>
        <row r="2998">
          <cell r="A2998" t="str">
            <v>Агакишиев Ядуллах Али Оглы</v>
          </cell>
        </row>
        <row r="2999">
          <cell r="A2999" t="str">
            <v>Комаревцев Виктор Егорович</v>
          </cell>
        </row>
        <row r="3000">
          <cell r="A3000" t="str">
            <v>Карасева Дарья Сергеевна</v>
          </cell>
        </row>
        <row r="3001">
          <cell r="A3001" t="str">
            <v>Алексанян Карине Размиковна</v>
          </cell>
        </row>
        <row r="3002">
          <cell r="A3002" t="str">
            <v>Беленко Артем Вадимович</v>
          </cell>
        </row>
        <row r="3003">
          <cell r="A3003" t="str">
            <v>ЭНЕРГИЯ ООО</v>
          </cell>
        </row>
        <row r="3004">
          <cell r="A3004" t="str">
            <v>Боровик Сергей Владимирович</v>
          </cell>
        </row>
        <row r="3005">
          <cell r="A3005" t="str">
            <v>Купцов Геннадий Николаевич</v>
          </cell>
        </row>
        <row r="3006">
          <cell r="A3006" t="str">
            <v>Варданян Эдик Самвелович</v>
          </cell>
        </row>
        <row r="3007">
          <cell r="A3007" t="str">
            <v>ИП Зинченко Аркадий Александрович</v>
          </cell>
        </row>
        <row r="3008">
          <cell r="A3008" t="str">
            <v>Шихалев Вячеслав Николаевич</v>
          </cell>
        </row>
        <row r="3009">
          <cell r="A3009" t="str">
            <v>Трофимов Олег Владимирович</v>
          </cell>
        </row>
        <row r="3010">
          <cell r="A3010" t="str">
            <v>Трофимов Иван Борисович</v>
          </cell>
        </row>
        <row r="3011">
          <cell r="A3011" t="str">
            <v>Зенин Александр Петрович</v>
          </cell>
        </row>
        <row r="3012">
          <cell r="A3012" t="str">
            <v>Петренко Ольга Николаевна</v>
          </cell>
        </row>
        <row r="3013">
          <cell r="A3013" t="str">
            <v>Абраамян Арут Ширазович</v>
          </cell>
        </row>
        <row r="3014">
          <cell r="A3014" t="str">
            <v>Агафонов Алексей Юрьевич</v>
          </cell>
        </row>
        <row r="3015">
          <cell r="A3015" t="str">
            <v>Агафонов Алексей Юрьевич</v>
          </cell>
        </row>
        <row r="3016">
          <cell r="A3016" t="str">
            <v>Шорин Денис Валерьевич</v>
          </cell>
        </row>
        <row r="3017">
          <cell r="A3017" t="str">
            <v>Шорин Денис Валерьевич</v>
          </cell>
        </row>
        <row r="3018">
          <cell r="A3018" t="str">
            <v>Шорин Денис Валерьевич</v>
          </cell>
        </row>
        <row r="3019">
          <cell r="A3019" t="str">
            <v>Оленичев Сергей Вячеславович</v>
          </cell>
        </row>
        <row r="3020">
          <cell r="A3020" t="str">
            <v>Юлдашев Абдумажид Абдулхамиджонович</v>
          </cell>
        </row>
        <row r="3021">
          <cell r="A3021" t="str">
            <v>Косинова Мария Евгеньевна</v>
          </cell>
        </row>
        <row r="3022">
          <cell r="A3022" t="str">
            <v>Косинова Мария Евгеньевна</v>
          </cell>
        </row>
        <row r="3023">
          <cell r="A3023" t="str">
            <v>ИП Чеботарь Анжелика Сергеевна</v>
          </cell>
        </row>
        <row r="3024">
          <cell r="A3024" t="str">
            <v>Брич Кирилл Сергеевич</v>
          </cell>
        </row>
        <row r="3025">
          <cell r="A3025" t="str">
            <v>Млинарич Анастасия Андреевна</v>
          </cell>
        </row>
        <row r="3026">
          <cell r="A3026" t="str">
            <v>ИП Леднева Елена Владимировна</v>
          </cell>
        </row>
        <row r="3027">
          <cell r="A3027" t="str">
            <v>Недосека Спартак Викторович</v>
          </cell>
        </row>
        <row r="3028">
          <cell r="A3028" t="str">
            <v>Исматов Руслан Гурезович</v>
          </cell>
        </row>
        <row r="3029">
          <cell r="A3029" t="str">
            <v>Печников Алексей Олегович</v>
          </cell>
        </row>
        <row r="3030">
          <cell r="A3030" t="str">
            <v>Печников Алексей Олегович</v>
          </cell>
        </row>
        <row r="3031">
          <cell r="A3031" t="str">
            <v>Жиганов Сергей Петрович</v>
          </cell>
        </row>
        <row r="3032">
          <cell r="A3032" t="str">
            <v>Романов Рубен Рубенович</v>
          </cell>
        </row>
        <row r="3033">
          <cell r="A3033" t="str">
            <v>Жиганов Николай Николаевич</v>
          </cell>
        </row>
        <row r="3034">
          <cell r="A3034" t="str">
            <v>Жиганов Николай Николаевич</v>
          </cell>
        </row>
        <row r="3035">
          <cell r="A3035" t="str">
            <v>Коваль Татьяна Васильевна</v>
          </cell>
        </row>
        <row r="3036">
          <cell r="A3036" t="str">
            <v>Харламов Юрий Юрьевич</v>
          </cell>
        </row>
        <row r="3037">
          <cell r="A3037" t="str">
            <v>Созыкин Эдуард Геннадьевич</v>
          </cell>
        </row>
        <row r="3038">
          <cell r="A3038" t="str">
            <v>ИП Пивкин Константин Леонидович</v>
          </cell>
        </row>
        <row r="3039">
          <cell r="A3039" t="str">
            <v>Межера Мария Сергеевна</v>
          </cell>
        </row>
        <row r="3040">
          <cell r="A3040" t="str">
            <v>Волков Владимир Сергеевич</v>
          </cell>
        </row>
        <row r="3041">
          <cell r="A3041" t="str">
            <v>Дубовицкий Глеб Романович</v>
          </cell>
        </row>
        <row r="3042">
          <cell r="A3042" t="str">
            <v>Федоренко Андрей Вячеславович</v>
          </cell>
        </row>
        <row r="3043">
          <cell r="A3043" t="str">
            <v>Ляндусов Вячеслав Сергеевич</v>
          </cell>
        </row>
        <row r="3044">
          <cell r="A3044" t="str">
            <v>Семерова Зоя Михайловна</v>
          </cell>
        </row>
        <row r="3045">
          <cell r="A3045" t="str">
            <v>Додохова Анна Николаевна</v>
          </cell>
        </row>
        <row r="3046">
          <cell r="A3046" t="str">
            <v>Карапетян Гайк Гарникович</v>
          </cell>
        </row>
        <row r="3047">
          <cell r="A3047" t="str">
            <v>Карапетян Гайк Гарникович</v>
          </cell>
        </row>
        <row r="3048">
          <cell r="A3048" t="str">
            <v>Карапетян Гайк Гарникович</v>
          </cell>
        </row>
        <row r="3049">
          <cell r="A3049" t="str">
            <v>Охоцкий Владимир Андреевич</v>
          </cell>
        </row>
        <row r="3050">
          <cell r="A3050" t="str">
            <v>Охоцкий Владимир Андреевич</v>
          </cell>
        </row>
        <row r="3051">
          <cell r="A3051" t="str">
            <v>Охоцкий Владимир Андреевич</v>
          </cell>
        </row>
        <row r="3052">
          <cell r="A3052" t="str">
            <v>Киселев Антон Владимирович</v>
          </cell>
        </row>
        <row r="3053">
          <cell r="A3053" t="str">
            <v>Титов Алексей Анатольевич</v>
          </cell>
        </row>
        <row r="3054">
          <cell r="A3054" t="str">
            <v>Исматов Руслан Гурезович</v>
          </cell>
        </row>
        <row r="3055">
          <cell r="A3055" t="str">
            <v>Шитов Алексей Константинович</v>
          </cell>
        </row>
        <row r="3056">
          <cell r="A3056" t="str">
            <v>Шитов Алексей Константинович</v>
          </cell>
        </row>
        <row r="3057">
          <cell r="A3057" t="str">
            <v>ИП Лойко Григорий Львович</v>
          </cell>
        </row>
        <row r="3058">
          <cell r="A3058" t="str">
            <v>Илюшин Илья Игоревич</v>
          </cell>
        </row>
        <row r="3059">
          <cell r="A3059" t="str">
            <v>Ефанов Дмитрий Сергеевич</v>
          </cell>
        </row>
        <row r="3060">
          <cell r="A3060" t="str">
            <v>Жуковская Медуза Александровна</v>
          </cell>
        </row>
        <row r="3061">
          <cell r="A3061" t="str">
            <v>Жуковская Медуза Александровна</v>
          </cell>
        </row>
        <row r="3062">
          <cell r="A3062" t="str">
            <v>Жуковская Медуза Александровна</v>
          </cell>
        </row>
        <row r="3063">
          <cell r="A3063" t="str">
            <v>Фомичев Денис Александрович</v>
          </cell>
        </row>
        <row r="3064">
          <cell r="A3064" t="str">
            <v>Юзбашян Ходедан Зограбович</v>
          </cell>
        </row>
        <row r="3065">
          <cell r="A3065" t="str">
            <v>Храпов Андрей Анатольевич</v>
          </cell>
        </row>
        <row r="3066">
          <cell r="A3066" t="str">
            <v>Болгов Владислав Петрович</v>
          </cell>
        </row>
        <row r="3067">
          <cell r="A3067" t="str">
            <v>Фаблинова Наталия Александровна</v>
          </cell>
        </row>
        <row r="3068">
          <cell r="A3068" t="str">
            <v>АЛЬЯНС НЕДВИЖИМОСТИ ООО</v>
          </cell>
        </row>
        <row r="3069">
          <cell r="A3069" t="str">
            <v>Громаковская Ольга Сергеевна</v>
          </cell>
        </row>
        <row r="3070">
          <cell r="A3070" t="str">
            <v>Барышев Александр Борисович</v>
          </cell>
        </row>
        <row r="3071">
          <cell r="A3071" t="str">
            <v>Кунарев Роман Александрович</v>
          </cell>
        </row>
        <row r="3072">
          <cell r="A3072" t="str">
            <v>Трушин Сергей Алексеевич</v>
          </cell>
        </row>
        <row r="3073">
          <cell r="A3073" t="str">
            <v>Сулейманов Герей Кайибович</v>
          </cell>
        </row>
        <row r="3074">
          <cell r="A3074" t="str">
            <v>Сулейманов Герей Кайибович</v>
          </cell>
        </row>
        <row r="3075">
          <cell r="A3075" t="str">
            <v>Быкин Евгений Леонидович</v>
          </cell>
        </row>
        <row r="3076">
          <cell r="A3076" t="str">
            <v>Петелин Андрей Юрьевич</v>
          </cell>
        </row>
        <row r="3077">
          <cell r="A3077" t="str">
            <v>Батаковский Иван Викторович</v>
          </cell>
        </row>
        <row r="3078">
          <cell r="A3078" t="str">
            <v>Балашов Александр Александрович</v>
          </cell>
        </row>
        <row r="3079">
          <cell r="A3079" t="str">
            <v>ГК АкоЛет ООО</v>
          </cell>
        </row>
        <row r="3080">
          <cell r="A3080" t="str">
            <v>ИП Суслова Ирина Валентиновна</v>
          </cell>
        </row>
        <row r="3081">
          <cell r="A3081" t="str">
            <v>Бойко Андрей Сергеевич</v>
          </cell>
        </row>
        <row r="3082">
          <cell r="A3082" t="str">
            <v>Акимов Григорий Михайлович</v>
          </cell>
        </row>
        <row r="3083">
          <cell r="A3083" t="str">
            <v>ИП Брылев Павел Валерьевич</v>
          </cell>
        </row>
        <row r="3084">
          <cell r="A3084" t="str">
            <v>ИП Чеботарь Анжелика Сергеевна</v>
          </cell>
        </row>
        <row r="3085">
          <cell r="A3085" t="str">
            <v>Исламов Магомед Ахмедович</v>
          </cell>
        </row>
        <row r="3086">
          <cell r="A3086" t="str">
            <v>Головко Владимир Павлович</v>
          </cell>
        </row>
        <row r="3087">
          <cell r="A3087" t="str">
            <v>Мусаев Рустам Камилжонович</v>
          </cell>
        </row>
        <row r="3088">
          <cell r="A3088" t="str">
            <v>АЛЬЯНС НЕДВИЖИМОСТИ ООО</v>
          </cell>
        </row>
        <row r="3089">
          <cell r="A3089" t="str">
            <v>ИП Харин Евгений Александрович</v>
          </cell>
        </row>
        <row r="3090">
          <cell r="A3090" t="str">
            <v>Паладе Иван Петрович</v>
          </cell>
        </row>
        <row r="3091">
          <cell r="A3091" t="str">
            <v>ИП Богданова Лариса Анатольевна</v>
          </cell>
        </row>
        <row r="3092">
          <cell r="A3092" t="str">
            <v>ДОКТОР ЗЕЛЕНЬ ООО</v>
          </cell>
        </row>
        <row r="3093">
          <cell r="A3093" t="str">
            <v>Хабибуллин Дмитрий Радикович</v>
          </cell>
        </row>
        <row r="3094">
          <cell r="A3094" t="str">
            <v>Лаврухов Андрей Александрович</v>
          </cell>
        </row>
        <row r="3095">
          <cell r="A3095" t="str">
            <v>Гавриленко Игорь Олегович</v>
          </cell>
        </row>
        <row r="3096">
          <cell r="A3096" t="str">
            <v>Гавриленко Игорь Олегович</v>
          </cell>
        </row>
        <row r="3097">
          <cell r="A3097" t="str">
            <v>Гавриленко Игорь Олегович</v>
          </cell>
        </row>
        <row r="3098">
          <cell r="A3098" t="str">
            <v>Волотовский Олег Николаевич</v>
          </cell>
        </row>
        <row r="3099">
          <cell r="A3099" t="str">
            <v>Шмелев Павел Владимирович</v>
          </cell>
        </row>
        <row r="3100">
          <cell r="A3100" t="str">
            <v>Попова Светлана Борисовна</v>
          </cell>
        </row>
        <row r="3101">
          <cell r="A3101" t="str">
            <v>Федоров Станислав Владимирович</v>
          </cell>
        </row>
        <row r="3102">
          <cell r="A3102" t="str">
            <v>Юшваев Шамаил Юсуфович</v>
          </cell>
        </row>
        <row r="3103">
          <cell r="A3103" t="str">
            <v>Пригожаев Виталий Васильевич</v>
          </cell>
        </row>
        <row r="3104">
          <cell r="A3104" t="str">
            <v>Чепелова Анастасия Юрьевна</v>
          </cell>
        </row>
        <row r="3105">
          <cell r="A3105" t="str">
            <v>ИП Губин Анатолий Валентинович</v>
          </cell>
        </row>
        <row r="3106">
          <cell r="A3106" t="str">
            <v>"МаммиЛэнд" ООО</v>
          </cell>
        </row>
        <row r="3107">
          <cell r="A3107" t="str">
            <v>ИП Курятников Виктор Анатольевич</v>
          </cell>
        </row>
        <row r="3108">
          <cell r="A3108" t="str">
            <v>"МаммиЛэнд" ООО</v>
          </cell>
        </row>
        <row r="3109">
          <cell r="A3109" t="str">
            <v>Акимова Анастасия Игоревна</v>
          </cell>
        </row>
        <row r="3110">
          <cell r="A3110" t="str">
            <v>Рязанов Юрий Анатольевич</v>
          </cell>
        </row>
        <row r="3111">
          <cell r="A3111" t="str">
            <v>ТК Дионис ООО</v>
          </cell>
        </row>
        <row r="3112">
          <cell r="A3112" t="str">
            <v>Бозров Руслан Михайлович</v>
          </cell>
        </row>
        <row r="3113">
          <cell r="A3113" t="str">
            <v>Закарьян Цовинар Андрониковна</v>
          </cell>
        </row>
        <row r="3114">
          <cell r="A3114" t="str">
            <v>Закарьян Цовинар Андрониковна</v>
          </cell>
        </row>
        <row r="3115">
          <cell r="A3115" t="str">
            <v>ТЕХНИКА ЮГА ООО</v>
          </cell>
        </row>
        <row r="3116">
          <cell r="A3116" t="str">
            <v>Гришин Василий Вячеславович</v>
          </cell>
        </row>
        <row r="3117">
          <cell r="A3117" t="str">
            <v>Артемова Любовь Анатольевна</v>
          </cell>
        </row>
        <row r="3118">
          <cell r="A3118" t="str">
            <v>Артемова Любовь Анатольевна</v>
          </cell>
        </row>
        <row r="3119">
          <cell r="A3119" t="str">
            <v>Ляндусов Вячеслав Сергеевич</v>
          </cell>
        </row>
        <row r="3120">
          <cell r="A3120" t="str">
            <v>Садовникова Лариса Алексеевна</v>
          </cell>
        </row>
        <row r="3121">
          <cell r="A3121" t="str">
            <v>Цуканов Сергей Владимирович</v>
          </cell>
        </row>
        <row r="3122">
          <cell r="A3122" t="str">
            <v>Крханбарова Софья Рубеновна</v>
          </cell>
        </row>
        <row r="3123">
          <cell r="A3123" t="str">
            <v>Мухин Илья Анатольевич</v>
          </cell>
        </row>
        <row r="3124">
          <cell r="A3124" t="str">
            <v>Некрытый Александр Александрович</v>
          </cell>
        </row>
        <row r="3125">
          <cell r="A3125" t="str">
            <v>Овакимян Акоб Грантович</v>
          </cell>
        </row>
        <row r="3126">
          <cell r="A3126" t="str">
            <v>Бабумара Федор Александрович</v>
          </cell>
        </row>
        <row r="3127">
          <cell r="A3127" t="str">
            <v>Ступников Павел Николаевич</v>
          </cell>
        </row>
        <row r="3128">
          <cell r="A3128" t="str">
            <v>Мекшило Сергей Михайлович</v>
          </cell>
        </row>
        <row r="3129">
          <cell r="A3129" t="str">
            <v>Котков Алексей Олегович</v>
          </cell>
        </row>
        <row r="3130">
          <cell r="A3130" t="str">
            <v>Сильцов Максим Евгеньевич</v>
          </cell>
        </row>
        <row r="3131">
          <cell r="A3131" t="str">
            <v>Дунаева Анна Александровна</v>
          </cell>
        </row>
        <row r="3132">
          <cell r="A3132" t="str">
            <v>Атакишиев Гасым Гара Оглы</v>
          </cell>
        </row>
        <row r="3133">
          <cell r="A3133" t="str">
            <v>Горелова Юлия Валерьевна</v>
          </cell>
        </row>
        <row r="3134">
          <cell r="A3134" t="str">
            <v>Тихонов Алексей Владимирович</v>
          </cell>
        </row>
        <row r="3135">
          <cell r="A3135" t="str">
            <v>Пишта Олег Михайлович</v>
          </cell>
        </row>
        <row r="3136">
          <cell r="A3136" t="str">
            <v>Москалев Ярослав Вячеславович</v>
          </cell>
        </row>
        <row r="3137">
          <cell r="A3137" t="str">
            <v>Володина Яна Петровна</v>
          </cell>
        </row>
        <row r="3138">
          <cell r="A3138" t="str">
            <v>Гречкин Максим Алексеевич</v>
          </cell>
        </row>
        <row r="3139">
          <cell r="A3139" t="str">
            <v>Булгаков Юрий Сергеевич</v>
          </cell>
        </row>
        <row r="3140">
          <cell r="A3140" t="str">
            <v>Подгорный Михаил Семенович</v>
          </cell>
        </row>
        <row r="3141">
          <cell r="A3141" t="str">
            <v>Смирнова Марина Владимировна</v>
          </cell>
        </row>
        <row r="3142">
          <cell r="A3142" t="str">
            <v>Павлова Светлана Юрьевна</v>
          </cell>
        </row>
        <row r="3143">
          <cell r="A3143" t="str">
            <v>Паладе Иван Петрович</v>
          </cell>
        </row>
        <row r="3144">
          <cell r="A3144" t="str">
            <v>Брич Кирилл Сергеевич</v>
          </cell>
        </row>
        <row r="3145">
          <cell r="A3145" t="str">
            <v>Дмитриев Дмитрий Михайлович</v>
          </cell>
        </row>
        <row r="3146">
          <cell r="A3146" t="str">
            <v>Степанов Сергей Сергеевич</v>
          </cell>
        </row>
        <row r="3147">
          <cell r="A3147" t="str">
            <v>Трушин Сергей Алексеевич</v>
          </cell>
        </row>
        <row r="3148">
          <cell r="A3148" t="str">
            <v>Чирский Олег Иванович</v>
          </cell>
        </row>
        <row r="3149">
          <cell r="A3149" t="str">
            <v>Тимаков Сергей Сергеевич</v>
          </cell>
        </row>
        <row r="3150">
          <cell r="A3150" t="str">
            <v>Шакиров Марат Хамитьянович</v>
          </cell>
        </row>
        <row r="3151">
          <cell r="A3151" t="str">
            <v>Ковылин Герман Олегович</v>
          </cell>
        </row>
        <row r="3152">
          <cell r="A3152" t="str">
            <v>Абашидзе Георгий Амиранович</v>
          </cell>
        </row>
        <row r="3153">
          <cell r="A3153" t="str">
            <v>ИП Плосконос Юлия Николаевна</v>
          </cell>
        </row>
        <row r="3154">
          <cell r="A3154" t="str">
            <v>Смагин Владимир Валерьевич</v>
          </cell>
        </row>
        <row r="3155">
          <cell r="A3155" t="str">
            <v>Коцуба Андрей Сергеевич</v>
          </cell>
        </row>
        <row r="3156">
          <cell r="A3156" t="str">
            <v>Айриян Николай Эрнестович</v>
          </cell>
        </row>
        <row r="3157">
          <cell r="A3157" t="str">
            <v>Терешкин Виктор Анатольевич</v>
          </cell>
        </row>
        <row r="3158">
          <cell r="A3158" t="str">
            <v>Шивцов Андрей Викторович</v>
          </cell>
        </row>
        <row r="3159">
          <cell r="A3159" t="str">
            <v>Шивцов Андрей Викторович</v>
          </cell>
        </row>
        <row r="3160">
          <cell r="A3160" t="str">
            <v>Федоров Станислав Владимирович</v>
          </cell>
        </row>
        <row r="3161">
          <cell r="A3161" t="str">
            <v>Максимов Никита Андреевич</v>
          </cell>
        </row>
        <row r="3162">
          <cell r="A3162" t="str">
            <v>Дубовицкий Глеб Романович</v>
          </cell>
        </row>
        <row r="3163">
          <cell r="A3163" t="str">
            <v>Чичинкин Алексей Владимирович</v>
          </cell>
        </row>
        <row r="3164">
          <cell r="A3164" t="str">
            <v>Максимов Никита Андреевич</v>
          </cell>
        </row>
        <row r="3165">
          <cell r="A3165" t="str">
            <v>Максимов Никита Андреевич</v>
          </cell>
        </row>
        <row r="3166">
          <cell r="A3166" t="str">
            <v>ИП Киселев Николай Андреевич</v>
          </cell>
        </row>
        <row r="3167">
          <cell r="A3167" t="str">
            <v>Федущак Олег Викторович</v>
          </cell>
        </row>
        <row r="3168">
          <cell r="A3168" t="str">
            <v>Шакиров Сабир Муратович</v>
          </cell>
        </row>
        <row r="3169">
          <cell r="A3169" t="str">
            <v>Левина Анна Владимировна</v>
          </cell>
        </row>
        <row r="3170">
          <cell r="A3170" t="str">
            <v>Маккаева Рузанна Абдулаевна</v>
          </cell>
        </row>
        <row r="3171">
          <cell r="A3171" t="str">
            <v>Маккаева Рузанна Абдулаевна</v>
          </cell>
        </row>
        <row r="3172">
          <cell r="A3172" t="str">
            <v>Синяев Андрей Николаевич</v>
          </cell>
        </row>
        <row r="3173">
          <cell r="A3173" t="str">
            <v>Синяев Андрей Николаевич</v>
          </cell>
        </row>
        <row r="3174">
          <cell r="A3174" t="str">
            <v>Скопинов Иван Алексеевич</v>
          </cell>
        </row>
        <row r="3175">
          <cell r="A3175" t="str">
            <v>Новиков Алексей Юрьевич</v>
          </cell>
        </row>
        <row r="3176">
          <cell r="A3176" t="str">
            <v>ИП Кузнецов Михаил Александрович</v>
          </cell>
        </row>
        <row r="3177">
          <cell r="A3177" t="str">
            <v>Гурьянов Кирилл Владимирович</v>
          </cell>
        </row>
        <row r="3178">
          <cell r="A3178" t="str">
            <v>Демидов Евгений Александрович</v>
          </cell>
        </row>
        <row r="3179">
          <cell r="A3179" t="str">
            <v>Кокоев Мирлан Жыргалбекович</v>
          </cell>
        </row>
        <row r="3180">
          <cell r="A3180" t="str">
            <v>Колесова Марина Сергеевна</v>
          </cell>
        </row>
        <row r="3181">
          <cell r="A3181" t="str">
            <v>Веселов Олег Ильич</v>
          </cell>
        </row>
        <row r="3182">
          <cell r="A3182" t="str">
            <v>Бетешвили Серго Хвичаевич</v>
          </cell>
        </row>
        <row r="3183">
          <cell r="A3183" t="str">
            <v>Каляев Владимир Александрович</v>
          </cell>
        </row>
        <row r="3184">
          <cell r="A3184" t="str">
            <v>Максаев Александр Михайлович</v>
          </cell>
        </row>
        <row r="3185">
          <cell r="A3185" t="str">
            <v>Калищук Валентин Вячеславович</v>
          </cell>
        </row>
        <row r="3186">
          <cell r="A3186" t="str">
            <v>Гречкин Максим Алексеевич</v>
          </cell>
        </row>
        <row r="3187">
          <cell r="A3187" t="str">
            <v>Земсков Михаил Антонович</v>
          </cell>
        </row>
        <row r="3188">
          <cell r="A3188" t="str">
            <v>Земсков Михаил Антонович</v>
          </cell>
        </row>
        <row r="3189">
          <cell r="A3189" t="str">
            <v>Шувалов Владимир Александрович</v>
          </cell>
        </row>
        <row r="3190">
          <cell r="A3190" t="str">
            <v>Мхитарян Эрик Важаевич</v>
          </cell>
        </row>
        <row r="3191">
          <cell r="A3191" t="str">
            <v>СИТИИНФО ООО</v>
          </cell>
        </row>
        <row r="3192">
          <cell r="A3192" t="str">
            <v>Джи Би Пи ООО</v>
          </cell>
        </row>
        <row r="3193">
          <cell r="A3193" t="str">
            <v>Жумабаев Азамат Абдырахманович</v>
          </cell>
        </row>
        <row r="3194">
          <cell r="A3194" t="str">
            <v>Сапранович Сергей Валерьевич</v>
          </cell>
        </row>
        <row r="3195">
          <cell r="A3195" t="str">
            <v>Ерпылева Ирина Петровна</v>
          </cell>
        </row>
        <row r="3196">
          <cell r="A3196" t="str">
            <v>ИП Пряхин Александр Павлович</v>
          </cell>
        </row>
        <row r="3197">
          <cell r="A3197" t="str">
            <v>Рязанов Юрий Анатольевич</v>
          </cell>
        </row>
        <row r="3198">
          <cell r="A3198" t="str">
            <v>Анкудинов Алексей Сергеевич</v>
          </cell>
        </row>
        <row r="3199">
          <cell r="A3199" t="str">
            <v>Анкудинов Алексей Сергеевич</v>
          </cell>
        </row>
        <row r="3200">
          <cell r="A3200" t="str">
            <v>ТД Яркие дети ООО</v>
          </cell>
        </row>
        <row r="3201">
          <cell r="A3201" t="str">
            <v>ИП Брежнева Марина Владимировна</v>
          </cell>
        </row>
        <row r="3202">
          <cell r="A3202" t="str">
            <v>ИП Ивина Наталья Эдуардовна</v>
          </cell>
        </row>
        <row r="3203">
          <cell r="A3203" t="str">
            <v>ИП Васильева Светлана Владимировна</v>
          </cell>
        </row>
        <row r="3204">
          <cell r="A3204" t="str">
            <v>ИП Цыганкова Татьяна Николаевна</v>
          </cell>
        </row>
        <row r="3205">
          <cell r="A3205" t="str">
            <v>Багдинов Андрей Владимирович</v>
          </cell>
        </row>
        <row r="3207">
          <cell r="A3207" t="str">
            <v>Руштов Файзулло Руштович</v>
          </cell>
        </row>
        <row r="3208">
          <cell r="A3208" t="str">
            <v>Боровик Сергей Владимирович</v>
          </cell>
        </row>
        <row r="3209">
          <cell r="A3209" t="str">
            <v>Жоробекова Асылгул Собурбековна</v>
          </cell>
        </row>
        <row r="3210">
          <cell r="A3210" t="str">
            <v>Лепаков Александр Сергеевич</v>
          </cell>
        </row>
        <row r="3211">
          <cell r="A3211" t="str">
            <v>Федорченко Сергей Александрович</v>
          </cell>
        </row>
        <row r="3212">
          <cell r="A3212" t="str">
            <v>Шихалев Вячеслав Николаевич</v>
          </cell>
        </row>
        <row r="3213">
          <cell r="A3213" t="str">
            <v>Полищук Кирилл Владимирович</v>
          </cell>
        </row>
        <row r="3214">
          <cell r="A3214" t="str">
            <v>Ходжоян Вартан Грачикович</v>
          </cell>
        </row>
        <row r="3215">
          <cell r="A3215" t="str">
            <v>Ходжоян Вартан Грачикович</v>
          </cell>
        </row>
        <row r="3216">
          <cell r="A3216" t="str">
            <v>Филипчук Кирилл Владимирович</v>
          </cell>
        </row>
        <row r="3217">
          <cell r="A3217" t="str">
            <v>Серых Татьяна Ивановна</v>
          </cell>
        </row>
        <row r="3218">
          <cell r="A3218" t="str">
            <v>ИП Шарафутдинова Минигуль Саматовна</v>
          </cell>
        </row>
        <row r="3219">
          <cell r="A3219" t="str">
            <v>Фомичев Александр Сергеевич</v>
          </cell>
        </row>
        <row r="3220">
          <cell r="A3220" t="str">
            <v>Ахназаров Вардан Левонович</v>
          </cell>
        </row>
        <row r="3221">
          <cell r="A3221" t="str">
            <v>Трофимов Олег Владимирович</v>
          </cell>
        </row>
        <row r="3222">
          <cell r="A3222" t="str">
            <v>Мякишев Евгений Викторович</v>
          </cell>
        </row>
        <row r="3223">
          <cell r="A3223" t="str">
            <v>Новиков Алексей Леонидович</v>
          </cell>
        </row>
        <row r="3224">
          <cell r="A3224" t="str">
            <v>Аббасов Эльшан Юсиф Оглы</v>
          </cell>
        </row>
        <row r="3225">
          <cell r="A3225" t="str">
            <v>Бозров Руслан Михайлович</v>
          </cell>
        </row>
        <row r="3226">
          <cell r="A3226" t="str">
            <v>Балаян Важно Амирович</v>
          </cell>
        </row>
        <row r="3227">
          <cell r="A3227" t="str">
            <v>СЕВЕРНЫЙ ФЛОТ ООО</v>
          </cell>
        </row>
        <row r="3228">
          <cell r="A3228" t="str">
            <v>Бозров Руслан Михайлович</v>
          </cell>
        </row>
        <row r="3229">
          <cell r="A3229" t="str">
            <v>Шатверян Гарик Гагикович</v>
          </cell>
        </row>
        <row r="3230">
          <cell r="A3230" t="str">
            <v>Пашков Андрей Александрович</v>
          </cell>
        </row>
        <row r="3231">
          <cell r="A3231" t="str">
            <v>Городенок Дмитрий Петрович</v>
          </cell>
        </row>
        <row r="3232">
          <cell r="A3232" t="str">
            <v>Печников Алексей Олегович</v>
          </cell>
        </row>
        <row r="3233">
          <cell r="A3233" t="str">
            <v>Тихонов Дмитрий Сергеевич</v>
          </cell>
        </row>
        <row r="3234">
          <cell r="A3234" t="str">
            <v>Тихонов Дмитрий Сергеевич</v>
          </cell>
        </row>
        <row r="3235">
          <cell r="A3235" t="str">
            <v>Шкарбанов Александр Сергеевич</v>
          </cell>
        </row>
        <row r="3236">
          <cell r="A3236" t="str">
            <v>Фоменко Николай Николаевич</v>
          </cell>
        </row>
        <row r="3237">
          <cell r="A3237" t="str">
            <v>Иванов Иван Сергеевич</v>
          </cell>
        </row>
        <row r="3238">
          <cell r="A3238" t="str">
            <v>Иванов Иван Сергеевич</v>
          </cell>
        </row>
        <row r="3239">
          <cell r="A3239" t="str">
            <v>Кольцов Андрей Александрович</v>
          </cell>
        </row>
        <row r="3240">
          <cell r="A3240" t="str">
            <v>Шакиров Сабир Муратович</v>
          </cell>
        </row>
        <row r="3241">
          <cell r="A3241" t="str">
            <v>Федорченко Сергей Александрович</v>
          </cell>
        </row>
        <row r="3242">
          <cell r="A3242" t="str">
            <v>Федорченко Сергей Александрович</v>
          </cell>
        </row>
        <row r="3243">
          <cell r="A3243" t="str">
            <v>Авагян Арман Аветикович</v>
          </cell>
        </row>
        <row r="3244">
          <cell r="A3244" t="str">
            <v>Храпов Андрей Анатольевич</v>
          </cell>
        </row>
        <row r="3245">
          <cell r="A3245" t="str">
            <v>Леонов Юрий Геннадиевич</v>
          </cell>
        </row>
        <row r="3246">
          <cell r="A3246" t="str">
            <v>Зенин Александр Петрович</v>
          </cell>
        </row>
        <row r="3247">
          <cell r="A3247" t="str">
            <v>Хачикян Давид Алексеевич</v>
          </cell>
        </row>
        <row r="3248">
          <cell r="A3248" t="str">
            <v>Илюшин Илья Игоревич</v>
          </cell>
        </row>
        <row r="3249">
          <cell r="A3249" t="str">
            <v>Адеулов Руслан Аснямович</v>
          </cell>
        </row>
        <row r="3250">
          <cell r="A3250" t="str">
            <v>Ермишин Сергей Михайлович</v>
          </cell>
        </row>
        <row r="3251">
          <cell r="A3251" t="str">
            <v>Фомичев Денис Александрович</v>
          </cell>
        </row>
        <row r="3252">
          <cell r="A3252" t="str">
            <v>Долгов Алексей Сергеевич</v>
          </cell>
        </row>
        <row r="3253">
          <cell r="A3253" t="str">
            <v>Камшилина Татьяна Ивановна</v>
          </cell>
        </row>
        <row r="3254">
          <cell r="A3254" t="str">
            <v>Камшилина Татьяна Ивановна</v>
          </cell>
        </row>
        <row r="3255">
          <cell r="A3255" t="str">
            <v>Шапаев Ибрагим Сайд-Магомедович</v>
          </cell>
        </row>
        <row r="3256">
          <cell r="A3256" t="str">
            <v>МЕТАЛЛПРОЕКТ ООО</v>
          </cell>
        </row>
        <row r="3257">
          <cell r="A3257" t="str">
            <v>Дядченко Елена Валентиновна</v>
          </cell>
        </row>
        <row r="3258">
          <cell r="A3258" t="str">
            <v>Семенов Николай Юрьевич</v>
          </cell>
        </row>
        <row r="3259">
          <cell r="A3259" t="str">
            <v>Краснянский Анатолий Сергеевич</v>
          </cell>
        </row>
        <row r="3260">
          <cell r="A3260" t="str">
            <v>Калантарян Артур Вазгени</v>
          </cell>
        </row>
        <row r="3261">
          <cell r="A3261" t="str">
            <v>Мнацаканян Самвел Левонович</v>
          </cell>
        </row>
        <row r="3262">
          <cell r="A3262" t="str">
            <v>ИП Кетрарь Сергей Михайлович</v>
          </cell>
        </row>
        <row r="3263">
          <cell r="A3263" t="str">
            <v>Шакиров Сабир Муратович</v>
          </cell>
        </row>
        <row r="3264">
          <cell r="A3264" t="str">
            <v>Каверин Владимир Геннадьевич</v>
          </cell>
        </row>
        <row r="3265">
          <cell r="A3265" t="str">
            <v>Ложечник Сергей Владимирович</v>
          </cell>
        </row>
        <row r="3266">
          <cell r="A3266" t="str">
            <v>Строй-Универсал ООО</v>
          </cell>
        </row>
        <row r="3267">
          <cell r="A3267" t="str">
            <v>Юзбашян Ходедан Зограбович</v>
          </cell>
        </row>
        <row r="3268">
          <cell r="A3268" t="str">
            <v>Игнатенко Александр Анатольевич</v>
          </cell>
        </row>
        <row r="3269">
          <cell r="A3269" t="str">
            <v>Федоренко Андрей Вячеславович</v>
          </cell>
        </row>
        <row r="3270">
          <cell r="A3270" t="str">
            <v>Прокофьев Никита Вячеславович</v>
          </cell>
        </row>
        <row r="3271">
          <cell r="A3271" t="str">
            <v>Мекшило Сергей Михайлович</v>
          </cell>
        </row>
        <row r="3272">
          <cell r="A3272" t="str">
            <v>Мекшило Сергей Михайлович</v>
          </cell>
        </row>
        <row r="3273">
          <cell r="A3273" t="str">
            <v>ИП Харин Евгений Александрович</v>
          </cell>
        </row>
        <row r="3274">
          <cell r="A3274" t="str">
            <v>Ворсканян Элина Эдуардовна</v>
          </cell>
        </row>
        <row r="3275">
          <cell r="A3275" t="str">
            <v>Ворсканян Элина Эдуардовна</v>
          </cell>
        </row>
        <row r="3276">
          <cell r="A3276" t="str">
            <v>Бодров Дмитрий Владимирович</v>
          </cell>
        </row>
        <row r="3277">
          <cell r="A3277" t="str">
            <v>Горешнев Илья Владимирович</v>
          </cell>
        </row>
        <row r="3278">
          <cell r="A3278" t="str">
            <v>Беляев Алексей Васильевич</v>
          </cell>
        </row>
        <row r="3279">
          <cell r="A3279" t="str">
            <v>Газимагомаев Каир Русланович</v>
          </cell>
        </row>
        <row r="3280">
          <cell r="A3280" t="str">
            <v>Шакиров Сабир Муратович</v>
          </cell>
        </row>
        <row r="3281">
          <cell r="A3281" t="str">
            <v>Миронова Ольга Владимировна 2</v>
          </cell>
        </row>
        <row r="3282">
          <cell r="A3282" t="str">
            <v>Андреев Максим Вячеславович</v>
          </cell>
        </row>
        <row r="3283">
          <cell r="A3283" t="str">
            <v>Самохин Алексей Владимирович</v>
          </cell>
        </row>
        <row r="3284">
          <cell r="A3284" t="str">
            <v>Горешнев Илья Владимирович</v>
          </cell>
        </row>
        <row r="3285">
          <cell r="A3285" t="str">
            <v>Чекомасов Владимир Александрович</v>
          </cell>
        </row>
        <row r="3286">
          <cell r="A3286" t="str">
            <v>ВВТ-строй ООО</v>
          </cell>
        </row>
        <row r="3287">
          <cell r="A3287" t="str">
            <v>Неськин Сергей Васильевич</v>
          </cell>
        </row>
        <row r="3288">
          <cell r="A3288" t="str">
            <v>Хабибуллин Дмитрий Радикович</v>
          </cell>
        </row>
        <row r="3289">
          <cell r="A3289" t="str">
            <v>Охоцкий Владимир Андреевич</v>
          </cell>
        </row>
        <row r="3290">
          <cell r="A3290" t="str">
            <v>Смага Сергей Михайлович</v>
          </cell>
        </row>
        <row r="3291">
          <cell r="A3291" t="str">
            <v>Смага Сергей Михайлович</v>
          </cell>
        </row>
        <row r="3292">
          <cell r="A3292" t="str">
            <v>Исаева Ольга Андреевна</v>
          </cell>
        </row>
        <row r="3293">
          <cell r="A3293" t="str">
            <v>Конов Мурат Магометович</v>
          </cell>
        </row>
        <row r="3294">
          <cell r="A3294" t="str">
            <v>Куценко Елена Викторовна</v>
          </cell>
        </row>
        <row r="3295">
          <cell r="A3295" t="str">
            <v>Беляев Владимир Вячеславович</v>
          </cell>
        </row>
        <row r="3296">
          <cell r="A3296" t="str">
            <v>Жиганова Светлана Степановна</v>
          </cell>
        </row>
        <row r="3297">
          <cell r="A3297" t="str">
            <v>Макарян Григорий Оганесович</v>
          </cell>
        </row>
        <row r="3298">
          <cell r="A3298" t="str">
            <v>Лачугин Роман Владимирович</v>
          </cell>
        </row>
        <row r="3299">
          <cell r="A3299" t="str">
            <v>Альтерра ООО</v>
          </cell>
        </row>
        <row r="3300">
          <cell r="A3300" t="str">
            <v>Джоробекова Аида Раимжановна</v>
          </cell>
        </row>
        <row r="3301">
          <cell r="A3301" t="str">
            <v>Ершова Кристина Михайловна</v>
          </cell>
        </row>
        <row r="3302">
          <cell r="A3302" t="str">
            <v>ВЗАИМНО ООО</v>
          </cell>
        </row>
        <row r="3303">
          <cell r="A3303" t="str">
            <v>Быстров Владимир Юрьевич</v>
          </cell>
        </row>
        <row r="3304">
          <cell r="A3304" t="str">
            <v>Лепаков Александр Сергеевич</v>
          </cell>
        </row>
        <row r="3305">
          <cell r="A3305" t="str">
            <v>Иванов Иван Сергеевич</v>
          </cell>
        </row>
        <row r="3306">
          <cell r="A3306" t="str">
            <v>Иванов Иван Сергеевич</v>
          </cell>
        </row>
        <row r="3307">
          <cell r="A3307" t="str">
            <v>Назаров Игорь Владильленович</v>
          </cell>
        </row>
        <row r="3308">
          <cell r="A3308" t="str">
            <v>Назаров Игорь Владильленович</v>
          </cell>
        </row>
        <row r="3309">
          <cell r="A3309" t="str">
            <v>Дубовицкий Глеб Романович</v>
          </cell>
        </row>
        <row r="3310">
          <cell r="A3310" t="str">
            <v>ВЗАИМНО ООО</v>
          </cell>
        </row>
        <row r="3311">
          <cell r="A3311" t="str">
            <v>Самохин Алексей Владимирович</v>
          </cell>
        </row>
        <row r="3312">
          <cell r="A3312" t="str">
            <v>Николаев Максим Викторович</v>
          </cell>
        </row>
        <row r="3313">
          <cell r="A3313" t="str">
            <v>Латфуллина Альбина Зиннатовна</v>
          </cell>
        </row>
        <row r="3314">
          <cell r="A3314" t="str">
            <v>Кибис Юрий Михайлович</v>
          </cell>
        </row>
        <row r="3315">
          <cell r="A3315" t="str">
            <v>Жиганов Николай Николаевич</v>
          </cell>
        </row>
        <row r="3316">
          <cell r="A3316" t="str">
            <v>Чабаненко Сергей Александрович</v>
          </cell>
        </row>
        <row r="3317">
          <cell r="A3317" t="str">
            <v>Лазарева Ирина Михайловна</v>
          </cell>
        </row>
        <row r="3318">
          <cell r="A3318" t="str">
            <v>Ефимчук Олег Николаевич</v>
          </cell>
        </row>
        <row r="3319">
          <cell r="A3319" t="str">
            <v>Саркисьян Геннадий Витальевич</v>
          </cell>
        </row>
        <row r="3320">
          <cell r="A3320" t="str">
            <v>Соболевская Анна Дмитриевна</v>
          </cell>
        </row>
        <row r="3321">
          <cell r="A3321" t="str">
            <v>Камшилина Татьяна Ивановна</v>
          </cell>
        </row>
        <row r="3322">
          <cell r="A3322" t="str">
            <v>Аминов Дмитрий Ринатович</v>
          </cell>
        </row>
        <row r="3323">
          <cell r="A3323" t="str">
            <v>Федоров Антон Владимирович</v>
          </cell>
        </row>
        <row r="3324">
          <cell r="A3324" t="str">
            <v>Шуплик Игорь Олегович</v>
          </cell>
        </row>
        <row r="3325">
          <cell r="A3325" t="str">
            <v>Лунякин Игорь Игоревич</v>
          </cell>
        </row>
        <row r="3326">
          <cell r="A3326" t="str">
            <v>Паракецев Виктор Вадимович</v>
          </cell>
        </row>
        <row r="3327">
          <cell r="A3327" t="str">
            <v>Безлюдко Михаил Витальевич</v>
          </cell>
        </row>
        <row r="3328">
          <cell r="A3328" t="str">
            <v>Джоробекова Аида Раимжановна</v>
          </cell>
        </row>
        <row r="3329">
          <cell r="A3329" t="str">
            <v>Тамарян Марат Мисакович</v>
          </cell>
        </row>
        <row r="3330">
          <cell r="A3330" t="str">
            <v>Скворцова Ольга Сергеевна</v>
          </cell>
        </row>
        <row r="3331">
          <cell r="A3331" t="str">
            <v>Скворцова Ольга Сергеевна</v>
          </cell>
        </row>
        <row r="3332">
          <cell r="A3332" t="str">
            <v>Шипиев Окон Михайлович</v>
          </cell>
        </row>
        <row r="3333">
          <cell r="A3333" t="str">
            <v>Саргсян Ашхен Валтеровна</v>
          </cell>
        </row>
        <row r="3334">
          <cell r="A3334" t="str">
            <v>Гармаш Сергей Алексеевич</v>
          </cell>
        </row>
        <row r="3335">
          <cell r="A3335" t="str">
            <v>Гармаш Сергей Алексеевич</v>
          </cell>
        </row>
        <row r="3336">
          <cell r="A3336" t="str">
            <v>Лукашина Валентина Ивановна</v>
          </cell>
        </row>
        <row r="3337">
          <cell r="A3337" t="str">
            <v>Лукашина Валентина Ивановна</v>
          </cell>
        </row>
        <row r="3338">
          <cell r="A3338" t="str">
            <v>Ахназаров Вардан Левонович</v>
          </cell>
        </row>
        <row r="3339">
          <cell r="A3339" t="str">
            <v>Гаджиев Гаджи Русланович</v>
          </cell>
        </row>
        <row r="3340">
          <cell r="A3340" t="str">
            <v>Тихонов Павел Викторович</v>
          </cell>
        </row>
        <row r="3341">
          <cell r="A3341" t="str">
            <v>Кабанов Виктор Михайлович</v>
          </cell>
        </row>
        <row r="3342">
          <cell r="A3342" t="str">
            <v>Кабанов Виктор Михайлович</v>
          </cell>
        </row>
        <row r="3343">
          <cell r="A3343" t="str">
            <v>КАСКАД ТУРИЗМ ООО</v>
          </cell>
        </row>
        <row r="3344">
          <cell r="A3344" t="str">
            <v>Астапов Станислав Александрович</v>
          </cell>
        </row>
        <row r="3345">
          <cell r="A3345" t="str">
            <v>Бонч-Бруевич Татьяна Антоновна</v>
          </cell>
        </row>
        <row r="3346">
          <cell r="A3346" t="str">
            <v>Бонч-Бруевич Татьяна Антоновна</v>
          </cell>
        </row>
        <row r="3347">
          <cell r="A3347" t="str">
            <v>Даниленко Вячеслав Александрович</v>
          </cell>
        </row>
        <row r="3348">
          <cell r="A3348" t="str">
            <v>Яшин Павел Анатольевич</v>
          </cell>
        </row>
        <row r="3349">
          <cell r="A3349" t="str">
            <v>Музраев Михаил Михайлович</v>
          </cell>
        </row>
        <row r="3350">
          <cell r="A3350" t="str">
            <v>Андреев Дмитрий Сергеевич</v>
          </cell>
        </row>
        <row r="3351">
          <cell r="A3351" t="str">
            <v>Кабанов Илья Сергеевич</v>
          </cell>
        </row>
        <row r="3352">
          <cell r="A3352" t="str">
            <v>Ильченко Анастасия Сергеевна</v>
          </cell>
        </row>
        <row r="3353">
          <cell r="A3353" t="str">
            <v>Сажин Андрей Витальевич</v>
          </cell>
        </row>
        <row r="3354">
          <cell r="A3354" t="str">
            <v>Скворцова Ольга Сергеевна</v>
          </cell>
        </row>
        <row r="3355">
          <cell r="A3355" t="str">
            <v>Иваницкий Станислав Юрьевич</v>
          </cell>
        </row>
        <row r="3356">
          <cell r="A3356" t="str">
            <v>Спичак Вадим Михайлович</v>
          </cell>
        </row>
        <row r="3357">
          <cell r="A3357" t="str">
            <v>Долгов Николай Петрович</v>
          </cell>
        </row>
        <row r="3358">
          <cell r="A3358" t="str">
            <v>Шевченко Андрей Васильевич</v>
          </cell>
        </row>
        <row r="3359">
          <cell r="A3359" t="str">
            <v>Оморов Алмаз Ильичбекович</v>
          </cell>
        </row>
        <row r="3360">
          <cell r="A3360" t="str">
            <v>Оморов Алмаз Ильичбекович</v>
          </cell>
        </row>
        <row r="3361">
          <cell r="A3361" t="str">
            <v>Петросян Грант Георгиевич</v>
          </cell>
        </row>
        <row r="3362">
          <cell r="A3362" t="str">
            <v>Новицкий Антон Павлович</v>
          </cell>
        </row>
        <row r="3363">
          <cell r="A3363" t="str">
            <v>Гусейнова Сабина Видадиевна</v>
          </cell>
        </row>
        <row r="3364">
          <cell r="A3364" t="str">
            <v>Гусейнова Сабина Видадиевна</v>
          </cell>
        </row>
        <row r="3365">
          <cell r="A3365" t="str">
            <v>Федоров Антон Владимирович</v>
          </cell>
        </row>
        <row r="3366">
          <cell r="A3366" t="str">
            <v>Надеждина Анна Николаевна</v>
          </cell>
        </row>
        <row r="3367">
          <cell r="A3367" t="str">
            <v>Закарьян Цовинар Андрониковна</v>
          </cell>
        </row>
        <row r="3368">
          <cell r="A3368" t="str">
            <v>Моисеев Сергей Алексеевич</v>
          </cell>
        </row>
        <row r="3369">
          <cell r="A3369" t="str">
            <v>Алискеров Нурудин Муфрудинович</v>
          </cell>
        </row>
        <row r="3370">
          <cell r="A3370" t="str">
            <v>Терехов Андрей Викторович</v>
          </cell>
        </row>
        <row r="3371">
          <cell r="A3371" t="str">
            <v>Алискеров Нурудин Муфрудинович</v>
          </cell>
        </row>
        <row r="3372">
          <cell r="A3372" t="str">
            <v>ТРАНСЛОГ ООО</v>
          </cell>
        </row>
        <row r="3373">
          <cell r="A3373" t="str">
            <v>Жалилов Руслан Мамасаитович</v>
          </cell>
        </row>
        <row r="3374">
          <cell r="A3374" t="str">
            <v>Артюшов Алексей Александрович</v>
          </cell>
        </row>
        <row r="3375">
          <cell r="A3375" t="str">
            <v>Лохматов Дмитрий Владимирович</v>
          </cell>
        </row>
        <row r="3376">
          <cell r="A3376" t="str">
            <v>Жалилов Руслан Мамасаитович</v>
          </cell>
        </row>
        <row r="3377">
          <cell r="A3377" t="str">
            <v>Лазарев Борис Николаевич</v>
          </cell>
        </row>
        <row r="3378">
          <cell r="A3378" t="str">
            <v>Корчененков Егор Андреевич</v>
          </cell>
        </row>
        <row r="3379">
          <cell r="A3379" t="str">
            <v>Сойников Денис Валерьевич</v>
          </cell>
        </row>
        <row r="3380">
          <cell r="A3380" t="str">
            <v>Шишкин Александр Павлович</v>
          </cell>
        </row>
        <row r="3381">
          <cell r="A3381" t="str">
            <v>Лазарев Александр Игоревич</v>
          </cell>
        </row>
        <row r="3382">
          <cell r="A3382" t="str">
            <v>Хасия Григоли Анзориевич</v>
          </cell>
        </row>
        <row r="3383">
          <cell r="A3383" t="str">
            <v>Бетешвили Серго Хвичаевич</v>
          </cell>
        </row>
        <row r="3384">
          <cell r="A3384" t="str">
            <v>Кузнецов Дмитрий Сергееви</v>
          </cell>
        </row>
        <row r="3385">
          <cell r="A3385" t="str">
            <v>Баруткин Артур Сергеевич</v>
          </cell>
        </row>
        <row r="3386">
          <cell r="A3386" t="str">
            <v>Кудрявцев Сергей Николаевич</v>
          </cell>
        </row>
        <row r="3387">
          <cell r="A3387" t="str">
            <v>Акопян Артур Грантикович</v>
          </cell>
        </row>
        <row r="3388">
          <cell r="A3388" t="str">
            <v>Акопян Артур Грантикович</v>
          </cell>
        </row>
        <row r="3389">
          <cell r="A3389" t="str">
            <v>Дученко Виталий Валерьевич</v>
          </cell>
        </row>
        <row r="3390">
          <cell r="A3390" t="str">
            <v>ИП Суслова Ирина Валентиновна</v>
          </cell>
        </row>
        <row r="3391">
          <cell r="A3391" t="str">
            <v>Протасов Денис Николаевич</v>
          </cell>
        </row>
        <row r="3392">
          <cell r="A3392" t="str">
            <v>Гафаров Игорь Витальевич</v>
          </cell>
        </row>
        <row r="3393">
          <cell r="A3393" t="str">
            <v>Васильев Лев Викторович</v>
          </cell>
        </row>
        <row r="3394">
          <cell r="A3394" t="str">
            <v>Рамазанов Рамазан Шапиевич</v>
          </cell>
        </row>
        <row r="3395">
          <cell r="A3395" t="str">
            <v>Рамазанов Рамазан Шапиевич</v>
          </cell>
        </row>
        <row r="3396">
          <cell r="A3396" t="str">
            <v>Баруткин Артур Сергеевич</v>
          </cell>
        </row>
        <row r="3397">
          <cell r="A3397" t="str">
            <v>Бабаянц Артур Владимирович</v>
          </cell>
        </row>
        <row r="3398">
          <cell r="A3398" t="str">
            <v>Бабаянц Артур Владимирович</v>
          </cell>
        </row>
        <row r="3399">
          <cell r="A3399" t="str">
            <v>Калашникова Екатерина Васильевна</v>
          </cell>
        </row>
        <row r="3400">
          <cell r="A3400" t="str">
            <v>ИП Лойко Григорий Львович</v>
          </cell>
        </row>
        <row r="3401">
          <cell r="A3401" t="str">
            <v>Крошилин Антон Владимирович</v>
          </cell>
        </row>
        <row r="3402">
          <cell r="A3402" t="str">
            <v>Крошилин Антон Владимирович</v>
          </cell>
        </row>
        <row r="3403">
          <cell r="A3403" t="str">
            <v>Ажиканов Кубанычбек Ырысбаевич</v>
          </cell>
        </row>
        <row r="3404">
          <cell r="A3404" t="str">
            <v>Мирошин Сергей Николаевич</v>
          </cell>
        </row>
        <row r="3405">
          <cell r="A3405" t="str">
            <v>Степанов Никита Владимирович</v>
          </cell>
        </row>
        <row r="3406">
          <cell r="A3406" t="str">
            <v>Степанов Никита Владимирович</v>
          </cell>
        </row>
        <row r="3407">
          <cell r="A3407" t="str">
            <v>ИП Мехтиев Артём Викторович</v>
          </cell>
        </row>
        <row r="3408">
          <cell r="A3408" t="str">
            <v>Титов Александр Юрьевич</v>
          </cell>
        </row>
        <row r="3409">
          <cell r="A3409" t="str">
            <v>Титов Александр Юрьевич</v>
          </cell>
        </row>
        <row r="3410">
          <cell r="A3410" t="str">
            <v>Иванов Максим Александрович</v>
          </cell>
        </row>
        <row r="3411">
          <cell r="A3411" t="str">
            <v>Буянкин Сергей Сергеевич</v>
          </cell>
        </row>
        <row r="3412">
          <cell r="A3412" t="str">
            <v>Ларин Александр Валерьевич</v>
          </cell>
        </row>
        <row r="3413">
          <cell r="A3413" t="str">
            <v>Буянкин Сергей Сергеевич</v>
          </cell>
        </row>
        <row r="3414">
          <cell r="A3414" t="str">
            <v>Коврик Леонид Николаевич</v>
          </cell>
        </row>
        <row r="3415">
          <cell r="A3415" t="str">
            <v>Строй-Универсал ООО</v>
          </cell>
        </row>
        <row r="3416">
          <cell r="A3416" t="str">
            <v>Исаев Андрей Юрьевич</v>
          </cell>
        </row>
        <row r="3417">
          <cell r="A3417" t="str">
            <v>Исаев Андрей Юрьевич</v>
          </cell>
        </row>
        <row r="3418">
          <cell r="A3418" t="str">
            <v>Куфтерина Татьяна Ивановна</v>
          </cell>
        </row>
        <row r="3419">
          <cell r="A3419" t="str">
            <v>Лазарев Борис Николаевич</v>
          </cell>
        </row>
        <row r="3420">
          <cell r="A3420" t="str">
            <v>РЕГИОНАЛЬНЫЙ КОНСУЛЬТАЦИОННЫЙ ЦЕНТР ООО</v>
          </cell>
        </row>
        <row r="3421">
          <cell r="A3421" t="str">
            <v>Федоров Юрий Николаевич</v>
          </cell>
        </row>
        <row r="3422">
          <cell r="A3422" t="str">
            <v>Зазнобин Дмитрий Владимирович</v>
          </cell>
        </row>
        <row r="3423">
          <cell r="A3423" t="str">
            <v>Коршунов Андрей Анатольевич</v>
          </cell>
        </row>
        <row r="3424">
          <cell r="A3424" t="str">
            <v>Зазнобин Дмитрий Владимирович</v>
          </cell>
        </row>
        <row r="3425">
          <cell r="A3425" t="str">
            <v>Боровой Дмитрий Федорович</v>
          </cell>
        </row>
        <row r="3426">
          <cell r="A3426" t="str">
            <v>Боровой Дмитрий Федорович</v>
          </cell>
        </row>
        <row r="3427">
          <cell r="A3427" t="str">
            <v>Цехомский Владимир Викторович</v>
          </cell>
        </row>
        <row r="3428">
          <cell r="A3428" t="str">
            <v>Гущин Владимир Алексеевич</v>
          </cell>
        </row>
        <row r="3429">
          <cell r="A3429" t="str">
            <v>Степин Геннадий Николаевич</v>
          </cell>
        </row>
        <row r="3430">
          <cell r="A3430" t="str">
            <v>Усик Александр Андреевич</v>
          </cell>
        </row>
        <row r="3431">
          <cell r="A3431" t="str">
            <v>Кузьмин Игорь Васильевич</v>
          </cell>
        </row>
        <row r="3432">
          <cell r="A3432" t="str">
            <v>Пастернак Юлия Алексеевна</v>
          </cell>
        </row>
        <row r="3433">
          <cell r="A3433" t="str">
            <v>ИП Мехтиев Артём Викторович</v>
          </cell>
        </row>
        <row r="3434">
          <cell r="A3434" t="str">
            <v>Салтыкова Татьяна Александровна</v>
          </cell>
        </row>
        <row r="3435">
          <cell r="A3435" t="str">
            <v>Любофеев Петр Александрович</v>
          </cell>
        </row>
        <row r="3436">
          <cell r="A3436" t="str">
            <v>Юдин Павел Владимирович</v>
          </cell>
        </row>
        <row r="3437">
          <cell r="A3437" t="str">
            <v>Касьянов Павел Владимирович</v>
          </cell>
        </row>
        <row r="3438">
          <cell r="A3438" t="str">
            <v>Самохин Алексей Владимирович</v>
          </cell>
        </row>
        <row r="3439">
          <cell r="A3439" t="str">
            <v>Казакова Мария Эдуардовна</v>
          </cell>
        </row>
        <row r="3440">
          <cell r="A3440" t="str">
            <v>Рогозин Андрей Иванович</v>
          </cell>
        </row>
        <row r="3441">
          <cell r="A3441" t="str">
            <v>Абдулин Алексей Владимирович</v>
          </cell>
        </row>
        <row r="3442">
          <cell r="A3442" t="str">
            <v>Уваров Михаил Игоревич</v>
          </cell>
        </row>
        <row r="3443">
          <cell r="A3443" t="str">
            <v>Белозеров Дмитрий Владимирович</v>
          </cell>
        </row>
        <row r="3444">
          <cell r="A3444" t="str">
            <v>Кирсанова Марина Александровна</v>
          </cell>
        </row>
        <row r="3445">
          <cell r="A3445" t="str">
            <v>Шнитко Александр Михайлович</v>
          </cell>
        </row>
        <row r="3446">
          <cell r="A3446" t="str">
            <v>Шнитко Александр Михайлович</v>
          </cell>
        </row>
        <row r="3447">
          <cell r="A3447" t="str">
            <v>Махароблидзе Теимураз Теймуразович</v>
          </cell>
        </row>
        <row r="3448">
          <cell r="A3448" t="str">
            <v>Куликов Алексей Анатольевич</v>
          </cell>
        </row>
        <row r="3449">
          <cell r="A3449" t="str">
            <v>Чирский Олег Иванович</v>
          </cell>
        </row>
        <row r="3450">
          <cell r="A3450" t="str">
            <v>ВВТ-строй ООО</v>
          </cell>
        </row>
        <row r="3451">
          <cell r="A3451" t="str">
            <v>Ильин Игорь Александрович</v>
          </cell>
        </row>
        <row r="3452">
          <cell r="A3452" t="str">
            <v>Пчелинцев Игнат Эдуардович</v>
          </cell>
        </row>
        <row r="3453">
          <cell r="A3453" t="str">
            <v>Акулов Андрей Александрович</v>
          </cell>
        </row>
        <row r="3454">
          <cell r="A3454" t="str">
            <v>Авагян Арман Аветикович</v>
          </cell>
        </row>
        <row r="3455">
          <cell r="A3455" t="str">
            <v>Козловская Ксения Дмитриевна</v>
          </cell>
        </row>
        <row r="3456">
          <cell r="A3456" t="str">
            <v>Якунин Валерий Викторович</v>
          </cell>
        </row>
        <row r="3457">
          <cell r="A3457" t="str">
            <v>Башутский Дмитрий Владимирович</v>
          </cell>
        </row>
        <row r="3458">
          <cell r="A3458" t="str">
            <v>Клюшниченко Станислав Сергеевич</v>
          </cell>
        </row>
        <row r="3459">
          <cell r="A3459" t="str">
            <v>Бешимов Бахрам Вячеславович</v>
          </cell>
        </row>
        <row r="3460">
          <cell r="A3460" t="str">
            <v>Симонова Валентина Викторовна</v>
          </cell>
        </row>
        <row r="3461">
          <cell r="A3461" t="str">
            <v>Аббазов Рафаэль Рашидович</v>
          </cell>
        </row>
        <row r="3462">
          <cell r="A3462" t="str">
            <v>Измайлова Мария Рустемовна</v>
          </cell>
        </row>
        <row r="3463">
          <cell r="A3463" t="str">
            <v>Быков Александр Васильевич</v>
          </cell>
        </row>
        <row r="3464">
          <cell r="A3464" t="str">
            <v>Свердлова Анна Юрьевна</v>
          </cell>
        </row>
        <row r="3465">
          <cell r="A3465" t="str">
            <v>Свердлова Анна Юрьевна</v>
          </cell>
        </row>
        <row r="3466">
          <cell r="A3466" t="str">
            <v>Оморов Алмаз Ильичбекович</v>
          </cell>
        </row>
        <row r="3467">
          <cell r="A3467" t="str">
            <v>Белов Александр Сергеевич</v>
          </cell>
        </row>
        <row r="3468">
          <cell r="A3468" t="str">
            <v>Белов Александр Сергеевич</v>
          </cell>
        </row>
        <row r="3469">
          <cell r="A3469" t="str">
            <v>Енина Анна Борисовна</v>
          </cell>
        </row>
        <row r="3470">
          <cell r="A3470" t="str">
            <v>Герман Дмитрий Сергеевич</v>
          </cell>
        </row>
        <row r="3471">
          <cell r="A3471" t="str">
            <v>Герман Дмитрий Сергеевич</v>
          </cell>
        </row>
        <row r="3472">
          <cell r="A3472" t="str">
            <v>Глонин Денис Анатольевич</v>
          </cell>
        </row>
        <row r="3473">
          <cell r="A3473" t="str">
            <v>Малышев Михаил Константинович</v>
          </cell>
        </row>
        <row r="3474">
          <cell r="A3474" t="str">
            <v>Еримеев Константин Викторович</v>
          </cell>
        </row>
        <row r="3475">
          <cell r="A3475" t="str">
            <v>Цветкова Светлана Юрьевна</v>
          </cell>
        </row>
        <row r="3476">
          <cell r="A3476" t="str">
            <v>Цветкова Светлана Юрьевна</v>
          </cell>
        </row>
        <row r="3477">
          <cell r="A3477" t="str">
            <v>Герман Дмитрий Сергеевич</v>
          </cell>
        </row>
        <row r="3478">
          <cell r="A3478" t="str">
            <v>Бакума Татьяна Викторовна</v>
          </cell>
        </row>
        <row r="3479">
          <cell r="A3479" t="str">
            <v>Гришин Антон Сергеевич</v>
          </cell>
        </row>
        <row r="3480">
          <cell r="A3480" t="str">
            <v>Арутюнян Арарат Размикович</v>
          </cell>
        </row>
        <row r="3481">
          <cell r="A3481" t="str">
            <v>Грызлова Светлана Викторовна</v>
          </cell>
        </row>
        <row r="3482">
          <cell r="A3482" t="str">
            <v>Ульянова Мария Владимировна</v>
          </cell>
        </row>
        <row r="3483">
          <cell r="A3483" t="str">
            <v>Харькин Валерий Николаевич</v>
          </cell>
        </row>
        <row r="3484">
          <cell r="A3484" t="str">
            <v>Харькин Валерий Николаевич</v>
          </cell>
        </row>
        <row r="3485">
          <cell r="A3485" t="str">
            <v>Ульянова Мария Владимировна</v>
          </cell>
        </row>
        <row r="3486">
          <cell r="A3486" t="str">
            <v>Тихонов Дмитрий Сергеевич</v>
          </cell>
        </row>
        <row r="3487">
          <cell r="A3487" t="str">
            <v>Шалагинов Павел Андреевич</v>
          </cell>
        </row>
        <row r="3488">
          <cell r="A3488" t="str">
            <v>Большакова Наталья Анатольевна</v>
          </cell>
        </row>
        <row r="3489">
          <cell r="A3489" t="str">
            <v>Корнач Антон Владимирович</v>
          </cell>
        </row>
        <row r="3490">
          <cell r="A3490" t="str">
            <v>Головатенко Владимир Владимирович</v>
          </cell>
        </row>
        <row r="3491">
          <cell r="A3491" t="str">
            <v>Науменко Вячеслав Николаевич</v>
          </cell>
        </row>
        <row r="3492">
          <cell r="A3492" t="str">
            <v>Вартик Елена Анатольевна</v>
          </cell>
        </row>
        <row r="3493">
          <cell r="A3493" t="str">
            <v>Смага Сергей Михайлович</v>
          </cell>
        </row>
        <row r="3494">
          <cell r="A3494" t="str">
            <v>Хиле Анна Александровна</v>
          </cell>
        </row>
        <row r="3495">
          <cell r="A3495" t="str">
            <v>Головенский Руслан Иванович</v>
          </cell>
        </row>
        <row r="3496">
          <cell r="A3496" t="str">
            <v>Тарасов Владимир Владимирович</v>
          </cell>
        </row>
        <row r="3497">
          <cell r="A3497" t="str">
            <v>Матюшенко Григорий Михайлович</v>
          </cell>
        </row>
        <row r="3498">
          <cell r="A3498" t="str">
            <v>Стекачева Евгения Анатольевна</v>
          </cell>
        </row>
        <row r="3499">
          <cell r="A3499" t="str">
            <v>Мацукевич Юлия Петровна</v>
          </cell>
        </row>
        <row r="3500">
          <cell r="A3500" t="str">
            <v>Рябцев Александр Васильевич</v>
          </cell>
        </row>
        <row r="3501">
          <cell r="A3501" t="str">
            <v>Николаев Максим Викторович</v>
          </cell>
        </row>
        <row r="3502">
          <cell r="A3502" t="str">
            <v>Павлов Константин Вильямович</v>
          </cell>
        </row>
        <row r="3503">
          <cell r="A3503" t="str">
            <v>Сидорова Татьяна Сергеевна</v>
          </cell>
        </row>
        <row r="3504">
          <cell r="A3504" t="str">
            <v>Насырходжаева Хилола Сабитхановна</v>
          </cell>
        </row>
        <row r="3505">
          <cell r="A3505" t="str">
            <v>Полякова Татьяна Константиновна</v>
          </cell>
        </row>
        <row r="3506">
          <cell r="A3506" t="str">
            <v>Иванов Евгений Алексеевич</v>
          </cell>
        </row>
        <row r="3507">
          <cell r="A3507" t="str">
            <v>Торжков Алексей Юрьевич</v>
          </cell>
        </row>
        <row r="3508">
          <cell r="A3508" t="str">
            <v>Асрян Андроник Валерьевич</v>
          </cell>
        </row>
        <row r="3509">
          <cell r="A3509" t="str">
            <v>Добролюбов Дмитрий Борисович</v>
          </cell>
        </row>
        <row r="3510">
          <cell r="A3510" t="str">
            <v>Холкина Анастасия Александровна</v>
          </cell>
        </row>
        <row r="3511">
          <cell r="A3511" t="str">
            <v>Аренин Антон Алексеевич</v>
          </cell>
        </row>
        <row r="3512">
          <cell r="A3512" t="str">
            <v>Водянов Иван Николаевич</v>
          </cell>
        </row>
        <row r="3513">
          <cell r="A3513" t="str">
            <v>Цветкова Светлана Юрьевна</v>
          </cell>
        </row>
        <row r="3514">
          <cell r="A3514" t="str">
            <v>Гречко Георгий Сергеевич</v>
          </cell>
        </row>
        <row r="3515">
          <cell r="A3515" t="str">
            <v>Фризен Андрей Викторович</v>
          </cell>
        </row>
        <row r="3516">
          <cell r="A3516" t="str">
            <v>Фризен Андрей Викторович</v>
          </cell>
        </row>
        <row r="3517">
          <cell r="A3517" t="str">
            <v>Меребашвили Давид Георгиевич</v>
          </cell>
        </row>
        <row r="3518">
          <cell r="A3518" t="str">
            <v>Никаноров Владимир Вячеславович</v>
          </cell>
        </row>
        <row r="3519">
          <cell r="A3519" t="str">
            <v>Тарунтаев Михаил Викторович</v>
          </cell>
        </row>
        <row r="3520">
          <cell r="A3520" t="str">
            <v>Адамия Давид Гиоргиевич</v>
          </cell>
        </row>
        <row r="3521">
          <cell r="A3521" t="str">
            <v>Голубев Михаил Николаевич</v>
          </cell>
        </row>
        <row r="3522">
          <cell r="A3522" t="str">
            <v>Голубев Михаил Николаевич</v>
          </cell>
        </row>
        <row r="3523">
          <cell r="A3523" t="str">
            <v>Манасян Ашот Сергеевич</v>
          </cell>
        </row>
        <row r="3524">
          <cell r="A3524" t="str">
            <v>КОРИ ООО</v>
          </cell>
        </row>
        <row r="3525">
          <cell r="A3525" t="str">
            <v>Герман Дмитрий Сергеевич</v>
          </cell>
        </row>
        <row r="3526">
          <cell r="A3526" t="str">
            <v>Тарасов Константин Валерьевич</v>
          </cell>
        </row>
        <row r="3527">
          <cell r="A3527" t="str">
            <v>Карташов Алексей Владимирович</v>
          </cell>
        </row>
        <row r="3528">
          <cell r="A3528" t="str">
            <v>Мнакян Артур Хачикович</v>
          </cell>
        </row>
        <row r="3529">
          <cell r="A3529" t="str">
            <v>Небалуев Игорь Германович</v>
          </cell>
        </row>
        <row r="3530">
          <cell r="A3530" t="str">
            <v>Нурджанян Карен Юрикович</v>
          </cell>
        </row>
        <row r="3531">
          <cell r="A3531" t="str">
            <v>Нурджанян Карен Юрикович</v>
          </cell>
        </row>
        <row r="3532">
          <cell r="A3532" t="str">
            <v>Лалаев Эдгар Аликович</v>
          </cell>
        </row>
        <row r="3533">
          <cell r="A3533" t="str">
            <v>Анисимов Алексей Владимирович</v>
          </cell>
        </row>
        <row r="3534">
          <cell r="A3534" t="str">
            <v>Якунин Валерий Викторович</v>
          </cell>
        </row>
        <row r="3535">
          <cell r="A3535" t="str">
            <v>Шитов Алексей Константинович</v>
          </cell>
        </row>
        <row r="3536">
          <cell r="A3536" t="str">
            <v>Быценко Андрей Вячеславович</v>
          </cell>
        </row>
        <row r="3537">
          <cell r="A3537" t="str">
            <v>Шитов Алексей Константинович</v>
          </cell>
        </row>
        <row r="3538">
          <cell r="A3538" t="str">
            <v>Шишанин Александр Михайлович</v>
          </cell>
        </row>
        <row r="3539">
          <cell r="A3539" t="str">
            <v>Крепак Федор Александрович</v>
          </cell>
        </row>
        <row r="3540">
          <cell r="A3540" t="str">
            <v>Овчинникова Милена Анатольевна</v>
          </cell>
        </row>
        <row r="3541">
          <cell r="A3541" t="str">
            <v>Шалагинов Павел Андреевич</v>
          </cell>
        </row>
        <row r="3542">
          <cell r="A3542" t="str">
            <v>Каримова Камилла Аъзамжоновна</v>
          </cell>
        </row>
        <row r="3543">
          <cell r="A3543" t="str">
            <v>Акопян Пётр Робертович</v>
          </cell>
        </row>
        <row r="3544">
          <cell r="A3544" t="str">
            <v>Федорченко Сергей Александрович</v>
          </cell>
        </row>
        <row r="3545">
          <cell r="A3545" t="str">
            <v>Стеняшин Александр Николаевич</v>
          </cell>
        </row>
        <row r="3546">
          <cell r="A3546" t="str">
            <v>Шалагинов Павел Андреевич</v>
          </cell>
        </row>
        <row r="3547">
          <cell r="A3547" t="str">
            <v>Михайлова Наталья Геннадьевна</v>
          </cell>
        </row>
        <row r="3548">
          <cell r="A3548" t="str">
            <v>Федорченко Сергей Александрович</v>
          </cell>
        </row>
        <row r="3549">
          <cell r="A3549" t="str">
            <v>Камшилина Татьяна Ивановна</v>
          </cell>
        </row>
        <row r="3550">
          <cell r="A3550" t="str">
            <v>Айриян Владимир Эрнестович</v>
          </cell>
        </row>
        <row r="3551">
          <cell r="A3551" t="str">
            <v>Герасенкова Инна Леонидовна</v>
          </cell>
        </row>
        <row r="3552">
          <cell r="A3552" t="str">
            <v>Жиганов Николай Николаевич</v>
          </cell>
        </row>
        <row r="3553">
          <cell r="A3553" t="str">
            <v>Жиганов Николай Николаевич</v>
          </cell>
        </row>
        <row r="3554">
          <cell r="A3554" t="str">
            <v>Меджлумян Самвел Каджазунович</v>
          </cell>
        </row>
        <row r="3555">
          <cell r="A3555" t="str">
            <v>Крошилин Антон Владимирович</v>
          </cell>
        </row>
        <row r="3556">
          <cell r="A3556" t="str">
            <v>Полякова Татьяна Константиновна</v>
          </cell>
        </row>
        <row r="3557">
          <cell r="A3557" t="str">
            <v>Сень Александр Михайлович</v>
          </cell>
        </row>
        <row r="3558">
          <cell r="A3558" t="str">
            <v>Талдиев Адам Амерханович</v>
          </cell>
        </row>
        <row r="3559">
          <cell r="A3559" t="str">
            <v>Карапетян Гайк Гарникович</v>
          </cell>
        </row>
        <row r="3560">
          <cell r="A3560" t="str">
            <v>Шахуро Олег Валентинович</v>
          </cell>
        </row>
        <row r="3561">
          <cell r="A3561" t="str">
            <v>Усик Александр Андреевич</v>
          </cell>
        </row>
        <row r="3562">
          <cell r="A3562" t="str">
            <v>Усик Александр Андреевич</v>
          </cell>
        </row>
        <row r="3563">
          <cell r="A3563" t="str">
            <v>Мельников Сергей Игоревич</v>
          </cell>
        </row>
        <row r="3564">
          <cell r="A3564" t="str">
            <v>Мельников Сергей Игоревич</v>
          </cell>
        </row>
        <row r="3565">
          <cell r="A3565" t="str">
            <v>Восканян Элеонора Ваграмовна</v>
          </cell>
        </row>
        <row r="3566">
          <cell r="A3566" t="str">
            <v>Никоноров Константин Юрьевич</v>
          </cell>
        </row>
        <row r="3567">
          <cell r="A3567" t="str">
            <v>Кошелева Наталья Андреевна</v>
          </cell>
        </row>
        <row r="3568">
          <cell r="A3568" t="str">
            <v>Антонов Алексей Михайлович</v>
          </cell>
        </row>
        <row r="3569">
          <cell r="A3569" t="str">
            <v>Кошелева Наталья Андреевна</v>
          </cell>
        </row>
        <row r="3570">
          <cell r="A3570" t="str">
            <v>Антонов Алексей Михайлович</v>
          </cell>
        </row>
        <row r="3571">
          <cell r="A3571" t="str">
            <v>Белозеров Дмитрий Владимирович</v>
          </cell>
        </row>
        <row r="3572">
          <cell r="A3572" t="str">
            <v>Миронов Александр Александрович</v>
          </cell>
        </row>
        <row r="3573">
          <cell r="A3573" t="str">
            <v>Кюрегян Генрик Паргевович</v>
          </cell>
        </row>
        <row r="3574">
          <cell r="A3574" t="str">
            <v>Корнач Антон Владимирович</v>
          </cell>
        </row>
        <row r="3575">
          <cell r="A3575" t="str">
            <v>Лачугин Роман Владимирович</v>
          </cell>
        </row>
        <row r="3576">
          <cell r="A3576" t="str">
            <v>Хидашели Сергей Ильич</v>
          </cell>
        </row>
        <row r="3577">
          <cell r="A3577" t="str">
            <v>Ауст Зарина Ивановна</v>
          </cell>
        </row>
        <row r="3578">
          <cell r="A3578" t="str">
            <v>Ширнин Дмитрий Александрович</v>
          </cell>
        </row>
        <row r="3579">
          <cell r="A3579" t="str">
            <v>Шарипова Ольга Руфовна</v>
          </cell>
        </row>
        <row r="3580">
          <cell r="A3580" t="str">
            <v>Чаус Андрей Олегович</v>
          </cell>
        </row>
        <row r="3581">
          <cell r="A3581" t="str">
            <v>Чаус Андрей Олегович</v>
          </cell>
        </row>
        <row r="3582">
          <cell r="A3582" t="str">
            <v>Варданян Арутюн Парунакович</v>
          </cell>
        </row>
        <row r="3583">
          <cell r="A3583" t="str">
            <v>Костренко Роман Александрович</v>
          </cell>
        </row>
        <row r="3584">
          <cell r="A3584" t="str">
            <v>Перминов Василий Леонидович</v>
          </cell>
        </row>
        <row r="3585">
          <cell r="A3585" t="str">
            <v>Татьянин Николай Георгиевич</v>
          </cell>
        </row>
        <row r="3586">
          <cell r="A3586" t="str">
            <v>Киселев Владислав Евгеньевич</v>
          </cell>
        </row>
        <row r="3587">
          <cell r="A3587" t="str">
            <v>Егоров Виктор Евгеньевич</v>
          </cell>
        </row>
        <row r="3588">
          <cell r="A3588" t="str">
            <v>Егоров Виктор Евгеньевич</v>
          </cell>
        </row>
        <row r="3589">
          <cell r="A3589" t="str">
            <v>Егоров Виктор Евгеньевич</v>
          </cell>
        </row>
        <row r="3590">
          <cell r="A3590" t="str">
            <v>Евланова Анна Викторовна</v>
          </cell>
        </row>
        <row r="3591">
          <cell r="A3591" t="str">
            <v>Меликян Рафаел Генрикович</v>
          </cell>
        </row>
        <row r="3592">
          <cell r="A3592" t="str">
            <v>Меликян Рафаел Генрикович</v>
          </cell>
        </row>
        <row r="3593">
          <cell r="A3593" t="str">
            <v>Меликян Рафаел Генрикович</v>
          </cell>
        </row>
        <row r="3594">
          <cell r="A3594" t="str">
            <v>Дунаев Игорь Николаевич</v>
          </cell>
        </row>
        <row r="3595">
          <cell r="A3595" t="str">
            <v>Джураев Далер Афзалидинович</v>
          </cell>
        </row>
        <row r="3596">
          <cell r="A3596" t="str">
            <v>Шакиров Марат Хамитьянович</v>
          </cell>
        </row>
        <row r="3597">
          <cell r="A3597" t="str">
            <v>Саргсян Гайк Левонович</v>
          </cell>
        </row>
        <row r="3598">
          <cell r="A3598" t="str">
            <v>Новицкий Антон Павлович</v>
          </cell>
        </row>
        <row r="3599">
          <cell r="A3599" t="str">
            <v>Анкудинов Алексей Сергеевич</v>
          </cell>
        </row>
        <row r="3600">
          <cell r="A3600" t="str">
            <v>Шарипова Ольга Руфовна</v>
          </cell>
        </row>
        <row r="3601">
          <cell r="A3601" t="str">
            <v>Дмитриева Светлана Ивановна</v>
          </cell>
        </row>
        <row r="3602">
          <cell r="A3602" t="str">
            <v>Карпинский Евгений Викторович</v>
          </cell>
        </row>
        <row r="3603">
          <cell r="A3603" t="str">
            <v>Сойников Денис Валерьевич</v>
          </cell>
        </row>
        <row r="3604">
          <cell r="A3604" t="str">
            <v>Валиев Алексей Сатыбалдыевич</v>
          </cell>
        </row>
        <row r="3605">
          <cell r="A3605" t="str">
            <v>Загорулько Елена Михайловна</v>
          </cell>
        </row>
        <row r="3606">
          <cell r="A3606" t="str">
            <v>Валиев Алексей Сатыбалдыевич</v>
          </cell>
        </row>
        <row r="3607">
          <cell r="A3607" t="str">
            <v>Водянов Иван Николаевич</v>
          </cell>
        </row>
        <row r="3608">
          <cell r="A3608" t="str">
            <v>Райков Дмитрий Васильевич</v>
          </cell>
        </row>
        <row r="3609">
          <cell r="A3609" t="str">
            <v>Редькин Олег Александрович</v>
          </cell>
        </row>
        <row r="3610">
          <cell r="A3610" t="str">
            <v>Шитова Виктория Викторовна</v>
          </cell>
        </row>
        <row r="3611">
          <cell r="A3611" t="str">
            <v>Конторер Станислав Михайлович</v>
          </cell>
        </row>
        <row r="3612">
          <cell r="A3612" t="str">
            <v>Конева Ирина Евгеньевна</v>
          </cell>
        </row>
        <row r="3613">
          <cell r="A3613" t="str">
            <v>Тарасов Константин Валерьевич</v>
          </cell>
        </row>
        <row r="3614">
          <cell r="A3614" t="str">
            <v>Стецюк Алексей Леонидович</v>
          </cell>
        </row>
        <row r="3615">
          <cell r="A3615" t="str">
            <v>Тарасов Константин Валерьевич</v>
          </cell>
        </row>
        <row r="3616">
          <cell r="A3616" t="str">
            <v>Зельвянский Алексей Максимович</v>
          </cell>
        </row>
        <row r="3617">
          <cell r="A3617" t="str">
            <v>Мартиросян Гамлет Жораевич</v>
          </cell>
        </row>
        <row r="3618">
          <cell r="A3618" t="str">
            <v>Лачугин Роман Владимирович</v>
          </cell>
        </row>
        <row r="3619">
          <cell r="A3619" t="str">
            <v>Акопян Артур Грантикович</v>
          </cell>
        </row>
        <row r="3620">
          <cell r="A3620" t="str">
            <v>Никишин Михаил Юрьевич</v>
          </cell>
        </row>
        <row r="3621">
          <cell r="A3621" t="str">
            <v>Мирошин Сергей Николаевич</v>
          </cell>
        </row>
        <row r="3622">
          <cell r="A3622" t="str">
            <v>Буянкин Сергей Сергеевич</v>
          </cell>
        </row>
        <row r="3623">
          <cell r="A3623" t="str">
            <v>Рябцев Александр Васильевич</v>
          </cell>
        </row>
        <row r="3624">
          <cell r="A3624" t="str">
            <v>Гудименко Константин Алексеевич</v>
          </cell>
        </row>
        <row r="3625">
          <cell r="A3625" t="str">
            <v>Гудименко Константин Алексеевич</v>
          </cell>
        </row>
        <row r="3626">
          <cell r="A3626" t="str">
            <v>Деменкова София Дмитриевна</v>
          </cell>
        </row>
        <row r="3627">
          <cell r="A3627" t="str">
            <v>Хлопунов Ярослав Владимирович</v>
          </cell>
        </row>
        <row r="3628">
          <cell r="A3628" t="str">
            <v>Кирсанова Марина Александровна</v>
          </cell>
        </row>
        <row r="3629">
          <cell r="A3629" t="str">
            <v>Исаева Оксана Юрьевна</v>
          </cell>
        </row>
        <row r="3630">
          <cell r="A3630" t="str">
            <v>Степанян Тигран Геворгович</v>
          </cell>
        </row>
        <row r="3631">
          <cell r="A3631" t="str">
            <v>Каменюкин Андрей Геннадьевич</v>
          </cell>
        </row>
        <row r="3632">
          <cell r="A3632" t="str">
            <v>Калантарян Артур Вазгени</v>
          </cell>
        </row>
        <row r="3633">
          <cell r="A3633" t="str">
            <v>Шитов Алексей Константинович</v>
          </cell>
        </row>
        <row r="3634">
          <cell r="A3634" t="str">
            <v>Шитов Алексей Константинович</v>
          </cell>
        </row>
        <row r="3635">
          <cell r="A3635" t="str">
            <v>Шитов Алексей Константинович</v>
          </cell>
        </row>
        <row r="3636">
          <cell r="A3636" t="str">
            <v>Маркин Сергей Олегович</v>
          </cell>
        </row>
        <row r="3637">
          <cell r="A3637" t="str">
            <v>Спицына Александра Николаевна</v>
          </cell>
        </row>
        <row r="3638">
          <cell r="A3638" t="str">
            <v>Дроботько Алексей Юрьевич</v>
          </cell>
        </row>
        <row r="3639">
          <cell r="A3639" t="str">
            <v>Гречко Георгий Сергеевич</v>
          </cell>
        </row>
        <row r="3640">
          <cell r="A3640" t="str">
            <v>Чернышов Андрей Михайлович</v>
          </cell>
        </row>
        <row r="3641">
          <cell r="A3641" t="str">
            <v>Степаненко Андрей Викторович</v>
          </cell>
        </row>
        <row r="3642">
          <cell r="A3642" t="str">
            <v>Чернышов Андрей Михайлович</v>
          </cell>
        </row>
        <row r="3643">
          <cell r="A3643" t="str">
            <v>Пастернак Юлия Алексеевна</v>
          </cell>
        </row>
        <row r="3644">
          <cell r="A3644" t="str">
            <v>Железнова Анна Константиновна</v>
          </cell>
        </row>
        <row r="3645">
          <cell r="A3645" t="str">
            <v>Удовенко Наталья Анатольевна</v>
          </cell>
        </row>
        <row r="3646">
          <cell r="A3646" t="str">
            <v>Удовенко Наталья Анатольевна</v>
          </cell>
        </row>
        <row r="3647">
          <cell r="A3647" t="str">
            <v>Дорофеева Ульяна Вячеславовна</v>
          </cell>
        </row>
        <row r="3648">
          <cell r="A3648" t="str">
            <v>Щербакова Екатерина Владимировна</v>
          </cell>
        </row>
        <row r="3649">
          <cell r="A3649" t="str">
            <v>Качмазов Мурат Сергеевич</v>
          </cell>
        </row>
        <row r="3650">
          <cell r="A3650" t="str">
            <v>Качмазов Мурат Сергеевич</v>
          </cell>
        </row>
        <row r="3651">
          <cell r="A3651" t="str">
            <v>Гребенина Елена Борисовна</v>
          </cell>
        </row>
        <row r="3652">
          <cell r="A3652" t="str">
            <v>Лютов Игорь Александрович</v>
          </cell>
        </row>
        <row r="3653">
          <cell r="A3653" t="str">
            <v>Тюкин Дмитрий Александрович</v>
          </cell>
        </row>
        <row r="3654">
          <cell r="A3654" t="str">
            <v>Крючкова Наргиза Камариддиновна</v>
          </cell>
        </row>
        <row r="3655">
          <cell r="A3655" t="str">
            <v>Гишян Карен Араратович</v>
          </cell>
        </row>
        <row r="3656">
          <cell r="A3656" t="str">
            <v>Григоров Дмитрий Сергеевич</v>
          </cell>
        </row>
        <row r="3657">
          <cell r="A3657" t="str">
            <v>Бромирская Светлана Ивановна</v>
          </cell>
        </row>
        <row r="3658">
          <cell r="A3658" t="str">
            <v>Ивлев Андрей Александрович</v>
          </cell>
        </row>
        <row r="3659">
          <cell r="A3659" t="str">
            <v>Вилкова Надежда Валерьевна</v>
          </cell>
        </row>
        <row r="3660">
          <cell r="A3660" t="str">
            <v>Есенина Елизавета Яковлевна</v>
          </cell>
        </row>
        <row r="3661">
          <cell r="A3661" t="str">
            <v>Крючкова Надежда Николаевна</v>
          </cell>
        </row>
        <row r="3662">
          <cell r="A3662" t="str">
            <v>Мерш Анна Дмитриевна</v>
          </cell>
        </row>
        <row r="3663">
          <cell r="A3663" t="str">
            <v>Красулин Андрей Алексеевич</v>
          </cell>
        </row>
        <row r="3664">
          <cell r="A3664" t="str">
            <v>Вороновская Екатерина Андреевна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текущее дела"/>
      <sheetName val="реестр просрочников"/>
      <sheetName val="РП (расш)"/>
      <sheetName val="сверка"/>
      <sheetName val="Платежный календарь"/>
      <sheetName val="акция"/>
      <sheetName val="КО"/>
      <sheetName val="Платежи"/>
      <sheetName val="разное"/>
      <sheetName val="списание"/>
      <sheetName val="xforms"/>
    </sheetNames>
    <sheetDataSet>
      <sheetData sheetId="0"/>
      <sheetData sheetId="1"/>
      <sheetData sheetId="2">
        <row r="2">
          <cell r="A2" t="str">
            <v>Портфель задолженности по займам предоставленным</v>
          </cell>
        </row>
        <row r="4">
          <cell r="A4" t="str">
            <v>Параметры:</v>
          </cell>
          <cell r="B4" t="str">
            <v>На конец дня: 20.06.2024</v>
          </cell>
        </row>
        <row r="5">
          <cell r="B5" t="str">
            <v>Включать в задолженность (Пени штрафы и прочие доходы): Да</v>
          </cell>
        </row>
        <row r="6">
          <cell r="B6" t="str">
            <v>Диапазоны просрочки по займам: </v>
          </cell>
        </row>
        <row r="7">
          <cell r="B7" t="str">
            <v>Диапазоны сроков возврата займов: </v>
          </cell>
        </row>
        <row r="8">
          <cell r="A8" t="str">
            <v>Отбор:</v>
          </cell>
          <cell r="B8" t="str">
            <v>( Организация Равно "КА АЭК ООО" ИЛИ</v>
          </cell>
        </row>
        <row r="9">
          <cell r="B9" t="str">
            <v>Организация Равно "АТЛАС ООО" ИЛИ</v>
          </cell>
        </row>
        <row r="10">
          <cell r="B10" t="str">
            <v>Организация Равно "ВЗАИМНО ООО" ИЛИ</v>
          </cell>
        </row>
        <row r="11">
          <cell r="B11" t="str">
            <v>Организация Равно "ИРБИС ООО" ) И</v>
          </cell>
        </row>
        <row r="12">
          <cell r="B12" t="str">
            <v>Заемщик Не в списке "ВЗАИМНО ООО; АЭК ООО КА; АТЛАС ООО; ИП Белов Олег Валерьевич"</v>
          </cell>
        </row>
        <row r="14">
          <cell r="A14" t="str">
            <v>Займ предоставленный.Номер договора</v>
          </cell>
          <cell r="B14" t="str">
            <v>Заемщик</v>
          </cell>
          <cell r="C14" t="str">
            <v>Дней</v>
          </cell>
          <cell r="D14" t="str">
            <v>На просрочке с</v>
          </cell>
          <cell r="E14" t="str">
            <v>ПДП</v>
          </cell>
          <cell r="G14" t="str">
            <v>ОД</v>
          </cell>
          <cell r="I14" t="str">
            <v>Проценты</v>
          </cell>
          <cell r="K14" t="str">
            <v>Пени</v>
          </cell>
        </row>
        <row r="15">
          <cell r="E15" t="str">
            <v>Просрочено</v>
          </cell>
          <cell r="F15" t="str">
            <v>Всего</v>
          </cell>
          <cell r="G15" t="str">
            <v>Всего</v>
          </cell>
          <cell r="H15" t="str">
            <v>Просрочено</v>
          </cell>
          <cell r="I15" t="str">
            <v>Просрочено</v>
          </cell>
          <cell r="J15" t="str">
            <v>Всего</v>
          </cell>
          <cell r="K15" t="str">
            <v>Просрочено</v>
          </cell>
        </row>
        <row r="16">
          <cell r="A16" t="str">
            <v>А-00714/АЗ</v>
          </cell>
          <cell r="B16" t="str">
            <v>Чекалкин Михаил Михайлович</v>
          </cell>
          <cell r="C16" t="str">
            <v>3 617</v>
          </cell>
          <cell r="D16">
            <v>41846</v>
          </cell>
          <cell r="E16">
            <v>50321.72</v>
          </cell>
          <cell r="F16">
            <v>50321.72</v>
          </cell>
          <cell r="G16">
            <v>50321.72</v>
          </cell>
          <cell r="H16">
            <v>50321.72</v>
          </cell>
        </row>
        <row r="17">
          <cell r="A17" t="str">
            <v>А-00934/АЗ</v>
          </cell>
          <cell r="B17" t="str">
            <v>Королев Герман Борисович</v>
          </cell>
          <cell r="C17" t="str">
            <v>3 530</v>
          </cell>
          <cell r="D17">
            <v>41933</v>
          </cell>
          <cell r="E17">
            <v>9105.8799999999992</v>
          </cell>
          <cell r="F17">
            <v>9105.8799999999992</v>
          </cell>
          <cell r="K17">
            <v>9105.8799999999992</v>
          </cell>
        </row>
        <row r="18">
          <cell r="A18" t="str">
            <v>А-01262/АЗ</v>
          </cell>
          <cell r="B18" t="str">
            <v>Гоголадзе Джондо Александрович</v>
          </cell>
          <cell r="C18" t="str">
            <v>3 475</v>
          </cell>
          <cell r="D18">
            <v>41988</v>
          </cell>
          <cell r="E18">
            <v>34135.199999999997</v>
          </cell>
          <cell r="F18">
            <v>34135.199999999997</v>
          </cell>
          <cell r="K18">
            <v>34135.199999999997</v>
          </cell>
        </row>
        <row r="19">
          <cell r="A19" t="str">
            <v>А-01147/АЗ</v>
          </cell>
          <cell r="B19" t="str">
            <v>Ходакова Ирина Борисовна</v>
          </cell>
          <cell r="C19" t="str">
            <v>3 367</v>
          </cell>
          <cell r="D19">
            <v>42096</v>
          </cell>
          <cell r="E19">
            <v>54459.21</v>
          </cell>
          <cell r="F19">
            <v>54459.21</v>
          </cell>
          <cell r="K19">
            <v>54459.21</v>
          </cell>
        </row>
        <row r="20">
          <cell r="A20" t="str">
            <v>А-01652/АЗ</v>
          </cell>
          <cell r="B20" t="str">
            <v>Щербин Виталий Борисович</v>
          </cell>
          <cell r="C20" t="str">
            <v>3 228</v>
          </cell>
          <cell r="D20">
            <v>42235</v>
          </cell>
          <cell r="E20">
            <v>920090.91</v>
          </cell>
          <cell r="F20">
            <v>920090.91</v>
          </cell>
          <cell r="G20">
            <v>790065.38</v>
          </cell>
          <cell r="H20">
            <v>790065.38</v>
          </cell>
          <cell r="I20">
            <v>5191.51</v>
          </cell>
          <cell r="J20">
            <v>5191.51</v>
          </cell>
          <cell r="K20">
            <v>105300</v>
          </cell>
        </row>
        <row r="21">
          <cell r="A21" t="str">
            <v>Т-00638/АЗ_Т-20211028/Ц</v>
          </cell>
          <cell r="B21" t="str">
            <v>Щербин Виталий Борисович</v>
          </cell>
          <cell r="C21" t="str">
            <v>3 228</v>
          </cell>
          <cell r="D21">
            <v>42235</v>
          </cell>
          <cell r="E21">
            <v>400695.38</v>
          </cell>
          <cell r="F21">
            <v>400695.38</v>
          </cell>
          <cell r="G21">
            <v>338209.27</v>
          </cell>
          <cell r="H21">
            <v>338209.27</v>
          </cell>
          <cell r="I21">
            <v>7050.63</v>
          </cell>
          <cell r="J21">
            <v>7050.63</v>
          </cell>
          <cell r="K21">
            <v>42120</v>
          </cell>
        </row>
        <row r="22">
          <cell r="A22" t="str">
            <v>А-00005/КЭ.Транш - 1</v>
          </cell>
          <cell r="B22" t="str">
            <v>Фаворит ООО</v>
          </cell>
          <cell r="C22" t="str">
            <v>3 138</v>
          </cell>
          <cell r="D22">
            <v>42325</v>
          </cell>
          <cell r="E22">
            <v>9260.08</v>
          </cell>
          <cell r="F22">
            <v>9260.08</v>
          </cell>
          <cell r="K22">
            <v>9260.08</v>
          </cell>
        </row>
        <row r="23">
          <cell r="A23" t="str">
            <v>А-00027/КЭ.Транш - 1</v>
          </cell>
          <cell r="B23" t="str">
            <v>КАЙГЕР-КЛИНИНГ ООО</v>
          </cell>
          <cell r="C23" t="str">
            <v>3 081</v>
          </cell>
          <cell r="D23">
            <v>42382</v>
          </cell>
          <cell r="E23">
            <v>3095.1</v>
          </cell>
          <cell r="F23">
            <v>3095.1</v>
          </cell>
          <cell r="K23">
            <v>3095.1</v>
          </cell>
        </row>
        <row r="24">
          <cell r="A24" t="str">
            <v>А-01830/АЗ</v>
          </cell>
          <cell r="B24" t="str">
            <v>Лихтенвальд Игорь Владимирович</v>
          </cell>
          <cell r="C24" t="str">
            <v>3 068</v>
          </cell>
          <cell r="D24">
            <v>42395</v>
          </cell>
          <cell r="E24">
            <v>9591.57</v>
          </cell>
          <cell r="F24">
            <v>9591.57</v>
          </cell>
          <cell r="K24">
            <v>9591.57</v>
          </cell>
        </row>
        <row r="25">
          <cell r="A25" t="str">
            <v>А-00008/КЭ.Транш - 1</v>
          </cell>
          <cell r="B25" t="str">
            <v>ПРОФРЕСУРС ООО</v>
          </cell>
          <cell r="C25" t="str">
            <v>2 961</v>
          </cell>
          <cell r="D25">
            <v>42502</v>
          </cell>
          <cell r="E25">
            <v>5050.18</v>
          </cell>
          <cell r="F25">
            <v>5050.18</v>
          </cell>
          <cell r="K25">
            <v>5050.18</v>
          </cell>
        </row>
        <row r="26">
          <cell r="A26" t="str">
            <v>А-00101/КЭ.Транш - 1</v>
          </cell>
          <cell r="B26" t="str">
            <v>ИП Кнутов Сергей Алексеевич</v>
          </cell>
          <cell r="C26" t="str">
            <v>2 817</v>
          </cell>
          <cell r="D26">
            <v>42646</v>
          </cell>
          <cell r="E26">
            <v>22575.49</v>
          </cell>
          <cell r="F26">
            <v>22575.49</v>
          </cell>
          <cell r="K26">
            <v>22575.49</v>
          </cell>
        </row>
        <row r="27">
          <cell r="A27" t="str">
            <v>А-01872/АЗ</v>
          </cell>
          <cell r="B27" t="str">
            <v>Сальников Андрей Владимирович</v>
          </cell>
          <cell r="C27" t="str">
            <v>2 747</v>
          </cell>
          <cell r="D27">
            <v>42716</v>
          </cell>
          <cell r="E27">
            <v>15385.52</v>
          </cell>
          <cell r="F27">
            <v>15385.52</v>
          </cell>
          <cell r="K27">
            <v>13931.17</v>
          </cell>
        </row>
        <row r="28">
          <cell r="A28" t="str">
            <v>А-00161/КЭ.Транш - 1</v>
          </cell>
          <cell r="B28" t="str">
            <v>ИП Султанова Екатерина Владимировна</v>
          </cell>
          <cell r="C28" t="str">
            <v>2 685</v>
          </cell>
          <cell r="D28">
            <v>42778</v>
          </cell>
          <cell r="E28">
            <v>277410.13</v>
          </cell>
          <cell r="F28">
            <v>277410.13</v>
          </cell>
          <cell r="G28">
            <v>177377.81</v>
          </cell>
          <cell r="H28">
            <v>177377.81</v>
          </cell>
          <cell r="I28">
            <v>2787.43</v>
          </cell>
          <cell r="J28">
            <v>2787.43</v>
          </cell>
          <cell r="K28">
            <v>82788.850000000006</v>
          </cell>
        </row>
        <row r="29">
          <cell r="A29" t="str">
            <v>А-02585/АЗ</v>
          </cell>
          <cell r="B29" t="str">
            <v>Хмелевский Кирилл Кириллович</v>
          </cell>
          <cell r="C29" t="str">
            <v>2 339</v>
          </cell>
          <cell r="D29">
            <v>43124</v>
          </cell>
          <cell r="E29">
            <v>41982.73</v>
          </cell>
          <cell r="F29">
            <v>41982.73</v>
          </cell>
          <cell r="K29">
            <v>32482.73</v>
          </cell>
        </row>
        <row r="30">
          <cell r="A30" t="str">
            <v>А-02772/АЗ</v>
          </cell>
          <cell r="B30" t="str">
            <v>Новоселов Евгений Михайлович</v>
          </cell>
          <cell r="C30" t="str">
            <v>2 337</v>
          </cell>
          <cell r="D30">
            <v>43126</v>
          </cell>
          <cell r="E30">
            <v>13116.34</v>
          </cell>
          <cell r="F30">
            <v>13116.34</v>
          </cell>
        </row>
        <row r="31">
          <cell r="A31" t="str">
            <v>А-03822/АЗ</v>
          </cell>
          <cell r="B31" t="str">
            <v>Матвеев Александр Иванович</v>
          </cell>
          <cell r="C31" t="str">
            <v>2 239</v>
          </cell>
          <cell r="D31">
            <v>43224</v>
          </cell>
          <cell r="E31">
            <v>86765.440000000002</v>
          </cell>
          <cell r="F31">
            <v>86765.440000000002</v>
          </cell>
          <cell r="G31">
            <v>74064.639999999999</v>
          </cell>
          <cell r="H31">
            <v>74064.639999999999</v>
          </cell>
          <cell r="K31">
            <v>12700.8</v>
          </cell>
        </row>
        <row r="32">
          <cell r="A32" t="str">
            <v>А-03444/АЗ</v>
          </cell>
          <cell r="B32" t="str">
            <v>Халиуллин Шамиль Камалович</v>
          </cell>
          <cell r="C32" t="str">
            <v>2 224</v>
          </cell>
          <cell r="D32">
            <v>43239</v>
          </cell>
          <cell r="E32">
            <v>15787.32</v>
          </cell>
          <cell r="F32">
            <v>15787.32</v>
          </cell>
          <cell r="K32">
            <v>15787.32</v>
          </cell>
        </row>
        <row r="33">
          <cell r="A33" t="str">
            <v>А-04022/АЗ</v>
          </cell>
          <cell r="B33" t="str">
            <v>Мелитонян Саят Араевич</v>
          </cell>
          <cell r="C33" t="str">
            <v>2 147</v>
          </cell>
          <cell r="D33">
            <v>43316</v>
          </cell>
          <cell r="E33">
            <v>265093.13</v>
          </cell>
          <cell r="F33">
            <v>265093.13</v>
          </cell>
          <cell r="G33">
            <v>237811.57</v>
          </cell>
          <cell r="H33">
            <v>237811.57</v>
          </cell>
          <cell r="K33">
            <v>14418.26</v>
          </cell>
        </row>
        <row r="34">
          <cell r="A34" t="str">
            <v>А-00029/БЭ</v>
          </cell>
          <cell r="B34" t="str">
            <v>Саповский Олег Владимирович</v>
          </cell>
          <cell r="C34" t="str">
            <v>2 128</v>
          </cell>
          <cell r="D34">
            <v>43335</v>
          </cell>
          <cell r="E34">
            <v>580629.43999999994</v>
          </cell>
          <cell r="F34">
            <v>580629.43999999994</v>
          </cell>
          <cell r="G34">
            <v>390996.15</v>
          </cell>
          <cell r="H34">
            <v>390996.15</v>
          </cell>
          <cell r="I34">
            <v>147339.82</v>
          </cell>
          <cell r="J34">
            <v>147339.82</v>
          </cell>
          <cell r="K34">
            <v>32616</v>
          </cell>
        </row>
        <row r="35">
          <cell r="A35" t="str">
            <v>А-00211/КЭ.Транш - 2</v>
          </cell>
          <cell r="B35" t="str">
            <v>КРОШКИ ООО</v>
          </cell>
          <cell r="C35" t="str">
            <v>2 114</v>
          </cell>
          <cell r="D35">
            <v>43349</v>
          </cell>
          <cell r="E35">
            <v>87140.45</v>
          </cell>
          <cell r="F35">
            <v>87140.45</v>
          </cell>
          <cell r="G35">
            <v>23079.02</v>
          </cell>
          <cell r="H35">
            <v>23079.02</v>
          </cell>
          <cell r="I35">
            <v>47574.68</v>
          </cell>
          <cell r="J35">
            <v>47574.68</v>
          </cell>
          <cell r="K35">
            <v>15000</v>
          </cell>
        </row>
        <row r="36">
          <cell r="A36" t="str">
            <v>А-03853/АЗ</v>
          </cell>
          <cell r="B36" t="str">
            <v>Караваев Евгений Сергеевич</v>
          </cell>
          <cell r="C36" t="str">
            <v>2 106</v>
          </cell>
          <cell r="D36">
            <v>43357</v>
          </cell>
          <cell r="E36">
            <v>215017.79</v>
          </cell>
          <cell r="F36">
            <v>215017.79</v>
          </cell>
          <cell r="G36">
            <v>11487.64</v>
          </cell>
          <cell r="H36">
            <v>11487.64</v>
          </cell>
          <cell r="I36">
            <v>181954.93</v>
          </cell>
          <cell r="J36">
            <v>181954.93</v>
          </cell>
          <cell r="K36">
            <v>10206</v>
          </cell>
        </row>
        <row r="37">
          <cell r="A37" t="str">
            <v>А-00084/КЭ.Транш - 3</v>
          </cell>
          <cell r="B37" t="str">
            <v>МСККОРП ООО</v>
          </cell>
          <cell r="C37" t="str">
            <v>2 098</v>
          </cell>
          <cell r="D37">
            <v>43365</v>
          </cell>
          <cell r="E37">
            <v>9758.5499999999993</v>
          </cell>
          <cell r="F37">
            <v>9758.5499999999993</v>
          </cell>
          <cell r="G37">
            <v>6644.39</v>
          </cell>
          <cell r="H37">
            <v>6644.39</v>
          </cell>
          <cell r="K37">
            <v>1838.8</v>
          </cell>
        </row>
        <row r="38">
          <cell r="A38" t="str">
            <v>А-10036/КЭ.Транш - 1</v>
          </cell>
          <cell r="B38" t="str">
            <v>ИП Королев Александр Владимирович</v>
          </cell>
          <cell r="C38" t="str">
            <v>2 098</v>
          </cell>
          <cell r="D38">
            <v>43365</v>
          </cell>
          <cell r="E38">
            <v>210281.48</v>
          </cell>
          <cell r="F38">
            <v>210281.48</v>
          </cell>
          <cell r="G38">
            <v>38603.040000000001</v>
          </cell>
          <cell r="H38">
            <v>38603.040000000001</v>
          </cell>
          <cell r="I38">
            <v>24129.54</v>
          </cell>
          <cell r="J38">
            <v>24129.54</v>
          </cell>
          <cell r="K38">
            <v>147548.9</v>
          </cell>
        </row>
        <row r="39">
          <cell r="A39" t="str">
            <v>А-10037/КЭ.Транш - 1</v>
          </cell>
          <cell r="B39" t="str">
            <v>СТРОЙ ПРОТЕК ООО</v>
          </cell>
          <cell r="C39" t="str">
            <v>2 098</v>
          </cell>
          <cell r="D39">
            <v>43365</v>
          </cell>
          <cell r="E39">
            <v>4756984.24</v>
          </cell>
          <cell r="F39">
            <v>4756984.24</v>
          </cell>
          <cell r="G39">
            <v>103129.7</v>
          </cell>
          <cell r="H39">
            <v>103129.7</v>
          </cell>
          <cell r="I39">
            <v>181991.54</v>
          </cell>
          <cell r="J39">
            <v>181991.54</v>
          </cell>
          <cell r="K39">
            <v>4471863</v>
          </cell>
        </row>
        <row r="40">
          <cell r="A40" t="str">
            <v>А-04384/АЗ</v>
          </cell>
          <cell r="B40" t="str">
            <v>Платунова Жанна Александровна</v>
          </cell>
          <cell r="C40" t="str">
            <v>2 091</v>
          </cell>
          <cell r="D40">
            <v>43372</v>
          </cell>
          <cell r="E40">
            <v>1093255.44</v>
          </cell>
          <cell r="F40">
            <v>1093255.44</v>
          </cell>
          <cell r="G40">
            <v>127003.01</v>
          </cell>
          <cell r="H40">
            <v>127003.01</v>
          </cell>
          <cell r="I40">
            <v>714274.69</v>
          </cell>
          <cell r="J40">
            <v>714274.69</v>
          </cell>
          <cell r="K40">
            <v>251977.74</v>
          </cell>
        </row>
        <row r="41">
          <cell r="A41" t="str">
            <v>А-04275/АЗ</v>
          </cell>
          <cell r="B41" t="str">
            <v>Абубакиров Бату Асхарович</v>
          </cell>
          <cell r="C41" t="str">
            <v>2 088</v>
          </cell>
          <cell r="D41">
            <v>43375</v>
          </cell>
          <cell r="E41">
            <v>192042.25</v>
          </cell>
          <cell r="F41">
            <v>192042.25</v>
          </cell>
          <cell r="G41">
            <v>40782.67</v>
          </cell>
          <cell r="H41">
            <v>40782.67</v>
          </cell>
          <cell r="I41">
            <v>124266.95</v>
          </cell>
          <cell r="J41">
            <v>124266.95</v>
          </cell>
          <cell r="K41">
            <v>15655.02</v>
          </cell>
        </row>
        <row r="42">
          <cell r="A42" t="str">
            <v>А-03942/АЗ</v>
          </cell>
          <cell r="B42" t="str">
            <v>Морозов Владимир Владимирович</v>
          </cell>
          <cell r="C42" t="str">
            <v>2 075</v>
          </cell>
          <cell r="D42">
            <v>43388</v>
          </cell>
          <cell r="E42">
            <v>481708.97</v>
          </cell>
          <cell r="F42">
            <v>481708.97</v>
          </cell>
          <cell r="G42">
            <v>123912.42</v>
          </cell>
          <cell r="H42">
            <v>123912.42</v>
          </cell>
          <cell r="I42">
            <v>334162.94</v>
          </cell>
          <cell r="J42">
            <v>334162.94</v>
          </cell>
          <cell r="K42">
            <v>11776.72</v>
          </cell>
        </row>
        <row r="43">
          <cell r="A43" t="str">
            <v>А-03756/АЗ</v>
          </cell>
          <cell r="B43" t="str">
            <v>Сердюк Лидия Мянсуровна</v>
          </cell>
          <cell r="C43" t="str">
            <v>2 073</v>
          </cell>
          <cell r="D43">
            <v>43390</v>
          </cell>
          <cell r="E43">
            <v>1597121.3</v>
          </cell>
          <cell r="F43">
            <v>1597121.3</v>
          </cell>
          <cell r="G43">
            <v>250866.28</v>
          </cell>
          <cell r="H43">
            <v>250866.28</v>
          </cell>
          <cell r="I43">
            <v>1300398.07</v>
          </cell>
          <cell r="J43">
            <v>1300398.07</v>
          </cell>
          <cell r="K43">
            <v>30539.63</v>
          </cell>
        </row>
        <row r="44">
          <cell r="A44" t="str">
            <v>А-03591/АЗ</v>
          </cell>
          <cell r="B44" t="str">
            <v>Анчутин Павел Александрович</v>
          </cell>
          <cell r="C44" t="str">
            <v>2 062</v>
          </cell>
          <cell r="D44">
            <v>43401</v>
          </cell>
          <cell r="E44">
            <v>154281.26</v>
          </cell>
          <cell r="F44">
            <v>154281.26</v>
          </cell>
          <cell r="G44">
            <v>4761.99</v>
          </cell>
          <cell r="H44">
            <v>4761.99</v>
          </cell>
          <cell r="I44">
            <v>136934.9</v>
          </cell>
          <cell r="J44">
            <v>136934.9</v>
          </cell>
          <cell r="K44">
            <v>3722.21</v>
          </cell>
        </row>
        <row r="45">
          <cell r="A45" t="str">
            <v>А-00035/БЭ</v>
          </cell>
          <cell r="B45" t="str">
            <v>Королёв Дмитрий Евгеньевич</v>
          </cell>
          <cell r="C45" t="str">
            <v>2 061</v>
          </cell>
          <cell r="D45">
            <v>43402</v>
          </cell>
          <cell r="E45">
            <v>590789.67000000004</v>
          </cell>
          <cell r="F45">
            <v>590789.67000000004</v>
          </cell>
          <cell r="G45">
            <v>150000</v>
          </cell>
          <cell r="H45">
            <v>150000</v>
          </cell>
          <cell r="I45">
            <v>428268.5</v>
          </cell>
          <cell r="J45">
            <v>428268.5</v>
          </cell>
          <cell r="K45">
            <v>9801</v>
          </cell>
        </row>
        <row r="46">
          <cell r="A46" t="str">
            <v>А-04617/АЗ</v>
          </cell>
          <cell r="B46" t="str">
            <v>Храмов Антон Иванович</v>
          </cell>
          <cell r="C46" t="str">
            <v>2 036</v>
          </cell>
          <cell r="D46">
            <v>43427</v>
          </cell>
          <cell r="E46">
            <v>192894.35</v>
          </cell>
          <cell r="F46">
            <v>192894.35</v>
          </cell>
          <cell r="G46">
            <v>10165.23</v>
          </cell>
          <cell r="H46">
            <v>10165.23</v>
          </cell>
          <cell r="I46">
            <v>167269.64000000001</v>
          </cell>
          <cell r="J46">
            <v>167269.64000000001</v>
          </cell>
          <cell r="K46">
            <v>5508</v>
          </cell>
        </row>
        <row r="47">
          <cell r="A47" t="str">
            <v>А-10061/КЭ.Транш - 1</v>
          </cell>
          <cell r="B47" t="str">
            <v>ИП Акулич Александр Сергеевич</v>
          </cell>
          <cell r="C47" t="str">
            <v>2 016</v>
          </cell>
          <cell r="D47">
            <v>43447</v>
          </cell>
          <cell r="E47">
            <v>173949.09</v>
          </cell>
          <cell r="F47">
            <v>173949.09</v>
          </cell>
          <cell r="G47">
            <v>62387.98</v>
          </cell>
          <cell r="H47">
            <v>62387.98</v>
          </cell>
          <cell r="I47">
            <v>18027.689999999999</v>
          </cell>
          <cell r="J47">
            <v>18027.689999999999</v>
          </cell>
          <cell r="K47">
            <v>79500</v>
          </cell>
        </row>
        <row r="48">
          <cell r="A48" t="str">
            <v>Т-01646/АЗ_В-21082023/Ц</v>
          </cell>
          <cell r="B48" t="str">
            <v>Ковбасенко Александр Анатольевич</v>
          </cell>
          <cell r="C48" t="str">
            <v>1 989</v>
          </cell>
          <cell r="D48">
            <v>43474</v>
          </cell>
          <cell r="E48">
            <v>744592.76</v>
          </cell>
          <cell r="F48">
            <v>744592.76</v>
          </cell>
          <cell r="G48">
            <v>108860.81</v>
          </cell>
          <cell r="H48">
            <v>108860.81</v>
          </cell>
          <cell r="I48">
            <v>411820.55</v>
          </cell>
          <cell r="J48">
            <v>411820.55</v>
          </cell>
          <cell r="K48">
            <v>214996.29</v>
          </cell>
        </row>
        <row r="49">
          <cell r="A49" t="str">
            <v>А-04236/АЗ</v>
          </cell>
          <cell r="B49" t="str">
            <v>Рафиев Агалар Сейдага-оглы</v>
          </cell>
          <cell r="C49" t="str">
            <v>1 944</v>
          </cell>
          <cell r="D49">
            <v>43519</v>
          </cell>
          <cell r="E49">
            <v>1671033.78</v>
          </cell>
          <cell r="F49">
            <v>1671033.78</v>
          </cell>
          <cell r="G49">
            <v>487000</v>
          </cell>
          <cell r="H49">
            <v>487000</v>
          </cell>
          <cell r="I49">
            <v>1140033.7</v>
          </cell>
          <cell r="J49">
            <v>1140033.7</v>
          </cell>
          <cell r="K49">
            <v>28138.86</v>
          </cell>
        </row>
        <row r="50">
          <cell r="A50" t="str">
            <v>А-00292/КЭ.Транш - 1</v>
          </cell>
          <cell r="B50" t="str">
            <v>ИП Аристакесян Анна Николаевна</v>
          </cell>
          <cell r="C50" t="str">
            <v>1 941</v>
          </cell>
          <cell r="D50">
            <v>43522</v>
          </cell>
          <cell r="E50">
            <v>132.62</v>
          </cell>
          <cell r="F50">
            <v>132.62</v>
          </cell>
          <cell r="K50">
            <v>132.62</v>
          </cell>
        </row>
        <row r="51">
          <cell r="A51" t="str">
            <v>А-00305/КЭ.Транш - 1</v>
          </cell>
          <cell r="B51" t="str">
            <v>ИП Сбитнева Нелли Игоревна</v>
          </cell>
          <cell r="C51" t="str">
            <v>1 939</v>
          </cell>
          <cell r="D51">
            <v>43524</v>
          </cell>
          <cell r="E51">
            <v>189035.9</v>
          </cell>
          <cell r="F51">
            <v>189035.9</v>
          </cell>
          <cell r="G51">
            <v>119588.77</v>
          </cell>
          <cell r="H51">
            <v>119588.77</v>
          </cell>
          <cell r="I51">
            <v>5573.62</v>
          </cell>
          <cell r="J51">
            <v>5573.62</v>
          </cell>
          <cell r="K51">
            <v>51423.17</v>
          </cell>
        </row>
        <row r="52">
          <cell r="A52" t="str">
            <v>А-00314/КЭ.Транш - 1</v>
          </cell>
          <cell r="B52" t="str">
            <v>ИП Мамедов Эльдар Эльдарович</v>
          </cell>
          <cell r="C52" t="str">
            <v>1 897</v>
          </cell>
          <cell r="D52">
            <v>43566</v>
          </cell>
          <cell r="E52">
            <v>18681.93</v>
          </cell>
          <cell r="F52">
            <v>18681.93</v>
          </cell>
          <cell r="K52">
            <v>18681.93</v>
          </cell>
        </row>
        <row r="53">
          <cell r="A53" t="str">
            <v>А-05195/АЗ</v>
          </cell>
          <cell r="B53" t="str">
            <v>Строчкин Сергей Иванович</v>
          </cell>
          <cell r="C53" t="str">
            <v>1 888</v>
          </cell>
          <cell r="D53">
            <v>43575</v>
          </cell>
          <cell r="E53">
            <v>533220.43999999994</v>
          </cell>
          <cell r="F53">
            <v>533220.43999999994</v>
          </cell>
          <cell r="I53">
            <v>515530.87</v>
          </cell>
          <cell r="J53">
            <v>515530.87</v>
          </cell>
          <cell r="K53">
            <v>7939.57</v>
          </cell>
        </row>
        <row r="54">
          <cell r="A54" t="str">
            <v>А-05208/АЗ</v>
          </cell>
          <cell r="B54" t="str">
            <v>Иджян Соломон Сергеевич</v>
          </cell>
          <cell r="C54" t="str">
            <v>1 886</v>
          </cell>
          <cell r="D54">
            <v>43577</v>
          </cell>
          <cell r="E54">
            <v>1643984.38</v>
          </cell>
          <cell r="F54">
            <v>1643984.38</v>
          </cell>
          <cell r="G54">
            <v>500000</v>
          </cell>
          <cell r="H54">
            <v>500000</v>
          </cell>
          <cell r="I54">
            <v>1093916.32</v>
          </cell>
          <cell r="J54">
            <v>1093916.32</v>
          </cell>
          <cell r="K54">
            <v>39690</v>
          </cell>
        </row>
        <row r="55">
          <cell r="A55" t="str">
            <v>Т-01642/АЗ_В-21082023/Ц</v>
          </cell>
          <cell r="B55" t="str">
            <v>Алексеев Юрий Сергеевич</v>
          </cell>
          <cell r="C55" t="str">
            <v>1 872</v>
          </cell>
          <cell r="D55">
            <v>43591</v>
          </cell>
          <cell r="E55">
            <v>1621994.16</v>
          </cell>
          <cell r="F55">
            <v>1621994.16</v>
          </cell>
          <cell r="G55">
            <v>400000</v>
          </cell>
          <cell r="H55">
            <v>400000</v>
          </cell>
          <cell r="I55">
            <v>934487.71</v>
          </cell>
          <cell r="J55">
            <v>934487.71</v>
          </cell>
          <cell r="K55">
            <v>277560</v>
          </cell>
        </row>
        <row r="56">
          <cell r="A56" t="str">
            <v>А-04352/АЗ</v>
          </cell>
          <cell r="B56" t="str">
            <v>Матиев Шодмон Эргашевич</v>
          </cell>
          <cell r="C56" t="str">
            <v>1 858</v>
          </cell>
          <cell r="D56">
            <v>43605</v>
          </cell>
          <cell r="E56">
            <v>916411.1</v>
          </cell>
          <cell r="F56">
            <v>916411.1</v>
          </cell>
          <cell r="G56">
            <v>306273.46999999997</v>
          </cell>
          <cell r="H56">
            <v>306273.46999999997</v>
          </cell>
          <cell r="I56">
            <v>575413.89</v>
          </cell>
          <cell r="J56">
            <v>575413.89</v>
          </cell>
          <cell r="K56">
            <v>21346.639999999999</v>
          </cell>
        </row>
        <row r="57">
          <cell r="A57" t="str">
            <v>А-04668/АЗ_В-21082023/Ц</v>
          </cell>
          <cell r="B57" t="str">
            <v>Алексеев Юрий Сергеевич</v>
          </cell>
          <cell r="C57" t="str">
            <v>1 841</v>
          </cell>
          <cell r="D57">
            <v>43622</v>
          </cell>
          <cell r="E57">
            <v>1585897.61</v>
          </cell>
          <cell r="F57">
            <v>1585897.61</v>
          </cell>
          <cell r="G57">
            <v>400000</v>
          </cell>
          <cell r="H57">
            <v>400000</v>
          </cell>
          <cell r="I57">
            <v>905087.17</v>
          </cell>
          <cell r="J57">
            <v>905087.17</v>
          </cell>
          <cell r="K57">
            <v>270864</v>
          </cell>
        </row>
        <row r="58">
          <cell r="A58" t="str">
            <v>А-05130/АЗ</v>
          </cell>
          <cell r="B58" t="str">
            <v>Михалевский Александр Михайлович</v>
          </cell>
          <cell r="C58" t="str">
            <v>1 840</v>
          </cell>
          <cell r="D58">
            <v>43623</v>
          </cell>
          <cell r="E58">
            <v>297126.71999999997</v>
          </cell>
          <cell r="F58">
            <v>297126.71999999997</v>
          </cell>
          <cell r="G58">
            <v>98658.21</v>
          </cell>
          <cell r="H58">
            <v>98658.21</v>
          </cell>
          <cell r="I58">
            <v>182971.98</v>
          </cell>
          <cell r="J58">
            <v>182971.98</v>
          </cell>
          <cell r="K58">
            <v>5593.92</v>
          </cell>
        </row>
        <row r="59">
          <cell r="A59" t="str">
            <v>А-05138/АЗ</v>
          </cell>
          <cell r="B59" t="str">
            <v>Базаров Бахтиёр Асрорович</v>
          </cell>
          <cell r="C59" t="str">
            <v>1 836</v>
          </cell>
          <cell r="D59">
            <v>43627</v>
          </cell>
          <cell r="E59">
            <v>746388.19</v>
          </cell>
          <cell r="F59">
            <v>746388.19</v>
          </cell>
          <cell r="G59">
            <v>252000</v>
          </cell>
          <cell r="H59">
            <v>252000</v>
          </cell>
          <cell r="I59">
            <v>468217.16</v>
          </cell>
          <cell r="J59">
            <v>468217.16</v>
          </cell>
          <cell r="K59">
            <v>13744.08</v>
          </cell>
        </row>
        <row r="60">
          <cell r="A60" t="str">
            <v>Т-01754/АЗ_20190723/Ц</v>
          </cell>
          <cell r="B60" t="str">
            <v>Строчкин Сергей Иванович</v>
          </cell>
          <cell r="C60" t="str">
            <v>1 827</v>
          </cell>
          <cell r="D60">
            <v>43636</v>
          </cell>
          <cell r="E60">
            <v>523164.26</v>
          </cell>
          <cell r="F60">
            <v>523164.26</v>
          </cell>
          <cell r="I60">
            <v>523164.26</v>
          </cell>
          <cell r="J60">
            <v>523164.26</v>
          </cell>
        </row>
        <row r="61">
          <cell r="A61" t="str">
            <v>А-10070/КЭ.Транш - 1</v>
          </cell>
          <cell r="B61" t="str">
            <v>К12 ООО</v>
          </cell>
          <cell r="C61" t="str">
            <v>1 825</v>
          </cell>
          <cell r="D61">
            <v>43638</v>
          </cell>
          <cell r="E61">
            <v>5708.52</v>
          </cell>
          <cell r="F61">
            <v>5708.52</v>
          </cell>
          <cell r="K61">
            <v>5708.52</v>
          </cell>
        </row>
        <row r="62">
          <cell r="A62" t="str">
            <v>В-00065/АЗ_В-21082023/Ц</v>
          </cell>
          <cell r="B62" t="str">
            <v>Горохов Сергей Владимирович 2</v>
          </cell>
          <cell r="C62" t="str">
            <v>1 825</v>
          </cell>
          <cell r="D62">
            <v>43638</v>
          </cell>
          <cell r="E62">
            <v>481962.53</v>
          </cell>
          <cell r="F62">
            <v>481962.53</v>
          </cell>
          <cell r="G62">
            <v>98185.21</v>
          </cell>
          <cell r="H62">
            <v>98185.21</v>
          </cell>
          <cell r="I62">
            <v>277172.40000000002</v>
          </cell>
          <cell r="J62">
            <v>277172.40000000002</v>
          </cell>
          <cell r="K62">
            <v>96761.52</v>
          </cell>
        </row>
        <row r="63">
          <cell r="A63" t="str">
            <v>В-00151/АЗ_В-20211230/Ц</v>
          </cell>
          <cell r="B63" t="str">
            <v>Трифонов Николай Валентинович</v>
          </cell>
          <cell r="C63" t="str">
            <v>1 825</v>
          </cell>
          <cell r="D63">
            <v>43638</v>
          </cell>
          <cell r="E63">
            <v>1910618.45</v>
          </cell>
          <cell r="F63">
            <v>1910618.45</v>
          </cell>
          <cell r="G63">
            <v>520000</v>
          </cell>
          <cell r="H63">
            <v>520000</v>
          </cell>
          <cell r="I63">
            <v>1104565.48</v>
          </cell>
          <cell r="J63">
            <v>1104565.48</v>
          </cell>
          <cell r="K63">
            <v>269848.8</v>
          </cell>
        </row>
        <row r="64">
          <cell r="A64" t="str">
            <v>В-00161/АЗ_В-21082023/Ц</v>
          </cell>
          <cell r="B64" t="str">
            <v>Гулиев Адиль Джангирович</v>
          </cell>
          <cell r="C64" t="str">
            <v>1 823</v>
          </cell>
          <cell r="D64">
            <v>43640</v>
          </cell>
          <cell r="E64">
            <v>398862.34</v>
          </cell>
          <cell r="F64">
            <v>398862.34</v>
          </cell>
          <cell r="I64">
            <v>275541.23</v>
          </cell>
          <cell r="J64">
            <v>275541.23</v>
          </cell>
          <cell r="K64">
            <v>106633.8</v>
          </cell>
        </row>
        <row r="65">
          <cell r="A65" t="str">
            <v>А-04742/АЗ</v>
          </cell>
          <cell r="B65" t="str">
            <v>Добрица Любовь Анатольевна</v>
          </cell>
          <cell r="C65" t="str">
            <v>1 821</v>
          </cell>
          <cell r="D65">
            <v>43642</v>
          </cell>
          <cell r="E65">
            <v>20737.650000000001</v>
          </cell>
          <cell r="F65">
            <v>20737.650000000001</v>
          </cell>
          <cell r="I65">
            <v>6512.24</v>
          </cell>
          <cell r="J65">
            <v>6512.24</v>
          </cell>
          <cell r="K65">
            <v>14225.41</v>
          </cell>
        </row>
        <row r="66">
          <cell r="A66" t="str">
            <v>А-04684/АЗ</v>
          </cell>
          <cell r="B66" t="str">
            <v>Ковбасенко Александр Анатольевич</v>
          </cell>
          <cell r="C66" t="str">
            <v>1 808</v>
          </cell>
          <cell r="D66">
            <v>43655</v>
          </cell>
          <cell r="E66">
            <v>609875.44999999995</v>
          </cell>
          <cell r="F66">
            <v>609875.44999999995</v>
          </cell>
          <cell r="G66">
            <v>97360.81</v>
          </cell>
          <cell r="H66">
            <v>97360.81</v>
          </cell>
          <cell r="I66">
            <v>483058.33</v>
          </cell>
          <cell r="J66">
            <v>483058.33</v>
          </cell>
          <cell r="K66">
            <v>20541.189999999999</v>
          </cell>
        </row>
        <row r="67">
          <cell r="A67" t="str">
            <v>В-00041/АЗ_В-21082023/Ц</v>
          </cell>
          <cell r="B67" t="str">
            <v>Герюгов Расул Азнаурович</v>
          </cell>
          <cell r="C67" t="str">
            <v>1 801</v>
          </cell>
          <cell r="D67">
            <v>43662</v>
          </cell>
          <cell r="E67">
            <v>2618931.2000000002</v>
          </cell>
          <cell r="F67">
            <v>2618931.2000000002</v>
          </cell>
          <cell r="G67">
            <v>577119.03</v>
          </cell>
          <cell r="H67">
            <v>577119.03</v>
          </cell>
          <cell r="I67">
            <v>1463415.77</v>
          </cell>
          <cell r="J67">
            <v>1463415.77</v>
          </cell>
          <cell r="K67">
            <v>561622.57999999996</v>
          </cell>
        </row>
        <row r="68">
          <cell r="A68" t="str">
            <v>А-04593/АЗ</v>
          </cell>
          <cell r="B68" t="str">
            <v>Шахбазян Овсеп Сурикович</v>
          </cell>
          <cell r="C68" t="str">
            <v>1 800</v>
          </cell>
          <cell r="D68">
            <v>43663</v>
          </cell>
          <cell r="E68">
            <v>98496.61</v>
          </cell>
          <cell r="F68">
            <v>98496.61</v>
          </cell>
          <cell r="G68">
            <v>29873.82</v>
          </cell>
          <cell r="H68">
            <v>29873.82</v>
          </cell>
          <cell r="I68">
            <v>56026.55</v>
          </cell>
          <cell r="J68">
            <v>56026.55</v>
          </cell>
          <cell r="K68">
            <v>3607.16</v>
          </cell>
        </row>
        <row r="69">
          <cell r="A69" t="str">
            <v>А-05335/АЗ_Т-20211028/Ц</v>
          </cell>
          <cell r="B69" t="str">
            <v>Четверикова Ирина Алексеевна</v>
          </cell>
          <cell r="C69" t="str">
            <v>1 800</v>
          </cell>
          <cell r="D69">
            <v>43663</v>
          </cell>
          <cell r="E69">
            <v>910000</v>
          </cell>
          <cell r="F69">
            <v>910000</v>
          </cell>
          <cell r="G69">
            <v>260000</v>
          </cell>
          <cell r="H69">
            <v>260000</v>
          </cell>
          <cell r="I69">
            <v>529958</v>
          </cell>
          <cell r="J69">
            <v>529958</v>
          </cell>
          <cell r="K69">
            <v>120042</v>
          </cell>
        </row>
        <row r="70">
          <cell r="A70" t="str">
            <v>В-00243/АЗ_Т-20211028/Ц</v>
          </cell>
          <cell r="B70" t="str">
            <v>Четверикова Ирина Алексеевна</v>
          </cell>
          <cell r="C70" t="str">
            <v>1 800</v>
          </cell>
          <cell r="D70">
            <v>43663</v>
          </cell>
          <cell r="E70">
            <v>3500000</v>
          </cell>
          <cell r="F70">
            <v>3500000</v>
          </cell>
          <cell r="G70">
            <v>1000000</v>
          </cell>
          <cell r="H70">
            <v>1000000</v>
          </cell>
          <cell r="I70">
            <v>2038300</v>
          </cell>
          <cell r="J70">
            <v>2038300</v>
          </cell>
          <cell r="K70">
            <v>461700</v>
          </cell>
        </row>
        <row r="71">
          <cell r="A71" t="str">
            <v>А-10087/КЭ.Транш - 1</v>
          </cell>
          <cell r="B71" t="str">
            <v>ИП Быданов Кирилл Владимирович</v>
          </cell>
          <cell r="C71" t="str">
            <v>1 799</v>
          </cell>
          <cell r="D71">
            <v>43664</v>
          </cell>
          <cell r="E71">
            <v>121403.21</v>
          </cell>
          <cell r="F71">
            <v>121403.21</v>
          </cell>
          <cell r="G71">
            <v>31830.47</v>
          </cell>
          <cell r="H71">
            <v>31830.47</v>
          </cell>
          <cell r="K71">
            <v>75941.259999999995</v>
          </cell>
        </row>
        <row r="72">
          <cell r="A72" t="str">
            <v>Т-01758/АЗ_В-21082023/Ц</v>
          </cell>
          <cell r="B72" t="str">
            <v>Иджян Соломон Сергеевич</v>
          </cell>
          <cell r="C72" t="str">
            <v>1 795</v>
          </cell>
          <cell r="D72">
            <v>43668</v>
          </cell>
          <cell r="E72">
            <v>1826668.22</v>
          </cell>
          <cell r="F72">
            <v>1826668.22</v>
          </cell>
          <cell r="G72">
            <v>490125.95</v>
          </cell>
          <cell r="H72">
            <v>490125.95</v>
          </cell>
          <cell r="I72">
            <v>1006141.33</v>
          </cell>
          <cell r="J72">
            <v>1006141.33</v>
          </cell>
          <cell r="K72">
            <v>320022.88</v>
          </cell>
        </row>
        <row r="73">
          <cell r="A73" t="str">
            <v>А-05346/АЗ_Т-20211028/Ц</v>
          </cell>
          <cell r="B73" t="str">
            <v>Баханцов Семен Владимирович</v>
          </cell>
          <cell r="C73" t="str">
            <v>1 783</v>
          </cell>
          <cell r="D73">
            <v>43680</v>
          </cell>
          <cell r="E73">
            <v>659884.5</v>
          </cell>
          <cell r="F73">
            <v>659884.5</v>
          </cell>
          <cell r="G73">
            <v>478000</v>
          </cell>
          <cell r="H73">
            <v>478000</v>
          </cell>
          <cell r="I73">
            <v>136197.26</v>
          </cell>
          <cell r="J73">
            <v>136197.26</v>
          </cell>
          <cell r="K73">
            <v>45687.24</v>
          </cell>
        </row>
        <row r="74">
          <cell r="A74" t="str">
            <v>В-00313/АЗ_Т-20211028/Ц</v>
          </cell>
          <cell r="B74" t="str">
            <v>Баханцов Семен Владимирович</v>
          </cell>
          <cell r="C74" t="str">
            <v>1 783</v>
          </cell>
          <cell r="D74">
            <v>43680</v>
          </cell>
          <cell r="E74">
            <v>217881.18</v>
          </cell>
          <cell r="F74">
            <v>217881.18</v>
          </cell>
          <cell r="G74">
            <v>142000</v>
          </cell>
          <cell r="H74">
            <v>142000</v>
          </cell>
          <cell r="I74">
            <v>62308.82</v>
          </cell>
          <cell r="J74">
            <v>62308.82</v>
          </cell>
          <cell r="K74">
            <v>13572.36</v>
          </cell>
        </row>
        <row r="75">
          <cell r="A75" t="str">
            <v>Т-01805/АЗ_Т-20211028/Ц</v>
          </cell>
          <cell r="B75" t="str">
            <v>Баханцов Семен Владимирович</v>
          </cell>
          <cell r="C75" t="str">
            <v>1 783</v>
          </cell>
          <cell r="D75">
            <v>43680</v>
          </cell>
          <cell r="E75">
            <v>138051.17000000001</v>
          </cell>
          <cell r="F75">
            <v>138051.17000000001</v>
          </cell>
          <cell r="G75">
            <v>100000</v>
          </cell>
          <cell r="H75">
            <v>100000</v>
          </cell>
          <cell r="I75">
            <v>28493.17</v>
          </cell>
          <cell r="J75">
            <v>28493.17</v>
          </cell>
          <cell r="K75">
            <v>9558</v>
          </cell>
        </row>
        <row r="76">
          <cell r="A76" t="str">
            <v>А-04404/АЗ</v>
          </cell>
          <cell r="B76" t="str">
            <v>Головатинский Лев Витальевич</v>
          </cell>
          <cell r="C76" t="str">
            <v>1 782</v>
          </cell>
          <cell r="D76">
            <v>43681</v>
          </cell>
          <cell r="E76">
            <v>215898.04</v>
          </cell>
          <cell r="F76">
            <v>215898.04</v>
          </cell>
          <cell r="I76">
            <v>195462.94</v>
          </cell>
          <cell r="J76">
            <v>195462.94</v>
          </cell>
          <cell r="K76">
            <v>8745.7099999999991</v>
          </cell>
        </row>
        <row r="77">
          <cell r="A77" t="str">
            <v>А-00379/КЭ.Транш - 2</v>
          </cell>
          <cell r="B77" t="str">
            <v>ВВТ-строй ООО</v>
          </cell>
          <cell r="C77" t="str">
            <v>1 762</v>
          </cell>
          <cell r="D77">
            <v>43701</v>
          </cell>
          <cell r="E77">
            <v>673.74</v>
          </cell>
          <cell r="F77">
            <v>673.74</v>
          </cell>
          <cell r="K77">
            <v>673.74</v>
          </cell>
        </row>
        <row r="78">
          <cell r="A78" t="str">
            <v>А-05087/АЗ</v>
          </cell>
          <cell r="B78" t="str">
            <v>Фролов Павел Викторович</v>
          </cell>
          <cell r="C78" t="str">
            <v>1 760</v>
          </cell>
          <cell r="D78">
            <v>43703</v>
          </cell>
          <cell r="E78">
            <v>669785.31999999995</v>
          </cell>
          <cell r="F78">
            <v>669785.31999999995</v>
          </cell>
          <cell r="G78">
            <v>232871.46</v>
          </cell>
          <cell r="H78">
            <v>232871.46</v>
          </cell>
          <cell r="I78">
            <v>432214.57</v>
          </cell>
          <cell r="J78">
            <v>432214.57</v>
          </cell>
          <cell r="K78">
            <v>1886.26</v>
          </cell>
        </row>
        <row r="79">
          <cell r="A79" t="str">
            <v>А-10032/КЭ.Транш - 1</v>
          </cell>
          <cell r="B79" t="str">
            <v>ИП Филатов Андрей Анатольевич</v>
          </cell>
          <cell r="C79" t="str">
            <v>1 747</v>
          </cell>
          <cell r="D79">
            <v>43716</v>
          </cell>
          <cell r="E79">
            <v>139624.44</v>
          </cell>
          <cell r="F79">
            <v>139624.44</v>
          </cell>
          <cell r="G79">
            <v>66449.03</v>
          </cell>
          <cell r="H79">
            <v>66449.03</v>
          </cell>
          <cell r="I79">
            <v>19996.599999999999</v>
          </cell>
          <cell r="J79">
            <v>19996.599999999999</v>
          </cell>
          <cell r="K79">
            <v>47178.81</v>
          </cell>
        </row>
        <row r="80">
          <cell r="A80" t="str">
            <v>В-00467/АЗ_В-20211230/Ц</v>
          </cell>
          <cell r="B80" t="str">
            <v>Хасанханов Абдул Юсупович</v>
          </cell>
          <cell r="C80" t="str">
            <v>1 732</v>
          </cell>
          <cell r="D80">
            <v>43731</v>
          </cell>
          <cell r="E80">
            <v>2325725.92</v>
          </cell>
          <cell r="F80">
            <v>2325725.92</v>
          </cell>
          <cell r="G80">
            <v>700000</v>
          </cell>
          <cell r="H80">
            <v>700000</v>
          </cell>
          <cell r="I80">
            <v>1279095.8799999999</v>
          </cell>
          <cell r="J80">
            <v>1279095.8799999999</v>
          </cell>
          <cell r="K80">
            <v>328104</v>
          </cell>
        </row>
        <row r="81">
          <cell r="A81" t="str">
            <v>А-00375/КЭ.Транш - 1</v>
          </cell>
          <cell r="B81" t="str">
            <v>Креатив дизайн ООО</v>
          </cell>
          <cell r="C81" t="str">
            <v>1 730</v>
          </cell>
          <cell r="D81">
            <v>43733</v>
          </cell>
          <cell r="E81">
            <v>261064.5</v>
          </cell>
          <cell r="F81">
            <v>261064.5</v>
          </cell>
          <cell r="G81">
            <v>84425.78</v>
          </cell>
          <cell r="H81">
            <v>84425.78</v>
          </cell>
          <cell r="I81">
            <v>114064.8</v>
          </cell>
          <cell r="J81">
            <v>114064.8</v>
          </cell>
          <cell r="K81">
            <v>58427.8</v>
          </cell>
        </row>
        <row r="82">
          <cell r="A82" t="str">
            <v>А-10032/КЭ.Транш - 2</v>
          </cell>
          <cell r="B82" t="str">
            <v>ИП Филатов Андрей Анатольевич</v>
          </cell>
          <cell r="C82" t="str">
            <v>1 728</v>
          </cell>
          <cell r="D82">
            <v>43735</v>
          </cell>
          <cell r="E82">
            <v>138326.04</v>
          </cell>
          <cell r="F82">
            <v>138326.04</v>
          </cell>
          <cell r="G82">
            <v>72954.47</v>
          </cell>
          <cell r="H82">
            <v>72954.47</v>
          </cell>
          <cell r="I82">
            <v>19487.849999999999</v>
          </cell>
          <cell r="J82">
            <v>19487.849999999999</v>
          </cell>
          <cell r="K82">
            <v>37936.32</v>
          </cell>
        </row>
        <row r="83">
          <cell r="A83" t="str">
            <v>В-00398/АЗ_В-21082023/Ц</v>
          </cell>
          <cell r="B83" t="str">
            <v>Казанцева Альбина Валерьевна</v>
          </cell>
          <cell r="C83" t="str">
            <v>1 726</v>
          </cell>
          <cell r="D83">
            <v>43737</v>
          </cell>
          <cell r="E83">
            <v>1479300.26</v>
          </cell>
          <cell r="F83">
            <v>1479300.26</v>
          </cell>
          <cell r="G83">
            <v>400000</v>
          </cell>
          <cell r="H83">
            <v>400000</v>
          </cell>
          <cell r="I83">
            <v>751762.59</v>
          </cell>
          <cell r="J83">
            <v>751762.59</v>
          </cell>
          <cell r="K83">
            <v>312768</v>
          </cell>
        </row>
        <row r="84">
          <cell r="A84" t="str">
            <v>А-10052/КЭ.Транш - 1</v>
          </cell>
          <cell r="B84" t="str">
            <v>Джи Би Пи ООО</v>
          </cell>
          <cell r="C84" t="str">
            <v>1 725</v>
          </cell>
          <cell r="D84">
            <v>43738</v>
          </cell>
          <cell r="E84">
            <v>14692.95</v>
          </cell>
          <cell r="F84">
            <v>14692.95</v>
          </cell>
          <cell r="K84">
            <v>14692.95</v>
          </cell>
        </row>
        <row r="85">
          <cell r="A85" t="str">
            <v>А-04401/АЗ</v>
          </cell>
          <cell r="B85" t="str">
            <v>Маргарян Эдгар Камоевич</v>
          </cell>
          <cell r="C85" t="str">
            <v>1 722</v>
          </cell>
          <cell r="D85">
            <v>43741</v>
          </cell>
          <cell r="E85">
            <v>953.73</v>
          </cell>
          <cell r="F85">
            <v>953.73</v>
          </cell>
          <cell r="K85">
            <v>953.73</v>
          </cell>
        </row>
        <row r="86">
          <cell r="A86" t="str">
            <v>А-10039/КЭ.Транш - 1</v>
          </cell>
          <cell r="B86" t="str">
            <v>ИП Фараджов Зейнал Алинаги Оглы</v>
          </cell>
          <cell r="C86" t="str">
            <v>1 719</v>
          </cell>
          <cell r="D86">
            <v>43744</v>
          </cell>
          <cell r="E86">
            <v>124538.53</v>
          </cell>
          <cell r="F86">
            <v>124538.53</v>
          </cell>
          <cell r="G86">
            <v>57325.65</v>
          </cell>
          <cell r="H86">
            <v>57325.65</v>
          </cell>
          <cell r="I86">
            <v>18042.09</v>
          </cell>
          <cell r="J86">
            <v>18042.09</v>
          </cell>
          <cell r="K86">
            <v>38981.440000000002</v>
          </cell>
        </row>
        <row r="87">
          <cell r="A87" t="str">
            <v>В-00469/АЗ_В-20211230/Ц</v>
          </cell>
          <cell r="B87" t="str">
            <v>Мачкалян Оганнес Саргисович</v>
          </cell>
          <cell r="C87" t="str">
            <v>1 715</v>
          </cell>
          <cell r="D87">
            <v>43748</v>
          </cell>
          <cell r="E87">
            <v>1375038.95</v>
          </cell>
          <cell r="F87">
            <v>1375038.95</v>
          </cell>
          <cell r="G87">
            <v>360000</v>
          </cell>
          <cell r="H87">
            <v>360000</v>
          </cell>
          <cell r="I87">
            <v>667469.57999999996</v>
          </cell>
          <cell r="J87">
            <v>667469.57999999996</v>
          </cell>
          <cell r="K87">
            <v>333396</v>
          </cell>
        </row>
        <row r="88">
          <cell r="A88" t="str">
            <v>А-05139/АЗ_В-21082023/Ц</v>
          </cell>
          <cell r="B88" t="str">
            <v>Гришенков Николай Викторович</v>
          </cell>
          <cell r="C88" t="str">
            <v>1 714</v>
          </cell>
          <cell r="D88">
            <v>43749</v>
          </cell>
          <cell r="E88">
            <v>945074.07</v>
          </cell>
          <cell r="F88">
            <v>945074.07</v>
          </cell>
          <cell r="G88">
            <v>230936.52</v>
          </cell>
          <cell r="H88">
            <v>230936.52</v>
          </cell>
          <cell r="I88">
            <v>483474.43</v>
          </cell>
          <cell r="J88">
            <v>483474.43</v>
          </cell>
          <cell r="K88">
            <v>218840.9</v>
          </cell>
        </row>
        <row r="89">
          <cell r="A89" t="str">
            <v>А-03641/АЗ</v>
          </cell>
          <cell r="B89" t="str">
            <v>Дам Вихерс Юлия Владимировна</v>
          </cell>
          <cell r="C89" t="str">
            <v>1 711</v>
          </cell>
          <cell r="D89">
            <v>43752</v>
          </cell>
          <cell r="E89">
            <v>83078.25</v>
          </cell>
          <cell r="F89">
            <v>83078.25</v>
          </cell>
          <cell r="G89">
            <v>39486.800000000003</v>
          </cell>
          <cell r="H89">
            <v>39486.800000000003</v>
          </cell>
          <cell r="I89">
            <v>7160.01</v>
          </cell>
          <cell r="J89">
            <v>7160.01</v>
          </cell>
          <cell r="K89">
            <v>36431.440000000002</v>
          </cell>
        </row>
        <row r="90">
          <cell r="A90" t="str">
            <v>Т-01799/АЗ_В-20211230/Ц</v>
          </cell>
          <cell r="B90" t="str">
            <v>Сорокин Александр Вадимович</v>
          </cell>
          <cell r="C90" t="str">
            <v>1 706</v>
          </cell>
          <cell r="D90">
            <v>43757</v>
          </cell>
          <cell r="E90">
            <v>1604893.98</v>
          </cell>
          <cell r="F90">
            <v>1604893.98</v>
          </cell>
          <cell r="G90">
            <v>439671.01</v>
          </cell>
          <cell r="H90">
            <v>439671.01</v>
          </cell>
          <cell r="I90">
            <v>744802.69</v>
          </cell>
          <cell r="J90">
            <v>744802.69</v>
          </cell>
          <cell r="K90">
            <v>405042.53</v>
          </cell>
        </row>
        <row r="91">
          <cell r="A91" t="str">
            <v>В-00457/АЗ_Т-20211028/Ц</v>
          </cell>
          <cell r="B91" t="str">
            <v>Жарков Камиль Орифжонович</v>
          </cell>
          <cell r="C91" t="str">
            <v>1 705</v>
          </cell>
          <cell r="D91">
            <v>43758</v>
          </cell>
          <cell r="E91">
            <v>1444425.91</v>
          </cell>
          <cell r="F91">
            <v>1444425.91</v>
          </cell>
          <cell r="G91">
            <v>444998.76</v>
          </cell>
          <cell r="H91">
            <v>444998.76</v>
          </cell>
          <cell r="I91">
            <v>832177.9</v>
          </cell>
          <cell r="J91">
            <v>832177.9</v>
          </cell>
          <cell r="K91">
            <v>167249.25</v>
          </cell>
        </row>
        <row r="92">
          <cell r="A92" t="str">
            <v>В-00147/АЗ_Т-20211028/Ц</v>
          </cell>
          <cell r="B92" t="str">
            <v>Миронов Александр Александрович</v>
          </cell>
          <cell r="C92" t="str">
            <v>1 704</v>
          </cell>
          <cell r="D92">
            <v>43759</v>
          </cell>
          <cell r="E92">
            <v>614954.91</v>
          </cell>
          <cell r="F92">
            <v>614954.91</v>
          </cell>
          <cell r="G92">
            <v>173191.3</v>
          </cell>
          <cell r="H92">
            <v>173191.3</v>
          </cell>
          <cell r="I92">
            <v>282399.90000000002</v>
          </cell>
          <cell r="J92">
            <v>282399.90000000002</v>
          </cell>
          <cell r="K92">
            <v>159363.71</v>
          </cell>
        </row>
        <row r="93">
          <cell r="A93" t="str">
            <v>В-00232/КЛ.Транш - 1_Т-20211028/Ц</v>
          </cell>
          <cell r="B93" t="str">
            <v>Островский Кирилл Эдуардович</v>
          </cell>
          <cell r="C93" t="str">
            <v>1 701</v>
          </cell>
          <cell r="D93">
            <v>43762</v>
          </cell>
          <cell r="E93">
            <v>883014.18</v>
          </cell>
          <cell r="F93">
            <v>883014.18</v>
          </cell>
          <cell r="G93">
            <v>283014.18</v>
          </cell>
          <cell r="H93">
            <v>283014.18</v>
          </cell>
          <cell r="I93">
            <v>476045.78</v>
          </cell>
          <cell r="J93">
            <v>476045.78</v>
          </cell>
          <cell r="K93">
            <v>123954.22</v>
          </cell>
        </row>
        <row r="94">
          <cell r="A94" t="str">
            <v>В-00271/АЗ_Т-20211028/Ц</v>
          </cell>
          <cell r="B94" t="str">
            <v>Снегирёв Сергей Викторович</v>
          </cell>
          <cell r="C94" t="str">
            <v>1 701</v>
          </cell>
          <cell r="D94">
            <v>43762</v>
          </cell>
          <cell r="E94">
            <v>443693.61</v>
          </cell>
          <cell r="F94">
            <v>443693.61</v>
          </cell>
          <cell r="G94">
            <v>160000</v>
          </cell>
          <cell r="H94">
            <v>160000</v>
          </cell>
          <cell r="I94">
            <v>258858.09</v>
          </cell>
          <cell r="J94">
            <v>258858.09</v>
          </cell>
          <cell r="K94">
            <v>13305.6</v>
          </cell>
        </row>
        <row r="95">
          <cell r="A95" t="str">
            <v>А-05308/АЗ_В-20211230/Ц</v>
          </cell>
          <cell r="B95" t="str">
            <v>Конокотин Леонид Викторович</v>
          </cell>
          <cell r="C95" t="str">
            <v>1 696</v>
          </cell>
          <cell r="D95">
            <v>43767</v>
          </cell>
          <cell r="E95">
            <v>993684.7</v>
          </cell>
          <cell r="F95">
            <v>993684.7</v>
          </cell>
          <cell r="G95">
            <v>272000</v>
          </cell>
          <cell r="H95">
            <v>272000</v>
          </cell>
          <cell r="I95">
            <v>455029.94</v>
          </cell>
          <cell r="J95">
            <v>455029.94</v>
          </cell>
          <cell r="K95">
            <v>253661.76</v>
          </cell>
        </row>
        <row r="96">
          <cell r="A96" t="str">
            <v>А-10090/КЭ.Транш - 2</v>
          </cell>
          <cell r="B96" t="str">
            <v>СЕВЕРНЫЙ ФЛОТ ООО</v>
          </cell>
          <cell r="C96" t="str">
            <v>1 690</v>
          </cell>
          <cell r="D96">
            <v>43773</v>
          </cell>
          <cell r="E96">
            <v>2170917.31</v>
          </cell>
          <cell r="F96">
            <v>2170917.31</v>
          </cell>
          <cell r="G96">
            <v>80174.179999999993</v>
          </cell>
          <cell r="H96">
            <v>80174.179999999993</v>
          </cell>
          <cell r="I96">
            <v>61821.98</v>
          </cell>
          <cell r="J96">
            <v>61821.98</v>
          </cell>
          <cell r="K96">
            <v>2028921.15</v>
          </cell>
        </row>
        <row r="97">
          <cell r="A97" t="str">
            <v>А-05349/АЗ_В-20211230/Ц</v>
          </cell>
          <cell r="B97" t="str">
            <v>Осетров Олег Андреевич</v>
          </cell>
          <cell r="C97" t="str">
            <v>1 689</v>
          </cell>
          <cell r="D97">
            <v>43774</v>
          </cell>
          <cell r="E97">
            <v>1761648.32</v>
          </cell>
          <cell r="F97">
            <v>1761648.32</v>
          </cell>
          <cell r="G97">
            <v>488679.8</v>
          </cell>
          <cell r="H97">
            <v>488679.8</v>
          </cell>
          <cell r="I97">
            <v>811328.97</v>
          </cell>
          <cell r="J97">
            <v>811328.97</v>
          </cell>
          <cell r="K97">
            <v>445705.3</v>
          </cell>
        </row>
        <row r="98">
          <cell r="A98" t="str">
            <v>В-00103/КЛ.Транш - 1_В-20211230/Ц</v>
          </cell>
          <cell r="B98" t="str">
            <v>Кучевский Сергей Геннадьевич</v>
          </cell>
          <cell r="C98" t="str">
            <v>1 687</v>
          </cell>
          <cell r="D98">
            <v>43776</v>
          </cell>
          <cell r="E98">
            <v>1820918.04</v>
          </cell>
          <cell r="F98">
            <v>1820918.04</v>
          </cell>
          <cell r="G98">
            <v>493291</v>
          </cell>
          <cell r="H98">
            <v>493291</v>
          </cell>
          <cell r="I98">
            <v>861162.65</v>
          </cell>
          <cell r="J98">
            <v>861162.65</v>
          </cell>
          <cell r="K98">
            <v>449378.24</v>
          </cell>
        </row>
        <row r="99">
          <cell r="A99" t="str">
            <v>В-00428/АЗ_В-21082023/Ц</v>
          </cell>
          <cell r="B99" t="str">
            <v>Алимирзаев Мурад Нурмагомедович</v>
          </cell>
          <cell r="C99" t="str">
            <v>1 685</v>
          </cell>
          <cell r="D99">
            <v>43778</v>
          </cell>
          <cell r="E99">
            <v>201077.58</v>
          </cell>
          <cell r="F99">
            <v>201077.58</v>
          </cell>
          <cell r="I99">
            <v>122539.74</v>
          </cell>
          <cell r="J99">
            <v>122539.74</v>
          </cell>
          <cell r="K99">
            <v>67805.23</v>
          </cell>
        </row>
        <row r="100">
          <cell r="A100" t="str">
            <v>В-00763/КЛ.Транш - 1_В-21082023/Ц</v>
          </cell>
          <cell r="B100" t="str">
            <v>Харламов Артем Сергеевич</v>
          </cell>
          <cell r="C100" t="str">
            <v>1 685</v>
          </cell>
          <cell r="D100">
            <v>43778</v>
          </cell>
          <cell r="E100">
            <v>757316.77</v>
          </cell>
          <cell r="F100">
            <v>757316.77</v>
          </cell>
          <cell r="G100">
            <v>210000</v>
          </cell>
          <cell r="H100">
            <v>210000</v>
          </cell>
          <cell r="I100">
            <v>378414.25</v>
          </cell>
          <cell r="J100">
            <v>378414.25</v>
          </cell>
          <cell r="K100">
            <v>156605.4</v>
          </cell>
        </row>
        <row r="101">
          <cell r="A101" t="str">
            <v>А-30002/КЭ.Транш - 1</v>
          </cell>
          <cell r="B101" t="str">
            <v>ИП Клименченко Ирина Анатольевна</v>
          </cell>
          <cell r="C101" t="str">
            <v>1 681</v>
          </cell>
          <cell r="D101">
            <v>43782</v>
          </cell>
          <cell r="E101">
            <v>468673.96</v>
          </cell>
          <cell r="F101">
            <v>468673.96</v>
          </cell>
          <cell r="G101">
            <v>248066.47</v>
          </cell>
          <cell r="H101">
            <v>248066.47</v>
          </cell>
          <cell r="I101">
            <v>144014.49</v>
          </cell>
          <cell r="J101">
            <v>144014.49</v>
          </cell>
          <cell r="K101">
            <v>60000</v>
          </cell>
        </row>
        <row r="102">
          <cell r="A102" t="str">
            <v>В-00622/АЗ_Т-20211028/Ц</v>
          </cell>
          <cell r="B102" t="str">
            <v>Манукян Вардан Эмильевич</v>
          </cell>
          <cell r="C102" t="str">
            <v>1 671</v>
          </cell>
          <cell r="D102">
            <v>43792</v>
          </cell>
          <cell r="E102">
            <v>708064.14</v>
          </cell>
          <cell r="F102">
            <v>708064.14</v>
          </cell>
          <cell r="G102">
            <v>146321.1</v>
          </cell>
          <cell r="H102">
            <v>146321.1</v>
          </cell>
          <cell r="I102">
            <v>358841.1</v>
          </cell>
          <cell r="J102">
            <v>358841.1</v>
          </cell>
          <cell r="K102">
            <v>202901.94</v>
          </cell>
        </row>
        <row r="103">
          <cell r="A103" t="str">
            <v>В-01023/КЛ.Транш - 1_В-21082023/Ц</v>
          </cell>
          <cell r="B103" t="str">
            <v>Муллоев Хошимчон Пулотович</v>
          </cell>
          <cell r="C103" t="str">
            <v>1 671</v>
          </cell>
          <cell r="D103">
            <v>43792</v>
          </cell>
          <cell r="E103">
            <v>352041.46</v>
          </cell>
          <cell r="F103">
            <v>352041.46</v>
          </cell>
          <cell r="G103">
            <v>100000</v>
          </cell>
          <cell r="H103">
            <v>100000</v>
          </cell>
          <cell r="I103">
            <v>167975.37</v>
          </cell>
          <cell r="J103">
            <v>167975.37</v>
          </cell>
          <cell r="K103">
            <v>73818</v>
          </cell>
        </row>
        <row r="104">
          <cell r="A104" t="str">
            <v>В-00395/АЗ_В-20211230/Ц</v>
          </cell>
          <cell r="B104" t="str">
            <v>Сарибаева Эльнара Исмаиловна</v>
          </cell>
          <cell r="C104" t="str">
            <v>1 665</v>
          </cell>
          <cell r="D104">
            <v>43798</v>
          </cell>
          <cell r="E104">
            <v>1973559.46</v>
          </cell>
          <cell r="F104">
            <v>1973559.46</v>
          </cell>
          <cell r="G104">
            <v>539654.49</v>
          </cell>
          <cell r="H104">
            <v>539654.49</v>
          </cell>
          <cell r="I104">
            <v>930587.81</v>
          </cell>
          <cell r="J104">
            <v>930587.81</v>
          </cell>
          <cell r="K104">
            <v>485805.57</v>
          </cell>
        </row>
        <row r="105">
          <cell r="A105" t="str">
            <v>В-00638/АЗ_В-21082023/Ц</v>
          </cell>
          <cell r="B105" t="str">
            <v>Сапрыкин Сергей Владимирович</v>
          </cell>
          <cell r="C105" t="str">
            <v>1 665</v>
          </cell>
          <cell r="D105">
            <v>43798</v>
          </cell>
          <cell r="E105">
            <v>674038.24</v>
          </cell>
          <cell r="F105">
            <v>674038.24</v>
          </cell>
          <cell r="G105">
            <v>203000</v>
          </cell>
          <cell r="H105">
            <v>203000</v>
          </cell>
          <cell r="I105">
            <v>309778</v>
          </cell>
          <cell r="J105">
            <v>309778</v>
          </cell>
          <cell r="K105">
            <v>149192.82</v>
          </cell>
        </row>
        <row r="106">
          <cell r="A106" t="str">
            <v>А-00410/КЭ.Транш - 1</v>
          </cell>
          <cell r="B106" t="str">
            <v>Союзметиз ООО</v>
          </cell>
          <cell r="C106" t="str">
            <v>1 658</v>
          </cell>
          <cell r="D106">
            <v>43805</v>
          </cell>
          <cell r="E106">
            <v>3189968</v>
          </cell>
          <cell r="F106">
            <v>3189968</v>
          </cell>
          <cell r="I106">
            <v>102094.24</v>
          </cell>
          <cell r="J106">
            <v>102094.24</v>
          </cell>
          <cell r="K106">
            <v>3087873.76</v>
          </cell>
        </row>
        <row r="107">
          <cell r="A107" t="str">
            <v>В-01371/КЛ.Транш - 1_В-21082023/Ц</v>
          </cell>
          <cell r="B107" t="str">
            <v>Щербаков Сергей Валерьевич</v>
          </cell>
          <cell r="C107" t="str">
            <v>1 652</v>
          </cell>
          <cell r="D107">
            <v>43811</v>
          </cell>
          <cell r="E107">
            <v>281699.93</v>
          </cell>
          <cell r="F107">
            <v>281699.93</v>
          </cell>
          <cell r="I107">
            <v>199202.12</v>
          </cell>
          <cell r="J107">
            <v>199202.12</v>
          </cell>
          <cell r="K107">
            <v>70353.36</v>
          </cell>
        </row>
        <row r="108">
          <cell r="A108" t="str">
            <v>В-00038/АЗ_В-21082023/Ц</v>
          </cell>
          <cell r="B108" t="str">
            <v>Ананчев Ефим Иванович</v>
          </cell>
          <cell r="C108" t="str">
            <v>1 649</v>
          </cell>
          <cell r="D108">
            <v>43814</v>
          </cell>
          <cell r="E108">
            <v>351596.88</v>
          </cell>
          <cell r="F108">
            <v>351596.88</v>
          </cell>
          <cell r="G108">
            <v>210366.49</v>
          </cell>
          <cell r="H108">
            <v>210366.49</v>
          </cell>
          <cell r="I108">
            <v>117147.63</v>
          </cell>
          <cell r="J108">
            <v>117147.63</v>
          </cell>
          <cell r="K108">
            <v>24082.76</v>
          </cell>
        </row>
        <row r="109">
          <cell r="A109" t="str">
            <v>А-00357/КЭ.Транш - 1</v>
          </cell>
          <cell r="B109" t="str">
            <v>ИП Чермошенцева Галина Сергеевна</v>
          </cell>
          <cell r="C109" t="str">
            <v>1 648</v>
          </cell>
          <cell r="D109">
            <v>43815</v>
          </cell>
          <cell r="E109">
            <v>202923.56</v>
          </cell>
          <cell r="F109">
            <v>202923.56</v>
          </cell>
          <cell r="G109">
            <v>85124.79</v>
          </cell>
          <cell r="H109">
            <v>85124.79</v>
          </cell>
          <cell r="I109">
            <v>75341.27</v>
          </cell>
          <cell r="J109">
            <v>75341.27</v>
          </cell>
          <cell r="K109">
            <v>25586</v>
          </cell>
        </row>
        <row r="110">
          <cell r="A110" t="str">
            <v>А-00389/КЭ.Транш - 2</v>
          </cell>
          <cell r="B110" t="str">
            <v>ИП Грозин Андрей Викторович</v>
          </cell>
          <cell r="C110" t="str">
            <v>1 646</v>
          </cell>
          <cell r="D110">
            <v>43817</v>
          </cell>
          <cell r="E110">
            <v>338761.07</v>
          </cell>
          <cell r="F110">
            <v>338761.07</v>
          </cell>
          <cell r="G110">
            <v>145652.06</v>
          </cell>
          <cell r="H110">
            <v>145652.06</v>
          </cell>
          <cell r="I110">
            <v>66492.75</v>
          </cell>
          <cell r="J110">
            <v>66492.75</v>
          </cell>
          <cell r="K110">
            <v>126616.26</v>
          </cell>
        </row>
        <row r="111">
          <cell r="A111" t="str">
            <v>В-00948/КЛ.Транш - 1_В-21082023/Ц</v>
          </cell>
          <cell r="B111" t="str">
            <v>Беляев Алексей Васильевич</v>
          </cell>
          <cell r="C111" t="str">
            <v>1 645</v>
          </cell>
          <cell r="D111">
            <v>43818</v>
          </cell>
          <cell r="E111">
            <v>259761.5</v>
          </cell>
          <cell r="F111">
            <v>259761.5</v>
          </cell>
          <cell r="G111">
            <v>93708.06</v>
          </cell>
          <cell r="H111">
            <v>93708.06</v>
          </cell>
          <cell r="I111">
            <v>87668.47</v>
          </cell>
          <cell r="J111">
            <v>87668.47</v>
          </cell>
          <cell r="K111">
            <v>68313.960000000006</v>
          </cell>
        </row>
        <row r="112">
          <cell r="A112" t="str">
            <v>В-00986/КЛ.Транш - 1_В-21082023/Ц</v>
          </cell>
          <cell r="B112" t="str">
            <v>Захаров Евгений Николаевич 2</v>
          </cell>
          <cell r="C112" t="str">
            <v>1 643</v>
          </cell>
          <cell r="D112">
            <v>43820</v>
          </cell>
          <cell r="E112">
            <v>1422436.64</v>
          </cell>
          <cell r="F112">
            <v>1422436.64</v>
          </cell>
          <cell r="G112">
            <v>741347.48</v>
          </cell>
          <cell r="H112">
            <v>741347.48</v>
          </cell>
          <cell r="I112">
            <v>538710.65</v>
          </cell>
          <cell r="J112">
            <v>538710.65</v>
          </cell>
          <cell r="K112">
            <v>121699.6</v>
          </cell>
        </row>
        <row r="113">
          <cell r="A113" t="str">
            <v>А-05231/АЗ</v>
          </cell>
          <cell r="B113" t="str">
            <v>Самохин Алексей Владимирович</v>
          </cell>
          <cell r="C113" t="str">
            <v>1 637</v>
          </cell>
          <cell r="D113">
            <v>43826</v>
          </cell>
          <cell r="E113">
            <v>82798.570000000007</v>
          </cell>
          <cell r="F113">
            <v>82798.570000000007</v>
          </cell>
          <cell r="I113">
            <v>17899.7</v>
          </cell>
          <cell r="J113">
            <v>17899.7</v>
          </cell>
          <cell r="K113">
            <v>64898.87</v>
          </cell>
        </row>
        <row r="114">
          <cell r="A114" t="str">
            <v>А-05305/АЗ_В-21082023/Ц</v>
          </cell>
          <cell r="B114" t="str">
            <v>Ермишин Сергей Михайлович</v>
          </cell>
          <cell r="C114" t="str">
            <v>1 637</v>
          </cell>
          <cell r="D114">
            <v>43826</v>
          </cell>
          <cell r="E114">
            <v>326425.28999999998</v>
          </cell>
          <cell r="F114">
            <v>326425.28999999998</v>
          </cell>
          <cell r="G114">
            <v>85410.54</v>
          </cell>
          <cell r="H114">
            <v>85410.54</v>
          </cell>
          <cell r="I114">
            <v>155711.14000000001</v>
          </cell>
          <cell r="J114">
            <v>155711.14000000001</v>
          </cell>
          <cell r="K114">
            <v>79303.61</v>
          </cell>
        </row>
        <row r="115">
          <cell r="A115" t="str">
            <v>В-00085/АЗ_В-21082023/Ц</v>
          </cell>
          <cell r="B115" t="str">
            <v>Ермишин Сергей Михайлович</v>
          </cell>
          <cell r="C115" t="str">
            <v>1 637</v>
          </cell>
          <cell r="D115">
            <v>43826</v>
          </cell>
          <cell r="E115">
            <v>1072818.08</v>
          </cell>
          <cell r="F115">
            <v>1072818.08</v>
          </cell>
          <cell r="I115">
            <v>364972.72</v>
          </cell>
          <cell r="J115">
            <v>364972.72</v>
          </cell>
          <cell r="K115">
            <v>690892.75</v>
          </cell>
        </row>
        <row r="116">
          <cell r="A116" t="str">
            <v>А-00281/КЭ.Транш - 3</v>
          </cell>
          <cell r="B116" t="str">
            <v>ИП Грозин Андрей Викторович</v>
          </cell>
          <cell r="C116" t="str">
            <v>1 636</v>
          </cell>
          <cell r="D116">
            <v>43827</v>
          </cell>
          <cell r="E116">
            <v>239318.89</v>
          </cell>
          <cell r="F116">
            <v>239318.89</v>
          </cell>
          <cell r="G116">
            <v>114053.82</v>
          </cell>
          <cell r="H116">
            <v>114053.82</v>
          </cell>
          <cell r="I116">
            <v>51996.07</v>
          </cell>
          <cell r="J116">
            <v>51996.07</v>
          </cell>
          <cell r="K116">
            <v>60000</v>
          </cell>
        </row>
        <row r="117">
          <cell r="A117" t="str">
            <v>В-00175/АЗ_Т-20211028/Ц</v>
          </cell>
          <cell r="B117" t="str">
            <v>Лысяк Яна Вадимовна</v>
          </cell>
          <cell r="C117" t="str">
            <v>1 636</v>
          </cell>
          <cell r="D117">
            <v>43827</v>
          </cell>
          <cell r="E117">
            <v>433663.74</v>
          </cell>
          <cell r="F117">
            <v>433663.74</v>
          </cell>
          <cell r="G117">
            <v>379699.27</v>
          </cell>
          <cell r="H117">
            <v>379699.27</v>
          </cell>
          <cell r="I117">
            <v>6361.5</v>
          </cell>
          <cell r="J117">
            <v>6361.5</v>
          </cell>
          <cell r="K117">
            <v>33222.589999999997</v>
          </cell>
        </row>
        <row r="118">
          <cell r="A118" t="str">
            <v>В-00477/АЗ_В-21082023/Ц</v>
          </cell>
          <cell r="B118" t="str">
            <v>Каверин Владимир Геннадьевич</v>
          </cell>
          <cell r="C118" t="str">
            <v>1 636</v>
          </cell>
          <cell r="D118">
            <v>43827</v>
          </cell>
          <cell r="E118">
            <v>1339945.97</v>
          </cell>
          <cell r="F118">
            <v>1339945.97</v>
          </cell>
          <cell r="I118">
            <v>852039.39</v>
          </cell>
          <cell r="J118">
            <v>852039.39</v>
          </cell>
          <cell r="K118">
            <v>468481.78</v>
          </cell>
        </row>
        <row r="119">
          <cell r="A119" t="str">
            <v>А-04119/АЗ</v>
          </cell>
          <cell r="B119" t="str">
            <v>Данилин Дмитрий Павлович</v>
          </cell>
          <cell r="C119" t="str">
            <v>1 635</v>
          </cell>
          <cell r="D119">
            <v>43828</v>
          </cell>
          <cell r="E119">
            <v>624920.93000000005</v>
          </cell>
          <cell r="F119">
            <v>624920.93000000005</v>
          </cell>
          <cell r="G119">
            <v>210743.64</v>
          </cell>
          <cell r="H119">
            <v>210743.64</v>
          </cell>
          <cell r="I119">
            <v>240421.97</v>
          </cell>
          <cell r="J119">
            <v>240421.97</v>
          </cell>
          <cell r="K119">
            <v>173755.32</v>
          </cell>
        </row>
        <row r="120">
          <cell r="A120" t="str">
            <v>В-01175/КЛ.Транш - 1_В-20211230/Ц</v>
          </cell>
          <cell r="B120" t="str">
            <v>Васильева Екатерина Николаевна</v>
          </cell>
          <cell r="C120" t="str">
            <v>1 632</v>
          </cell>
          <cell r="D120">
            <v>43831</v>
          </cell>
          <cell r="E120">
            <v>2308941.2799999998</v>
          </cell>
          <cell r="F120">
            <v>2308941.2799999998</v>
          </cell>
          <cell r="G120">
            <v>690483.81</v>
          </cell>
          <cell r="H120">
            <v>690483.81</v>
          </cell>
          <cell r="I120">
            <v>996993.76</v>
          </cell>
          <cell r="J120">
            <v>996993.76</v>
          </cell>
          <cell r="K120">
            <v>602201.37</v>
          </cell>
        </row>
        <row r="121">
          <cell r="A121" t="str">
            <v>В-00660/АЗ_В-20211230/Ц</v>
          </cell>
          <cell r="B121" t="str">
            <v>Казеев Радмир Рамирович</v>
          </cell>
          <cell r="C121" t="str">
            <v>1 627</v>
          </cell>
          <cell r="D121">
            <v>43836</v>
          </cell>
          <cell r="E121">
            <v>2503309.6</v>
          </cell>
          <cell r="F121">
            <v>2503309.6</v>
          </cell>
          <cell r="G121">
            <v>728728.05</v>
          </cell>
          <cell r="H121">
            <v>728728.05</v>
          </cell>
          <cell r="I121">
            <v>1114554.6100000001</v>
          </cell>
          <cell r="J121">
            <v>1114554.6100000001</v>
          </cell>
          <cell r="K121">
            <v>640245.89</v>
          </cell>
        </row>
        <row r="122">
          <cell r="A122" t="str">
            <v>В-00598/АЗ_В-20211230/Ц</v>
          </cell>
          <cell r="B122" t="str">
            <v>Недялков Алексей Иванович</v>
          </cell>
          <cell r="C122" t="str">
            <v>1 616</v>
          </cell>
          <cell r="D122">
            <v>43847</v>
          </cell>
          <cell r="E122">
            <v>474203.59</v>
          </cell>
          <cell r="F122">
            <v>474203.59</v>
          </cell>
          <cell r="I122">
            <v>311163.2</v>
          </cell>
          <cell r="J122">
            <v>311163.2</v>
          </cell>
          <cell r="K122">
            <v>150313.59</v>
          </cell>
        </row>
        <row r="123">
          <cell r="A123" t="str">
            <v>А-04223/АЗ</v>
          </cell>
          <cell r="B123" t="str">
            <v>Желядинов Рустам Максутович</v>
          </cell>
          <cell r="C123" t="str">
            <v>1 614</v>
          </cell>
          <cell r="D123">
            <v>43849</v>
          </cell>
          <cell r="E123">
            <v>276076.81</v>
          </cell>
          <cell r="F123">
            <v>276076.81</v>
          </cell>
          <cell r="G123">
            <v>78920.72</v>
          </cell>
          <cell r="H123">
            <v>78920.72</v>
          </cell>
          <cell r="I123">
            <v>129549.08</v>
          </cell>
          <cell r="J123">
            <v>129549.08</v>
          </cell>
          <cell r="K123">
            <v>67607.009999999995</v>
          </cell>
        </row>
        <row r="124">
          <cell r="A124" t="str">
            <v>В-02110/КЛ.Транш - 1_В-21082023/Ц</v>
          </cell>
          <cell r="B124" t="str">
            <v>Саликов Альберт Якубович</v>
          </cell>
          <cell r="C124" t="str">
            <v>1 614</v>
          </cell>
          <cell r="D124">
            <v>43849</v>
          </cell>
          <cell r="E124">
            <v>461334.02</v>
          </cell>
          <cell r="F124">
            <v>461334.02</v>
          </cell>
          <cell r="G124">
            <v>150000</v>
          </cell>
          <cell r="H124">
            <v>150000</v>
          </cell>
          <cell r="I124">
            <v>213600</v>
          </cell>
          <cell r="J124">
            <v>213600</v>
          </cell>
          <cell r="K124">
            <v>86400</v>
          </cell>
        </row>
        <row r="125">
          <cell r="A125" t="str">
            <v>В-00046/АЗ_В-21082023/Ц</v>
          </cell>
          <cell r="B125" t="str">
            <v>Аванесян Виген Эмикович</v>
          </cell>
          <cell r="C125" t="str">
            <v>1 611</v>
          </cell>
          <cell r="D125">
            <v>43852</v>
          </cell>
          <cell r="E125">
            <v>632756.14</v>
          </cell>
          <cell r="F125">
            <v>632756.14</v>
          </cell>
          <cell r="G125">
            <v>224017</v>
          </cell>
          <cell r="H125">
            <v>224017</v>
          </cell>
          <cell r="I125">
            <v>292185.13</v>
          </cell>
          <cell r="J125">
            <v>292185.13</v>
          </cell>
          <cell r="K125">
            <v>104142.85</v>
          </cell>
        </row>
        <row r="126">
          <cell r="A126" t="str">
            <v>А-00049/БЭ</v>
          </cell>
          <cell r="B126" t="str">
            <v>Потороченков Игорь Сергеевич</v>
          </cell>
          <cell r="C126" t="str">
            <v>1 607</v>
          </cell>
          <cell r="D126">
            <v>43856</v>
          </cell>
          <cell r="E126">
            <v>373342.56</v>
          </cell>
          <cell r="F126">
            <v>373342.56</v>
          </cell>
          <cell r="G126">
            <v>93799.11</v>
          </cell>
          <cell r="H126">
            <v>93799.11</v>
          </cell>
          <cell r="I126">
            <v>197952.66</v>
          </cell>
          <cell r="J126">
            <v>197952.66</v>
          </cell>
          <cell r="K126">
            <v>81590.789999999994</v>
          </cell>
        </row>
        <row r="127">
          <cell r="A127" t="str">
            <v>В-00678/КЛ.Транш - 1_В-21082023/Ц</v>
          </cell>
          <cell r="B127" t="str">
            <v>Заргаров Насиб Зияддин Оглы</v>
          </cell>
          <cell r="C127" t="str">
            <v>1 600</v>
          </cell>
          <cell r="D127">
            <v>43863</v>
          </cell>
          <cell r="E127">
            <v>297142.8</v>
          </cell>
          <cell r="F127">
            <v>297142.8</v>
          </cell>
          <cell r="G127">
            <v>86908.13</v>
          </cell>
          <cell r="H127">
            <v>86908.13</v>
          </cell>
          <cell r="I127">
            <v>139604.97</v>
          </cell>
          <cell r="J127">
            <v>139604.97</v>
          </cell>
          <cell r="K127">
            <v>60821.79</v>
          </cell>
        </row>
        <row r="128">
          <cell r="A128" t="str">
            <v>А-10081/КЭ.Транш - 4</v>
          </cell>
          <cell r="B128" t="str">
            <v>"Хорошо" ООО</v>
          </cell>
          <cell r="C128" t="str">
            <v>1 598</v>
          </cell>
          <cell r="D128">
            <v>43865</v>
          </cell>
          <cell r="E128">
            <v>9609.5300000000007</v>
          </cell>
          <cell r="F128">
            <v>9609.5300000000007</v>
          </cell>
          <cell r="K128">
            <v>9609.5300000000007</v>
          </cell>
        </row>
        <row r="129">
          <cell r="A129" t="str">
            <v>В-00823/АЗ_В-21082023/Ц</v>
          </cell>
          <cell r="B129" t="str">
            <v>Иванец Дмитрий Андреевич</v>
          </cell>
          <cell r="C129" t="str">
            <v>1 586</v>
          </cell>
          <cell r="D129">
            <v>43877</v>
          </cell>
          <cell r="E129">
            <v>954056.82</v>
          </cell>
          <cell r="F129">
            <v>954056.82</v>
          </cell>
          <cell r="G129">
            <v>300000</v>
          </cell>
          <cell r="H129">
            <v>300000</v>
          </cell>
          <cell r="I129">
            <v>432887.65</v>
          </cell>
          <cell r="J129">
            <v>432887.65</v>
          </cell>
          <cell r="K129">
            <v>207684</v>
          </cell>
        </row>
        <row r="130">
          <cell r="A130" t="str">
            <v>В-00249/АЗ_В-21082023/Ц</v>
          </cell>
          <cell r="B130" t="str">
            <v>Хотенова Елена Витальевна</v>
          </cell>
          <cell r="C130" t="str">
            <v>1 584</v>
          </cell>
          <cell r="D130">
            <v>43879</v>
          </cell>
          <cell r="E130">
            <v>407566.77</v>
          </cell>
          <cell r="F130">
            <v>407566.77</v>
          </cell>
          <cell r="G130">
            <v>307111.43</v>
          </cell>
          <cell r="H130">
            <v>307111.43</v>
          </cell>
          <cell r="K130">
            <v>83077.39</v>
          </cell>
        </row>
        <row r="131">
          <cell r="A131" t="str">
            <v>В-00837/АЗ_В-21082023/Ц</v>
          </cell>
          <cell r="B131" t="str">
            <v>Гребнев Юрий Александрович</v>
          </cell>
          <cell r="C131" t="str">
            <v>1 582</v>
          </cell>
          <cell r="D131">
            <v>43881</v>
          </cell>
          <cell r="E131">
            <v>1524530.49</v>
          </cell>
          <cell r="F131">
            <v>1524530.49</v>
          </cell>
          <cell r="G131">
            <v>525000</v>
          </cell>
          <cell r="H131">
            <v>525000</v>
          </cell>
          <cell r="I131">
            <v>630408.81000000006</v>
          </cell>
          <cell r="J131">
            <v>630408.81000000006</v>
          </cell>
          <cell r="K131">
            <v>362313</v>
          </cell>
        </row>
        <row r="132">
          <cell r="A132" t="str">
            <v>В-00838/АЗ_В-21082023/Ц</v>
          </cell>
          <cell r="B132" t="str">
            <v>Гребнев Юрий Александрович</v>
          </cell>
          <cell r="C132" t="str">
            <v>1 582</v>
          </cell>
          <cell r="D132">
            <v>43881</v>
          </cell>
          <cell r="E132">
            <v>885148.6</v>
          </cell>
          <cell r="F132">
            <v>885148.6</v>
          </cell>
          <cell r="G132">
            <v>282000</v>
          </cell>
          <cell r="H132">
            <v>282000</v>
          </cell>
          <cell r="I132">
            <v>404534.76</v>
          </cell>
          <cell r="J132">
            <v>404534.76</v>
          </cell>
          <cell r="K132">
            <v>194613.84</v>
          </cell>
        </row>
        <row r="133">
          <cell r="A133" t="str">
            <v>А-05421/АЗ_В-21082023/Ц</v>
          </cell>
          <cell r="B133" t="str">
            <v>Дарвичева Татьяна Викторовна</v>
          </cell>
          <cell r="C133" t="str">
            <v>1 581</v>
          </cell>
          <cell r="D133">
            <v>43882</v>
          </cell>
          <cell r="E133">
            <v>723220.69</v>
          </cell>
          <cell r="F133">
            <v>723220.69</v>
          </cell>
          <cell r="I133">
            <v>455671.22</v>
          </cell>
          <cell r="J133">
            <v>455671.22</v>
          </cell>
          <cell r="K133">
            <v>267549.46999999997</v>
          </cell>
        </row>
        <row r="134">
          <cell r="A134" t="str">
            <v>В-00538/АЗ</v>
          </cell>
          <cell r="B134" t="str">
            <v>Алексанян Карине Размиковна</v>
          </cell>
          <cell r="C134" t="str">
            <v>1 581</v>
          </cell>
          <cell r="D134">
            <v>43882</v>
          </cell>
          <cell r="E134">
            <v>608692.18999999994</v>
          </cell>
          <cell r="F134">
            <v>608692.18999999994</v>
          </cell>
          <cell r="G134">
            <v>174750.36</v>
          </cell>
          <cell r="H134">
            <v>174750.36</v>
          </cell>
          <cell r="I134">
            <v>272968.28000000003</v>
          </cell>
          <cell r="J134">
            <v>272968.28000000003</v>
          </cell>
          <cell r="K134">
            <v>149191.37</v>
          </cell>
        </row>
        <row r="135">
          <cell r="A135" t="str">
            <v>В-00702/АЗ_В-21082023/Ц</v>
          </cell>
          <cell r="B135" t="str">
            <v>Дарвичева Татьяна Викторовна</v>
          </cell>
          <cell r="C135" t="str">
            <v>1 581</v>
          </cell>
          <cell r="D135">
            <v>43882</v>
          </cell>
          <cell r="E135">
            <v>1039409.01</v>
          </cell>
          <cell r="F135">
            <v>1039409.01</v>
          </cell>
          <cell r="I135">
            <v>514309.75</v>
          </cell>
          <cell r="J135">
            <v>514309.75</v>
          </cell>
          <cell r="K135">
            <v>525099.26</v>
          </cell>
        </row>
        <row r="136">
          <cell r="A136" t="str">
            <v>Т-01843/АЗ_В-21082023/Ц</v>
          </cell>
          <cell r="B136" t="str">
            <v>Дарвичева Татьяна Викторовна</v>
          </cell>
          <cell r="C136" t="str">
            <v>1 581</v>
          </cell>
          <cell r="D136">
            <v>43882</v>
          </cell>
          <cell r="E136">
            <v>723220.85</v>
          </cell>
          <cell r="F136">
            <v>723220.85</v>
          </cell>
          <cell r="I136">
            <v>455671.22</v>
          </cell>
          <cell r="J136">
            <v>455671.22</v>
          </cell>
          <cell r="K136">
            <v>267549.63</v>
          </cell>
        </row>
        <row r="137">
          <cell r="A137" t="str">
            <v>А-00433/КЭ.Транш - 1</v>
          </cell>
          <cell r="B137" t="str">
            <v>НОВАЯ СПАРТА ООО</v>
          </cell>
          <cell r="C137" t="str">
            <v>1 580</v>
          </cell>
          <cell r="D137">
            <v>43883</v>
          </cell>
          <cell r="E137">
            <v>10005351.710000001</v>
          </cell>
          <cell r="F137">
            <v>10005351.710000001</v>
          </cell>
          <cell r="G137">
            <v>300000</v>
          </cell>
          <cell r="H137">
            <v>300000</v>
          </cell>
          <cell r="I137">
            <v>362219.17</v>
          </cell>
          <cell r="J137">
            <v>362219.17</v>
          </cell>
          <cell r="K137">
            <v>9343132.5399999991</v>
          </cell>
        </row>
        <row r="138">
          <cell r="A138" t="str">
            <v>А-04614/АЗ</v>
          </cell>
          <cell r="B138" t="str">
            <v>Павлова Светлана Юрьевна</v>
          </cell>
          <cell r="C138" t="str">
            <v>1 579</v>
          </cell>
          <cell r="D138">
            <v>43884</v>
          </cell>
          <cell r="E138">
            <v>304433.81</v>
          </cell>
          <cell r="F138">
            <v>304433.81</v>
          </cell>
          <cell r="I138">
            <v>179238.2</v>
          </cell>
          <cell r="J138">
            <v>179238.2</v>
          </cell>
          <cell r="K138">
            <v>125195.61</v>
          </cell>
        </row>
        <row r="139">
          <cell r="A139" t="str">
            <v>А-00435/КЭ.Транш - 1</v>
          </cell>
          <cell r="B139" t="str">
            <v>ИП Удалов Игорь Игоревич</v>
          </cell>
          <cell r="C139" t="str">
            <v>1 578</v>
          </cell>
          <cell r="D139">
            <v>43885</v>
          </cell>
          <cell r="E139">
            <v>214282.23999999999</v>
          </cell>
          <cell r="F139">
            <v>214282.23999999999</v>
          </cell>
          <cell r="G139">
            <v>100000</v>
          </cell>
          <cell r="H139">
            <v>100000</v>
          </cell>
          <cell r="I139">
            <v>41665.24</v>
          </cell>
          <cell r="J139">
            <v>41665.24</v>
          </cell>
          <cell r="K139">
            <v>60000</v>
          </cell>
        </row>
        <row r="140">
          <cell r="A140" t="str">
            <v>А-10102/КЭ.Транш - 1</v>
          </cell>
          <cell r="B140" t="str">
            <v>ИП Трескунова Ольга Евгеньевна</v>
          </cell>
          <cell r="C140" t="str">
            <v>1 573</v>
          </cell>
          <cell r="D140">
            <v>43890</v>
          </cell>
          <cell r="E140">
            <v>274829.12</v>
          </cell>
          <cell r="F140">
            <v>274829.12</v>
          </cell>
          <cell r="G140">
            <v>140108.21</v>
          </cell>
          <cell r="H140">
            <v>140108.21</v>
          </cell>
          <cell r="I140">
            <v>60879.91</v>
          </cell>
          <cell r="J140">
            <v>60879.91</v>
          </cell>
          <cell r="K140">
            <v>60000</v>
          </cell>
        </row>
        <row r="141">
          <cell r="A141" t="str">
            <v>В-00865/АЗ_В-21082023/Ц</v>
          </cell>
          <cell r="B141" t="str">
            <v>Чокуев Жаркынбек Калыбекович</v>
          </cell>
          <cell r="C141" t="str">
            <v>1 566</v>
          </cell>
          <cell r="D141">
            <v>43897</v>
          </cell>
          <cell r="E141">
            <v>267088.77</v>
          </cell>
          <cell r="F141">
            <v>267088.77</v>
          </cell>
          <cell r="I141">
            <v>217813.77</v>
          </cell>
          <cell r="J141">
            <v>217813.77</v>
          </cell>
          <cell r="K141">
            <v>49275</v>
          </cell>
        </row>
        <row r="142">
          <cell r="A142" t="str">
            <v>А-10089/КЭ.Транш - 1</v>
          </cell>
          <cell r="B142" t="str">
            <v>РСК ЭКСПЕРТ ООО</v>
          </cell>
          <cell r="C142" t="str">
            <v>1 559</v>
          </cell>
          <cell r="D142">
            <v>43904</v>
          </cell>
          <cell r="E142">
            <v>4402.75</v>
          </cell>
          <cell r="F142">
            <v>4402.75</v>
          </cell>
          <cell r="K142">
            <v>4402.75</v>
          </cell>
        </row>
        <row r="143">
          <cell r="A143" t="str">
            <v>В-00690/АЗ_В-20211230/Ц</v>
          </cell>
          <cell r="B143" t="str">
            <v>Садкеев Игорь Евгеньевич</v>
          </cell>
          <cell r="C143" t="str">
            <v>1 558</v>
          </cell>
          <cell r="D143">
            <v>43905</v>
          </cell>
          <cell r="E143">
            <v>1905325.82</v>
          </cell>
          <cell r="F143">
            <v>1905325.82</v>
          </cell>
          <cell r="G143">
            <v>586228.01</v>
          </cell>
          <cell r="H143">
            <v>586228.01</v>
          </cell>
          <cell r="I143">
            <v>808778.71</v>
          </cell>
          <cell r="J143">
            <v>808778.71</v>
          </cell>
          <cell r="K143">
            <v>493205.35</v>
          </cell>
        </row>
        <row r="144">
          <cell r="A144" t="str">
            <v>В-00693/АЗ_В-21082023/Ц</v>
          </cell>
          <cell r="B144" t="str">
            <v>Григоренко Андрей Николаевич</v>
          </cell>
          <cell r="C144" t="str">
            <v>1 557</v>
          </cell>
          <cell r="D144">
            <v>43906</v>
          </cell>
          <cell r="E144">
            <v>733133.25</v>
          </cell>
          <cell r="F144">
            <v>733133.25</v>
          </cell>
          <cell r="G144">
            <v>237942.86</v>
          </cell>
          <cell r="H144">
            <v>237942.86</v>
          </cell>
          <cell r="I144">
            <v>310753.37</v>
          </cell>
          <cell r="J144">
            <v>310753.37</v>
          </cell>
          <cell r="K144">
            <v>172066.86</v>
          </cell>
        </row>
        <row r="145">
          <cell r="A145" t="str">
            <v>В-00766/АЗ_В-21082023/Ц</v>
          </cell>
          <cell r="B145" t="str">
            <v>Макаров Алексей Александрович1</v>
          </cell>
          <cell r="C145" t="str">
            <v>1 557</v>
          </cell>
          <cell r="D145">
            <v>43906</v>
          </cell>
          <cell r="E145">
            <v>311765.32</v>
          </cell>
          <cell r="F145">
            <v>311765.32</v>
          </cell>
          <cell r="G145">
            <v>29278.63</v>
          </cell>
          <cell r="H145">
            <v>29278.63</v>
          </cell>
          <cell r="I145">
            <v>161776.98000000001</v>
          </cell>
          <cell r="J145">
            <v>161776.98000000001</v>
          </cell>
          <cell r="K145">
            <v>108463.96</v>
          </cell>
        </row>
        <row r="146">
          <cell r="A146" t="str">
            <v>А-05291/АЗ</v>
          </cell>
          <cell r="B146" t="str">
            <v>Шодиев Хуснуддин Сулоймонкулович</v>
          </cell>
          <cell r="C146" t="str">
            <v>1 554</v>
          </cell>
          <cell r="D146">
            <v>43909</v>
          </cell>
          <cell r="E146">
            <v>676311.9</v>
          </cell>
          <cell r="F146">
            <v>676311.9</v>
          </cell>
          <cell r="G146">
            <v>232136.69</v>
          </cell>
          <cell r="H146">
            <v>232136.69</v>
          </cell>
          <cell r="I146">
            <v>264543.2</v>
          </cell>
          <cell r="J146">
            <v>264543.2</v>
          </cell>
          <cell r="K146">
            <v>179632.01</v>
          </cell>
        </row>
        <row r="147">
          <cell r="A147" t="str">
            <v>В-00832/АЗ_В-20211230/Ц</v>
          </cell>
          <cell r="B147" t="str">
            <v>Зияев Азиз Джамшедович</v>
          </cell>
          <cell r="C147" t="str">
            <v>1 553</v>
          </cell>
          <cell r="D147">
            <v>43910</v>
          </cell>
          <cell r="E147">
            <v>566317.68000000005</v>
          </cell>
          <cell r="F147">
            <v>566317.68000000005</v>
          </cell>
          <cell r="G147">
            <v>224000</v>
          </cell>
          <cell r="H147">
            <v>224000</v>
          </cell>
          <cell r="I147">
            <v>241238.81</v>
          </cell>
          <cell r="J147">
            <v>241238.81</v>
          </cell>
          <cell r="K147">
            <v>88724.38</v>
          </cell>
        </row>
        <row r="148">
          <cell r="A148" t="str">
            <v>В-00833/АЗ_В-20211230/Ц</v>
          </cell>
          <cell r="B148" t="str">
            <v>Зияев Азиз Джамшедович</v>
          </cell>
          <cell r="C148" t="str">
            <v>1 553</v>
          </cell>
          <cell r="D148">
            <v>43910</v>
          </cell>
          <cell r="E148">
            <v>646805.14</v>
          </cell>
          <cell r="F148">
            <v>646805.14</v>
          </cell>
          <cell r="G148">
            <v>256000</v>
          </cell>
          <cell r="H148">
            <v>256000</v>
          </cell>
          <cell r="I148">
            <v>294214.36</v>
          </cell>
          <cell r="J148">
            <v>294214.36</v>
          </cell>
          <cell r="K148">
            <v>83785.64</v>
          </cell>
        </row>
        <row r="149">
          <cell r="A149" t="str">
            <v>В-00835/АЗ_В-20211230/Ц</v>
          </cell>
          <cell r="B149" t="str">
            <v>Зияев Азиз Джамшедович</v>
          </cell>
          <cell r="C149" t="str">
            <v>1 553</v>
          </cell>
          <cell r="D149">
            <v>43910</v>
          </cell>
          <cell r="E149">
            <v>434774.74</v>
          </cell>
          <cell r="F149">
            <v>434774.74</v>
          </cell>
          <cell r="G149">
            <v>126447.41</v>
          </cell>
          <cell r="H149">
            <v>126447.41</v>
          </cell>
          <cell r="I149">
            <v>209295.78</v>
          </cell>
          <cell r="J149">
            <v>209295.78</v>
          </cell>
          <cell r="K149">
            <v>86226.41</v>
          </cell>
        </row>
        <row r="150">
          <cell r="A150" t="str">
            <v>В-03413/КЛ.Транш - 1_В-21082023/Ц</v>
          </cell>
          <cell r="B150" t="str">
            <v>Тюменцев Максим Сергеевич</v>
          </cell>
          <cell r="C150" t="str">
            <v>1 552</v>
          </cell>
          <cell r="D150">
            <v>43911</v>
          </cell>
          <cell r="E150">
            <v>1612647.4</v>
          </cell>
          <cell r="F150">
            <v>1612647.4</v>
          </cell>
          <cell r="G150">
            <v>540000</v>
          </cell>
          <cell r="H150">
            <v>540000</v>
          </cell>
          <cell r="I150">
            <v>691840</v>
          </cell>
          <cell r="J150">
            <v>691840</v>
          </cell>
          <cell r="K150">
            <v>363916.79999999999</v>
          </cell>
        </row>
        <row r="151">
          <cell r="A151" t="str">
            <v>В-03686/КЛ.Транш - 1_В-20211230/Ц</v>
          </cell>
          <cell r="B151" t="str">
            <v>Григорян Артур Амраги</v>
          </cell>
          <cell r="C151" t="str">
            <v>1 552</v>
          </cell>
          <cell r="D151">
            <v>43911</v>
          </cell>
          <cell r="E151">
            <v>888855.9</v>
          </cell>
          <cell r="F151">
            <v>888855.9</v>
          </cell>
          <cell r="G151">
            <v>349399.79</v>
          </cell>
          <cell r="H151">
            <v>349399.79</v>
          </cell>
          <cell r="I151">
            <v>390060.72</v>
          </cell>
          <cell r="J151">
            <v>390060.72</v>
          </cell>
          <cell r="K151">
            <v>134939.28</v>
          </cell>
        </row>
        <row r="152">
          <cell r="A152" t="str">
            <v>А-10045/КЭ.Транш - 2</v>
          </cell>
          <cell r="B152" t="str">
            <v>ИП Аббасов Амин Тофиг Оглы</v>
          </cell>
          <cell r="C152" t="str">
            <v>1 549</v>
          </cell>
          <cell r="D152">
            <v>43914</v>
          </cell>
          <cell r="E152">
            <v>154476.09</v>
          </cell>
          <cell r="F152">
            <v>154476.09</v>
          </cell>
          <cell r="G152">
            <v>73950.33</v>
          </cell>
          <cell r="H152">
            <v>73950.33</v>
          </cell>
          <cell r="K152">
            <v>67631.649999999994</v>
          </cell>
        </row>
        <row r="153">
          <cell r="A153" t="str">
            <v>А-30005/КЭ.Транш - 1</v>
          </cell>
          <cell r="B153" t="str">
            <v>ИП Пивкин Константин Леонидович</v>
          </cell>
          <cell r="C153" t="str">
            <v>1 547</v>
          </cell>
          <cell r="D153">
            <v>43916</v>
          </cell>
          <cell r="E153">
            <v>332141.59000000003</v>
          </cell>
          <cell r="F153">
            <v>332141.59000000003</v>
          </cell>
          <cell r="G153">
            <v>87127.76</v>
          </cell>
          <cell r="H153">
            <v>87127.76</v>
          </cell>
          <cell r="I153">
            <v>42962.21</v>
          </cell>
          <cell r="J153">
            <v>42962.21</v>
          </cell>
          <cell r="K153">
            <v>202051.62</v>
          </cell>
        </row>
        <row r="154">
          <cell r="A154" t="str">
            <v>В-01345/КЛ.Транш - 1_В-20211230/Ц</v>
          </cell>
          <cell r="B154" t="str">
            <v>Циркунова Юлия Владимировна</v>
          </cell>
          <cell r="C154" t="str">
            <v>1 546</v>
          </cell>
          <cell r="D154">
            <v>43917</v>
          </cell>
          <cell r="E154">
            <v>75978.009999999995</v>
          </cell>
          <cell r="F154">
            <v>75978.009999999995</v>
          </cell>
          <cell r="G154">
            <v>39922.54</v>
          </cell>
          <cell r="H154">
            <v>39922.54</v>
          </cell>
          <cell r="I154">
            <v>6232.29</v>
          </cell>
          <cell r="J154">
            <v>6232.29</v>
          </cell>
          <cell r="K154">
            <v>29823.18</v>
          </cell>
        </row>
        <row r="155">
          <cell r="A155" t="str">
            <v>А-10026/БЭ</v>
          </cell>
          <cell r="B155" t="str">
            <v>Кузнецова Елена Витальевна</v>
          </cell>
          <cell r="C155" t="str">
            <v>1 536</v>
          </cell>
          <cell r="D155">
            <v>43927</v>
          </cell>
          <cell r="E155">
            <v>810500</v>
          </cell>
          <cell r="F155">
            <v>810500</v>
          </cell>
          <cell r="G155">
            <v>271721.53999999998</v>
          </cell>
          <cell r="H155">
            <v>271721.53999999998</v>
          </cell>
          <cell r="I155">
            <v>468167.22</v>
          </cell>
          <cell r="J155">
            <v>468167.22</v>
          </cell>
          <cell r="K155">
            <v>70611.240000000005</v>
          </cell>
        </row>
        <row r="156">
          <cell r="A156" t="str">
            <v>В-03758/КЛ.Транш - 1_В-21082023/Ц</v>
          </cell>
          <cell r="B156" t="str">
            <v>Коржев Александр Сергеевич</v>
          </cell>
          <cell r="C156" t="str">
            <v>1 536</v>
          </cell>
          <cell r="D156">
            <v>43927</v>
          </cell>
          <cell r="E156">
            <v>719219.24</v>
          </cell>
          <cell r="F156">
            <v>719219.24</v>
          </cell>
          <cell r="G156">
            <v>240000</v>
          </cell>
          <cell r="H156">
            <v>240000</v>
          </cell>
          <cell r="I156">
            <v>307200.01</v>
          </cell>
          <cell r="J156">
            <v>307200.01</v>
          </cell>
          <cell r="K156">
            <v>159667.20000000001</v>
          </cell>
        </row>
        <row r="157">
          <cell r="A157" t="str">
            <v>В-02500/КЛ.Транш - 1_В-21082023/Ц</v>
          </cell>
          <cell r="B157" t="str">
            <v>Четырина Марина Юрьевна</v>
          </cell>
          <cell r="C157" t="str">
            <v>1 533</v>
          </cell>
          <cell r="D157">
            <v>43930</v>
          </cell>
          <cell r="E157">
            <v>578471.02</v>
          </cell>
          <cell r="F157">
            <v>578471.02</v>
          </cell>
          <cell r="G157">
            <v>218322.43</v>
          </cell>
          <cell r="H157">
            <v>218322.43</v>
          </cell>
          <cell r="I157">
            <v>203193.74</v>
          </cell>
          <cell r="J157">
            <v>203193.74</v>
          </cell>
          <cell r="K157">
            <v>144891.85999999999</v>
          </cell>
        </row>
        <row r="158">
          <cell r="A158" t="str">
            <v>В-00272/АЗ_В-20211230/Ц</v>
          </cell>
          <cell r="B158" t="str">
            <v>Додохова Анна Николаевна</v>
          </cell>
          <cell r="C158" t="str">
            <v>1 532</v>
          </cell>
          <cell r="D158">
            <v>43931</v>
          </cell>
          <cell r="E158">
            <v>768211.94</v>
          </cell>
          <cell r="F158">
            <v>768211.94</v>
          </cell>
          <cell r="G158">
            <v>315000</v>
          </cell>
          <cell r="H158">
            <v>315000</v>
          </cell>
          <cell r="I158">
            <v>179281.27</v>
          </cell>
          <cell r="J158">
            <v>179281.27</v>
          </cell>
          <cell r="K158">
            <v>260593.2</v>
          </cell>
        </row>
        <row r="159">
          <cell r="A159" t="str">
            <v>А-04751/АЗ</v>
          </cell>
          <cell r="B159" t="str">
            <v>Зенин Александр Петрович</v>
          </cell>
          <cell r="C159" t="str">
            <v>1 531</v>
          </cell>
          <cell r="D159">
            <v>43932</v>
          </cell>
          <cell r="E159">
            <v>389692.17</v>
          </cell>
          <cell r="F159">
            <v>389692.17</v>
          </cell>
          <cell r="G159">
            <v>163104.26999999999</v>
          </cell>
          <cell r="H159">
            <v>163104.26999999999</v>
          </cell>
          <cell r="I159">
            <v>91743.08</v>
          </cell>
          <cell r="J159">
            <v>91743.08</v>
          </cell>
          <cell r="K159">
            <v>134844.82</v>
          </cell>
        </row>
        <row r="160">
          <cell r="A160" t="str">
            <v>В-03414/КЛ.Транш - 1_В-21082023/Ц</v>
          </cell>
          <cell r="B160" t="str">
            <v>Никоноров Александр Владимирович</v>
          </cell>
          <cell r="C160" t="str">
            <v>1 529</v>
          </cell>
          <cell r="D160">
            <v>43934</v>
          </cell>
          <cell r="E160">
            <v>318553.51</v>
          </cell>
          <cell r="F160">
            <v>318553.51</v>
          </cell>
          <cell r="G160">
            <v>121329.29</v>
          </cell>
          <cell r="H160">
            <v>121329.29</v>
          </cell>
          <cell r="I160">
            <v>63333.89</v>
          </cell>
          <cell r="J160">
            <v>63333.89</v>
          </cell>
          <cell r="K160">
            <v>119686.81</v>
          </cell>
        </row>
        <row r="161">
          <cell r="A161" t="str">
            <v>В-00291/АЗ_В-21082023/Ц</v>
          </cell>
          <cell r="B161" t="str">
            <v>Семочкин Владимир Владимирович</v>
          </cell>
          <cell r="C161" t="str">
            <v>1 527</v>
          </cell>
          <cell r="D161">
            <v>43936</v>
          </cell>
          <cell r="E161">
            <v>138714.65</v>
          </cell>
          <cell r="F161">
            <v>138714.65</v>
          </cell>
          <cell r="G161">
            <v>42950.01</v>
          </cell>
          <cell r="H161">
            <v>42950.01</v>
          </cell>
          <cell r="I161">
            <v>63318.91</v>
          </cell>
          <cell r="J161">
            <v>63318.91</v>
          </cell>
          <cell r="K161">
            <v>28457.82</v>
          </cell>
        </row>
        <row r="162">
          <cell r="A162" t="str">
            <v>В-00726/АЗ_В-21082023/Ц</v>
          </cell>
          <cell r="B162" t="str">
            <v>Семочкин Владимир Владимирович</v>
          </cell>
          <cell r="C162" t="str">
            <v>1 527</v>
          </cell>
          <cell r="D162">
            <v>43936</v>
          </cell>
          <cell r="E162">
            <v>253129.46</v>
          </cell>
          <cell r="F162">
            <v>253129.46</v>
          </cell>
          <cell r="G162">
            <v>81639.67</v>
          </cell>
          <cell r="H162">
            <v>81639.67</v>
          </cell>
          <cell r="I162">
            <v>110396.98</v>
          </cell>
          <cell r="J162">
            <v>110396.98</v>
          </cell>
          <cell r="K162">
            <v>54092.81</v>
          </cell>
        </row>
        <row r="163">
          <cell r="A163" t="str">
            <v>В-04159/КЛ.Транш - 1_В-20211230/Ц</v>
          </cell>
          <cell r="B163" t="str">
            <v>Ерошкин Роман Сергеевич</v>
          </cell>
          <cell r="C163" t="str">
            <v>1 526</v>
          </cell>
          <cell r="D163">
            <v>43937</v>
          </cell>
          <cell r="E163">
            <v>245524.58</v>
          </cell>
          <cell r="F163">
            <v>245524.58</v>
          </cell>
          <cell r="I163">
            <v>143638.79</v>
          </cell>
          <cell r="J163">
            <v>143638.79</v>
          </cell>
          <cell r="K163">
            <v>89090.58</v>
          </cell>
        </row>
        <row r="164">
          <cell r="A164" t="str">
            <v>А-00389/КЭ.Транш - 1</v>
          </cell>
          <cell r="B164" t="str">
            <v>ИП Грозин Андрей Викторович</v>
          </cell>
          <cell r="C164" t="str">
            <v>1 525</v>
          </cell>
          <cell r="D164">
            <v>43938</v>
          </cell>
          <cell r="E164">
            <v>265892.27</v>
          </cell>
          <cell r="F164">
            <v>265892.27</v>
          </cell>
          <cell r="G164">
            <v>146409.89000000001</v>
          </cell>
          <cell r="H164">
            <v>146409.89000000001</v>
          </cell>
          <cell r="I164">
            <v>18876.38</v>
          </cell>
          <cell r="J164">
            <v>18876.38</v>
          </cell>
          <cell r="K164">
            <v>90000</v>
          </cell>
        </row>
        <row r="165">
          <cell r="A165" t="str">
            <v>В-03543/КЛ.Транш - 1_В-21082023/Ц</v>
          </cell>
          <cell r="B165" t="str">
            <v>Юнусов Акмалдин Акрамович</v>
          </cell>
          <cell r="C165" t="str">
            <v>1 523</v>
          </cell>
          <cell r="D165">
            <v>43940</v>
          </cell>
          <cell r="E165">
            <v>257556.52</v>
          </cell>
          <cell r="F165">
            <v>257556.52</v>
          </cell>
          <cell r="G165">
            <v>96993.36</v>
          </cell>
          <cell r="H165">
            <v>96993.36</v>
          </cell>
          <cell r="I165">
            <v>123114.57</v>
          </cell>
          <cell r="J165">
            <v>123114.57</v>
          </cell>
          <cell r="K165">
            <v>26885.43</v>
          </cell>
        </row>
        <row r="166">
          <cell r="A166" t="str">
            <v>В-00610/АЗ_В-21082023/Ц</v>
          </cell>
          <cell r="B166" t="str">
            <v>Ожован Андриан Васильевич</v>
          </cell>
          <cell r="C166" t="str">
            <v>1 522</v>
          </cell>
          <cell r="D166">
            <v>43941</v>
          </cell>
          <cell r="E166">
            <v>488806.3</v>
          </cell>
          <cell r="F166">
            <v>488806.3</v>
          </cell>
          <cell r="I166">
            <v>263098.32</v>
          </cell>
          <cell r="J166">
            <v>263098.32</v>
          </cell>
          <cell r="K166">
            <v>215862.7</v>
          </cell>
        </row>
        <row r="167">
          <cell r="A167" t="str">
            <v>В-03738/КЛ.Транш - 1_В-21082023/Ц</v>
          </cell>
          <cell r="B167" t="str">
            <v>Савельев Григорий Алексеевич</v>
          </cell>
          <cell r="C167" t="str">
            <v>1 517</v>
          </cell>
          <cell r="D167">
            <v>43946</v>
          </cell>
          <cell r="E167">
            <v>604879.22</v>
          </cell>
          <cell r="F167">
            <v>604879.22</v>
          </cell>
          <cell r="G167">
            <v>197376.26</v>
          </cell>
          <cell r="H167">
            <v>197376.26</v>
          </cell>
          <cell r="I167">
            <v>266052.38</v>
          </cell>
          <cell r="J167">
            <v>266052.38</v>
          </cell>
          <cell r="K167">
            <v>129285.4</v>
          </cell>
        </row>
        <row r="168">
          <cell r="A168" t="str">
            <v>А-00366/КЭ.Транш - 3</v>
          </cell>
          <cell r="B168" t="str">
            <v>Строй-Универсал ООО</v>
          </cell>
          <cell r="C168" t="str">
            <v>1 515</v>
          </cell>
          <cell r="D168">
            <v>43948</v>
          </cell>
          <cell r="E168">
            <v>886131.79</v>
          </cell>
          <cell r="F168">
            <v>886131.79</v>
          </cell>
          <cell r="G168">
            <v>16348.71</v>
          </cell>
          <cell r="H168">
            <v>16348.71</v>
          </cell>
          <cell r="I168">
            <v>27715.05</v>
          </cell>
          <cell r="J168">
            <v>27715.05</v>
          </cell>
          <cell r="K168">
            <v>842068.03</v>
          </cell>
        </row>
        <row r="169">
          <cell r="A169" t="str">
            <v>В-00847/АЗ_В-21082023/Ц</v>
          </cell>
          <cell r="B169" t="str">
            <v>Ожован Андриан Васильевич</v>
          </cell>
          <cell r="C169" t="str">
            <v>1 515</v>
          </cell>
          <cell r="D169">
            <v>43948</v>
          </cell>
          <cell r="E169">
            <v>213846.49</v>
          </cell>
          <cell r="F169">
            <v>213846.49</v>
          </cell>
          <cell r="G169">
            <v>22577.07</v>
          </cell>
          <cell r="H169">
            <v>22577.07</v>
          </cell>
          <cell r="I169">
            <v>108105.7</v>
          </cell>
          <cell r="J169">
            <v>108105.7</v>
          </cell>
          <cell r="K169">
            <v>77163.72</v>
          </cell>
        </row>
        <row r="170">
          <cell r="A170" t="str">
            <v>А-00267/КЭ.Транш - 2</v>
          </cell>
          <cell r="B170" t="str">
            <v>ГК АкоЛет ООО</v>
          </cell>
          <cell r="C170" t="str">
            <v>1 514</v>
          </cell>
          <cell r="D170">
            <v>43949</v>
          </cell>
          <cell r="E170">
            <v>416.33</v>
          </cell>
          <cell r="F170">
            <v>416.33</v>
          </cell>
          <cell r="K170">
            <v>416.33</v>
          </cell>
        </row>
        <row r="171">
          <cell r="A171" t="str">
            <v>А-04639/АЗ</v>
          </cell>
          <cell r="B171" t="str">
            <v>Ерохов Андрей Вячеславович</v>
          </cell>
          <cell r="C171" t="str">
            <v>1 513</v>
          </cell>
          <cell r="D171">
            <v>43950</v>
          </cell>
          <cell r="E171">
            <v>39428.5</v>
          </cell>
          <cell r="F171">
            <v>39428.5</v>
          </cell>
          <cell r="G171">
            <v>24415.11</v>
          </cell>
          <cell r="H171">
            <v>24415.11</v>
          </cell>
          <cell r="I171">
            <v>1909.11</v>
          </cell>
          <cell r="J171">
            <v>1909.11</v>
          </cell>
          <cell r="K171">
            <v>13104.28</v>
          </cell>
        </row>
        <row r="172">
          <cell r="A172" t="str">
            <v>А-00386/КЭ.Транш - 1</v>
          </cell>
          <cell r="B172" t="str">
            <v>ГК АкоЛет ООО</v>
          </cell>
          <cell r="C172" t="str">
            <v>1 507</v>
          </cell>
          <cell r="D172">
            <v>43956</v>
          </cell>
          <cell r="E172">
            <v>2018101.61</v>
          </cell>
          <cell r="F172">
            <v>2018101.61</v>
          </cell>
          <cell r="G172">
            <v>84314.02</v>
          </cell>
          <cell r="H172">
            <v>84314.02</v>
          </cell>
          <cell r="I172">
            <v>70488.42</v>
          </cell>
          <cell r="J172">
            <v>70488.42</v>
          </cell>
          <cell r="K172">
            <v>1863299.17</v>
          </cell>
        </row>
        <row r="173">
          <cell r="A173" t="str">
            <v>А-00327/КЭ.Транш - 1</v>
          </cell>
          <cell r="B173" t="str">
            <v>ИП Чеботарь Анжелика Сергеевна</v>
          </cell>
          <cell r="C173" t="str">
            <v>1 506</v>
          </cell>
          <cell r="D173">
            <v>43957</v>
          </cell>
          <cell r="E173">
            <v>7833093.6399999997</v>
          </cell>
          <cell r="F173">
            <v>7833093.6399999997</v>
          </cell>
          <cell r="G173">
            <v>352385.37</v>
          </cell>
          <cell r="H173">
            <v>352385.37</v>
          </cell>
          <cell r="I173">
            <v>185663.69</v>
          </cell>
          <cell r="J173">
            <v>185663.69</v>
          </cell>
          <cell r="K173">
            <v>7295044.5800000001</v>
          </cell>
        </row>
        <row r="174">
          <cell r="A174" t="str">
            <v>А-04412/АЗ</v>
          </cell>
          <cell r="B174" t="str">
            <v>Мусаев Рустам Камилжонович</v>
          </cell>
          <cell r="C174" t="str">
            <v>1 506</v>
          </cell>
          <cell r="D174">
            <v>43957</v>
          </cell>
          <cell r="E174">
            <v>393682.14</v>
          </cell>
          <cell r="F174">
            <v>393682.14</v>
          </cell>
          <cell r="G174">
            <v>117805.84</v>
          </cell>
          <cell r="H174">
            <v>117805.84</v>
          </cell>
          <cell r="I174">
            <v>180071.88</v>
          </cell>
          <cell r="J174">
            <v>180071.88</v>
          </cell>
          <cell r="K174">
            <v>95804.42</v>
          </cell>
        </row>
        <row r="175">
          <cell r="A175" t="str">
            <v>А-04793/АЗ</v>
          </cell>
          <cell r="B175" t="str">
            <v>Богомилов Михаил Михайлович</v>
          </cell>
          <cell r="C175" t="str">
            <v>1 505</v>
          </cell>
          <cell r="D175">
            <v>43958</v>
          </cell>
          <cell r="E175">
            <v>199064.03</v>
          </cell>
          <cell r="F175">
            <v>199064.03</v>
          </cell>
          <cell r="G175">
            <v>87235.27</v>
          </cell>
          <cell r="H175">
            <v>87235.27</v>
          </cell>
          <cell r="I175">
            <v>40932.660000000003</v>
          </cell>
          <cell r="J175">
            <v>40932.660000000003</v>
          </cell>
          <cell r="K175">
            <v>70896.100000000006</v>
          </cell>
        </row>
        <row r="176">
          <cell r="A176" t="str">
            <v>В-01319/КЛ.Транш - 1_В-21082023/Ц</v>
          </cell>
          <cell r="B176" t="str">
            <v>Солодов Михаил Александрович</v>
          </cell>
          <cell r="C176" t="str">
            <v>1 496</v>
          </cell>
          <cell r="D176">
            <v>43967</v>
          </cell>
          <cell r="E176">
            <v>216429.22</v>
          </cell>
          <cell r="F176">
            <v>216429.22</v>
          </cell>
          <cell r="G176">
            <v>68737.990000000005</v>
          </cell>
          <cell r="H176">
            <v>68737.990000000005</v>
          </cell>
          <cell r="I176">
            <v>93807.55</v>
          </cell>
          <cell r="J176">
            <v>93807.55</v>
          </cell>
          <cell r="K176">
            <v>44245.27</v>
          </cell>
        </row>
        <row r="177">
          <cell r="A177" t="str">
            <v>В-00836/АЗ_В-20211230/Ц</v>
          </cell>
          <cell r="B177" t="str">
            <v>Зияев Азиз Джамшедович</v>
          </cell>
          <cell r="C177" t="str">
            <v>1 492</v>
          </cell>
          <cell r="D177">
            <v>43971</v>
          </cell>
          <cell r="E177">
            <v>435633.69</v>
          </cell>
          <cell r="F177">
            <v>435633.69</v>
          </cell>
          <cell r="G177">
            <v>129718.58</v>
          </cell>
          <cell r="H177">
            <v>129718.58</v>
          </cell>
          <cell r="I177">
            <v>173134.12</v>
          </cell>
          <cell r="J177">
            <v>173134.12</v>
          </cell>
          <cell r="K177">
            <v>119947.3</v>
          </cell>
        </row>
        <row r="178">
          <cell r="A178" t="str">
            <v>А-00051/БЭ</v>
          </cell>
          <cell r="B178" t="str">
            <v>Камшилина Татьяна Ивановна</v>
          </cell>
          <cell r="C178" t="str">
            <v>1 491</v>
          </cell>
          <cell r="D178">
            <v>43972</v>
          </cell>
          <cell r="E178">
            <v>164110.19</v>
          </cell>
          <cell r="F178">
            <v>164110.19</v>
          </cell>
          <cell r="G178">
            <v>78391.5</v>
          </cell>
          <cell r="H178">
            <v>78391.5</v>
          </cell>
          <cell r="I178">
            <v>30338.94</v>
          </cell>
          <cell r="J178">
            <v>30338.94</v>
          </cell>
          <cell r="K178">
            <v>55379.75</v>
          </cell>
        </row>
        <row r="179">
          <cell r="A179" t="str">
            <v>В-03672/КЛ.Транш - 1_В-20211230/Ц</v>
          </cell>
          <cell r="B179" t="str">
            <v>Павлов Денис Витальевич</v>
          </cell>
          <cell r="C179" t="str">
            <v>1 491</v>
          </cell>
          <cell r="D179">
            <v>43972</v>
          </cell>
          <cell r="E179">
            <v>151237.82</v>
          </cell>
          <cell r="F179">
            <v>151237.82</v>
          </cell>
          <cell r="I179">
            <v>16373.16</v>
          </cell>
          <cell r="J179">
            <v>16373.16</v>
          </cell>
          <cell r="K179">
            <v>134864.66</v>
          </cell>
        </row>
        <row r="180">
          <cell r="A180" t="str">
            <v>Т-00030/БЭ_Т-20211028/Ц</v>
          </cell>
          <cell r="B180" t="str">
            <v>Камшилина Татьяна Ивановна</v>
          </cell>
          <cell r="C180" t="str">
            <v>1 491</v>
          </cell>
          <cell r="D180">
            <v>43972</v>
          </cell>
          <cell r="E180">
            <v>348103.88</v>
          </cell>
          <cell r="F180">
            <v>348103.88</v>
          </cell>
          <cell r="G180">
            <v>215861.99</v>
          </cell>
          <cell r="H180">
            <v>215861.99</v>
          </cell>
          <cell r="I180">
            <v>76862.14</v>
          </cell>
          <cell r="J180">
            <v>76862.14</v>
          </cell>
          <cell r="K180">
            <v>55379.75</v>
          </cell>
        </row>
        <row r="181">
          <cell r="A181" t="str">
            <v>В-00840/АЗ_В-21082023/Ц</v>
          </cell>
          <cell r="B181" t="str">
            <v>Батурин Василий Михайлович</v>
          </cell>
          <cell r="C181" t="str">
            <v>1 490</v>
          </cell>
          <cell r="D181">
            <v>43973</v>
          </cell>
          <cell r="E181">
            <v>962935.54</v>
          </cell>
          <cell r="F181">
            <v>962935.54</v>
          </cell>
          <cell r="G181">
            <v>341241.24</v>
          </cell>
          <cell r="H181">
            <v>341241.24</v>
          </cell>
          <cell r="I181">
            <v>388571.59</v>
          </cell>
          <cell r="J181">
            <v>388571.59</v>
          </cell>
          <cell r="K181">
            <v>218544.54</v>
          </cell>
        </row>
        <row r="182">
          <cell r="A182" t="str">
            <v>В-00557/АЗ_В-21082023/Ц</v>
          </cell>
          <cell r="B182" t="str">
            <v>Москалев Ярослав Вячеславович</v>
          </cell>
          <cell r="C182" t="str">
            <v>1 482</v>
          </cell>
          <cell r="D182">
            <v>43981</v>
          </cell>
          <cell r="E182">
            <v>692675.99</v>
          </cell>
          <cell r="F182">
            <v>692675.99</v>
          </cell>
          <cell r="G182">
            <v>240890.38</v>
          </cell>
          <cell r="H182">
            <v>240890.38</v>
          </cell>
          <cell r="I182">
            <v>281728.81</v>
          </cell>
          <cell r="J182">
            <v>281728.81</v>
          </cell>
          <cell r="K182">
            <v>157137.60999999999</v>
          </cell>
        </row>
        <row r="183">
          <cell r="A183" t="str">
            <v>В-00614/АЗ_В-21082023/Ц</v>
          </cell>
          <cell r="B183" t="str">
            <v>Барчукова Марина Алексеевна</v>
          </cell>
          <cell r="C183" t="str">
            <v>1 476</v>
          </cell>
          <cell r="D183">
            <v>43987</v>
          </cell>
          <cell r="E183">
            <v>361624.98</v>
          </cell>
          <cell r="F183">
            <v>361624.98</v>
          </cell>
          <cell r="G183">
            <v>120000</v>
          </cell>
          <cell r="H183">
            <v>120000</v>
          </cell>
          <cell r="I183">
            <v>147383.44</v>
          </cell>
          <cell r="J183">
            <v>147383.44</v>
          </cell>
          <cell r="K183">
            <v>87855.75</v>
          </cell>
        </row>
        <row r="184">
          <cell r="A184" t="str">
            <v>В-01035/КЛ.Транш - 1_В-20211230/Ц</v>
          </cell>
          <cell r="B184" t="str">
            <v>Азоев Стаматис Рудикович</v>
          </cell>
          <cell r="C184" t="str">
            <v>1 457</v>
          </cell>
          <cell r="D184">
            <v>44006</v>
          </cell>
          <cell r="E184">
            <v>1566779.72</v>
          </cell>
          <cell r="F184">
            <v>1566779.72</v>
          </cell>
          <cell r="G184">
            <v>285524.37</v>
          </cell>
          <cell r="H184">
            <v>285524.37</v>
          </cell>
          <cell r="I184">
            <v>1043252.7</v>
          </cell>
          <cell r="J184">
            <v>1043252.7</v>
          </cell>
          <cell r="K184">
            <v>224644.86</v>
          </cell>
        </row>
        <row r="185">
          <cell r="A185" t="str">
            <v>В-01642/КЛ.Транш - 1_В-21082023/Ц</v>
          </cell>
          <cell r="B185" t="str">
            <v>Юрченко Дмитрий Валерьевич</v>
          </cell>
          <cell r="C185" t="str">
            <v>1 454</v>
          </cell>
          <cell r="D185">
            <v>44009</v>
          </cell>
          <cell r="E185">
            <v>312404.90000000002</v>
          </cell>
          <cell r="F185">
            <v>312404.90000000002</v>
          </cell>
          <cell r="G185">
            <v>112952.52</v>
          </cell>
          <cell r="H185">
            <v>112952.52</v>
          </cell>
          <cell r="I185">
            <v>118748.68</v>
          </cell>
          <cell r="J185">
            <v>118748.68</v>
          </cell>
          <cell r="K185">
            <v>70143.509999999995</v>
          </cell>
        </row>
        <row r="186">
          <cell r="A186" t="str">
            <v>В-00858/АЗ_В-21082023/Ц</v>
          </cell>
          <cell r="B186" t="str">
            <v>Груничев Александр Леонидович</v>
          </cell>
          <cell r="C186" t="str">
            <v>1 450</v>
          </cell>
          <cell r="D186">
            <v>44013</v>
          </cell>
          <cell r="E186">
            <v>912211.8</v>
          </cell>
          <cell r="F186">
            <v>912211.8</v>
          </cell>
          <cell r="G186">
            <v>428339.42</v>
          </cell>
          <cell r="H186">
            <v>428339.42</v>
          </cell>
          <cell r="I186">
            <v>214369.36</v>
          </cell>
          <cell r="J186">
            <v>214369.36</v>
          </cell>
          <cell r="K186">
            <v>253651.91</v>
          </cell>
        </row>
        <row r="187">
          <cell r="A187" t="str">
            <v>В-03114/КЛ.Транш - 1_В-20211230/Ц</v>
          </cell>
          <cell r="B187" t="str">
            <v>Некрасов Алексей Сергеевич</v>
          </cell>
          <cell r="C187" t="str">
            <v>1 448</v>
          </cell>
          <cell r="D187">
            <v>44015</v>
          </cell>
          <cell r="E187">
            <v>2106601.2599999998</v>
          </cell>
          <cell r="F187">
            <v>2106601.2599999998</v>
          </cell>
          <cell r="G187">
            <v>456454.36</v>
          </cell>
          <cell r="H187">
            <v>456454.36</v>
          </cell>
          <cell r="I187">
            <v>1276788.3899999999</v>
          </cell>
          <cell r="J187">
            <v>1276788.3899999999</v>
          </cell>
          <cell r="K187">
            <v>356910.8</v>
          </cell>
        </row>
        <row r="188">
          <cell r="A188" t="str">
            <v>В-15085/КЛ.Транш - 1_В-21082023/Ц</v>
          </cell>
          <cell r="B188" t="str">
            <v>Лещев Андрей Николаевич</v>
          </cell>
          <cell r="C188" t="str">
            <v>1 445</v>
          </cell>
          <cell r="D188">
            <v>44018</v>
          </cell>
          <cell r="E188">
            <v>1744675.02</v>
          </cell>
          <cell r="F188">
            <v>1744675.02</v>
          </cell>
          <cell r="G188">
            <v>981181.77</v>
          </cell>
          <cell r="H188">
            <v>981181.77</v>
          </cell>
          <cell r="I188">
            <v>361773.78</v>
          </cell>
          <cell r="J188">
            <v>361773.78</v>
          </cell>
          <cell r="K188">
            <v>380375.52</v>
          </cell>
        </row>
        <row r="189">
          <cell r="A189" t="str">
            <v>А-10092/КЭ.Транш - 2</v>
          </cell>
          <cell r="B189" t="str">
            <v>ИП Ячменёва Ольга Сергеевна</v>
          </cell>
          <cell r="C189" t="str">
            <v>1 442</v>
          </cell>
          <cell r="D189">
            <v>44021</v>
          </cell>
          <cell r="E189">
            <v>101820.7</v>
          </cell>
          <cell r="F189">
            <v>101820.7</v>
          </cell>
          <cell r="G189">
            <v>65820.7</v>
          </cell>
          <cell r="H189">
            <v>65820.7</v>
          </cell>
          <cell r="K189">
            <v>30000</v>
          </cell>
        </row>
        <row r="190">
          <cell r="A190" t="str">
            <v>В-00256/КЛ.Транш - 2_В-20211230/Ц</v>
          </cell>
          <cell r="B190" t="str">
            <v>Теслюк Игорь Анатольевич</v>
          </cell>
          <cell r="C190" t="str">
            <v>1 439</v>
          </cell>
          <cell r="D190">
            <v>44024</v>
          </cell>
          <cell r="E190">
            <v>635866.04</v>
          </cell>
          <cell r="F190">
            <v>635866.04</v>
          </cell>
          <cell r="G190">
            <v>221949.58</v>
          </cell>
          <cell r="H190">
            <v>221949.58</v>
          </cell>
          <cell r="I190">
            <v>248782.4</v>
          </cell>
          <cell r="J190">
            <v>248782.4</v>
          </cell>
          <cell r="K190">
            <v>156217.60000000001</v>
          </cell>
        </row>
        <row r="191">
          <cell r="A191" t="str">
            <v>В-01422/КЛ.Транш - 1_В-20211230/Ц</v>
          </cell>
          <cell r="B191" t="str">
            <v>Рыченков Александр Николаевич</v>
          </cell>
          <cell r="C191" t="str">
            <v>1 436</v>
          </cell>
          <cell r="D191">
            <v>44027</v>
          </cell>
          <cell r="E191">
            <v>156620.44</v>
          </cell>
          <cell r="F191">
            <v>156620.44</v>
          </cell>
          <cell r="G191">
            <v>68837.509999999995</v>
          </cell>
          <cell r="H191">
            <v>68837.509999999995</v>
          </cell>
          <cell r="I191">
            <v>47743.65</v>
          </cell>
          <cell r="J191">
            <v>47743.65</v>
          </cell>
          <cell r="K191">
            <v>40039.279999999999</v>
          </cell>
        </row>
        <row r="192">
          <cell r="A192" t="str">
            <v>В-00478/КЛ.Транш - 1_В-21082023/Ц</v>
          </cell>
          <cell r="B192" t="str">
            <v>Солохин Александр Игоревич</v>
          </cell>
          <cell r="C192" t="str">
            <v>1 434</v>
          </cell>
          <cell r="D192">
            <v>44029</v>
          </cell>
          <cell r="E192">
            <v>343966.59</v>
          </cell>
          <cell r="F192">
            <v>343966.59</v>
          </cell>
          <cell r="G192">
            <v>119184.95</v>
          </cell>
          <cell r="H192">
            <v>119184.95</v>
          </cell>
          <cell r="I192">
            <v>145647.29</v>
          </cell>
          <cell r="J192">
            <v>145647.29</v>
          </cell>
          <cell r="K192">
            <v>72726.66</v>
          </cell>
        </row>
        <row r="193">
          <cell r="A193" t="str">
            <v>В-00608/АЗ_В-21082023/Ц</v>
          </cell>
          <cell r="B193" t="str">
            <v>Серов Лев Николаевич</v>
          </cell>
          <cell r="C193" t="str">
            <v>1 433</v>
          </cell>
          <cell r="D193">
            <v>44030</v>
          </cell>
          <cell r="E193">
            <v>985563.41</v>
          </cell>
          <cell r="F193">
            <v>985563.41</v>
          </cell>
          <cell r="G193">
            <v>357064.12</v>
          </cell>
          <cell r="H193">
            <v>357064.12</v>
          </cell>
          <cell r="I193">
            <v>399226.93</v>
          </cell>
          <cell r="J193">
            <v>399226.93</v>
          </cell>
          <cell r="K193">
            <v>217687.71</v>
          </cell>
        </row>
        <row r="194">
          <cell r="A194" t="str">
            <v>В-13104/КЛ.Транш - 1_В-20211230/Ц</v>
          </cell>
          <cell r="B194" t="str">
            <v>Мачнева Галина Петровна</v>
          </cell>
          <cell r="C194" t="str">
            <v>1 431</v>
          </cell>
          <cell r="D194">
            <v>44032</v>
          </cell>
          <cell r="E194">
            <v>128957.71</v>
          </cell>
          <cell r="F194">
            <v>128957.71</v>
          </cell>
          <cell r="G194">
            <v>67010.84</v>
          </cell>
          <cell r="H194">
            <v>67010.84</v>
          </cell>
          <cell r="I194">
            <v>20255.84</v>
          </cell>
          <cell r="J194">
            <v>20255.84</v>
          </cell>
          <cell r="K194">
            <v>32748.19</v>
          </cell>
        </row>
        <row r="195">
          <cell r="A195" t="str">
            <v>В-00478/КЛ.Транш - 2_В-21082023/Ц</v>
          </cell>
          <cell r="B195" t="str">
            <v>Солохин Александр Игоревич</v>
          </cell>
          <cell r="C195" t="str">
            <v>1 430</v>
          </cell>
          <cell r="D195">
            <v>44033</v>
          </cell>
          <cell r="E195">
            <v>238944.61</v>
          </cell>
          <cell r="F195">
            <v>238944.61</v>
          </cell>
          <cell r="G195">
            <v>82579.23</v>
          </cell>
          <cell r="H195">
            <v>82579.23</v>
          </cell>
          <cell r="I195">
            <v>100153.9</v>
          </cell>
          <cell r="J195">
            <v>100153.9</v>
          </cell>
          <cell r="K195">
            <v>50211.48</v>
          </cell>
        </row>
        <row r="196">
          <cell r="A196" t="str">
            <v>Т-01722/АЗ_Т-20211028/Ц</v>
          </cell>
          <cell r="B196" t="str">
            <v>Рогозин Андрей Иванович</v>
          </cell>
          <cell r="C196" t="str">
            <v>1 429</v>
          </cell>
          <cell r="D196">
            <v>44034</v>
          </cell>
          <cell r="E196">
            <v>623763.71</v>
          </cell>
          <cell r="F196">
            <v>623763.71</v>
          </cell>
          <cell r="G196">
            <v>216486.61</v>
          </cell>
          <cell r="H196">
            <v>216486.61</v>
          </cell>
          <cell r="I196">
            <v>240223.04</v>
          </cell>
          <cell r="J196">
            <v>240223.04</v>
          </cell>
          <cell r="K196">
            <v>167054.06</v>
          </cell>
        </row>
        <row r="197">
          <cell r="A197" t="str">
            <v>В-01072/КЛ.Транш - 1_В-21082023/Ц</v>
          </cell>
          <cell r="B197" t="str">
            <v>Головина Екатерина Давидовна</v>
          </cell>
          <cell r="C197" t="str">
            <v>1 425</v>
          </cell>
          <cell r="D197">
            <v>44038</v>
          </cell>
          <cell r="E197">
            <v>548064.86</v>
          </cell>
          <cell r="F197">
            <v>548064.86</v>
          </cell>
          <cell r="G197">
            <v>190899.14</v>
          </cell>
          <cell r="H197">
            <v>190899.14</v>
          </cell>
          <cell r="I197">
            <v>229330.03</v>
          </cell>
          <cell r="J197">
            <v>229330.03</v>
          </cell>
          <cell r="K197">
            <v>115558.89</v>
          </cell>
        </row>
        <row r="198">
          <cell r="A198" t="str">
            <v>В-01092/КЛ.Транш - 1_В-21082023/Ц</v>
          </cell>
          <cell r="B198" t="str">
            <v>Келехсаев Эдуард Павлович</v>
          </cell>
          <cell r="C198" t="str">
            <v>1 422</v>
          </cell>
          <cell r="D198">
            <v>44041</v>
          </cell>
          <cell r="E198">
            <v>281700.32</v>
          </cell>
          <cell r="F198">
            <v>281700.32</v>
          </cell>
          <cell r="G198">
            <v>152841.37</v>
          </cell>
          <cell r="H198">
            <v>152841.37</v>
          </cell>
          <cell r="K198">
            <v>116047.82</v>
          </cell>
        </row>
        <row r="199">
          <cell r="A199" t="str">
            <v>А-10098/КЭ.Транш - 1</v>
          </cell>
          <cell r="B199" t="str">
            <v>ЭНЕРГИЯ ООО</v>
          </cell>
          <cell r="C199" t="str">
            <v>1 421</v>
          </cell>
          <cell r="D199">
            <v>44042</v>
          </cell>
          <cell r="E199">
            <v>3900382.6</v>
          </cell>
          <cell r="F199">
            <v>3900382.6</v>
          </cell>
          <cell r="G199">
            <v>150000</v>
          </cell>
          <cell r="H199">
            <v>150000</v>
          </cell>
          <cell r="I199">
            <v>130355.5</v>
          </cell>
          <cell r="J199">
            <v>130355.5</v>
          </cell>
          <cell r="K199">
            <v>3620027.1</v>
          </cell>
        </row>
        <row r="200">
          <cell r="A200" t="str">
            <v>А-10092/КЭ.Транш - 3</v>
          </cell>
          <cell r="B200" t="str">
            <v>ИП Ячменёва Ольга Сергеевна</v>
          </cell>
          <cell r="C200" t="str">
            <v>1 413</v>
          </cell>
          <cell r="D200">
            <v>44050</v>
          </cell>
          <cell r="E200">
            <v>187064.37</v>
          </cell>
          <cell r="F200">
            <v>187064.37</v>
          </cell>
          <cell r="G200">
            <v>110000</v>
          </cell>
          <cell r="H200">
            <v>110000</v>
          </cell>
          <cell r="I200">
            <v>25064.37</v>
          </cell>
          <cell r="J200">
            <v>25064.37</v>
          </cell>
          <cell r="K200">
            <v>45000</v>
          </cell>
        </row>
        <row r="201">
          <cell r="A201" t="str">
            <v>А-10099/КЭ.Транш - 1</v>
          </cell>
          <cell r="B201" t="str">
            <v>ЭНЕРГИЯ ООО</v>
          </cell>
          <cell r="C201" t="str">
            <v>1 411</v>
          </cell>
          <cell r="D201">
            <v>44052</v>
          </cell>
          <cell r="E201">
            <v>6872233.7000000002</v>
          </cell>
          <cell r="F201">
            <v>6872233.7000000002</v>
          </cell>
          <cell r="G201">
            <v>289226.32</v>
          </cell>
          <cell r="H201">
            <v>289226.32</v>
          </cell>
          <cell r="I201">
            <v>201661.2</v>
          </cell>
          <cell r="J201">
            <v>201661.2</v>
          </cell>
          <cell r="K201">
            <v>6381346.1799999997</v>
          </cell>
        </row>
        <row r="202">
          <cell r="A202" t="str">
            <v>Т-00001/КЭ_Т-20211028/Ц</v>
          </cell>
          <cell r="B202" t="str">
            <v>ИП Кругляк Наталья Анатольевна</v>
          </cell>
          <cell r="C202" t="str">
            <v>1 410</v>
          </cell>
          <cell r="D202">
            <v>44053</v>
          </cell>
          <cell r="E202">
            <v>946482.04</v>
          </cell>
          <cell r="F202">
            <v>946482.04</v>
          </cell>
          <cell r="G202">
            <v>539180.56999999995</v>
          </cell>
          <cell r="H202">
            <v>539180.56999999995</v>
          </cell>
          <cell r="I202">
            <v>121426.43</v>
          </cell>
          <cell r="J202">
            <v>121426.43</v>
          </cell>
          <cell r="K202">
            <v>285875.03999999998</v>
          </cell>
        </row>
        <row r="203">
          <cell r="A203" t="str">
            <v>В-03846/КЛ.Транш - 1_В-21082023/Ц</v>
          </cell>
          <cell r="B203" t="str">
            <v>Корниенко Андрей Юрьевич</v>
          </cell>
          <cell r="C203" t="str">
            <v>1 409</v>
          </cell>
          <cell r="D203">
            <v>44054</v>
          </cell>
          <cell r="E203">
            <v>1468728.48</v>
          </cell>
          <cell r="F203">
            <v>1468728.48</v>
          </cell>
          <cell r="G203">
            <v>597267.06999999995</v>
          </cell>
          <cell r="H203">
            <v>597267.06999999995</v>
          </cell>
          <cell r="I203">
            <v>492728</v>
          </cell>
          <cell r="J203">
            <v>492728</v>
          </cell>
          <cell r="K203">
            <v>365412.54</v>
          </cell>
        </row>
        <row r="204">
          <cell r="A204" t="str">
            <v>В-02644/КЛ.Транш - 1_В-20211230/Ц</v>
          </cell>
          <cell r="B204" t="str">
            <v>Быстров Михаил Владимирович</v>
          </cell>
          <cell r="C204" t="str">
            <v>1 408</v>
          </cell>
          <cell r="D204">
            <v>44055</v>
          </cell>
          <cell r="E204">
            <v>1250000</v>
          </cell>
          <cell r="F204">
            <v>1250000</v>
          </cell>
          <cell r="G204">
            <v>500000</v>
          </cell>
          <cell r="H204">
            <v>500000</v>
          </cell>
          <cell r="I204">
            <v>441145.84</v>
          </cell>
          <cell r="J204">
            <v>441145.84</v>
          </cell>
          <cell r="K204">
            <v>308854.15999999997</v>
          </cell>
        </row>
        <row r="205">
          <cell r="A205" t="str">
            <v>А-00328/КЭ.Транш - 1</v>
          </cell>
          <cell r="B205" t="str">
            <v>АЛЬЯНС НЕДВИЖИМОСТИ ООО</v>
          </cell>
          <cell r="C205" t="str">
            <v>1 407</v>
          </cell>
          <cell r="D205">
            <v>44056</v>
          </cell>
          <cell r="E205">
            <v>3399185.61</v>
          </cell>
          <cell r="F205">
            <v>3399185.61</v>
          </cell>
          <cell r="G205">
            <v>150000</v>
          </cell>
          <cell r="H205">
            <v>150000</v>
          </cell>
          <cell r="I205">
            <v>133566.89000000001</v>
          </cell>
          <cell r="J205">
            <v>133566.89000000001</v>
          </cell>
          <cell r="K205">
            <v>3115618.72</v>
          </cell>
        </row>
        <row r="206">
          <cell r="A206" t="str">
            <v>А-05332/АЗ_В-21082023/Ц</v>
          </cell>
          <cell r="B206" t="str">
            <v>Косинова Мария Евгеньевна</v>
          </cell>
          <cell r="C206" t="str">
            <v>1 406</v>
          </cell>
          <cell r="D206">
            <v>44057</v>
          </cell>
          <cell r="E206">
            <v>725592.74</v>
          </cell>
          <cell r="F206">
            <v>725592.74</v>
          </cell>
          <cell r="G206">
            <v>420910.34</v>
          </cell>
          <cell r="H206">
            <v>420910.34</v>
          </cell>
          <cell r="I206">
            <v>46351.29</v>
          </cell>
          <cell r="J206">
            <v>46351.29</v>
          </cell>
          <cell r="K206">
            <v>248331.11</v>
          </cell>
        </row>
        <row r="207">
          <cell r="A207" t="str">
            <v>А-04328/АЗ</v>
          </cell>
          <cell r="B207" t="str">
            <v>Камшилина Татьяна Ивановна</v>
          </cell>
          <cell r="C207" t="str">
            <v>1 404</v>
          </cell>
          <cell r="D207">
            <v>44059</v>
          </cell>
          <cell r="E207">
            <v>255670.01</v>
          </cell>
          <cell r="F207">
            <v>255670.01</v>
          </cell>
          <cell r="G207">
            <v>131027.51</v>
          </cell>
          <cell r="H207">
            <v>131027.51</v>
          </cell>
          <cell r="I207">
            <v>96494.16</v>
          </cell>
          <cell r="J207">
            <v>96494.16</v>
          </cell>
          <cell r="K207">
            <v>28148.34</v>
          </cell>
        </row>
        <row r="208">
          <cell r="A208" t="str">
            <v>В-00449/КЛ.Транш - 1_В-20211230/Ц</v>
          </cell>
          <cell r="B208" t="str">
            <v>Секриеру Вячеслав Андреевич</v>
          </cell>
          <cell r="C208" t="str">
            <v>1 404</v>
          </cell>
          <cell r="D208">
            <v>44059</v>
          </cell>
          <cell r="E208">
            <v>67041.100000000006</v>
          </cell>
          <cell r="F208">
            <v>67041.100000000006</v>
          </cell>
          <cell r="I208">
            <v>35821.22</v>
          </cell>
          <cell r="J208">
            <v>35821.22</v>
          </cell>
          <cell r="K208">
            <v>31219.88</v>
          </cell>
        </row>
        <row r="209">
          <cell r="A209" t="str">
            <v>А-10099/КЭ.Транш - 2</v>
          </cell>
          <cell r="B209" t="str">
            <v>ЭНЕРГИЯ ООО</v>
          </cell>
          <cell r="C209" t="str">
            <v>1 402</v>
          </cell>
          <cell r="D209">
            <v>44061</v>
          </cell>
          <cell r="E209">
            <v>3668249.8</v>
          </cell>
          <cell r="F209">
            <v>3668249.8</v>
          </cell>
          <cell r="G209">
            <v>170071.42</v>
          </cell>
          <cell r="H209">
            <v>170071.42</v>
          </cell>
          <cell r="I209">
            <v>116487.27</v>
          </cell>
          <cell r="J209">
            <v>116487.27</v>
          </cell>
          <cell r="K209">
            <v>3381691.11</v>
          </cell>
        </row>
        <row r="210">
          <cell r="A210" t="str">
            <v>В-03846/КЛ.Транш - 2_В-21082023/Ц</v>
          </cell>
          <cell r="B210" t="str">
            <v>Корниенко Андрей Юрьевич</v>
          </cell>
          <cell r="C210" t="str">
            <v>1 400</v>
          </cell>
          <cell r="D210">
            <v>44063</v>
          </cell>
          <cell r="E210">
            <v>541617.34</v>
          </cell>
          <cell r="F210">
            <v>541617.34</v>
          </cell>
          <cell r="G210">
            <v>200000</v>
          </cell>
          <cell r="H210">
            <v>200000</v>
          </cell>
          <cell r="I210">
            <v>223249.34</v>
          </cell>
          <cell r="J210">
            <v>223249.34</v>
          </cell>
          <cell r="K210">
            <v>118368</v>
          </cell>
        </row>
        <row r="211">
          <cell r="A211" t="str">
            <v>В-00088/АЗ_В-20211230/Ц</v>
          </cell>
          <cell r="B211" t="str">
            <v>Юзбашян Ходедан Зограбович</v>
          </cell>
          <cell r="C211" t="str">
            <v>1 391</v>
          </cell>
          <cell r="D211">
            <v>44072</v>
          </cell>
          <cell r="E211">
            <v>53619.1</v>
          </cell>
          <cell r="F211">
            <v>53619.1</v>
          </cell>
          <cell r="G211">
            <v>20033.48</v>
          </cell>
          <cell r="H211">
            <v>20033.48</v>
          </cell>
          <cell r="K211">
            <v>33585.620000000003</v>
          </cell>
        </row>
        <row r="212">
          <cell r="A212" t="str">
            <v>В-00256/КЛ.Транш - 1_В-20211230/Ц</v>
          </cell>
          <cell r="B212" t="str">
            <v>Теслюк Игорь Анатольевич</v>
          </cell>
          <cell r="C212" t="str">
            <v>1 391</v>
          </cell>
          <cell r="D212">
            <v>44072</v>
          </cell>
          <cell r="E212">
            <v>480174.88</v>
          </cell>
          <cell r="F212">
            <v>480174.88</v>
          </cell>
          <cell r="G212">
            <v>167386.20000000001</v>
          </cell>
          <cell r="H212">
            <v>167386.20000000001</v>
          </cell>
          <cell r="I212">
            <v>181058.21</v>
          </cell>
          <cell r="J212">
            <v>181058.21</v>
          </cell>
          <cell r="K212">
            <v>125730.47</v>
          </cell>
        </row>
        <row r="213">
          <cell r="A213" t="str">
            <v>А-00332/КЭ.Транш - 1</v>
          </cell>
          <cell r="B213" t="str">
            <v>ИП Харин Евгений Александрович</v>
          </cell>
          <cell r="C213" t="str">
            <v>1 389</v>
          </cell>
          <cell r="D213">
            <v>44074</v>
          </cell>
          <cell r="E213">
            <v>443.58</v>
          </cell>
          <cell r="F213">
            <v>443.58</v>
          </cell>
          <cell r="K213">
            <v>443.58</v>
          </cell>
        </row>
        <row r="214">
          <cell r="A214" t="str">
            <v>В-00051/КЛ.Транш - 2_В-21082023/Ц</v>
          </cell>
          <cell r="B214" t="str">
            <v>Саркисян Геворк Александрович</v>
          </cell>
          <cell r="C214" t="str">
            <v>1 387</v>
          </cell>
          <cell r="D214">
            <v>44076</v>
          </cell>
          <cell r="E214">
            <v>425397.33</v>
          </cell>
          <cell r="F214">
            <v>425397.33</v>
          </cell>
          <cell r="G214">
            <v>149849.26</v>
          </cell>
          <cell r="H214">
            <v>149849.26</v>
          </cell>
          <cell r="I214">
            <v>167256.41</v>
          </cell>
          <cell r="J214">
            <v>167256.41</v>
          </cell>
          <cell r="K214">
            <v>102291.66</v>
          </cell>
        </row>
        <row r="215">
          <cell r="A215" t="str">
            <v>В-00932/АЗ_В-21082023/Ц</v>
          </cell>
          <cell r="B215" t="str">
            <v>Серов Лев Николаевич</v>
          </cell>
          <cell r="C215" t="str">
            <v>1 382</v>
          </cell>
          <cell r="D215">
            <v>44081</v>
          </cell>
          <cell r="E215">
            <v>452289.59</v>
          </cell>
          <cell r="F215">
            <v>452289.59</v>
          </cell>
          <cell r="G215">
            <v>175558.02</v>
          </cell>
          <cell r="H215">
            <v>175558.02</v>
          </cell>
          <cell r="I215">
            <v>168535.74</v>
          </cell>
          <cell r="J215">
            <v>168535.74</v>
          </cell>
          <cell r="K215">
            <v>102195.83</v>
          </cell>
        </row>
        <row r="216">
          <cell r="A216" t="str">
            <v>В-02402/КЛ.Транш - 1_В-21082023/Ц</v>
          </cell>
          <cell r="B216" t="str">
            <v>Кривотулов Дмитрий Александрович</v>
          </cell>
          <cell r="C216" t="str">
            <v>1 375</v>
          </cell>
          <cell r="D216">
            <v>44088</v>
          </cell>
          <cell r="E216">
            <v>1378655.79</v>
          </cell>
          <cell r="F216">
            <v>1378655.79</v>
          </cell>
          <cell r="G216">
            <v>556489.29</v>
          </cell>
          <cell r="H216">
            <v>556489.29</v>
          </cell>
          <cell r="I216">
            <v>482069.89</v>
          </cell>
          <cell r="J216">
            <v>482069.89</v>
          </cell>
          <cell r="K216">
            <v>321840.02</v>
          </cell>
        </row>
        <row r="217">
          <cell r="A217" t="str">
            <v>В-07706/КЛ.Транш - 1_В-21082023/Ц</v>
          </cell>
          <cell r="B217" t="str">
            <v>Краснов Николай Викторович</v>
          </cell>
          <cell r="C217" t="str">
            <v>1 375</v>
          </cell>
          <cell r="D217">
            <v>44088</v>
          </cell>
          <cell r="E217">
            <v>101723.4</v>
          </cell>
          <cell r="F217">
            <v>101723.4</v>
          </cell>
          <cell r="I217">
            <v>48253.24</v>
          </cell>
          <cell r="J217">
            <v>48253.24</v>
          </cell>
          <cell r="K217">
            <v>43200</v>
          </cell>
        </row>
        <row r="218">
          <cell r="A218" t="str">
            <v>А-04955/АЗ</v>
          </cell>
          <cell r="B218" t="str">
            <v>Зуева Светлана Григорьевна</v>
          </cell>
          <cell r="C218" t="str">
            <v>1 374</v>
          </cell>
          <cell r="D218">
            <v>44089</v>
          </cell>
          <cell r="E218">
            <v>102275.65</v>
          </cell>
          <cell r="F218">
            <v>102275.65</v>
          </cell>
          <cell r="I218">
            <v>43463.9</v>
          </cell>
          <cell r="J218">
            <v>43463.9</v>
          </cell>
          <cell r="K218">
            <v>58811.75</v>
          </cell>
        </row>
        <row r="219">
          <cell r="A219" t="str">
            <v>В-00982/АЗ_В-21082023/Ц</v>
          </cell>
          <cell r="B219" t="str">
            <v>Черников Сергей Сергеевич</v>
          </cell>
          <cell r="C219" t="str">
            <v>1 368</v>
          </cell>
          <cell r="D219">
            <v>44095</v>
          </cell>
          <cell r="E219">
            <v>1103568.75</v>
          </cell>
          <cell r="F219">
            <v>1103568.75</v>
          </cell>
          <cell r="G219">
            <v>450000</v>
          </cell>
          <cell r="H219">
            <v>450000</v>
          </cell>
          <cell r="I219">
            <v>379183.58</v>
          </cell>
          <cell r="J219">
            <v>379183.58</v>
          </cell>
          <cell r="K219">
            <v>258552</v>
          </cell>
        </row>
        <row r="220">
          <cell r="A220" t="str">
            <v>В-07328/КЛ.Транш - 1_В-21082023/Ц</v>
          </cell>
          <cell r="B220" t="str">
            <v>Корнач Антон Владимирович</v>
          </cell>
          <cell r="C220" t="str">
            <v>1 364</v>
          </cell>
          <cell r="D220">
            <v>44099</v>
          </cell>
          <cell r="E220">
            <v>442441.3</v>
          </cell>
          <cell r="F220">
            <v>442441.3</v>
          </cell>
          <cell r="G220">
            <v>187562.77</v>
          </cell>
          <cell r="H220">
            <v>187562.77</v>
          </cell>
          <cell r="I220">
            <v>140070.87</v>
          </cell>
          <cell r="J220">
            <v>140070.87</v>
          </cell>
          <cell r="K220">
            <v>107360.93</v>
          </cell>
        </row>
        <row r="221">
          <cell r="A221" t="str">
            <v>В-03631/КЛ.Транш - 1_В-21082023/Ц</v>
          </cell>
          <cell r="B221" t="str">
            <v>Чернышова Татьяна Николаевна</v>
          </cell>
          <cell r="C221" t="str">
            <v>1 357</v>
          </cell>
          <cell r="D221">
            <v>44106</v>
          </cell>
          <cell r="E221">
            <v>496240.02</v>
          </cell>
          <cell r="F221">
            <v>496240.02</v>
          </cell>
          <cell r="G221">
            <v>193846.7</v>
          </cell>
          <cell r="H221">
            <v>193846.7</v>
          </cell>
          <cell r="I221">
            <v>176012.79999999999</v>
          </cell>
          <cell r="J221">
            <v>176012.79999999999</v>
          </cell>
          <cell r="K221">
            <v>114593.99</v>
          </cell>
        </row>
        <row r="222">
          <cell r="A222" t="str">
            <v>В-00051/КЛ.Транш - 1_В-21082023/Ц</v>
          </cell>
          <cell r="B222" t="str">
            <v>Саркисян Геворк Александрович</v>
          </cell>
          <cell r="C222" t="str">
            <v>1 354</v>
          </cell>
          <cell r="D222">
            <v>44109</v>
          </cell>
          <cell r="E222">
            <v>1403865.85</v>
          </cell>
          <cell r="F222">
            <v>1403865.85</v>
          </cell>
          <cell r="G222">
            <v>511436.55</v>
          </cell>
          <cell r="H222">
            <v>511436.55</v>
          </cell>
          <cell r="I222">
            <v>588754.54</v>
          </cell>
          <cell r="J222">
            <v>588754.54</v>
          </cell>
          <cell r="K222">
            <v>289984.52</v>
          </cell>
        </row>
        <row r="223">
          <cell r="A223" t="str">
            <v>В-03206/КЛ.Транш - 1_В-21082023/Ц</v>
          </cell>
          <cell r="B223" t="str">
            <v>Самойлов Дмитрий Анатольевич</v>
          </cell>
          <cell r="C223" t="str">
            <v>1 354</v>
          </cell>
          <cell r="D223">
            <v>44109</v>
          </cell>
          <cell r="E223">
            <v>116921.18</v>
          </cell>
          <cell r="F223">
            <v>116921.18</v>
          </cell>
          <cell r="G223">
            <v>82976.45</v>
          </cell>
          <cell r="H223">
            <v>82976.45</v>
          </cell>
          <cell r="K223">
            <v>22140.36</v>
          </cell>
        </row>
        <row r="224">
          <cell r="A224" t="str">
            <v>В-01388/КЛ.Транш - 2_В-21082023/Ц</v>
          </cell>
          <cell r="B224" t="str">
            <v>Одинцова Ирина Вячеславовна</v>
          </cell>
          <cell r="C224" t="str">
            <v>1 351</v>
          </cell>
          <cell r="D224">
            <v>44112</v>
          </cell>
          <cell r="E224">
            <v>203546.29</v>
          </cell>
          <cell r="F224">
            <v>203546.29</v>
          </cell>
          <cell r="G224">
            <v>100000</v>
          </cell>
          <cell r="H224">
            <v>100000</v>
          </cell>
          <cell r="I224">
            <v>71461.61</v>
          </cell>
          <cell r="J224">
            <v>71461.61</v>
          </cell>
          <cell r="K224">
            <v>25486.59</v>
          </cell>
        </row>
        <row r="225">
          <cell r="A225" t="str">
            <v>А-10100/КЭ.Транш - 3</v>
          </cell>
          <cell r="B225" t="str">
            <v>ИП Антонов Павел Владимирович</v>
          </cell>
          <cell r="C225" t="str">
            <v>1 345</v>
          </cell>
          <cell r="D225">
            <v>44118</v>
          </cell>
          <cell r="E225">
            <v>155785.31</v>
          </cell>
          <cell r="F225">
            <v>155785.31</v>
          </cell>
          <cell r="G225">
            <v>8494.57</v>
          </cell>
          <cell r="H225">
            <v>8494.57</v>
          </cell>
          <cell r="I225">
            <v>3085.97</v>
          </cell>
          <cell r="J225">
            <v>3085.97</v>
          </cell>
          <cell r="K225">
            <v>144204.76999999999</v>
          </cell>
        </row>
        <row r="226">
          <cell r="A226" t="str">
            <v>В-01388/КЛ.Транш - 1_В-21082023/Ц</v>
          </cell>
          <cell r="B226" t="str">
            <v>Одинцова Ирина Вячеславовна</v>
          </cell>
          <cell r="C226" t="str">
            <v>1 345</v>
          </cell>
          <cell r="D226">
            <v>44118</v>
          </cell>
          <cell r="E226">
            <v>313290.65000000002</v>
          </cell>
          <cell r="F226">
            <v>313290.65000000002</v>
          </cell>
          <cell r="G226">
            <v>132678.44</v>
          </cell>
          <cell r="H226">
            <v>132678.44</v>
          </cell>
          <cell r="I226">
            <v>92032.35</v>
          </cell>
          <cell r="J226">
            <v>92032.35</v>
          </cell>
          <cell r="K226">
            <v>82579.86</v>
          </cell>
        </row>
        <row r="227">
          <cell r="A227" t="str">
            <v>В-07328/КЛ.Транш - 2_В-21082023/Ц</v>
          </cell>
          <cell r="B227" t="str">
            <v>Корнач Антон Владимирович</v>
          </cell>
          <cell r="C227" t="str">
            <v>1 343</v>
          </cell>
          <cell r="D227">
            <v>44120</v>
          </cell>
          <cell r="E227">
            <v>241667.66</v>
          </cell>
          <cell r="F227">
            <v>241667.66</v>
          </cell>
          <cell r="G227">
            <v>100000</v>
          </cell>
          <cell r="H227">
            <v>100000</v>
          </cell>
          <cell r="I227">
            <v>79561.66</v>
          </cell>
          <cell r="J227">
            <v>79561.66</v>
          </cell>
          <cell r="K227">
            <v>56106</v>
          </cell>
        </row>
        <row r="228">
          <cell r="A228" t="str">
            <v>В-00003/КЭ.Транш - 1_А-20210929/Ц</v>
          </cell>
          <cell r="B228" t="str">
            <v>СЕЙЛМЕД ООО</v>
          </cell>
          <cell r="C228" t="str">
            <v>1 342</v>
          </cell>
          <cell r="D228">
            <v>44121</v>
          </cell>
          <cell r="E228">
            <v>1932036.91</v>
          </cell>
          <cell r="F228">
            <v>1932036.91</v>
          </cell>
          <cell r="G228">
            <v>300000</v>
          </cell>
          <cell r="H228">
            <v>300000</v>
          </cell>
          <cell r="I228">
            <v>201410.96</v>
          </cell>
          <cell r="J228">
            <v>201410.96</v>
          </cell>
          <cell r="K228">
            <v>1417328.69</v>
          </cell>
        </row>
        <row r="229">
          <cell r="A229" t="str">
            <v>А-00395/КЭ.Транш - 3</v>
          </cell>
          <cell r="B229" t="str">
            <v>ЛАВиК ООО</v>
          </cell>
          <cell r="C229" t="str">
            <v>1 340</v>
          </cell>
          <cell r="D229">
            <v>44123</v>
          </cell>
          <cell r="E229">
            <v>4552094.71</v>
          </cell>
          <cell r="F229">
            <v>4552094.71</v>
          </cell>
          <cell r="G229">
            <v>201747.18</v>
          </cell>
          <cell r="H229">
            <v>201747.18</v>
          </cell>
          <cell r="I229">
            <v>154124.6</v>
          </cell>
          <cell r="J229">
            <v>154124.6</v>
          </cell>
          <cell r="K229">
            <v>4196222.93</v>
          </cell>
        </row>
        <row r="230">
          <cell r="A230" t="str">
            <v>В-01509/КЛ.Транш - 1_В-21082023/Ц</v>
          </cell>
          <cell r="B230" t="str">
            <v>Орехова Екатерина Юрьевна</v>
          </cell>
          <cell r="C230" t="str">
            <v>1 340</v>
          </cell>
          <cell r="D230">
            <v>44123</v>
          </cell>
          <cell r="E230">
            <v>66657.11</v>
          </cell>
          <cell r="F230">
            <v>66657.11</v>
          </cell>
          <cell r="G230">
            <v>34377.370000000003</v>
          </cell>
          <cell r="H230">
            <v>34377.370000000003</v>
          </cell>
          <cell r="K230">
            <v>20189.240000000002</v>
          </cell>
        </row>
        <row r="231">
          <cell r="A231" t="str">
            <v>В-09250/КЛ.Транш - 1_В-20211230/Ц</v>
          </cell>
          <cell r="B231" t="str">
            <v>Калашников Алексей Владимирович</v>
          </cell>
          <cell r="C231" t="str">
            <v>1 340</v>
          </cell>
          <cell r="D231">
            <v>44123</v>
          </cell>
          <cell r="E231">
            <v>662291.41</v>
          </cell>
          <cell r="F231">
            <v>662291.41</v>
          </cell>
          <cell r="G231">
            <v>250000</v>
          </cell>
          <cell r="H231">
            <v>250000</v>
          </cell>
          <cell r="I231">
            <v>218500.01</v>
          </cell>
          <cell r="J231">
            <v>218500.01</v>
          </cell>
          <cell r="K231">
            <v>180900</v>
          </cell>
        </row>
        <row r="232">
          <cell r="A232" t="str">
            <v>А-10100/КЭ.Транш - 2</v>
          </cell>
          <cell r="B232" t="str">
            <v>ИП Антонов Павел Владимирович</v>
          </cell>
          <cell r="C232" t="str">
            <v>1 333</v>
          </cell>
          <cell r="D232">
            <v>44130</v>
          </cell>
          <cell r="E232">
            <v>2124.21</v>
          </cell>
          <cell r="F232">
            <v>2124.21</v>
          </cell>
          <cell r="K232">
            <v>2124.21</v>
          </cell>
        </row>
        <row r="233">
          <cell r="A233" t="str">
            <v>В-09625/КЛ.Транш - 1_В-21082023/Ц</v>
          </cell>
          <cell r="B233" t="str">
            <v>Аблязизов Эдем Рустемович</v>
          </cell>
          <cell r="C233" t="str">
            <v>1 331</v>
          </cell>
          <cell r="D233">
            <v>44132</v>
          </cell>
          <cell r="E233">
            <v>297433.15000000002</v>
          </cell>
          <cell r="F233">
            <v>297433.15000000002</v>
          </cell>
          <cell r="G233">
            <v>17353.419999999998</v>
          </cell>
          <cell r="H233">
            <v>17353.419999999998</v>
          </cell>
          <cell r="I233">
            <v>128767.15</v>
          </cell>
          <cell r="J233">
            <v>128767.15</v>
          </cell>
          <cell r="K233">
            <v>138645</v>
          </cell>
        </row>
        <row r="234">
          <cell r="A234" t="str">
            <v>В-03473/КЛ.Транш - 1_В-21082023/Ц</v>
          </cell>
          <cell r="B234" t="str">
            <v>Калошин Павел Сергеевич</v>
          </cell>
          <cell r="C234" t="str">
            <v>1 326</v>
          </cell>
          <cell r="D234">
            <v>44137</v>
          </cell>
          <cell r="E234">
            <v>49456.52</v>
          </cell>
          <cell r="F234">
            <v>49456.52</v>
          </cell>
          <cell r="I234">
            <v>13112.43</v>
          </cell>
          <cell r="J234">
            <v>13112.43</v>
          </cell>
          <cell r="K234">
            <v>27803.46</v>
          </cell>
        </row>
        <row r="235">
          <cell r="A235" t="str">
            <v>А-00395/КЭ.Транш - 2</v>
          </cell>
          <cell r="B235" t="str">
            <v>ЛАВиК ООО</v>
          </cell>
          <cell r="C235" t="str">
            <v>1 325</v>
          </cell>
          <cell r="D235">
            <v>44138</v>
          </cell>
          <cell r="E235">
            <v>3765389.68</v>
          </cell>
          <cell r="F235">
            <v>3765389.68</v>
          </cell>
          <cell r="G235">
            <v>166198.04</v>
          </cell>
          <cell r="H235">
            <v>166198.04</v>
          </cell>
          <cell r="I235">
            <v>122944.19</v>
          </cell>
          <cell r="J235">
            <v>122944.19</v>
          </cell>
          <cell r="K235">
            <v>3476247.45</v>
          </cell>
        </row>
        <row r="236">
          <cell r="A236" t="str">
            <v>В-00540/КЛ.Транш - 1_В-21082023/Ц</v>
          </cell>
          <cell r="B236" t="str">
            <v>Ефремов Николай Михайлович</v>
          </cell>
          <cell r="C236" t="str">
            <v>1 321</v>
          </cell>
          <cell r="D236">
            <v>44142</v>
          </cell>
          <cell r="E236">
            <v>630799.71</v>
          </cell>
          <cell r="F236">
            <v>630799.71</v>
          </cell>
          <cell r="G236">
            <v>250564.83</v>
          </cell>
          <cell r="H236">
            <v>250564.83</v>
          </cell>
          <cell r="I236">
            <v>231562.05</v>
          </cell>
          <cell r="J236">
            <v>231562.05</v>
          </cell>
          <cell r="K236">
            <v>141799.65</v>
          </cell>
        </row>
        <row r="237">
          <cell r="A237" t="str">
            <v>А-00418/КЭ.Транш - 1</v>
          </cell>
          <cell r="B237" t="str">
            <v>ИП Пулянина Вероника Александровна</v>
          </cell>
          <cell r="C237" t="str">
            <v>1 318</v>
          </cell>
          <cell r="D237">
            <v>44145</v>
          </cell>
          <cell r="E237">
            <v>4205648.95</v>
          </cell>
          <cell r="F237">
            <v>4205648.95</v>
          </cell>
          <cell r="G237">
            <v>196372.36</v>
          </cell>
          <cell r="H237">
            <v>196372.36</v>
          </cell>
          <cell r="I237">
            <v>144883.64000000001</v>
          </cell>
          <cell r="J237">
            <v>144883.64000000001</v>
          </cell>
          <cell r="K237">
            <v>3864392.95</v>
          </cell>
        </row>
        <row r="238">
          <cell r="A238" t="str">
            <v>В-09037/КЛ.Транш - 1_В-21082023/Ц</v>
          </cell>
          <cell r="B238" t="str">
            <v>Волегов Николай Владиславович</v>
          </cell>
          <cell r="C238" t="str">
            <v>1 315</v>
          </cell>
          <cell r="D238">
            <v>44148</v>
          </cell>
          <cell r="E238">
            <v>450515.17</v>
          </cell>
          <cell r="F238">
            <v>450515.17</v>
          </cell>
          <cell r="G238">
            <v>198184.95999999999</v>
          </cell>
          <cell r="H238">
            <v>198184.95999999999</v>
          </cell>
          <cell r="I238">
            <v>132073.29999999999</v>
          </cell>
          <cell r="J238">
            <v>132073.29999999999</v>
          </cell>
          <cell r="K238">
            <v>108197.1</v>
          </cell>
        </row>
        <row r="239">
          <cell r="A239" t="str">
            <v>А-00404/КЭ.Транш - 1</v>
          </cell>
          <cell r="B239" t="str">
            <v>ИП Силютина Анна Геннадьевна</v>
          </cell>
          <cell r="C239" t="str">
            <v>1 311</v>
          </cell>
          <cell r="D239">
            <v>44152</v>
          </cell>
          <cell r="E239">
            <v>500676.34</v>
          </cell>
          <cell r="F239">
            <v>500676.34</v>
          </cell>
          <cell r="G239">
            <v>78202.25</v>
          </cell>
          <cell r="H239">
            <v>78202.25</v>
          </cell>
          <cell r="I239">
            <v>4214.3</v>
          </cell>
          <cell r="J239">
            <v>4214.3</v>
          </cell>
          <cell r="K239">
            <v>418259.79</v>
          </cell>
        </row>
        <row r="240">
          <cell r="A240" t="str">
            <v>А-00466/КЭ.Транш - 1</v>
          </cell>
          <cell r="B240" t="str">
            <v>МАРО АРТ ГРУПП ООО</v>
          </cell>
          <cell r="C240" t="str">
            <v>1 311</v>
          </cell>
          <cell r="D240">
            <v>44152</v>
          </cell>
          <cell r="E240">
            <v>740713.62</v>
          </cell>
          <cell r="F240">
            <v>740713.62</v>
          </cell>
          <cell r="G240">
            <v>287003.11</v>
          </cell>
          <cell r="H240">
            <v>287003.11</v>
          </cell>
          <cell r="I240">
            <v>115839.73</v>
          </cell>
          <cell r="J240">
            <v>115839.73</v>
          </cell>
          <cell r="K240">
            <v>337870.78</v>
          </cell>
        </row>
        <row r="241">
          <cell r="A241" t="str">
            <v>А-10113/КЭ.Транш - 1</v>
          </cell>
          <cell r="B241" t="str">
            <v>КАНЦПРОФ СПБ ООО</v>
          </cell>
          <cell r="C241" t="str">
            <v>1 303</v>
          </cell>
          <cell r="D241">
            <v>44160</v>
          </cell>
          <cell r="E241">
            <v>22809.17</v>
          </cell>
          <cell r="F241">
            <v>22809.17</v>
          </cell>
          <cell r="K241">
            <v>22809.17</v>
          </cell>
        </row>
        <row r="242">
          <cell r="A242" t="str">
            <v>А-00425/КЭ.Транш - 1</v>
          </cell>
          <cell r="B242" t="str">
            <v>ПЕРЕЕЗД СЕРВИС ООО</v>
          </cell>
          <cell r="C242" t="str">
            <v>1 301</v>
          </cell>
          <cell r="D242">
            <v>44162</v>
          </cell>
          <cell r="E242">
            <v>1.83</v>
          </cell>
          <cell r="F242">
            <v>1.83</v>
          </cell>
          <cell r="K242">
            <v>1.83</v>
          </cell>
        </row>
        <row r="243">
          <cell r="A243" t="str">
            <v>В-08416/КЛ.Транш - 1_В-21082023/Ц</v>
          </cell>
          <cell r="B243" t="str">
            <v>Абраменко Александр Владимирович</v>
          </cell>
          <cell r="C243" t="str">
            <v>1 301</v>
          </cell>
          <cell r="D243">
            <v>44162</v>
          </cell>
          <cell r="E243">
            <v>273940.15999999997</v>
          </cell>
          <cell r="F243">
            <v>273940.15999999997</v>
          </cell>
          <cell r="G243">
            <v>112418.39</v>
          </cell>
          <cell r="H243">
            <v>112418.39</v>
          </cell>
          <cell r="I243">
            <v>89459.61</v>
          </cell>
          <cell r="J243">
            <v>89459.61</v>
          </cell>
          <cell r="K243">
            <v>61622.77</v>
          </cell>
        </row>
        <row r="244">
          <cell r="A244" t="str">
            <v>В-05187/КЛ.Транш - 1_В-21082023/Ц</v>
          </cell>
          <cell r="B244" t="str">
            <v>Посвенчук Владислав Андреевич</v>
          </cell>
          <cell r="C244" t="str">
            <v>1 300</v>
          </cell>
          <cell r="D244">
            <v>44163</v>
          </cell>
          <cell r="E244">
            <v>920520.63</v>
          </cell>
          <cell r="F244">
            <v>920520.63</v>
          </cell>
          <cell r="G244">
            <v>380000</v>
          </cell>
          <cell r="H244">
            <v>380000</v>
          </cell>
          <cell r="I244">
            <v>321539.76</v>
          </cell>
          <cell r="J244">
            <v>321539.76</v>
          </cell>
          <cell r="K244">
            <v>204379.2</v>
          </cell>
        </row>
        <row r="245">
          <cell r="A245" t="str">
            <v>Т-01897/АЗ_Т-20211028/Ц</v>
          </cell>
          <cell r="B245" t="str">
            <v>Никитенко Роман Владимирович</v>
          </cell>
          <cell r="C245" t="str">
            <v>1 299</v>
          </cell>
          <cell r="D245">
            <v>44164</v>
          </cell>
          <cell r="E245">
            <v>3181.83</v>
          </cell>
          <cell r="F245">
            <v>3181.83</v>
          </cell>
          <cell r="K245">
            <v>3181.83</v>
          </cell>
        </row>
        <row r="246">
          <cell r="A246" t="str">
            <v>В-00839/КЛ.Транш - 1_В-20211230/Ц</v>
          </cell>
          <cell r="B246" t="str">
            <v>Никитина Анастасия Витальевна</v>
          </cell>
          <cell r="C246" t="str">
            <v>1 298</v>
          </cell>
          <cell r="D246">
            <v>44165</v>
          </cell>
          <cell r="E246">
            <v>191455.34</v>
          </cell>
          <cell r="F246">
            <v>191455.34</v>
          </cell>
          <cell r="G246">
            <v>21676.78</v>
          </cell>
          <cell r="H246">
            <v>21676.78</v>
          </cell>
          <cell r="I246">
            <v>97366.01</v>
          </cell>
          <cell r="J246">
            <v>97366.01</v>
          </cell>
          <cell r="K246">
            <v>60910.58</v>
          </cell>
        </row>
        <row r="247">
          <cell r="A247" t="str">
            <v>А-04839/АЗ_В-21082023/Ц</v>
          </cell>
          <cell r="B247" t="str">
            <v>Агафонов Алексей Юрьевич</v>
          </cell>
          <cell r="C247" t="str">
            <v>1 296</v>
          </cell>
          <cell r="D247">
            <v>44167</v>
          </cell>
          <cell r="E247">
            <v>529085.30000000005</v>
          </cell>
          <cell r="F247">
            <v>529085.30000000005</v>
          </cell>
          <cell r="G247">
            <v>299175.76</v>
          </cell>
          <cell r="H247">
            <v>299175.76</v>
          </cell>
          <cell r="I247">
            <v>46595.4</v>
          </cell>
          <cell r="J247">
            <v>46595.4</v>
          </cell>
          <cell r="K247">
            <v>176566.56</v>
          </cell>
        </row>
        <row r="248">
          <cell r="A248" t="str">
            <v>А-10092/КЭ.Транш - 1</v>
          </cell>
          <cell r="B248" t="str">
            <v>ИП Ячменёва Ольга Сергеевна</v>
          </cell>
          <cell r="C248" t="str">
            <v>1 294</v>
          </cell>
          <cell r="D248">
            <v>44169</v>
          </cell>
          <cell r="E248">
            <v>98520</v>
          </cell>
          <cell r="F248">
            <v>98520</v>
          </cell>
          <cell r="K248">
            <v>90000</v>
          </cell>
        </row>
        <row r="249">
          <cell r="A249" t="str">
            <v>В-06852/КЛ.Транш - 1_В-21082023/Ц</v>
          </cell>
          <cell r="B249" t="str">
            <v>Рязанцев Дмитрий Тимурович</v>
          </cell>
          <cell r="C249" t="str">
            <v>1 294</v>
          </cell>
          <cell r="D249">
            <v>44169</v>
          </cell>
          <cell r="E249">
            <v>182087.85</v>
          </cell>
          <cell r="F249">
            <v>182087.85</v>
          </cell>
          <cell r="G249">
            <v>75124.52</v>
          </cell>
          <cell r="H249">
            <v>75124.52</v>
          </cell>
          <cell r="I249">
            <v>60801.760000000002</v>
          </cell>
          <cell r="J249">
            <v>60801.760000000002</v>
          </cell>
          <cell r="K249">
            <v>40161.57</v>
          </cell>
        </row>
        <row r="250">
          <cell r="A250" t="str">
            <v>В-06852/КЛ.Транш - 3_В-21082023/Ц</v>
          </cell>
          <cell r="B250" t="str">
            <v>Рязанцев Дмитрий Тимурович</v>
          </cell>
          <cell r="C250" t="str">
            <v>1 289</v>
          </cell>
          <cell r="D250">
            <v>44174</v>
          </cell>
          <cell r="E250">
            <v>237560.99</v>
          </cell>
          <cell r="F250">
            <v>237560.99</v>
          </cell>
          <cell r="G250">
            <v>99404.02</v>
          </cell>
          <cell r="H250">
            <v>99404.02</v>
          </cell>
          <cell r="I250">
            <v>84316.42</v>
          </cell>
          <cell r="J250">
            <v>84316.42</v>
          </cell>
          <cell r="K250">
            <v>52873</v>
          </cell>
        </row>
        <row r="251">
          <cell r="A251" t="str">
            <v>В-08251/КЛ.Транш - 1_В-21082023/Ц</v>
          </cell>
          <cell r="B251" t="str">
            <v>Абдуллин Игорь Эдуардович</v>
          </cell>
          <cell r="C251" t="str">
            <v>1 277</v>
          </cell>
          <cell r="D251">
            <v>44186</v>
          </cell>
          <cell r="E251">
            <v>1140755.8500000001</v>
          </cell>
          <cell r="F251">
            <v>1140755.8500000001</v>
          </cell>
          <cell r="G251">
            <v>494746.63</v>
          </cell>
          <cell r="H251">
            <v>494746.63</v>
          </cell>
          <cell r="I251">
            <v>370069.46</v>
          </cell>
          <cell r="J251">
            <v>370069.46</v>
          </cell>
          <cell r="K251">
            <v>259949.77</v>
          </cell>
        </row>
        <row r="252">
          <cell r="A252" t="str">
            <v>В-09421/КЛ.Транш - 1_А-20210929/Ц</v>
          </cell>
          <cell r="B252" t="str">
            <v>Оверченко Виктория Владимировна</v>
          </cell>
          <cell r="C252" t="str">
            <v>1 274</v>
          </cell>
          <cell r="D252">
            <v>44189</v>
          </cell>
          <cell r="E252">
            <v>1658770.7</v>
          </cell>
          <cell r="F252">
            <v>1658770.7</v>
          </cell>
          <cell r="G252">
            <v>937868.61</v>
          </cell>
          <cell r="H252">
            <v>937868.61</v>
          </cell>
          <cell r="I252">
            <v>579602.81000000006</v>
          </cell>
          <cell r="J252">
            <v>579602.81000000006</v>
          </cell>
          <cell r="K252">
            <v>141299.28</v>
          </cell>
        </row>
        <row r="253">
          <cell r="A253" t="str">
            <v>Т-10003/КЭ_Т-20211028/Ц</v>
          </cell>
          <cell r="B253" t="str">
            <v>"ВИВАР" ООО</v>
          </cell>
          <cell r="C253" t="str">
            <v>1 274</v>
          </cell>
          <cell r="D253">
            <v>44189</v>
          </cell>
          <cell r="E253">
            <v>4139867.92</v>
          </cell>
          <cell r="F253">
            <v>4139867.92</v>
          </cell>
          <cell r="G253">
            <v>386153.29</v>
          </cell>
          <cell r="H253">
            <v>386153.29</v>
          </cell>
          <cell r="I253">
            <v>417781.36</v>
          </cell>
          <cell r="J253">
            <v>417781.36</v>
          </cell>
          <cell r="K253">
            <v>3321210.62</v>
          </cell>
        </row>
        <row r="254">
          <cell r="A254" t="str">
            <v>В-06852/КЛ.Транш - 2_В-21082023/Ц</v>
          </cell>
          <cell r="B254" t="str">
            <v>Рязанцев Дмитрий Тимурович</v>
          </cell>
          <cell r="C254" t="str">
            <v>1 273</v>
          </cell>
          <cell r="D254">
            <v>44190</v>
          </cell>
          <cell r="E254">
            <v>226578.32</v>
          </cell>
          <cell r="F254">
            <v>226578.32</v>
          </cell>
          <cell r="G254">
            <v>94409.06</v>
          </cell>
          <cell r="H254">
            <v>94409.06</v>
          </cell>
          <cell r="I254">
            <v>76768.78</v>
          </cell>
          <cell r="J254">
            <v>76768.78</v>
          </cell>
          <cell r="K254">
            <v>49400.480000000003</v>
          </cell>
        </row>
        <row r="255">
          <cell r="A255" t="str">
            <v>В-03811/КЛ.Транш - 1_В-20211230/Ц</v>
          </cell>
          <cell r="B255" t="str">
            <v>Новиков Егор Викторович</v>
          </cell>
          <cell r="C255" t="str">
            <v>1 271</v>
          </cell>
          <cell r="D255">
            <v>44192</v>
          </cell>
          <cell r="E255">
            <v>116693.56</v>
          </cell>
          <cell r="F255">
            <v>116693.56</v>
          </cell>
          <cell r="G255">
            <v>80979.48</v>
          </cell>
          <cell r="H255">
            <v>80979.48</v>
          </cell>
          <cell r="I255">
            <v>11706.9</v>
          </cell>
          <cell r="J255">
            <v>11706.9</v>
          </cell>
          <cell r="K255">
            <v>24007.18</v>
          </cell>
        </row>
        <row r="256">
          <cell r="A256" t="str">
            <v>В-02376/КЛ.Транш - 1_В-21082023/Ц</v>
          </cell>
          <cell r="B256" t="str">
            <v>Харитонов Александр Васильевич</v>
          </cell>
          <cell r="C256" t="str">
            <v>1 268</v>
          </cell>
          <cell r="D256">
            <v>44195</v>
          </cell>
          <cell r="E256">
            <v>203092.79</v>
          </cell>
          <cell r="F256">
            <v>203092.79</v>
          </cell>
          <cell r="I256">
            <v>96330.06</v>
          </cell>
          <cell r="J256">
            <v>96330.06</v>
          </cell>
          <cell r="K256">
            <v>106762.73</v>
          </cell>
        </row>
        <row r="257">
          <cell r="A257" t="str">
            <v>В-11882/КЛ.Транш - 1_В-21082023/Ц</v>
          </cell>
          <cell r="B257" t="str">
            <v>Курмаев Виталий Юрьевич</v>
          </cell>
          <cell r="C257" t="str">
            <v>1 265</v>
          </cell>
          <cell r="D257">
            <v>44198</v>
          </cell>
          <cell r="E257">
            <v>1317905</v>
          </cell>
          <cell r="F257">
            <v>1317905</v>
          </cell>
          <cell r="G257">
            <v>582013.02</v>
          </cell>
          <cell r="H257">
            <v>582013.02</v>
          </cell>
          <cell r="I257">
            <v>422938.41</v>
          </cell>
          <cell r="J257">
            <v>422938.41</v>
          </cell>
          <cell r="K257">
            <v>302194.96000000002</v>
          </cell>
        </row>
        <row r="258">
          <cell r="A258" t="str">
            <v>В-00009/АЗ</v>
          </cell>
          <cell r="B258" t="str">
            <v>Городенок Дмитрий Петрович</v>
          </cell>
          <cell r="C258" t="str">
            <v>1 262</v>
          </cell>
          <cell r="D258">
            <v>44201</v>
          </cell>
          <cell r="E258">
            <v>7235.9</v>
          </cell>
          <cell r="F258">
            <v>7235.9</v>
          </cell>
          <cell r="K258">
            <v>7235.9</v>
          </cell>
        </row>
        <row r="259">
          <cell r="A259" t="str">
            <v>В-02902/КЛ.Транш - 1_В-20211230/Ц</v>
          </cell>
          <cell r="B259" t="str">
            <v>Соколов Игорь Васильевич</v>
          </cell>
          <cell r="C259" t="str">
            <v>1 261</v>
          </cell>
          <cell r="D259">
            <v>44202</v>
          </cell>
          <cell r="E259">
            <v>858735.32</v>
          </cell>
          <cell r="F259">
            <v>858735.32</v>
          </cell>
          <cell r="G259">
            <v>355797.7</v>
          </cell>
          <cell r="H259">
            <v>355797.7</v>
          </cell>
          <cell r="I259">
            <v>246452.83</v>
          </cell>
          <cell r="J259">
            <v>246452.83</v>
          </cell>
          <cell r="K259">
            <v>242276.88</v>
          </cell>
        </row>
        <row r="260">
          <cell r="A260" t="str">
            <v>В-12042/КЛ.Транш - 1_В-21082023/Ц</v>
          </cell>
          <cell r="B260" t="str">
            <v>Ергашев Мухаммаджон Абдувалиевич</v>
          </cell>
          <cell r="C260" t="str">
            <v>1 261</v>
          </cell>
          <cell r="D260">
            <v>44202</v>
          </cell>
          <cell r="E260">
            <v>407245.79</v>
          </cell>
          <cell r="F260">
            <v>407245.79</v>
          </cell>
          <cell r="G260">
            <v>245941.85</v>
          </cell>
          <cell r="H260">
            <v>245941.85</v>
          </cell>
          <cell r="I260">
            <v>23673.67</v>
          </cell>
          <cell r="J260">
            <v>23673.67</v>
          </cell>
          <cell r="K260">
            <v>125215.03999999999</v>
          </cell>
        </row>
        <row r="261">
          <cell r="A261" t="str">
            <v>В-12167/КЛ.Транш - 1_А-20210929/Ц</v>
          </cell>
          <cell r="B261" t="str">
            <v>Мусаелян Вилен Карленович</v>
          </cell>
          <cell r="C261" t="str">
            <v>1 258</v>
          </cell>
          <cell r="D261">
            <v>44205</v>
          </cell>
          <cell r="E261">
            <v>1544759.73</v>
          </cell>
          <cell r="F261">
            <v>1544759.73</v>
          </cell>
          <cell r="G261">
            <v>1000000</v>
          </cell>
          <cell r="H261">
            <v>1000000</v>
          </cell>
          <cell r="I261">
            <v>402739.73</v>
          </cell>
          <cell r="J261">
            <v>402739.73</v>
          </cell>
          <cell r="K261">
            <v>142020</v>
          </cell>
        </row>
        <row r="262">
          <cell r="A262" t="str">
            <v>В-08942/КЛ.Транш - 1_В-21082023/Ц</v>
          </cell>
          <cell r="B262" t="str">
            <v>Зеленков Алексей Владимирович</v>
          </cell>
          <cell r="C262" t="str">
            <v>1 256</v>
          </cell>
          <cell r="D262">
            <v>44207</v>
          </cell>
          <cell r="E262">
            <v>225416.98</v>
          </cell>
          <cell r="F262">
            <v>225416.98</v>
          </cell>
          <cell r="G262">
            <v>94178.15</v>
          </cell>
          <cell r="H262">
            <v>94178.15</v>
          </cell>
          <cell r="I262">
            <v>73071.91</v>
          </cell>
          <cell r="J262">
            <v>73071.91</v>
          </cell>
          <cell r="K262">
            <v>48415.1</v>
          </cell>
        </row>
        <row r="263">
          <cell r="A263" t="str">
            <v>В-10010/КЭ.Транш - 1_А-20210929/Ц</v>
          </cell>
          <cell r="B263" t="str">
            <v>ФОРМУЛА КОМФОРТА ООО</v>
          </cell>
          <cell r="C263" t="str">
            <v>1 256</v>
          </cell>
          <cell r="D263">
            <v>44207</v>
          </cell>
          <cell r="E263">
            <v>463030.37</v>
          </cell>
          <cell r="F263">
            <v>463030.37</v>
          </cell>
          <cell r="G263">
            <v>98780.09</v>
          </cell>
          <cell r="H263">
            <v>98780.09</v>
          </cell>
          <cell r="I263">
            <v>64109.56</v>
          </cell>
          <cell r="J263">
            <v>64109.56</v>
          </cell>
          <cell r="K263">
            <v>300140.71999999997</v>
          </cell>
        </row>
        <row r="264">
          <cell r="A264" t="str">
            <v>В-11882/КЛ.Транш - 2_В-21082023/Ц</v>
          </cell>
          <cell r="B264" t="str">
            <v>Курмаев Виталий Юрьевич</v>
          </cell>
          <cell r="C264" t="str">
            <v>1 256</v>
          </cell>
          <cell r="D264">
            <v>44207</v>
          </cell>
          <cell r="E264">
            <v>462994.09</v>
          </cell>
          <cell r="F264">
            <v>462994.09</v>
          </cell>
          <cell r="G264">
            <v>200000</v>
          </cell>
          <cell r="H264">
            <v>200000</v>
          </cell>
          <cell r="I264">
            <v>155178.09</v>
          </cell>
          <cell r="J264">
            <v>155178.09</v>
          </cell>
          <cell r="K264">
            <v>102816</v>
          </cell>
        </row>
        <row r="265">
          <cell r="A265" t="str">
            <v>В-11882/КЛ.Транш - 3_В-21082023/Ц</v>
          </cell>
          <cell r="B265" t="str">
            <v>Курмаев Виталий Юрьевич</v>
          </cell>
          <cell r="C265" t="str">
            <v>1 254</v>
          </cell>
          <cell r="D265">
            <v>44209</v>
          </cell>
          <cell r="E265">
            <v>461901.37</v>
          </cell>
          <cell r="F265">
            <v>461901.37</v>
          </cell>
          <cell r="G265">
            <v>200000</v>
          </cell>
          <cell r="H265">
            <v>200000</v>
          </cell>
          <cell r="I265">
            <v>154301.37</v>
          </cell>
          <cell r="J265">
            <v>154301.37</v>
          </cell>
          <cell r="K265">
            <v>102600</v>
          </cell>
        </row>
        <row r="266">
          <cell r="A266" t="str">
            <v>В-10492/КЛ.Транш - 1_В-21082023/Ц</v>
          </cell>
          <cell r="B266" t="str">
            <v>Евсеев Сергей Анатольевич</v>
          </cell>
          <cell r="C266" t="str">
            <v>1 245</v>
          </cell>
          <cell r="D266">
            <v>44218</v>
          </cell>
          <cell r="E266">
            <v>179091.93</v>
          </cell>
          <cell r="F266">
            <v>179091.93</v>
          </cell>
          <cell r="G266">
            <v>86377.65</v>
          </cell>
          <cell r="H266">
            <v>86377.65</v>
          </cell>
          <cell r="I266">
            <v>39478.9</v>
          </cell>
          <cell r="J266">
            <v>39478.9</v>
          </cell>
          <cell r="K266">
            <v>43928.27</v>
          </cell>
        </row>
        <row r="267">
          <cell r="A267" t="str">
            <v>В-06186/КЛ.Транш - 2_А-20210929/Ц</v>
          </cell>
          <cell r="B267" t="str">
            <v>Станкеев Сергей Николаевич</v>
          </cell>
          <cell r="C267" t="str">
            <v>1 244</v>
          </cell>
          <cell r="D267">
            <v>44219</v>
          </cell>
          <cell r="E267">
            <v>111132.07</v>
          </cell>
          <cell r="F267">
            <v>111132.07</v>
          </cell>
          <cell r="I267">
            <v>82804.77</v>
          </cell>
          <cell r="J267">
            <v>82804.77</v>
          </cell>
          <cell r="K267">
            <v>28327.3</v>
          </cell>
        </row>
        <row r="268">
          <cell r="A268" t="str">
            <v>В-11280/КЛ.Транш - 1_В-21082023/Ц</v>
          </cell>
          <cell r="B268" t="str">
            <v>Шушарин Артем Владимирович</v>
          </cell>
          <cell r="C268" t="str">
            <v>1 244</v>
          </cell>
          <cell r="D268">
            <v>44219</v>
          </cell>
          <cell r="E268">
            <v>450454.71</v>
          </cell>
          <cell r="F268">
            <v>450454.71</v>
          </cell>
          <cell r="G268">
            <v>188784.43</v>
          </cell>
          <cell r="H268">
            <v>188784.43</v>
          </cell>
          <cell r="I268">
            <v>153892.94</v>
          </cell>
          <cell r="J268">
            <v>153892.94</v>
          </cell>
          <cell r="K268">
            <v>95826.98</v>
          </cell>
        </row>
        <row r="269">
          <cell r="A269" t="str">
            <v>Т-01675/АЗ_В-21082023/Ц</v>
          </cell>
          <cell r="B269" t="str">
            <v>Агафонов Алексей Юрьевич</v>
          </cell>
          <cell r="C269" t="str">
            <v>1 234</v>
          </cell>
          <cell r="D269">
            <v>44229</v>
          </cell>
          <cell r="E269">
            <v>502638.64</v>
          </cell>
          <cell r="F269">
            <v>502638.64</v>
          </cell>
          <cell r="G269">
            <v>298017.05</v>
          </cell>
          <cell r="H269">
            <v>298017.05</v>
          </cell>
          <cell r="I269">
            <v>38733.79</v>
          </cell>
          <cell r="J269">
            <v>38733.79</v>
          </cell>
          <cell r="K269">
            <v>155887.79999999999</v>
          </cell>
        </row>
        <row r="270">
          <cell r="A270" t="str">
            <v>В-05401/КЛ.Транш - 1_В-21082023/Ц</v>
          </cell>
          <cell r="B270" t="str">
            <v>Ханукаев Михаил Гавриилович</v>
          </cell>
          <cell r="C270" t="str">
            <v>1 229</v>
          </cell>
          <cell r="D270">
            <v>44234</v>
          </cell>
          <cell r="E270">
            <v>179145.82</v>
          </cell>
          <cell r="F270">
            <v>179145.82</v>
          </cell>
          <cell r="K270">
            <v>164408.14000000001</v>
          </cell>
        </row>
        <row r="271">
          <cell r="A271" t="str">
            <v>А-10096/КЭ.Транш - 1</v>
          </cell>
          <cell r="B271" t="str">
            <v>НОРДИНВЕСТ ООО</v>
          </cell>
          <cell r="C271" t="str">
            <v>1 228</v>
          </cell>
          <cell r="D271">
            <v>44235</v>
          </cell>
          <cell r="E271">
            <v>533268.54</v>
          </cell>
          <cell r="F271">
            <v>533268.54</v>
          </cell>
          <cell r="G271">
            <v>130238.97</v>
          </cell>
          <cell r="H271">
            <v>130238.97</v>
          </cell>
          <cell r="I271">
            <v>52416.71</v>
          </cell>
          <cell r="J271">
            <v>52416.71</v>
          </cell>
          <cell r="K271">
            <v>350612.86</v>
          </cell>
        </row>
        <row r="272">
          <cell r="A272" t="str">
            <v>В-12163/КЛ.Транш - 1_В-21082023/Ц</v>
          </cell>
          <cell r="B272" t="str">
            <v>Куксова Елена Юрьевна</v>
          </cell>
          <cell r="C272" t="str">
            <v>1 227</v>
          </cell>
          <cell r="D272">
            <v>44236</v>
          </cell>
          <cell r="E272">
            <v>512574.71999999997</v>
          </cell>
          <cell r="F272">
            <v>512574.71999999997</v>
          </cell>
          <cell r="G272">
            <v>235006.39</v>
          </cell>
          <cell r="H272">
            <v>235006.39</v>
          </cell>
          <cell r="I272">
            <v>138106.46</v>
          </cell>
          <cell r="J272">
            <v>138106.46</v>
          </cell>
          <cell r="K272">
            <v>129461.87</v>
          </cell>
        </row>
        <row r="273">
          <cell r="A273" t="str">
            <v>В-05135/КЛ.Транш - 1_В-21082023/Ц</v>
          </cell>
          <cell r="B273" t="str">
            <v>Еремян Артур Корюнович</v>
          </cell>
          <cell r="C273" t="str">
            <v>1 226</v>
          </cell>
          <cell r="D273">
            <v>44237</v>
          </cell>
          <cell r="E273">
            <v>400419.53</v>
          </cell>
          <cell r="F273">
            <v>400419.53</v>
          </cell>
          <cell r="G273">
            <v>197796.4</v>
          </cell>
          <cell r="H273">
            <v>197796.4</v>
          </cell>
          <cell r="I273">
            <v>89781.6</v>
          </cell>
          <cell r="J273">
            <v>89781.6</v>
          </cell>
          <cell r="K273">
            <v>101451.79</v>
          </cell>
        </row>
        <row r="274">
          <cell r="A274" t="str">
            <v>В-11085/КЛ.Транш - 1</v>
          </cell>
          <cell r="B274" t="str">
            <v>Алешин Эдуард Александрович</v>
          </cell>
          <cell r="C274" t="str">
            <v>1 226</v>
          </cell>
          <cell r="D274">
            <v>44237</v>
          </cell>
          <cell r="E274">
            <v>367776.27</v>
          </cell>
          <cell r="F274">
            <v>367776.27</v>
          </cell>
          <cell r="G274">
            <v>158541.84</v>
          </cell>
          <cell r="H274">
            <v>158541.84</v>
          </cell>
          <cell r="I274">
            <v>92874.27</v>
          </cell>
          <cell r="J274">
            <v>92874.27</v>
          </cell>
          <cell r="K274">
            <v>104961.04</v>
          </cell>
        </row>
        <row r="275">
          <cell r="A275" t="str">
            <v>Т-01867/АЗ_Т-20211028/Ц</v>
          </cell>
          <cell r="B275" t="str">
            <v>Гальчук Илья Анатольевич</v>
          </cell>
          <cell r="C275" t="str">
            <v>1 223</v>
          </cell>
          <cell r="D275">
            <v>44240</v>
          </cell>
          <cell r="E275">
            <v>137941.14000000001</v>
          </cell>
          <cell r="F275">
            <v>137941.14000000001</v>
          </cell>
          <cell r="G275">
            <v>59337.89</v>
          </cell>
          <cell r="H275">
            <v>59337.89</v>
          </cell>
          <cell r="I275">
            <v>39348.959999999999</v>
          </cell>
          <cell r="J275">
            <v>39348.959999999999</v>
          </cell>
          <cell r="K275">
            <v>39254.29</v>
          </cell>
        </row>
        <row r="276">
          <cell r="A276" t="str">
            <v>В-12016/КЛ.Транш - 4_В-20211230/Ц</v>
          </cell>
          <cell r="B276" t="str">
            <v>Исаков Магомед Владимирович</v>
          </cell>
          <cell r="C276" t="str">
            <v>1 218</v>
          </cell>
          <cell r="D276">
            <v>44245</v>
          </cell>
          <cell r="E276">
            <v>56010.3</v>
          </cell>
          <cell r="F276">
            <v>56010.3</v>
          </cell>
          <cell r="I276">
            <v>21296.58</v>
          </cell>
          <cell r="J276">
            <v>21296.58</v>
          </cell>
          <cell r="K276">
            <v>32713.72</v>
          </cell>
        </row>
        <row r="277">
          <cell r="A277" t="str">
            <v>В-12163/КЛ.Транш - 2_В-21082023/Ц</v>
          </cell>
          <cell r="B277" t="str">
            <v>Куксова Елена Юрьевна</v>
          </cell>
          <cell r="C277" t="str">
            <v>1 215</v>
          </cell>
          <cell r="D277">
            <v>44248</v>
          </cell>
          <cell r="E277">
            <v>1599428.42</v>
          </cell>
          <cell r="F277">
            <v>1599428.42</v>
          </cell>
          <cell r="G277">
            <v>709729.29</v>
          </cell>
          <cell r="H277">
            <v>709729.29</v>
          </cell>
          <cell r="I277">
            <v>529496.94999999995</v>
          </cell>
          <cell r="J277">
            <v>529496.94999999995</v>
          </cell>
          <cell r="K277">
            <v>349144.23</v>
          </cell>
        </row>
        <row r="278">
          <cell r="A278" t="str">
            <v>Т-00004/КЭ_Т-20211028/Ц</v>
          </cell>
          <cell r="B278" t="str">
            <v>ИП Бойко Василий Анатольевич</v>
          </cell>
          <cell r="C278" t="str">
            <v>1 215</v>
          </cell>
          <cell r="D278">
            <v>44248</v>
          </cell>
          <cell r="E278">
            <v>316389.78000000003</v>
          </cell>
          <cell r="F278">
            <v>316389.78000000003</v>
          </cell>
          <cell r="G278">
            <v>126823.45</v>
          </cell>
          <cell r="H278">
            <v>126823.45</v>
          </cell>
          <cell r="I278">
            <v>75207.360000000001</v>
          </cell>
          <cell r="J278">
            <v>75207.360000000001</v>
          </cell>
          <cell r="K278">
            <v>114358.97</v>
          </cell>
        </row>
        <row r="279">
          <cell r="A279" t="str">
            <v>В-08822/КЛ.Транш - 1_В-21082023/Ц</v>
          </cell>
          <cell r="B279" t="str">
            <v>Потёмкина Юлия Сергеевна</v>
          </cell>
          <cell r="C279" t="str">
            <v>1 214</v>
          </cell>
          <cell r="D279">
            <v>44249</v>
          </cell>
          <cell r="E279">
            <v>323675.59000000003</v>
          </cell>
          <cell r="F279">
            <v>323675.59000000003</v>
          </cell>
          <cell r="G279">
            <v>161059.79</v>
          </cell>
          <cell r="H279">
            <v>161059.79</v>
          </cell>
          <cell r="I279">
            <v>72146</v>
          </cell>
          <cell r="J279">
            <v>72146</v>
          </cell>
          <cell r="K279">
            <v>79144.78</v>
          </cell>
        </row>
        <row r="280">
          <cell r="A280" t="str">
            <v>В-10495/КЛ.Транш - 1_В-21082023/Ц</v>
          </cell>
          <cell r="B280" t="str">
            <v>Житаренко Юрий Иванович</v>
          </cell>
          <cell r="C280" t="str">
            <v>1 213</v>
          </cell>
          <cell r="D280">
            <v>44250</v>
          </cell>
          <cell r="E280">
            <v>10470.709999999999</v>
          </cell>
          <cell r="F280">
            <v>58708.41</v>
          </cell>
          <cell r="G280">
            <v>46455.83</v>
          </cell>
          <cell r="J280">
            <v>1781.87</v>
          </cell>
          <cell r="K280">
            <v>10470.709999999999</v>
          </cell>
        </row>
        <row r="281">
          <cell r="A281" t="str">
            <v>В-13886/КЛ.Транш - 1_В-21082023/Ц</v>
          </cell>
          <cell r="B281" t="str">
            <v>Волков Василий Валерьевич</v>
          </cell>
          <cell r="C281" t="str">
            <v>1 213</v>
          </cell>
          <cell r="D281">
            <v>44250</v>
          </cell>
          <cell r="E281">
            <v>389589.87</v>
          </cell>
          <cell r="F281">
            <v>389589.87</v>
          </cell>
          <cell r="G281">
            <v>127352.03</v>
          </cell>
          <cell r="H281">
            <v>127352.03</v>
          </cell>
          <cell r="I281">
            <v>105019.01</v>
          </cell>
          <cell r="J281">
            <v>105019.01</v>
          </cell>
          <cell r="K281">
            <v>144013.85</v>
          </cell>
        </row>
        <row r="282">
          <cell r="A282" t="str">
            <v>В-03197/КЛ.Транш - 2_В-21082023/Ц</v>
          </cell>
          <cell r="B282" t="str">
            <v>Павлюченко Михаил Михайлович</v>
          </cell>
          <cell r="C282" t="str">
            <v>1 212</v>
          </cell>
          <cell r="D282">
            <v>44251</v>
          </cell>
          <cell r="E282">
            <v>1003422.87</v>
          </cell>
          <cell r="F282">
            <v>1003422.87</v>
          </cell>
          <cell r="G282">
            <v>283795.51</v>
          </cell>
          <cell r="H282">
            <v>283795.51</v>
          </cell>
          <cell r="I282">
            <v>553266.93999999994</v>
          </cell>
          <cell r="J282">
            <v>553266.93999999994</v>
          </cell>
          <cell r="K282">
            <v>153423.84</v>
          </cell>
        </row>
        <row r="283">
          <cell r="A283" t="str">
            <v>В-13025/КЛ.Транш - 1_А-20210929/Ц</v>
          </cell>
          <cell r="B283" t="str">
            <v>Тюмин Валерий Александрович</v>
          </cell>
          <cell r="C283" t="str">
            <v>1 212</v>
          </cell>
          <cell r="D283">
            <v>44251</v>
          </cell>
          <cell r="E283">
            <v>1448111.24</v>
          </cell>
          <cell r="F283">
            <v>1448111.24</v>
          </cell>
          <cell r="G283">
            <v>993963.4</v>
          </cell>
          <cell r="H283">
            <v>993963.4</v>
          </cell>
          <cell r="I283">
            <v>337675.21</v>
          </cell>
          <cell r="J283">
            <v>337675.21</v>
          </cell>
          <cell r="K283">
            <v>116472.63</v>
          </cell>
        </row>
        <row r="284">
          <cell r="A284" t="str">
            <v>В-00496/АЗ_В-21082023/Ц</v>
          </cell>
          <cell r="B284" t="str">
            <v>Гусев Владимир Николаевич</v>
          </cell>
          <cell r="C284" t="str">
            <v>1 206</v>
          </cell>
          <cell r="D284">
            <v>44257</v>
          </cell>
          <cell r="E284">
            <v>184160.84</v>
          </cell>
          <cell r="F284">
            <v>184160.84</v>
          </cell>
          <cell r="K284">
            <v>168293.3</v>
          </cell>
        </row>
        <row r="285">
          <cell r="A285" t="str">
            <v>В-00508/АЗ_В-21082023/Ц</v>
          </cell>
          <cell r="B285" t="str">
            <v>Мошкин Андрей Викторович</v>
          </cell>
          <cell r="C285" t="str">
            <v>1 200</v>
          </cell>
          <cell r="D285">
            <v>44263</v>
          </cell>
          <cell r="E285">
            <v>352617.53</v>
          </cell>
          <cell r="F285">
            <v>352617.53</v>
          </cell>
          <cell r="G285">
            <v>216649.33</v>
          </cell>
          <cell r="H285">
            <v>216649.33</v>
          </cell>
          <cell r="I285">
            <v>39174.94</v>
          </cell>
          <cell r="J285">
            <v>39174.94</v>
          </cell>
          <cell r="K285">
            <v>96793.26</v>
          </cell>
        </row>
        <row r="286">
          <cell r="A286" t="str">
            <v>В-06186/КЛ.Транш - 1_А-20210929/Ц</v>
          </cell>
          <cell r="B286" t="str">
            <v>Станкеев Сергей Николаевич</v>
          </cell>
          <cell r="C286" t="str">
            <v>1 199</v>
          </cell>
          <cell r="D286">
            <v>44264</v>
          </cell>
          <cell r="E286">
            <v>71804.039999999994</v>
          </cell>
          <cell r="F286">
            <v>71804.039999999994</v>
          </cell>
          <cell r="I286">
            <v>58541.38</v>
          </cell>
          <cell r="J286">
            <v>58541.38</v>
          </cell>
          <cell r="K286">
            <v>13262.66</v>
          </cell>
        </row>
        <row r="287">
          <cell r="A287" t="str">
            <v>В-12016/КЛ.Транш - 2_В-20211230/Ц</v>
          </cell>
          <cell r="B287" t="str">
            <v>Исаков Магомед Владимирович</v>
          </cell>
          <cell r="C287" t="str">
            <v>1 198</v>
          </cell>
          <cell r="D287">
            <v>44265</v>
          </cell>
          <cell r="E287">
            <v>52493.59</v>
          </cell>
          <cell r="F287">
            <v>52493.59</v>
          </cell>
          <cell r="I287">
            <v>21387.59</v>
          </cell>
          <cell r="J287">
            <v>21387.59</v>
          </cell>
          <cell r="K287">
            <v>29106</v>
          </cell>
        </row>
        <row r="288">
          <cell r="A288" t="str">
            <v>В-00687/АЗ_В-21082023/Ц</v>
          </cell>
          <cell r="B288" t="str">
            <v>Калантарян Артур Вазгени</v>
          </cell>
          <cell r="C288" t="str">
            <v>1 194</v>
          </cell>
          <cell r="D288">
            <v>44269</v>
          </cell>
          <cell r="E288">
            <v>157336.73000000001</v>
          </cell>
          <cell r="F288">
            <v>157336.73000000001</v>
          </cell>
          <cell r="G288">
            <v>65666.039999999994</v>
          </cell>
          <cell r="H288">
            <v>65666.039999999994</v>
          </cell>
          <cell r="I288">
            <v>49059.97</v>
          </cell>
          <cell r="J288">
            <v>49059.97</v>
          </cell>
          <cell r="K288">
            <v>32875.07</v>
          </cell>
        </row>
        <row r="289">
          <cell r="A289" t="str">
            <v>В-12016/КЛ.Транш - 3_В-20211230/Ц</v>
          </cell>
          <cell r="B289" t="str">
            <v>Исаков Магомед Владимирович</v>
          </cell>
          <cell r="C289" t="str">
            <v>1 193</v>
          </cell>
          <cell r="D289">
            <v>44270</v>
          </cell>
          <cell r="E289">
            <v>54613.56</v>
          </cell>
          <cell r="F289">
            <v>54613.56</v>
          </cell>
          <cell r="I289">
            <v>23777.56</v>
          </cell>
          <cell r="J289">
            <v>23777.56</v>
          </cell>
          <cell r="K289">
            <v>28836</v>
          </cell>
        </row>
        <row r="290">
          <cell r="A290" t="str">
            <v>В-00547/АЗ_В-21082023/Ц</v>
          </cell>
          <cell r="B290" t="str">
            <v>Струнгарь Григорий Васильевич</v>
          </cell>
          <cell r="C290" t="str">
            <v>1 190</v>
          </cell>
          <cell r="D290">
            <v>44273</v>
          </cell>
          <cell r="E290">
            <v>18195.78</v>
          </cell>
          <cell r="F290">
            <v>18195.78</v>
          </cell>
          <cell r="G290">
            <v>2319.38</v>
          </cell>
          <cell r="H290">
            <v>2319.38</v>
          </cell>
          <cell r="K290">
            <v>15876.4</v>
          </cell>
        </row>
        <row r="291">
          <cell r="A291" t="str">
            <v>А-30003/КЭ.Транш - 1</v>
          </cell>
          <cell r="B291" t="str">
            <v>ТЕХНИКА ЮГА ООО</v>
          </cell>
          <cell r="C291" t="str">
            <v>1 189</v>
          </cell>
          <cell r="D291">
            <v>44274</v>
          </cell>
          <cell r="E291">
            <v>25407.8</v>
          </cell>
          <cell r="F291">
            <v>25407.8</v>
          </cell>
          <cell r="K291">
            <v>25407.8</v>
          </cell>
        </row>
        <row r="292">
          <cell r="A292" t="str">
            <v>В-12741/КЛ.Транш - 1_В-21082023/Ц</v>
          </cell>
          <cell r="B292" t="str">
            <v>Фролов Сергей Владимирович</v>
          </cell>
          <cell r="C292" t="str">
            <v>1 189</v>
          </cell>
          <cell r="D292">
            <v>44274</v>
          </cell>
          <cell r="E292">
            <v>473072.27</v>
          </cell>
          <cell r="F292">
            <v>473072.27</v>
          </cell>
          <cell r="G292">
            <v>246917.61</v>
          </cell>
          <cell r="H292">
            <v>246917.61</v>
          </cell>
          <cell r="I292">
            <v>95860.68</v>
          </cell>
          <cell r="J292">
            <v>95860.68</v>
          </cell>
          <cell r="K292">
            <v>118001.93</v>
          </cell>
        </row>
        <row r="293">
          <cell r="A293" t="str">
            <v>В-09290/КЛ.Транш - 1_В-21082023/Ц</v>
          </cell>
          <cell r="B293" t="str">
            <v>Корносенков Евгений Алексеевич</v>
          </cell>
          <cell r="C293" t="str">
            <v>1 188</v>
          </cell>
          <cell r="D293">
            <v>44275</v>
          </cell>
          <cell r="E293">
            <v>371205.56</v>
          </cell>
          <cell r="F293">
            <v>371205.56</v>
          </cell>
          <cell r="G293">
            <v>176667.54</v>
          </cell>
          <cell r="H293">
            <v>176667.54</v>
          </cell>
          <cell r="I293">
            <v>98740.23</v>
          </cell>
          <cell r="J293">
            <v>98740.23</v>
          </cell>
          <cell r="K293">
            <v>84334.02</v>
          </cell>
        </row>
        <row r="294">
          <cell r="A294" t="str">
            <v>В-13625/КЛ.Транш - 1_В-21082023/Ц</v>
          </cell>
          <cell r="B294" t="str">
            <v>Саакян Рафик Самвелович</v>
          </cell>
          <cell r="C294" t="str">
            <v>1 188</v>
          </cell>
          <cell r="D294">
            <v>44275</v>
          </cell>
          <cell r="E294">
            <v>340332.25</v>
          </cell>
          <cell r="F294">
            <v>340332.25</v>
          </cell>
          <cell r="G294">
            <v>184919.38</v>
          </cell>
          <cell r="H294">
            <v>184919.38</v>
          </cell>
          <cell r="I294">
            <v>55510.89</v>
          </cell>
          <cell r="J294">
            <v>55510.89</v>
          </cell>
          <cell r="K294">
            <v>88273.12</v>
          </cell>
        </row>
        <row r="295">
          <cell r="A295" t="str">
            <v>Т-00002/КЭ_Т-20211028/Ц</v>
          </cell>
          <cell r="B295" t="str">
            <v>ИП Клякин Станислав Анатольевич</v>
          </cell>
          <cell r="C295" t="str">
            <v>1 184</v>
          </cell>
          <cell r="D295">
            <v>44279</v>
          </cell>
          <cell r="E295">
            <v>3429706.14</v>
          </cell>
          <cell r="F295">
            <v>3429706.14</v>
          </cell>
          <cell r="G295">
            <v>375337.6</v>
          </cell>
          <cell r="H295">
            <v>375337.6</v>
          </cell>
          <cell r="I295">
            <v>334673.59999999998</v>
          </cell>
          <cell r="J295">
            <v>334673.59999999998</v>
          </cell>
          <cell r="K295">
            <v>2719694.94</v>
          </cell>
        </row>
        <row r="296">
          <cell r="A296" t="str">
            <v>В-01099/АЗ_В-21082023/Ц</v>
          </cell>
          <cell r="B296" t="str">
            <v>Мазуренко Наталья Владимировна</v>
          </cell>
          <cell r="C296" t="str">
            <v>1 180</v>
          </cell>
          <cell r="D296">
            <v>44283</v>
          </cell>
          <cell r="E296">
            <v>479752.35</v>
          </cell>
          <cell r="F296">
            <v>479752.35</v>
          </cell>
          <cell r="G296">
            <v>256763.61</v>
          </cell>
          <cell r="H296">
            <v>256763.61</v>
          </cell>
          <cell r="I296">
            <v>94046.02</v>
          </cell>
          <cell r="J296">
            <v>94046.02</v>
          </cell>
          <cell r="K296">
            <v>121459.46</v>
          </cell>
        </row>
        <row r="297">
          <cell r="A297" t="str">
            <v>В-13177/КЛ.Транш - 1_А-20210929/Ц</v>
          </cell>
          <cell r="B297" t="str">
            <v>Гараев Ровшан Гасымович</v>
          </cell>
          <cell r="C297" t="str">
            <v>1 180</v>
          </cell>
          <cell r="D297">
            <v>44283</v>
          </cell>
          <cell r="E297">
            <v>1310858.8899999999</v>
          </cell>
          <cell r="F297">
            <v>1310858.8899999999</v>
          </cell>
          <cell r="G297">
            <v>1000000</v>
          </cell>
          <cell r="H297">
            <v>1000000</v>
          </cell>
          <cell r="I297">
            <v>210958.89</v>
          </cell>
          <cell r="J297">
            <v>210958.89</v>
          </cell>
          <cell r="K297">
            <v>99900</v>
          </cell>
        </row>
        <row r="298">
          <cell r="A298" t="str">
            <v>В-11307/КЛ.Транш - 1_В-21082023/Ц</v>
          </cell>
          <cell r="B298" t="str">
            <v>Никифоров Александр Андреевич</v>
          </cell>
          <cell r="C298" t="str">
            <v>1 176</v>
          </cell>
          <cell r="D298">
            <v>44287</v>
          </cell>
          <cell r="E298">
            <v>217930.86</v>
          </cell>
          <cell r="F298">
            <v>217930.86</v>
          </cell>
          <cell r="G298">
            <v>113049.44</v>
          </cell>
          <cell r="H298">
            <v>113049.44</v>
          </cell>
          <cell r="I298">
            <v>38066.17</v>
          </cell>
          <cell r="J298">
            <v>38066.17</v>
          </cell>
          <cell r="K298">
            <v>56439.1</v>
          </cell>
        </row>
        <row r="299">
          <cell r="A299" t="str">
            <v>В-30003/КЭ.Транш - 1_В-21082023/Ц</v>
          </cell>
          <cell r="B299" t="str">
            <v>ИП Вертейко Алексей Михайлович</v>
          </cell>
          <cell r="C299" t="str">
            <v>1 175</v>
          </cell>
          <cell r="D299">
            <v>44288</v>
          </cell>
          <cell r="E299">
            <v>448683.54</v>
          </cell>
          <cell r="F299">
            <v>448683.54</v>
          </cell>
          <cell r="G299">
            <v>146164.03</v>
          </cell>
          <cell r="H299">
            <v>146164.03</v>
          </cell>
          <cell r="I299">
            <v>52579.02</v>
          </cell>
          <cell r="J299">
            <v>52579.02</v>
          </cell>
          <cell r="K299">
            <v>249940.49</v>
          </cell>
        </row>
        <row r="300">
          <cell r="A300" t="str">
            <v>В-00359/КЛ.Транш - 2_В-20211230/Ц</v>
          </cell>
          <cell r="B300" t="str">
            <v>Голота Илья Викторович</v>
          </cell>
          <cell r="C300" t="str">
            <v>1 174</v>
          </cell>
          <cell r="D300">
            <v>44289</v>
          </cell>
          <cell r="E300">
            <v>156474.1</v>
          </cell>
          <cell r="F300">
            <v>156474.1</v>
          </cell>
          <cell r="G300">
            <v>76378.320000000007</v>
          </cell>
          <cell r="H300">
            <v>76378.320000000007</v>
          </cell>
          <cell r="I300">
            <v>17157.939999999999</v>
          </cell>
          <cell r="J300">
            <v>17157.939999999999</v>
          </cell>
          <cell r="K300">
            <v>53747.39</v>
          </cell>
        </row>
        <row r="301">
          <cell r="A301" t="str">
            <v>В-07544/КЛ.Транш - 1_В-21082023/Ц</v>
          </cell>
          <cell r="B301" t="str">
            <v>Долгополов Сергей Юрьевич</v>
          </cell>
          <cell r="C301" t="str">
            <v>1 167</v>
          </cell>
          <cell r="D301">
            <v>44296</v>
          </cell>
          <cell r="E301">
            <v>404568.26</v>
          </cell>
          <cell r="F301">
            <v>404568.26</v>
          </cell>
          <cell r="G301">
            <v>197192.25</v>
          </cell>
          <cell r="H301">
            <v>197192.25</v>
          </cell>
          <cell r="I301">
            <v>103722.45</v>
          </cell>
          <cell r="J301">
            <v>103722.45</v>
          </cell>
          <cell r="K301">
            <v>91895.53</v>
          </cell>
        </row>
        <row r="302">
          <cell r="A302" t="str">
            <v>В-12294/КЛ.Транш - 1_В-20211230/Ц</v>
          </cell>
          <cell r="B302" t="str">
            <v>Макаров Алексей Александрович</v>
          </cell>
          <cell r="C302" t="str">
            <v>1 165</v>
          </cell>
          <cell r="D302">
            <v>44298</v>
          </cell>
          <cell r="E302">
            <v>176956.43</v>
          </cell>
          <cell r="F302">
            <v>176956.43</v>
          </cell>
          <cell r="G302">
            <v>100000</v>
          </cell>
          <cell r="H302">
            <v>100000</v>
          </cell>
          <cell r="I302">
            <v>4657.17</v>
          </cell>
          <cell r="J302">
            <v>4657.17</v>
          </cell>
          <cell r="K302">
            <v>62910</v>
          </cell>
        </row>
        <row r="303">
          <cell r="A303" t="str">
            <v>В-03392/КЛ.Транш - 1</v>
          </cell>
          <cell r="B303" t="str">
            <v>Громов Сергей Дмитриевич</v>
          </cell>
          <cell r="C303" t="str">
            <v>1 164</v>
          </cell>
          <cell r="D303">
            <v>44299</v>
          </cell>
          <cell r="E303">
            <v>749190.8</v>
          </cell>
          <cell r="F303">
            <v>749190.8</v>
          </cell>
          <cell r="G303">
            <v>350969.69</v>
          </cell>
          <cell r="H303">
            <v>350969.69</v>
          </cell>
          <cell r="I303">
            <v>163968.25</v>
          </cell>
          <cell r="J303">
            <v>163968.25</v>
          </cell>
          <cell r="K303">
            <v>220605.51</v>
          </cell>
        </row>
        <row r="304">
          <cell r="A304" t="str">
            <v>В-13600/КЛ.Транш - 1_В-20211230/Ц</v>
          </cell>
          <cell r="B304" t="str">
            <v>Карманов Александр Иванович</v>
          </cell>
          <cell r="C304" t="str">
            <v>1 164</v>
          </cell>
          <cell r="D304">
            <v>44299</v>
          </cell>
          <cell r="E304">
            <v>320399.81</v>
          </cell>
          <cell r="F304">
            <v>320399.81</v>
          </cell>
          <cell r="G304">
            <v>163668.96</v>
          </cell>
          <cell r="H304">
            <v>163668.96</v>
          </cell>
          <cell r="I304">
            <v>39086.28</v>
          </cell>
          <cell r="J304">
            <v>39086.28</v>
          </cell>
          <cell r="K304">
            <v>106312.73</v>
          </cell>
        </row>
        <row r="305">
          <cell r="A305" t="str">
            <v>В-14569/КЛ.Транш - 1_А-20210929/Ц</v>
          </cell>
          <cell r="B305" t="str">
            <v>Ануфриенко Сергей Владимирович</v>
          </cell>
          <cell r="C305" t="str">
            <v>1 163</v>
          </cell>
          <cell r="D305">
            <v>44300</v>
          </cell>
          <cell r="E305">
            <v>1227804.1599999999</v>
          </cell>
          <cell r="F305">
            <v>1227804.1599999999</v>
          </cell>
          <cell r="G305">
            <v>900000</v>
          </cell>
          <cell r="H305">
            <v>900000</v>
          </cell>
          <cell r="I305">
            <v>246156.16</v>
          </cell>
          <cell r="J305">
            <v>246156.16</v>
          </cell>
          <cell r="K305">
            <v>81648</v>
          </cell>
        </row>
        <row r="306">
          <cell r="A306" t="str">
            <v>В-11333/КЛ.Транш - 1_В-20211230/Ц</v>
          </cell>
          <cell r="B306" t="str">
            <v>Нургушиев Нуридин Эдильбийевич</v>
          </cell>
          <cell r="C306" t="str">
            <v>1 160</v>
          </cell>
          <cell r="D306">
            <v>44303</v>
          </cell>
          <cell r="E306">
            <v>156817.81</v>
          </cell>
          <cell r="F306">
            <v>156817.81</v>
          </cell>
          <cell r="G306">
            <v>74526.33</v>
          </cell>
          <cell r="H306">
            <v>74526.33</v>
          </cell>
          <cell r="I306">
            <v>26287.279999999999</v>
          </cell>
          <cell r="J306">
            <v>26287.279999999999</v>
          </cell>
          <cell r="K306">
            <v>46683.29</v>
          </cell>
        </row>
        <row r="307">
          <cell r="A307" t="str">
            <v>В-01046/АЗ</v>
          </cell>
          <cell r="B307" t="str">
            <v>Поляруш Ирина Валерьевна</v>
          </cell>
          <cell r="C307" t="str">
            <v>1 159</v>
          </cell>
          <cell r="D307">
            <v>44304</v>
          </cell>
          <cell r="E307">
            <v>527971.87</v>
          </cell>
          <cell r="F307">
            <v>527971.87</v>
          </cell>
          <cell r="G307">
            <v>369057.52</v>
          </cell>
          <cell r="H307">
            <v>369057.52</v>
          </cell>
          <cell r="I307">
            <v>118258.97</v>
          </cell>
          <cell r="J307">
            <v>118258.97</v>
          </cell>
          <cell r="K307">
            <v>40655.379999999997</v>
          </cell>
        </row>
        <row r="308">
          <cell r="A308" t="str">
            <v>В-09247/КЛ.Транш - 1_А-20210929/Ц</v>
          </cell>
          <cell r="B308" t="str">
            <v>Резников Сергей Владимирович</v>
          </cell>
          <cell r="C308" t="str">
            <v>1 159</v>
          </cell>
          <cell r="D308">
            <v>44304</v>
          </cell>
          <cell r="E308">
            <v>212754.31</v>
          </cell>
          <cell r="F308">
            <v>212754.31</v>
          </cell>
          <cell r="G308">
            <v>103180</v>
          </cell>
          <cell r="H308">
            <v>103180</v>
          </cell>
          <cell r="I308">
            <v>74150.31</v>
          </cell>
          <cell r="J308">
            <v>74150.31</v>
          </cell>
          <cell r="K308">
            <v>35424</v>
          </cell>
        </row>
        <row r="309">
          <cell r="A309" t="str">
            <v>В-01109/АЗ_В-21082023/Ц</v>
          </cell>
          <cell r="B309" t="str">
            <v>Мазуренко Наталья Владимировна</v>
          </cell>
          <cell r="C309" t="str">
            <v>1 158</v>
          </cell>
          <cell r="D309">
            <v>44305</v>
          </cell>
          <cell r="E309">
            <v>324973.15999999997</v>
          </cell>
          <cell r="F309">
            <v>359143.54</v>
          </cell>
          <cell r="G309">
            <v>99070.9</v>
          </cell>
          <cell r="H309">
            <v>64900.52</v>
          </cell>
          <cell r="I309">
            <v>192496.11</v>
          </cell>
          <cell r="J309">
            <v>192496.11</v>
          </cell>
          <cell r="K309">
            <v>61576.53</v>
          </cell>
        </row>
        <row r="310">
          <cell r="A310" t="str">
            <v>А-00458/КЭ.Транш - 1</v>
          </cell>
          <cell r="B310" t="str">
            <v>ИП Харин Евгений Александрович</v>
          </cell>
          <cell r="C310" t="str">
            <v>1 154</v>
          </cell>
          <cell r="D310">
            <v>44309</v>
          </cell>
          <cell r="E310">
            <v>611257.09</v>
          </cell>
          <cell r="F310">
            <v>611257.09</v>
          </cell>
          <cell r="G310">
            <v>395657.83</v>
          </cell>
          <cell r="H310">
            <v>395657.83</v>
          </cell>
          <cell r="I310">
            <v>106944.72</v>
          </cell>
          <cell r="J310">
            <v>106944.72</v>
          </cell>
          <cell r="K310">
            <v>108654.54</v>
          </cell>
        </row>
        <row r="311">
          <cell r="A311" t="str">
            <v>В-12894/КЛ.Транш - 1_В-20211230/Ц</v>
          </cell>
          <cell r="B311" t="str">
            <v>Щеглов Роман Сергеевич</v>
          </cell>
          <cell r="C311" t="str">
            <v>1 154</v>
          </cell>
          <cell r="D311">
            <v>44309</v>
          </cell>
          <cell r="E311">
            <v>186912.09</v>
          </cell>
          <cell r="F311">
            <v>186912.09</v>
          </cell>
          <cell r="G311">
            <v>97845.22</v>
          </cell>
          <cell r="H311">
            <v>97845.22</v>
          </cell>
          <cell r="I311">
            <v>28093.64</v>
          </cell>
          <cell r="J311">
            <v>28093.64</v>
          </cell>
          <cell r="K311">
            <v>60973.23</v>
          </cell>
        </row>
        <row r="312">
          <cell r="A312" t="str">
            <v>В-13136/КЛ.Транш - 1_В-20211230/Ц</v>
          </cell>
          <cell r="B312" t="str">
            <v>Пахомов Михаил Юрьевич</v>
          </cell>
          <cell r="C312" t="str">
            <v>1 149</v>
          </cell>
          <cell r="D312">
            <v>44314</v>
          </cell>
          <cell r="E312">
            <v>379746.08</v>
          </cell>
          <cell r="F312">
            <v>445644.26</v>
          </cell>
          <cell r="G312">
            <v>65898.179999999993</v>
          </cell>
          <cell r="I312">
            <v>272198.55</v>
          </cell>
          <cell r="J312">
            <v>272198.55</v>
          </cell>
          <cell r="K312">
            <v>107547.53</v>
          </cell>
        </row>
        <row r="313">
          <cell r="A313" t="str">
            <v>В-02690/КЛ.Транш - 1_В-20211230/Ц</v>
          </cell>
          <cell r="B313" t="str">
            <v>Никонов Андрей Георгиевич</v>
          </cell>
          <cell r="C313" t="str">
            <v>1 147</v>
          </cell>
          <cell r="D313">
            <v>44316</v>
          </cell>
          <cell r="E313">
            <v>175994.57</v>
          </cell>
          <cell r="F313">
            <v>175994.57</v>
          </cell>
          <cell r="G313">
            <v>93309.37</v>
          </cell>
          <cell r="H313">
            <v>93309.37</v>
          </cell>
          <cell r="K313">
            <v>71632.039999999994</v>
          </cell>
        </row>
        <row r="314">
          <cell r="A314" t="str">
            <v>Т-10005/КЭ_Т-20211028/Ц</v>
          </cell>
          <cell r="B314" t="str">
            <v>ИП Богданова Лариса Анатольевна</v>
          </cell>
          <cell r="C314" t="str">
            <v>1 147</v>
          </cell>
          <cell r="D314">
            <v>44316</v>
          </cell>
          <cell r="E314">
            <v>183930.89</v>
          </cell>
          <cell r="F314">
            <v>183930.89</v>
          </cell>
          <cell r="G314">
            <v>170687.58</v>
          </cell>
          <cell r="H314">
            <v>170687.58</v>
          </cell>
          <cell r="I314">
            <v>10353.49</v>
          </cell>
          <cell r="J314">
            <v>10353.49</v>
          </cell>
          <cell r="K314">
            <v>2889.82</v>
          </cell>
        </row>
        <row r="315">
          <cell r="A315" t="str">
            <v>В-16441/КЛ.Транш - 1_В-20211230/Ц</v>
          </cell>
          <cell r="B315" t="str">
            <v>Тюрин Алексей Викторович</v>
          </cell>
          <cell r="C315" t="str">
            <v>1 144</v>
          </cell>
          <cell r="D315">
            <v>44319</v>
          </cell>
          <cell r="E315">
            <v>525255.63</v>
          </cell>
          <cell r="F315">
            <v>525255.63</v>
          </cell>
          <cell r="G315">
            <v>284090.90000000002</v>
          </cell>
          <cell r="H315">
            <v>284090.90000000002</v>
          </cell>
          <cell r="I315">
            <v>52926.53</v>
          </cell>
          <cell r="J315">
            <v>52926.53</v>
          </cell>
          <cell r="K315">
            <v>175499.99</v>
          </cell>
        </row>
        <row r="316">
          <cell r="A316" t="str">
            <v>А-04357/АЗ</v>
          </cell>
          <cell r="B316" t="str">
            <v>Головко Владимир Павлович</v>
          </cell>
          <cell r="C316" t="str">
            <v>1 142</v>
          </cell>
          <cell r="D316">
            <v>44321</v>
          </cell>
          <cell r="E316">
            <v>579.04</v>
          </cell>
          <cell r="F316">
            <v>579.04</v>
          </cell>
          <cell r="K316">
            <v>579.04</v>
          </cell>
        </row>
        <row r="317">
          <cell r="A317" t="str">
            <v>В-16457/КЛ.Транш - 1_В-20211230/Ц</v>
          </cell>
          <cell r="B317" t="str">
            <v>Мирошниченко Евгений Константинович</v>
          </cell>
          <cell r="C317" t="str">
            <v>1 140</v>
          </cell>
          <cell r="D317">
            <v>44323</v>
          </cell>
          <cell r="E317">
            <v>612883.56000000006</v>
          </cell>
          <cell r="F317">
            <v>612883.56000000006</v>
          </cell>
          <cell r="G317">
            <v>340909.1</v>
          </cell>
          <cell r="H317">
            <v>340909.1</v>
          </cell>
          <cell r="I317">
            <v>62110.82</v>
          </cell>
          <cell r="J317">
            <v>62110.82</v>
          </cell>
          <cell r="K317">
            <v>209863.64</v>
          </cell>
        </row>
        <row r="318">
          <cell r="A318" t="str">
            <v>В-09302/КЛ.Транш - 3_В-20211230/Ц</v>
          </cell>
          <cell r="B318" t="str">
            <v>Шквыр Виктор Викторович</v>
          </cell>
          <cell r="C318" t="str">
            <v>1 136</v>
          </cell>
          <cell r="D318">
            <v>44327</v>
          </cell>
          <cell r="E318">
            <v>49853.5</v>
          </cell>
          <cell r="F318">
            <v>49853.5</v>
          </cell>
          <cell r="K318">
            <v>47853.5</v>
          </cell>
        </row>
        <row r="319">
          <cell r="A319" t="str">
            <v>В-16777/КЛ.Транш - 1_В-20211230/Ц</v>
          </cell>
          <cell r="B319" t="str">
            <v>Фролов Василий Михайлович</v>
          </cell>
          <cell r="C319" t="str">
            <v>1 134</v>
          </cell>
          <cell r="D319">
            <v>44329</v>
          </cell>
          <cell r="E319">
            <v>212979.56</v>
          </cell>
          <cell r="F319">
            <v>212979.56</v>
          </cell>
          <cell r="G319">
            <v>113636.4</v>
          </cell>
          <cell r="H319">
            <v>113636.4</v>
          </cell>
          <cell r="I319">
            <v>19769.61</v>
          </cell>
          <cell r="J319">
            <v>19769.61</v>
          </cell>
          <cell r="K319">
            <v>69586.38</v>
          </cell>
        </row>
        <row r="320">
          <cell r="A320" t="str">
            <v>В-16873/КЛ.Транш - 1</v>
          </cell>
          <cell r="B320" t="str">
            <v>Казанин Игорь Викторович</v>
          </cell>
          <cell r="C320" t="str">
            <v>1 132</v>
          </cell>
          <cell r="D320">
            <v>44331</v>
          </cell>
          <cell r="E320">
            <v>607674.86</v>
          </cell>
          <cell r="F320">
            <v>607674.86</v>
          </cell>
          <cell r="G320">
            <v>340909.1</v>
          </cell>
          <cell r="H320">
            <v>340909.1</v>
          </cell>
          <cell r="I320">
            <v>58374.85</v>
          </cell>
          <cell r="J320">
            <v>58374.85</v>
          </cell>
          <cell r="K320">
            <v>208390.91</v>
          </cell>
        </row>
        <row r="321">
          <cell r="A321" t="str">
            <v>В-09302/КЛ.Транш - 4_В-20211230/Ц</v>
          </cell>
          <cell r="B321" t="str">
            <v>Шквыр Виктор Викторович</v>
          </cell>
          <cell r="C321" t="str">
            <v>1 131</v>
          </cell>
          <cell r="D321">
            <v>44332</v>
          </cell>
          <cell r="E321">
            <v>116917.74</v>
          </cell>
          <cell r="F321">
            <v>116917.74</v>
          </cell>
          <cell r="G321">
            <v>57218.29</v>
          </cell>
          <cell r="H321">
            <v>57218.29</v>
          </cell>
          <cell r="K321">
            <v>57699.45</v>
          </cell>
        </row>
        <row r="322">
          <cell r="A322" t="str">
            <v>В-09302/КЛ.Транш - 2_В-20211230/Ц</v>
          </cell>
          <cell r="B322" t="str">
            <v>Шквыр Виктор Викторович</v>
          </cell>
          <cell r="C322" t="str">
            <v>1 124</v>
          </cell>
          <cell r="D322">
            <v>44339</v>
          </cell>
          <cell r="E322">
            <v>35194.410000000003</v>
          </cell>
          <cell r="F322">
            <v>35194.410000000003</v>
          </cell>
          <cell r="K322">
            <v>27412.65</v>
          </cell>
        </row>
        <row r="323">
          <cell r="A323" t="str">
            <v>В-16186/КЛ.Транш - 1_В-21082023/Ц</v>
          </cell>
          <cell r="B323" t="str">
            <v>Атцаев Ахмед Шахитович</v>
          </cell>
          <cell r="C323" t="str">
            <v>1 119</v>
          </cell>
          <cell r="D323">
            <v>44344</v>
          </cell>
          <cell r="E323">
            <v>236104.18</v>
          </cell>
          <cell r="F323">
            <v>236104.18</v>
          </cell>
          <cell r="G323">
            <v>141050.5</v>
          </cell>
          <cell r="H323">
            <v>141050.5</v>
          </cell>
          <cell r="I323">
            <v>22364.34</v>
          </cell>
          <cell r="J323">
            <v>22364.34</v>
          </cell>
          <cell r="K323">
            <v>62076.33</v>
          </cell>
        </row>
        <row r="324">
          <cell r="A324" t="str">
            <v>В-17494/КЛ.Транш - 1_В-21082023/Ц</v>
          </cell>
          <cell r="B324" t="str">
            <v>Герейханов Фаик Гуснеддинович</v>
          </cell>
          <cell r="C324" t="str">
            <v>1 118</v>
          </cell>
          <cell r="D324">
            <v>44345</v>
          </cell>
          <cell r="E324">
            <v>712935.01</v>
          </cell>
          <cell r="F324">
            <v>712935.01</v>
          </cell>
          <cell r="G324">
            <v>400000</v>
          </cell>
          <cell r="H324">
            <v>400000</v>
          </cell>
          <cell r="I324">
            <v>122476.72</v>
          </cell>
          <cell r="J324">
            <v>122476.72</v>
          </cell>
          <cell r="K324">
            <v>175824</v>
          </cell>
        </row>
        <row r="325">
          <cell r="A325" t="str">
            <v>В-13669/КЛ.Транш - 2_В-20211230/Ц</v>
          </cell>
          <cell r="B325" t="str">
            <v>Почапский Антон Вячеславович</v>
          </cell>
          <cell r="C325" t="str">
            <v>1 117</v>
          </cell>
          <cell r="D325">
            <v>44346</v>
          </cell>
          <cell r="E325">
            <v>190469.47</v>
          </cell>
          <cell r="F325">
            <v>190469.47</v>
          </cell>
          <cell r="G325">
            <v>98193.9</v>
          </cell>
          <cell r="H325">
            <v>98193.9</v>
          </cell>
          <cell r="I325">
            <v>33046.97</v>
          </cell>
          <cell r="J325">
            <v>33046.97</v>
          </cell>
          <cell r="K325">
            <v>59228.6</v>
          </cell>
        </row>
        <row r="326">
          <cell r="A326" t="str">
            <v>В-17533/КЛ.Транш - 1_В-20211230/Ц</v>
          </cell>
          <cell r="B326" t="str">
            <v>Даниялов Марат Алавутдинович</v>
          </cell>
          <cell r="C326" t="str">
            <v>1 117</v>
          </cell>
          <cell r="D326">
            <v>44346</v>
          </cell>
          <cell r="E326">
            <v>1882796.44</v>
          </cell>
          <cell r="F326">
            <v>1882796.44</v>
          </cell>
          <cell r="G326">
            <v>1000000</v>
          </cell>
          <cell r="H326">
            <v>1000000</v>
          </cell>
          <cell r="I326">
            <v>279616.44</v>
          </cell>
          <cell r="J326">
            <v>279616.44</v>
          </cell>
          <cell r="K326">
            <v>603180</v>
          </cell>
        </row>
        <row r="327">
          <cell r="A327" t="str">
            <v>В-10433/КЛ.Транш - 2_В-21082023/Ц</v>
          </cell>
          <cell r="B327" t="str">
            <v>Сорокин Константин Витальевич</v>
          </cell>
          <cell r="C327" t="str">
            <v>1 114</v>
          </cell>
          <cell r="D327">
            <v>44349</v>
          </cell>
          <cell r="E327">
            <v>859611.56</v>
          </cell>
          <cell r="F327">
            <v>859611.56</v>
          </cell>
          <cell r="G327">
            <v>491867.54</v>
          </cell>
          <cell r="H327">
            <v>491867.54</v>
          </cell>
          <cell r="I327">
            <v>142601.16</v>
          </cell>
          <cell r="J327">
            <v>142601.16</v>
          </cell>
          <cell r="K327">
            <v>215142.86</v>
          </cell>
        </row>
        <row r="328">
          <cell r="A328" t="str">
            <v>В-00319/КЛ.Транш - 2_В-20211230/Ц</v>
          </cell>
          <cell r="B328" t="str">
            <v>Бардин Андрей Юрьевич</v>
          </cell>
          <cell r="C328" t="str">
            <v>1 113</v>
          </cell>
          <cell r="D328">
            <v>44350</v>
          </cell>
          <cell r="E328">
            <v>109248.74</v>
          </cell>
          <cell r="F328">
            <v>109248.74</v>
          </cell>
          <cell r="G328">
            <v>56007.23</v>
          </cell>
          <cell r="H328">
            <v>56007.23</v>
          </cell>
          <cell r="I328">
            <v>9336.26</v>
          </cell>
          <cell r="J328">
            <v>9336.26</v>
          </cell>
          <cell r="K328">
            <v>35661.47</v>
          </cell>
        </row>
        <row r="329">
          <cell r="A329" t="str">
            <v>В-12016/КЛ.Транш - 1_В-20211230/Ц</v>
          </cell>
          <cell r="B329" t="str">
            <v>Исаков Магомед Владимирович</v>
          </cell>
          <cell r="C329" t="str">
            <v>1 111</v>
          </cell>
          <cell r="D329">
            <v>44352</v>
          </cell>
          <cell r="E329">
            <v>43625.5</v>
          </cell>
          <cell r="F329">
            <v>43625.5</v>
          </cell>
          <cell r="I329">
            <v>15100.52</v>
          </cell>
          <cell r="J329">
            <v>15100.52</v>
          </cell>
          <cell r="K329">
            <v>20166.11</v>
          </cell>
        </row>
        <row r="330">
          <cell r="A330" t="str">
            <v>В-07717/КЛ.Транш - 1_В-20211230/Ц</v>
          </cell>
          <cell r="B330" t="str">
            <v>Перевалов Артём Владимирович</v>
          </cell>
          <cell r="C330" t="str">
            <v>1 109</v>
          </cell>
          <cell r="D330">
            <v>44354</v>
          </cell>
          <cell r="E330">
            <v>154082.72</v>
          </cell>
          <cell r="F330">
            <v>154082.72</v>
          </cell>
          <cell r="G330">
            <v>78274.16</v>
          </cell>
          <cell r="H330">
            <v>78274.16</v>
          </cell>
          <cell r="I330">
            <v>20095.25</v>
          </cell>
          <cell r="J330">
            <v>20095.25</v>
          </cell>
          <cell r="K330">
            <v>46896.02</v>
          </cell>
        </row>
        <row r="331">
          <cell r="A331" t="str">
            <v>В-13669/КЛ.Транш - 3_В-20211230/Ц</v>
          </cell>
          <cell r="B331" t="str">
            <v>Почапский Антон Вячеславович</v>
          </cell>
          <cell r="C331" t="str">
            <v>1 107</v>
          </cell>
          <cell r="D331">
            <v>44356</v>
          </cell>
          <cell r="E331">
            <v>184529.3</v>
          </cell>
          <cell r="F331">
            <v>184529.3</v>
          </cell>
          <cell r="G331">
            <v>97843.09</v>
          </cell>
          <cell r="H331">
            <v>97843.09</v>
          </cell>
          <cell r="I331">
            <v>28197.57</v>
          </cell>
          <cell r="J331">
            <v>28197.57</v>
          </cell>
          <cell r="K331">
            <v>58488.639999999999</v>
          </cell>
        </row>
        <row r="332">
          <cell r="A332" t="str">
            <v>В-09302/КЛ.Транш - 5_В-20211230/Ц</v>
          </cell>
          <cell r="B332" t="str">
            <v>Шквыр Виктор Викторович</v>
          </cell>
          <cell r="C332" t="str">
            <v>1 106</v>
          </cell>
          <cell r="D332">
            <v>44357</v>
          </cell>
          <cell r="E332">
            <v>174314.67</v>
          </cell>
          <cell r="F332">
            <v>174314.67</v>
          </cell>
          <cell r="G332">
            <v>97032.62</v>
          </cell>
          <cell r="H332">
            <v>97032.62</v>
          </cell>
          <cell r="I332">
            <v>17330.29</v>
          </cell>
          <cell r="J332">
            <v>17330.29</v>
          </cell>
          <cell r="K332">
            <v>57951.76</v>
          </cell>
        </row>
        <row r="333">
          <cell r="A333" t="str">
            <v>В-13669/КЛ.Транш - 6_В-20211230/Ц</v>
          </cell>
          <cell r="B333" t="str">
            <v>Почапский Антон Вячеславович</v>
          </cell>
          <cell r="C333" t="str">
            <v>1 106</v>
          </cell>
          <cell r="D333">
            <v>44357</v>
          </cell>
          <cell r="E333">
            <v>188359.61</v>
          </cell>
          <cell r="F333">
            <v>188359.61</v>
          </cell>
          <cell r="G333">
            <v>100000</v>
          </cell>
          <cell r="H333">
            <v>100000</v>
          </cell>
          <cell r="I333">
            <v>28635.61</v>
          </cell>
          <cell r="J333">
            <v>28635.61</v>
          </cell>
          <cell r="K333">
            <v>59724</v>
          </cell>
        </row>
        <row r="334">
          <cell r="A334" t="str">
            <v>В-14484/КЛ.Транш - 1_В-21082023/Ц</v>
          </cell>
          <cell r="B334" t="str">
            <v>Титов Максим Сергеевич</v>
          </cell>
          <cell r="C334" t="str">
            <v>1 104</v>
          </cell>
          <cell r="D334">
            <v>44359</v>
          </cell>
          <cell r="E334">
            <v>95479.38</v>
          </cell>
          <cell r="F334">
            <v>95479.38</v>
          </cell>
          <cell r="G334">
            <v>34474.03</v>
          </cell>
          <cell r="H334">
            <v>34474.03</v>
          </cell>
          <cell r="K334">
            <v>50872.5</v>
          </cell>
        </row>
        <row r="335">
          <cell r="A335" t="str">
            <v>В-16915/КЛ.Транш - 1_В-20211230/Ц</v>
          </cell>
          <cell r="B335" t="str">
            <v>Ильинский Владимир Юрьевич</v>
          </cell>
          <cell r="C335" t="str">
            <v>1 099</v>
          </cell>
          <cell r="D335">
            <v>44364</v>
          </cell>
          <cell r="E335">
            <v>1681227.6</v>
          </cell>
          <cell r="F335">
            <v>1681227.6</v>
          </cell>
          <cell r="G335">
            <v>940452.63</v>
          </cell>
          <cell r="H335">
            <v>940452.63</v>
          </cell>
          <cell r="I335">
            <v>182653.96</v>
          </cell>
          <cell r="J335">
            <v>182653.96</v>
          </cell>
          <cell r="K335">
            <v>558121.01</v>
          </cell>
        </row>
        <row r="336">
          <cell r="A336" t="str">
            <v>В-00022/КЭ.Транш - 1_А-20210929/Ц</v>
          </cell>
          <cell r="B336" t="str">
            <v>ИП Харин Евгений Александрович</v>
          </cell>
          <cell r="C336" t="str">
            <v>1 098</v>
          </cell>
          <cell r="D336">
            <v>44365</v>
          </cell>
          <cell r="E336">
            <v>328009.43</v>
          </cell>
          <cell r="F336">
            <v>328009.43</v>
          </cell>
          <cell r="G336">
            <v>200489.60000000001</v>
          </cell>
          <cell r="H336">
            <v>200489.60000000001</v>
          </cell>
          <cell r="I336">
            <v>43100.63</v>
          </cell>
          <cell r="J336">
            <v>43100.63</v>
          </cell>
          <cell r="K336">
            <v>84419.199999999997</v>
          </cell>
        </row>
        <row r="337">
          <cell r="A337" t="str">
            <v>В-00011/КЭ.Транш - 1_А-20210929/Ц</v>
          </cell>
          <cell r="B337" t="str">
            <v>ЛИДЕР ГРУПП ООО</v>
          </cell>
          <cell r="C337" t="str">
            <v>1 097</v>
          </cell>
          <cell r="D337">
            <v>44366</v>
          </cell>
          <cell r="E337">
            <v>264514.83</v>
          </cell>
          <cell r="F337">
            <v>264514.83</v>
          </cell>
          <cell r="G337">
            <v>148111.51</v>
          </cell>
          <cell r="H337">
            <v>148111.51</v>
          </cell>
          <cell r="I337">
            <v>34640.480000000003</v>
          </cell>
          <cell r="J337">
            <v>34640.480000000003</v>
          </cell>
          <cell r="K337">
            <v>81762.84</v>
          </cell>
        </row>
        <row r="338">
          <cell r="A338" t="str">
            <v>В-10278/КЛ.Транш - 1_В-21082023/Ц</v>
          </cell>
          <cell r="B338" t="str">
            <v>Инджелер Фатих</v>
          </cell>
          <cell r="C338" t="str">
            <v>1 097</v>
          </cell>
          <cell r="D338">
            <v>44366</v>
          </cell>
          <cell r="E338">
            <v>1202644.78</v>
          </cell>
          <cell r="F338">
            <v>1202644.78</v>
          </cell>
          <cell r="G338">
            <v>612100.54</v>
          </cell>
          <cell r="H338">
            <v>612100.54</v>
          </cell>
          <cell r="I338">
            <v>306050.28000000003</v>
          </cell>
          <cell r="J338">
            <v>306050.28000000003</v>
          </cell>
          <cell r="K338">
            <v>265151.21000000002</v>
          </cell>
        </row>
        <row r="339">
          <cell r="A339" t="str">
            <v>В-18171/КЛ.Транш - 1_В-20211230/Ц</v>
          </cell>
          <cell r="B339" t="str">
            <v>Гачегов Дмитрий Сергеевич</v>
          </cell>
          <cell r="C339" t="str">
            <v>1 096</v>
          </cell>
          <cell r="D339">
            <v>44367</v>
          </cell>
          <cell r="E339">
            <v>333495.77</v>
          </cell>
          <cell r="F339">
            <v>333495.77</v>
          </cell>
          <cell r="G339">
            <v>181818.2</v>
          </cell>
          <cell r="H339">
            <v>181818.2</v>
          </cell>
          <cell r="I339">
            <v>32627.64</v>
          </cell>
          <cell r="J339">
            <v>32627.64</v>
          </cell>
          <cell r="K339">
            <v>107607.29</v>
          </cell>
        </row>
        <row r="340">
          <cell r="A340" t="str">
            <v>В-17075/КЛ.Транш - 1_В-20211230/Ц</v>
          </cell>
          <cell r="B340" t="str">
            <v>Хашимов Далерджон Темурович</v>
          </cell>
          <cell r="C340" t="str">
            <v>1 095</v>
          </cell>
          <cell r="D340">
            <v>44368</v>
          </cell>
          <cell r="E340">
            <v>908434.64</v>
          </cell>
          <cell r="F340">
            <v>908434.64</v>
          </cell>
          <cell r="G340">
            <v>504706.65</v>
          </cell>
          <cell r="H340">
            <v>504706.65</v>
          </cell>
          <cell r="I340">
            <v>89879.27</v>
          </cell>
          <cell r="J340">
            <v>89879.27</v>
          </cell>
          <cell r="K340">
            <v>298433.03999999998</v>
          </cell>
        </row>
        <row r="341">
          <cell r="A341" t="str">
            <v>В-18216/КЛ.Транш - 1_В-20211230/Ц</v>
          </cell>
          <cell r="B341" t="str">
            <v>Иванов Илья Андреевич</v>
          </cell>
          <cell r="C341" t="str">
            <v>1 095</v>
          </cell>
          <cell r="D341">
            <v>44368</v>
          </cell>
          <cell r="E341">
            <v>156879.67999999999</v>
          </cell>
          <cell r="F341">
            <v>156879.67999999999</v>
          </cell>
          <cell r="G341">
            <v>91093.14</v>
          </cell>
          <cell r="H341">
            <v>91093.14</v>
          </cell>
          <cell r="K341">
            <v>55955.6</v>
          </cell>
        </row>
        <row r="342">
          <cell r="A342" t="str">
            <v>А-05387/АЗ</v>
          </cell>
          <cell r="B342" t="str">
            <v>Кульчак Екатерина Александровна</v>
          </cell>
          <cell r="C342" t="str">
            <v>1 094</v>
          </cell>
          <cell r="D342">
            <v>44369</v>
          </cell>
          <cell r="E342">
            <v>54.22</v>
          </cell>
          <cell r="F342">
            <v>54.22</v>
          </cell>
          <cell r="K342">
            <v>54.22</v>
          </cell>
        </row>
        <row r="343">
          <cell r="A343" t="str">
            <v>В-10433/КЛ.Транш - 1_В-21082023/Ц</v>
          </cell>
          <cell r="B343" t="str">
            <v>Сорокин Константин Витальевич</v>
          </cell>
          <cell r="C343" t="str">
            <v>1 094</v>
          </cell>
          <cell r="D343">
            <v>44369</v>
          </cell>
          <cell r="E343">
            <v>722172.23</v>
          </cell>
          <cell r="F343">
            <v>722172.23</v>
          </cell>
          <cell r="G343">
            <v>450073.9</v>
          </cell>
          <cell r="H343">
            <v>450073.9</v>
          </cell>
          <cell r="I343">
            <v>75834.38</v>
          </cell>
          <cell r="J343">
            <v>75834.38</v>
          </cell>
          <cell r="K343">
            <v>192001.53</v>
          </cell>
        </row>
        <row r="344">
          <cell r="A344" t="str">
            <v>В-13669/КЛ.Транш - 4_В-20211230/Ц</v>
          </cell>
          <cell r="B344" t="str">
            <v>Почапский Антон Вячеславович</v>
          </cell>
          <cell r="C344" t="str">
            <v>1 094</v>
          </cell>
          <cell r="D344">
            <v>44369</v>
          </cell>
          <cell r="E344">
            <v>181507.61</v>
          </cell>
          <cell r="F344">
            <v>181507.61</v>
          </cell>
          <cell r="G344">
            <v>97843.09</v>
          </cell>
          <cell r="H344">
            <v>97843.09</v>
          </cell>
          <cell r="I344">
            <v>25862.74</v>
          </cell>
          <cell r="J344">
            <v>25862.74</v>
          </cell>
          <cell r="K344">
            <v>57801.78</v>
          </cell>
        </row>
        <row r="345">
          <cell r="A345" t="str">
            <v>В-17043/КЛ.Транш - 1_В-20211230/Ц</v>
          </cell>
          <cell r="B345" t="str">
            <v>Петров Сергей Анатольевич</v>
          </cell>
          <cell r="C345" t="str">
            <v>1 094</v>
          </cell>
          <cell r="D345">
            <v>44369</v>
          </cell>
          <cell r="E345">
            <v>545535.84</v>
          </cell>
          <cell r="F345">
            <v>545535.84</v>
          </cell>
          <cell r="G345">
            <v>282703.67</v>
          </cell>
          <cell r="H345">
            <v>282703.67</v>
          </cell>
          <cell r="I345">
            <v>82812.800000000003</v>
          </cell>
          <cell r="J345">
            <v>82812.800000000003</v>
          </cell>
          <cell r="K345">
            <v>167010.01999999999</v>
          </cell>
        </row>
        <row r="346">
          <cell r="A346" t="str">
            <v>В-08288/КЛ.Транш - 2_В-21082023/Ц</v>
          </cell>
          <cell r="B346" t="str">
            <v>Атаманов Максим Владимирович</v>
          </cell>
          <cell r="C346" t="str">
            <v>1 093</v>
          </cell>
          <cell r="D346">
            <v>44370</v>
          </cell>
          <cell r="E346">
            <v>198026.13</v>
          </cell>
          <cell r="F346">
            <v>198026.13</v>
          </cell>
          <cell r="G346">
            <v>44089.13</v>
          </cell>
          <cell r="H346">
            <v>44089.13</v>
          </cell>
          <cell r="K346">
            <v>140119.18</v>
          </cell>
        </row>
        <row r="347">
          <cell r="A347" t="str">
            <v>В-13042/КЛ.Транш - 1_В-20211230/Ц</v>
          </cell>
          <cell r="B347" t="str">
            <v>Шумилов Валерий Игоревич</v>
          </cell>
          <cell r="C347" t="str">
            <v>1 091</v>
          </cell>
          <cell r="D347">
            <v>44372</v>
          </cell>
          <cell r="E347">
            <v>189853.68</v>
          </cell>
          <cell r="F347">
            <v>189853.68</v>
          </cell>
          <cell r="G347">
            <v>97642.22</v>
          </cell>
          <cell r="H347">
            <v>97642.22</v>
          </cell>
          <cell r="I347">
            <v>24931.48</v>
          </cell>
          <cell r="J347">
            <v>24931.48</v>
          </cell>
          <cell r="K347">
            <v>57524.94</v>
          </cell>
        </row>
        <row r="348">
          <cell r="A348" t="str">
            <v>А-10118/КЭ.Транш - 1</v>
          </cell>
          <cell r="B348" t="str">
            <v>ТРАНСЛОГ ООО</v>
          </cell>
          <cell r="C348" t="str">
            <v>1 089</v>
          </cell>
          <cell r="D348">
            <v>44374</v>
          </cell>
          <cell r="E348">
            <v>101241.39</v>
          </cell>
          <cell r="F348">
            <v>101241.39</v>
          </cell>
          <cell r="K348">
            <v>101241.39</v>
          </cell>
        </row>
        <row r="349">
          <cell r="A349" t="str">
            <v>В-00239/КЛ.Транш - 1_В-20211230/Ц</v>
          </cell>
          <cell r="B349" t="str">
            <v>Морозкина Наталья Сергеевна</v>
          </cell>
          <cell r="C349" t="str">
            <v>1 089</v>
          </cell>
          <cell r="D349">
            <v>44374</v>
          </cell>
          <cell r="E349">
            <v>65919.72</v>
          </cell>
          <cell r="F349">
            <v>65919.72</v>
          </cell>
          <cell r="G349">
            <v>49167.83</v>
          </cell>
          <cell r="H349">
            <v>49167.83</v>
          </cell>
          <cell r="I349">
            <v>10470.92</v>
          </cell>
          <cell r="J349">
            <v>10470.92</v>
          </cell>
          <cell r="K349">
            <v>6280.97</v>
          </cell>
        </row>
        <row r="350">
          <cell r="A350" t="str">
            <v>В-15583/КЛ.Транш - 1_В-21082023/Ц</v>
          </cell>
          <cell r="B350" t="str">
            <v>Кокина Татьяна Викторовна</v>
          </cell>
          <cell r="C350" t="str">
            <v>1 089</v>
          </cell>
          <cell r="D350">
            <v>44374</v>
          </cell>
          <cell r="E350">
            <v>509600.19</v>
          </cell>
          <cell r="F350">
            <v>509600.19</v>
          </cell>
          <cell r="G350">
            <v>297351.01</v>
          </cell>
          <cell r="H350">
            <v>297351.01</v>
          </cell>
          <cell r="I350">
            <v>73131.87</v>
          </cell>
          <cell r="J350">
            <v>73131.87</v>
          </cell>
          <cell r="K350">
            <v>126047.09</v>
          </cell>
        </row>
        <row r="351">
          <cell r="A351" t="str">
            <v>В-13070/КЛ.Транш - 3_В-21082023/Ц</v>
          </cell>
          <cell r="B351" t="str">
            <v>Деревяга Илья Викторович</v>
          </cell>
          <cell r="C351" t="str">
            <v>1 086</v>
          </cell>
          <cell r="D351">
            <v>44377</v>
          </cell>
          <cell r="E351">
            <v>179091.71</v>
          </cell>
          <cell r="F351">
            <v>179091.71</v>
          </cell>
          <cell r="G351">
            <v>97417.05</v>
          </cell>
          <cell r="H351">
            <v>97417.05</v>
          </cell>
          <cell r="I351">
            <v>33913.54</v>
          </cell>
          <cell r="J351">
            <v>33913.54</v>
          </cell>
          <cell r="K351">
            <v>41137.269999999997</v>
          </cell>
        </row>
        <row r="352">
          <cell r="A352" t="str">
            <v>А-00063/БЭ</v>
          </cell>
          <cell r="B352" t="str">
            <v>Иванов Евгений Владимирович</v>
          </cell>
          <cell r="C352" t="str">
            <v>1 083</v>
          </cell>
          <cell r="D352">
            <v>44380</v>
          </cell>
          <cell r="E352">
            <v>395796.79</v>
          </cell>
          <cell r="F352">
            <v>395796.79</v>
          </cell>
          <cell r="G352">
            <v>154334.04999999999</v>
          </cell>
          <cell r="H352">
            <v>154334.04999999999</v>
          </cell>
          <cell r="I352">
            <v>151205.1</v>
          </cell>
          <cell r="J352">
            <v>151205.1</v>
          </cell>
          <cell r="K352">
            <v>90257.64</v>
          </cell>
        </row>
        <row r="353">
          <cell r="A353" t="str">
            <v>В-13669/КЛ.Транш - 5_В-20211230/Ц</v>
          </cell>
          <cell r="B353" t="str">
            <v>Почапский Антон Вячеславович</v>
          </cell>
          <cell r="C353" t="str">
            <v>1 083</v>
          </cell>
          <cell r="D353">
            <v>44380</v>
          </cell>
          <cell r="E353">
            <v>179106.59</v>
          </cell>
          <cell r="F353">
            <v>179106.59</v>
          </cell>
          <cell r="G353">
            <v>98026.65</v>
          </cell>
          <cell r="H353">
            <v>98026.65</v>
          </cell>
          <cell r="I353">
            <v>23751.99</v>
          </cell>
          <cell r="J353">
            <v>23751.99</v>
          </cell>
          <cell r="K353">
            <v>57327.95</v>
          </cell>
        </row>
        <row r="354">
          <cell r="A354" t="str">
            <v>Т-00038/БЭ_Т-20211028/Ц</v>
          </cell>
          <cell r="B354" t="str">
            <v>Иванов Евгений Владимирович</v>
          </cell>
          <cell r="C354" t="str">
            <v>1 083</v>
          </cell>
          <cell r="D354">
            <v>44380</v>
          </cell>
          <cell r="E354">
            <v>395796.79</v>
          </cell>
          <cell r="F354">
            <v>395796.79</v>
          </cell>
          <cell r="G354">
            <v>154334.04999999999</v>
          </cell>
          <cell r="H354">
            <v>154334.04999999999</v>
          </cell>
          <cell r="I354">
            <v>151205.1</v>
          </cell>
          <cell r="J354">
            <v>151205.1</v>
          </cell>
          <cell r="K354">
            <v>90257.64</v>
          </cell>
        </row>
        <row r="355">
          <cell r="A355" t="str">
            <v>В-17625/КЛ.Транш - 1_В-20211230/Ц</v>
          </cell>
          <cell r="B355" t="str">
            <v>Иванов Борис Александрович</v>
          </cell>
          <cell r="C355" t="str">
            <v>1 082</v>
          </cell>
          <cell r="D355">
            <v>44381</v>
          </cell>
          <cell r="E355">
            <v>1859399.65</v>
          </cell>
          <cell r="F355">
            <v>1859399.65</v>
          </cell>
          <cell r="G355">
            <v>994190.24</v>
          </cell>
          <cell r="H355">
            <v>994190.24</v>
          </cell>
          <cell r="I355">
            <v>284323.94</v>
          </cell>
          <cell r="J355">
            <v>284323.94</v>
          </cell>
          <cell r="K355">
            <v>580885.47</v>
          </cell>
        </row>
        <row r="356">
          <cell r="A356" t="str">
            <v>В-18791/КЛ.Транш - 1_В-21082023/Ц</v>
          </cell>
          <cell r="B356" t="str">
            <v>Агаджанян Самвел Амаякович</v>
          </cell>
          <cell r="C356" t="str">
            <v>1 082</v>
          </cell>
          <cell r="D356">
            <v>44381</v>
          </cell>
          <cell r="E356">
            <v>355191.52</v>
          </cell>
          <cell r="F356">
            <v>355191.52</v>
          </cell>
          <cell r="G356">
            <v>180000</v>
          </cell>
          <cell r="H356">
            <v>180000</v>
          </cell>
          <cell r="I356">
            <v>87438.92</v>
          </cell>
          <cell r="J356">
            <v>87438.92</v>
          </cell>
          <cell r="K356">
            <v>75621.600000000006</v>
          </cell>
        </row>
        <row r="357">
          <cell r="A357" t="str">
            <v>В-11521/КЛ.Транш - 1_В-21082023/Ц</v>
          </cell>
          <cell r="B357" t="str">
            <v>Абдульманова Ангелина Рамилевна</v>
          </cell>
          <cell r="C357" t="str">
            <v>1 077</v>
          </cell>
          <cell r="D357">
            <v>44386</v>
          </cell>
          <cell r="E357">
            <v>244333.6</v>
          </cell>
          <cell r="F357">
            <v>244333.6</v>
          </cell>
          <cell r="G357">
            <v>140364.92000000001</v>
          </cell>
          <cell r="H357">
            <v>140364.92000000001</v>
          </cell>
          <cell r="I357">
            <v>27634.57</v>
          </cell>
          <cell r="J357">
            <v>27634.57</v>
          </cell>
          <cell r="K357">
            <v>65353.85</v>
          </cell>
        </row>
        <row r="358">
          <cell r="A358" t="str">
            <v>В-15465/КЛ.Транш - 1_В-20211230/Ц</v>
          </cell>
          <cell r="B358" t="str">
            <v>Бабичев Андрей Юрьевич</v>
          </cell>
          <cell r="C358" t="str">
            <v>1 076</v>
          </cell>
          <cell r="D358">
            <v>44387</v>
          </cell>
          <cell r="E358">
            <v>680196.13</v>
          </cell>
          <cell r="F358">
            <v>680196.13</v>
          </cell>
          <cell r="G358">
            <v>365325.76</v>
          </cell>
          <cell r="H358">
            <v>365325.76</v>
          </cell>
          <cell r="I358">
            <v>102601.49</v>
          </cell>
          <cell r="J358">
            <v>102601.49</v>
          </cell>
          <cell r="K358">
            <v>212268.88</v>
          </cell>
        </row>
        <row r="359">
          <cell r="A359" t="str">
            <v>В-19025/КЛ.Транш - 1_В-20211230/Ц</v>
          </cell>
          <cell r="B359" t="str">
            <v>Лялин Анатолий Геннадьевич</v>
          </cell>
          <cell r="C359" t="str">
            <v>1 076</v>
          </cell>
          <cell r="D359">
            <v>44387</v>
          </cell>
          <cell r="E359">
            <v>195701.11</v>
          </cell>
          <cell r="F359">
            <v>195701.11</v>
          </cell>
          <cell r="G359">
            <v>100000</v>
          </cell>
          <cell r="H359">
            <v>100000</v>
          </cell>
          <cell r="I359">
            <v>27739.72</v>
          </cell>
          <cell r="J359">
            <v>27739.72</v>
          </cell>
          <cell r="K359">
            <v>58104</v>
          </cell>
        </row>
        <row r="360">
          <cell r="A360" t="str">
            <v>В-19097/КЛ.Транш - 1_В-20211230/Ц</v>
          </cell>
          <cell r="B360" t="str">
            <v>Павликивский Владимир Васильевич</v>
          </cell>
          <cell r="C360" t="str">
            <v>1 075</v>
          </cell>
          <cell r="D360">
            <v>44388</v>
          </cell>
          <cell r="E360">
            <v>61753.7</v>
          </cell>
          <cell r="F360">
            <v>61753.7</v>
          </cell>
          <cell r="K360">
            <v>61753.7</v>
          </cell>
        </row>
        <row r="361">
          <cell r="A361" t="str">
            <v>В-04293/КЛ.Транш - 1_В-20211230/Ц</v>
          </cell>
          <cell r="B361" t="str">
            <v>Манин Сергей Викторович</v>
          </cell>
          <cell r="C361" t="str">
            <v>1 074</v>
          </cell>
          <cell r="D361">
            <v>44389</v>
          </cell>
          <cell r="E361">
            <v>173656.92</v>
          </cell>
          <cell r="F361">
            <v>173656.92</v>
          </cell>
          <cell r="G361">
            <v>95203.01</v>
          </cell>
          <cell r="H361">
            <v>95203.01</v>
          </cell>
          <cell r="I361">
            <v>23239.97</v>
          </cell>
          <cell r="J361">
            <v>23239.97</v>
          </cell>
          <cell r="K361">
            <v>55213.94</v>
          </cell>
        </row>
        <row r="362">
          <cell r="A362" t="str">
            <v>В-01176/АЗ_В-20211230/Ц</v>
          </cell>
          <cell r="B362" t="str">
            <v>Маренич Иван Евгеньевич</v>
          </cell>
          <cell r="C362" t="str">
            <v>1 069</v>
          </cell>
          <cell r="D362">
            <v>44394</v>
          </cell>
          <cell r="E362">
            <v>1767233.12</v>
          </cell>
          <cell r="F362">
            <v>1767233.12</v>
          </cell>
          <cell r="G362">
            <v>997815.8</v>
          </cell>
          <cell r="H362">
            <v>997815.8</v>
          </cell>
          <cell r="I362">
            <v>193418.17</v>
          </cell>
          <cell r="J362">
            <v>193418.17</v>
          </cell>
          <cell r="K362">
            <v>575999.15</v>
          </cell>
        </row>
        <row r="363">
          <cell r="A363" t="str">
            <v>В-13070/КЛ.Транш - 2_В-21082023/Ц</v>
          </cell>
          <cell r="B363" t="str">
            <v>Деревяга Илья Викторович</v>
          </cell>
          <cell r="C363" t="str">
            <v>1 069</v>
          </cell>
          <cell r="D363">
            <v>44394</v>
          </cell>
          <cell r="E363">
            <v>133179.59</v>
          </cell>
          <cell r="F363">
            <v>133179.59</v>
          </cell>
          <cell r="G363">
            <v>72492.850000000006</v>
          </cell>
          <cell r="H363">
            <v>72492.850000000006</v>
          </cell>
          <cell r="I363">
            <v>25739.94</v>
          </cell>
          <cell r="J363">
            <v>25739.94</v>
          </cell>
          <cell r="K363">
            <v>29946.799999999999</v>
          </cell>
        </row>
        <row r="364">
          <cell r="A364" t="str">
            <v>В-19329/КЛ.Транш - 1_В-20211230/Ц</v>
          </cell>
          <cell r="B364" t="str">
            <v>Сахимова Анна Владимировна</v>
          </cell>
          <cell r="C364" t="str">
            <v>1 069</v>
          </cell>
          <cell r="D364">
            <v>44394</v>
          </cell>
          <cell r="E364">
            <v>839588.91</v>
          </cell>
          <cell r="F364">
            <v>839588.91</v>
          </cell>
          <cell r="G364">
            <v>450000</v>
          </cell>
          <cell r="H364">
            <v>450000</v>
          </cell>
          <cell r="I364">
            <v>129821.91</v>
          </cell>
          <cell r="J364">
            <v>129821.91</v>
          </cell>
          <cell r="K364">
            <v>259767</v>
          </cell>
        </row>
        <row r="365">
          <cell r="A365" t="str">
            <v>А-10122/КЭ.Транш - 1</v>
          </cell>
          <cell r="B365" t="str">
            <v>ГАЛАКТИКА ООО</v>
          </cell>
          <cell r="C365" t="str">
            <v>1 068</v>
          </cell>
          <cell r="D365">
            <v>44395</v>
          </cell>
          <cell r="E365">
            <v>597538.85</v>
          </cell>
          <cell r="F365">
            <v>597538.85</v>
          </cell>
          <cell r="G365">
            <v>218227.75</v>
          </cell>
          <cell r="H365">
            <v>218227.75</v>
          </cell>
          <cell r="I365">
            <v>324501.44</v>
          </cell>
          <cell r="J365">
            <v>324501.44</v>
          </cell>
          <cell r="K365">
            <v>45725.120000000003</v>
          </cell>
        </row>
        <row r="366">
          <cell r="A366" t="str">
            <v>В-09890/КЛ.Транш - 1_В-21082023/Ц</v>
          </cell>
          <cell r="B366" t="str">
            <v>Климахина Татьяна Сергеевна</v>
          </cell>
          <cell r="C366" t="str">
            <v>1 066</v>
          </cell>
          <cell r="D366">
            <v>44397</v>
          </cell>
          <cell r="E366">
            <v>74574.850000000006</v>
          </cell>
          <cell r="F366">
            <v>74574.850000000006</v>
          </cell>
          <cell r="G366">
            <v>17715.04</v>
          </cell>
          <cell r="H366">
            <v>17715.04</v>
          </cell>
          <cell r="K366">
            <v>56859.81</v>
          </cell>
        </row>
        <row r="367">
          <cell r="A367" t="str">
            <v>В-08361/КЛ.Транш - 1_В-20211230/Ц</v>
          </cell>
          <cell r="B367" t="str">
            <v>Афонин Николай Юрьевич</v>
          </cell>
          <cell r="C367" t="str">
            <v>1 061</v>
          </cell>
          <cell r="D367">
            <v>44402</v>
          </cell>
          <cell r="E367">
            <v>68071.03</v>
          </cell>
          <cell r="F367">
            <v>68071.03</v>
          </cell>
          <cell r="K367">
            <v>68071.03</v>
          </cell>
        </row>
        <row r="368">
          <cell r="A368" t="str">
            <v>В-08391/КЛ.Транш - 1_В-20211230/Ц</v>
          </cell>
          <cell r="B368" t="str">
            <v>Луковкин Владимир Федорович</v>
          </cell>
          <cell r="C368" t="str">
            <v>1 060</v>
          </cell>
          <cell r="D368">
            <v>44403</v>
          </cell>
          <cell r="E368">
            <v>1040916.89</v>
          </cell>
          <cell r="F368">
            <v>1040916.89</v>
          </cell>
          <cell r="G368">
            <v>569928.51</v>
          </cell>
          <cell r="H368">
            <v>569928.51</v>
          </cell>
          <cell r="I368">
            <v>144761.29999999999</v>
          </cell>
          <cell r="J368">
            <v>144761.29999999999</v>
          </cell>
          <cell r="K368">
            <v>326227.08</v>
          </cell>
        </row>
        <row r="369">
          <cell r="A369" t="str">
            <v>В-18538/КЛ.Транш - 1_В-20211230/Ц</v>
          </cell>
          <cell r="B369" t="str">
            <v>Росляков Артем Владимирович</v>
          </cell>
          <cell r="C369" t="str">
            <v>1 058</v>
          </cell>
          <cell r="D369">
            <v>44405</v>
          </cell>
          <cell r="E369">
            <v>452532.09</v>
          </cell>
          <cell r="F369">
            <v>452532.09</v>
          </cell>
          <cell r="G369">
            <v>236141.18</v>
          </cell>
          <cell r="H369">
            <v>236141.18</v>
          </cell>
          <cell r="I369">
            <v>81478.73</v>
          </cell>
          <cell r="J369">
            <v>81478.73</v>
          </cell>
          <cell r="K369">
            <v>134912.18</v>
          </cell>
        </row>
        <row r="370">
          <cell r="A370" t="str">
            <v>В-19901/КЛ.Транш - 1_В-20211230/Ц</v>
          </cell>
          <cell r="B370" t="str">
            <v>Ермилин Виталий Владимирович</v>
          </cell>
          <cell r="C370" t="str">
            <v>1 053</v>
          </cell>
          <cell r="D370">
            <v>44410</v>
          </cell>
          <cell r="E370">
            <v>624358.09</v>
          </cell>
          <cell r="F370">
            <v>624358.09</v>
          </cell>
          <cell r="G370">
            <v>350000</v>
          </cell>
          <cell r="H370">
            <v>350000</v>
          </cell>
          <cell r="I370">
            <v>75341.09</v>
          </cell>
          <cell r="J370">
            <v>75341.09</v>
          </cell>
          <cell r="K370">
            <v>199017</v>
          </cell>
        </row>
        <row r="371">
          <cell r="A371" t="str">
            <v>В-19766/КЛ.Транш - 1_В-20211230/Ц</v>
          </cell>
          <cell r="B371" t="str">
            <v>Камышов Игорь Николаевич</v>
          </cell>
          <cell r="C371" t="str">
            <v>1 052</v>
          </cell>
          <cell r="D371">
            <v>44411</v>
          </cell>
          <cell r="E371">
            <v>203866.61</v>
          </cell>
          <cell r="F371">
            <v>203866.61</v>
          </cell>
          <cell r="G371">
            <v>113636.4</v>
          </cell>
          <cell r="H371">
            <v>113636.4</v>
          </cell>
          <cell r="I371">
            <v>21637.62</v>
          </cell>
          <cell r="J371">
            <v>21637.62</v>
          </cell>
          <cell r="K371">
            <v>64554.559999999998</v>
          </cell>
        </row>
        <row r="372">
          <cell r="A372" t="str">
            <v>В-00317/АЗ_В-20211230/Ц</v>
          </cell>
          <cell r="B372" t="str">
            <v>Озёрская Дарья Семеновна</v>
          </cell>
          <cell r="C372" t="str">
            <v>1 051</v>
          </cell>
          <cell r="D372">
            <v>44412</v>
          </cell>
          <cell r="E372">
            <v>248160.28</v>
          </cell>
          <cell r="F372">
            <v>248160.28</v>
          </cell>
          <cell r="G372">
            <v>124632.3</v>
          </cell>
          <cell r="H372">
            <v>124632.3</v>
          </cell>
          <cell r="I372">
            <v>42736.92</v>
          </cell>
          <cell r="J372">
            <v>42736.92</v>
          </cell>
          <cell r="K372">
            <v>70733.81</v>
          </cell>
        </row>
        <row r="373">
          <cell r="A373" t="str">
            <v>В-15330/КЛ.Транш - 1_В-20211230/Ц</v>
          </cell>
          <cell r="B373" t="str">
            <v>Заргарян Марианна Марленовна</v>
          </cell>
          <cell r="C373" t="str">
            <v>1 049</v>
          </cell>
          <cell r="D373">
            <v>44414</v>
          </cell>
          <cell r="E373">
            <v>1242753.68</v>
          </cell>
          <cell r="F373">
            <v>1242753.68</v>
          </cell>
          <cell r="G373">
            <v>687025.26</v>
          </cell>
          <cell r="H373">
            <v>687025.26</v>
          </cell>
          <cell r="I373">
            <v>166556.09</v>
          </cell>
          <cell r="J373">
            <v>166556.09</v>
          </cell>
          <cell r="K373">
            <v>389172.33</v>
          </cell>
        </row>
        <row r="374">
          <cell r="A374" t="str">
            <v>В-19846/КЛ.Транш - 1_В-20211230/Ц</v>
          </cell>
          <cell r="B374" t="str">
            <v>Камбулина Ирина Юрьевна</v>
          </cell>
          <cell r="C374" t="str">
            <v>1 048</v>
          </cell>
          <cell r="D374">
            <v>44415</v>
          </cell>
          <cell r="E374">
            <v>447310.61</v>
          </cell>
          <cell r="F374">
            <v>447310.61</v>
          </cell>
          <cell r="G374">
            <v>255681.8</v>
          </cell>
          <cell r="H374">
            <v>255681.8</v>
          </cell>
          <cell r="I374">
            <v>46933.37</v>
          </cell>
          <cell r="J374">
            <v>46933.37</v>
          </cell>
          <cell r="K374">
            <v>144695.44</v>
          </cell>
        </row>
        <row r="375">
          <cell r="A375" t="str">
            <v>В-00178/КЛ.Транш - 1_В-21082023/Ц</v>
          </cell>
          <cell r="B375" t="str">
            <v>Скопинов Иван Алексеевич</v>
          </cell>
          <cell r="C375" t="str">
            <v>1 045</v>
          </cell>
          <cell r="D375">
            <v>44418</v>
          </cell>
          <cell r="E375">
            <v>129078.12</v>
          </cell>
          <cell r="F375">
            <v>129078.12</v>
          </cell>
          <cell r="G375">
            <v>79498.23</v>
          </cell>
          <cell r="H375">
            <v>79498.23</v>
          </cell>
          <cell r="K375">
            <v>39228.730000000003</v>
          </cell>
        </row>
        <row r="376">
          <cell r="A376" t="str">
            <v>В-15448/КЛ.Транш - 1_В-20211230/Ц</v>
          </cell>
          <cell r="B376" t="str">
            <v>Ведешин Максим Сергеевич</v>
          </cell>
          <cell r="C376" t="str">
            <v>1 045</v>
          </cell>
          <cell r="D376">
            <v>44418</v>
          </cell>
          <cell r="E376">
            <v>472033.05</v>
          </cell>
          <cell r="F376">
            <v>472033.05</v>
          </cell>
          <cell r="G376">
            <v>230589.93</v>
          </cell>
          <cell r="H376">
            <v>230589.93</v>
          </cell>
          <cell r="I376">
            <v>111321.22</v>
          </cell>
          <cell r="J376">
            <v>111321.22</v>
          </cell>
          <cell r="K376">
            <v>130121.9</v>
          </cell>
        </row>
        <row r="377">
          <cell r="A377" t="str">
            <v>В-13507/КЛ.Транш - 1_В-21082023/Ц</v>
          </cell>
          <cell r="B377" t="str">
            <v>Векилянц Екатерина Николаевна</v>
          </cell>
          <cell r="C377" t="str">
            <v>1 043</v>
          </cell>
          <cell r="D377">
            <v>44420</v>
          </cell>
          <cell r="E377">
            <v>716723.01</v>
          </cell>
          <cell r="F377">
            <v>716723.01</v>
          </cell>
          <cell r="G377">
            <v>472339.68</v>
          </cell>
          <cell r="H377">
            <v>472339.68</v>
          </cell>
          <cell r="I377">
            <v>40762.019999999997</v>
          </cell>
          <cell r="J377">
            <v>40762.019999999997</v>
          </cell>
          <cell r="K377">
            <v>188491.87</v>
          </cell>
        </row>
        <row r="378">
          <cell r="A378" t="str">
            <v>В-00612/АЗ_В-21082023/Ц</v>
          </cell>
          <cell r="B378" t="str">
            <v>Поддубный Николай Станиславович</v>
          </cell>
          <cell r="C378" t="str">
            <v>1 042</v>
          </cell>
          <cell r="D378">
            <v>44421</v>
          </cell>
          <cell r="E378">
            <v>862448.82</v>
          </cell>
          <cell r="F378">
            <v>862448.82</v>
          </cell>
          <cell r="G378">
            <v>513677.81</v>
          </cell>
          <cell r="H378">
            <v>513677.81</v>
          </cell>
          <cell r="I378">
            <v>116840.21</v>
          </cell>
          <cell r="J378">
            <v>116840.21</v>
          </cell>
          <cell r="K378">
            <v>216134.36</v>
          </cell>
        </row>
        <row r="379">
          <cell r="A379" t="str">
            <v>В-08603/КЛ.Транш - 1_В-21082023/Ц</v>
          </cell>
          <cell r="B379" t="str">
            <v>Стародубов Виталий Юрьевич</v>
          </cell>
          <cell r="C379" t="str">
            <v>1 041</v>
          </cell>
          <cell r="D379">
            <v>44422</v>
          </cell>
          <cell r="E379">
            <v>505082.8</v>
          </cell>
          <cell r="F379">
            <v>505082.8</v>
          </cell>
          <cell r="G379">
            <v>286339.36</v>
          </cell>
          <cell r="H379">
            <v>286339.36</v>
          </cell>
          <cell r="I379">
            <v>91628.6</v>
          </cell>
          <cell r="J379">
            <v>91628.6</v>
          </cell>
          <cell r="K379">
            <v>113957.34</v>
          </cell>
        </row>
        <row r="380">
          <cell r="A380" t="str">
            <v>В-12380/КЛ.Транш - 1_В-20211230/Ц</v>
          </cell>
          <cell r="B380" t="str">
            <v>Денисенко Руслана Анатольевна</v>
          </cell>
          <cell r="C380" t="str">
            <v>1 041</v>
          </cell>
          <cell r="D380">
            <v>44422</v>
          </cell>
          <cell r="E380">
            <v>154497.96</v>
          </cell>
          <cell r="F380">
            <v>154497.96</v>
          </cell>
          <cell r="G380">
            <v>90892.45</v>
          </cell>
          <cell r="H380">
            <v>90892.45</v>
          </cell>
          <cell r="K380">
            <v>53596.07</v>
          </cell>
        </row>
        <row r="381">
          <cell r="A381" t="str">
            <v>В-07717/КЛ.Транш - 5_В-20211230/Ц</v>
          </cell>
          <cell r="B381" t="str">
            <v>Перевалов Артём Владимирович</v>
          </cell>
          <cell r="C381" t="str">
            <v>1 039</v>
          </cell>
          <cell r="D381">
            <v>44424</v>
          </cell>
          <cell r="E381">
            <v>163205.85</v>
          </cell>
          <cell r="F381">
            <v>163205.85</v>
          </cell>
          <cell r="G381">
            <v>85285.8</v>
          </cell>
          <cell r="H381">
            <v>85285.8</v>
          </cell>
          <cell r="I381">
            <v>29069.599999999999</v>
          </cell>
          <cell r="J381">
            <v>29069.599999999999</v>
          </cell>
          <cell r="K381">
            <v>47850.45</v>
          </cell>
        </row>
        <row r="382">
          <cell r="A382" t="str">
            <v>В-00012/КЭ.Транш - 1_В-20211230/Ц</v>
          </cell>
          <cell r="B382" t="str">
            <v>ИП Тен Елена Манкильевна</v>
          </cell>
          <cell r="C382" t="str">
            <v>1 036</v>
          </cell>
          <cell r="D382">
            <v>44427</v>
          </cell>
          <cell r="E382">
            <v>1813842.29</v>
          </cell>
          <cell r="F382">
            <v>1813842.29</v>
          </cell>
          <cell r="G382">
            <v>124655.15</v>
          </cell>
          <cell r="H382">
            <v>124655.15</v>
          </cell>
          <cell r="I382">
            <v>56382.22</v>
          </cell>
          <cell r="J382">
            <v>56382.22</v>
          </cell>
          <cell r="K382">
            <v>1632804.92</v>
          </cell>
        </row>
        <row r="383">
          <cell r="A383" t="str">
            <v>В-00918/АЗ_В-21082023/Ц</v>
          </cell>
          <cell r="B383" t="str">
            <v>Чикунов Дмитрий Александрович</v>
          </cell>
          <cell r="C383" t="str">
            <v>1 036</v>
          </cell>
          <cell r="D383">
            <v>44427</v>
          </cell>
          <cell r="E383">
            <v>426773.91</v>
          </cell>
          <cell r="F383">
            <v>426773.91</v>
          </cell>
          <cell r="G383">
            <v>248141.8</v>
          </cell>
          <cell r="H383">
            <v>248141.8</v>
          </cell>
          <cell r="I383">
            <v>68052.03</v>
          </cell>
          <cell r="J383">
            <v>68052.03</v>
          </cell>
          <cell r="K383">
            <v>98085.49</v>
          </cell>
        </row>
        <row r="384">
          <cell r="A384" t="str">
            <v>В-20635/КЛ.Транш - 1_В-20211230/Ц</v>
          </cell>
          <cell r="B384" t="str">
            <v>Чурсинов Ярослав Александрович</v>
          </cell>
          <cell r="C384" t="str">
            <v>1 036</v>
          </cell>
          <cell r="D384">
            <v>44427</v>
          </cell>
          <cell r="E384">
            <v>190757.07</v>
          </cell>
          <cell r="F384">
            <v>190757.07</v>
          </cell>
          <cell r="G384">
            <v>100000</v>
          </cell>
          <cell r="H384">
            <v>100000</v>
          </cell>
          <cell r="I384">
            <v>34813.07</v>
          </cell>
          <cell r="J384">
            <v>34813.07</v>
          </cell>
          <cell r="K384">
            <v>55944</v>
          </cell>
        </row>
        <row r="385">
          <cell r="A385" t="str">
            <v>В-12484/КЛ.Транш - 1_В-21082023/Ц</v>
          </cell>
          <cell r="B385" t="str">
            <v>Гриднева Татьяна Николаевна</v>
          </cell>
          <cell r="C385" t="str">
            <v>1 035</v>
          </cell>
          <cell r="D385">
            <v>44428</v>
          </cell>
          <cell r="E385">
            <v>234814.09</v>
          </cell>
          <cell r="F385">
            <v>234814.09</v>
          </cell>
          <cell r="G385">
            <v>156148.01</v>
          </cell>
          <cell r="H385">
            <v>156148.01</v>
          </cell>
          <cell r="K385">
            <v>67696.710000000006</v>
          </cell>
        </row>
        <row r="386">
          <cell r="A386" t="str">
            <v>В-17051/КЛ.Транш - 1_В-20211230/Ц</v>
          </cell>
          <cell r="B386" t="str">
            <v>Гринь Юлия Владимировна</v>
          </cell>
          <cell r="C386" t="str">
            <v>1 035</v>
          </cell>
          <cell r="D386">
            <v>44428</v>
          </cell>
          <cell r="E386">
            <v>226044.26</v>
          </cell>
          <cell r="F386">
            <v>226044.26</v>
          </cell>
          <cell r="G386">
            <v>144017.03</v>
          </cell>
          <cell r="H386">
            <v>144017.03</v>
          </cell>
          <cell r="I386">
            <v>8392.0300000000007</v>
          </cell>
          <cell r="J386">
            <v>8392.0300000000007</v>
          </cell>
          <cell r="K386">
            <v>73635.199999999997</v>
          </cell>
        </row>
        <row r="387">
          <cell r="A387" t="str">
            <v>В-07717/КЛ.Транш - 2_В-20211230/Ц</v>
          </cell>
          <cell r="B387" t="str">
            <v>Перевалов Артём Владимирович</v>
          </cell>
          <cell r="C387" t="str">
            <v>1 034</v>
          </cell>
          <cell r="D387">
            <v>44429</v>
          </cell>
          <cell r="E387">
            <v>140537.4</v>
          </cell>
          <cell r="F387">
            <v>140537.4</v>
          </cell>
          <cell r="G387">
            <v>73405.399999999994</v>
          </cell>
          <cell r="H387">
            <v>73405.399999999994</v>
          </cell>
          <cell r="I387">
            <v>24145.360000000001</v>
          </cell>
          <cell r="J387">
            <v>24145.360000000001</v>
          </cell>
          <cell r="K387">
            <v>40986.639999999999</v>
          </cell>
        </row>
        <row r="388">
          <cell r="A388" t="str">
            <v>В-20703/КЛ.Транш - 1_В-20211230/Ц</v>
          </cell>
          <cell r="B388" t="str">
            <v>Кириллов Николай Валерьевич</v>
          </cell>
          <cell r="C388" t="str">
            <v>1 034</v>
          </cell>
          <cell r="D388">
            <v>44429</v>
          </cell>
          <cell r="E388">
            <v>139456.72</v>
          </cell>
          <cell r="F388">
            <v>139456.72</v>
          </cell>
          <cell r="G388">
            <v>85725.07</v>
          </cell>
          <cell r="H388">
            <v>85725.07</v>
          </cell>
          <cell r="K388">
            <v>53731.65</v>
          </cell>
        </row>
        <row r="389">
          <cell r="A389" t="str">
            <v>В-17167/КЛ.Транш - 1_В-20211230/Ц</v>
          </cell>
          <cell r="B389" t="str">
            <v>Зинкевич Константин Владимирович</v>
          </cell>
          <cell r="C389" t="str">
            <v>1 032</v>
          </cell>
          <cell r="D389">
            <v>44431</v>
          </cell>
          <cell r="E389">
            <v>294626.56</v>
          </cell>
          <cell r="F389">
            <v>294626.56</v>
          </cell>
          <cell r="G389">
            <v>166750.64000000001</v>
          </cell>
          <cell r="H389">
            <v>166750.64000000001</v>
          </cell>
          <cell r="I389">
            <v>34949.120000000003</v>
          </cell>
          <cell r="J389">
            <v>34949.120000000003</v>
          </cell>
          <cell r="K389">
            <v>92926.8</v>
          </cell>
        </row>
        <row r="390">
          <cell r="A390" t="str">
            <v>В-11595/КЛ.Транш - 1_В-20211230/Ц</v>
          </cell>
          <cell r="B390" t="str">
            <v>Рожкова Наталья Петровна</v>
          </cell>
          <cell r="C390" t="str">
            <v>1 030</v>
          </cell>
          <cell r="D390">
            <v>44433</v>
          </cell>
          <cell r="E390">
            <v>518056.33</v>
          </cell>
          <cell r="F390">
            <v>518056.33</v>
          </cell>
          <cell r="G390">
            <v>283787.75</v>
          </cell>
          <cell r="H390">
            <v>283787.75</v>
          </cell>
          <cell r="I390">
            <v>82104.08</v>
          </cell>
          <cell r="J390">
            <v>82104.08</v>
          </cell>
          <cell r="K390">
            <v>152164.5</v>
          </cell>
        </row>
        <row r="391">
          <cell r="A391" t="str">
            <v>В-14453/КЛ.Транш - 1_В-21082023/Ц</v>
          </cell>
          <cell r="B391" t="str">
            <v>Архипов Данил Алексеевич</v>
          </cell>
          <cell r="C391" t="str">
            <v>1 029</v>
          </cell>
          <cell r="D391">
            <v>44434</v>
          </cell>
          <cell r="E391">
            <v>589421.25</v>
          </cell>
          <cell r="F391">
            <v>589421.25</v>
          </cell>
          <cell r="G391">
            <v>411284.2</v>
          </cell>
          <cell r="H391">
            <v>411284.2</v>
          </cell>
          <cell r="K391">
            <v>163353.31</v>
          </cell>
        </row>
        <row r="392">
          <cell r="A392" t="str">
            <v>В-20300/КЛ.Транш - 1_В-20211230/Ц</v>
          </cell>
          <cell r="B392" t="str">
            <v>Дзейтов Муслим Алиевич</v>
          </cell>
          <cell r="C392" t="str">
            <v>1 028</v>
          </cell>
          <cell r="D392">
            <v>44435</v>
          </cell>
          <cell r="E392">
            <v>1013803.01</v>
          </cell>
          <cell r="F392">
            <v>1013803.01</v>
          </cell>
          <cell r="G392">
            <v>568181.80000000005</v>
          </cell>
          <cell r="H392">
            <v>568181.80000000005</v>
          </cell>
          <cell r="I392">
            <v>130212.13</v>
          </cell>
          <cell r="J392">
            <v>130212.13</v>
          </cell>
          <cell r="K392">
            <v>315409.08</v>
          </cell>
        </row>
        <row r="393">
          <cell r="A393" t="str">
            <v>В-17315/КЛ.Транш - 1_В-20211230/Ц</v>
          </cell>
          <cell r="B393" t="str">
            <v>Рагимов Рафик Балайевич</v>
          </cell>
          <cell r="C393" t="str">
            <v>1 027</v>
          </cell>
          <cell r="D393">
            <v>44436</v>
          </cell>
          <cell r="E393">
            <v>301029.09000000003</v>
          </cell>
          <cell r="F393">
            <v>301029.09000000003</v>
          </cell>
          <cell r="G393">
            <v>166750.64000000001</v>
          </cell>
          <cell r="H393">
            <v>166750.64000000001</v>
          </cell>
          <cell r="I393">
            <v>41801.879999999997</v>
          </cell>
          <cell r="J393">
            <v>41801.879999999997</v>
          </cell>
          <cell r="K393">
            <v>92476.57</v>
          </cell>
        </row>
        <row r="394">
          <cell r="A394" t="str">
            <v>В-00806/АЗ_В-20211230/Ц</v>
          </cell>
          <cell r="B394" t="str">
            <v>Белинский Сергей Игоревич</v>
          </cell>
          <cell r="C394" t="str">
            <v>1 024</v>
          </cell>
          <cell r="D394">
            <v>44439</v>
          </cell>
          <cell r="E394">
            <v>179591.77</v>
          </cell>
          <cell r="F394">
            <v>179591.77</v>
          </cell>
          <cell r="K394">
            <v>179591.77</v>
          </cell>
        </row>
        <row r="395">
          <cell r="A395" t="str">
            <v>В-13264/КЛ.Транш - 2_В-21082023/Ц</v>
          </cell>
          <cell r="B395" t="str">
            <v>Леднев Алексей Иванович</v>
          </cell>
          <cell r="C395" t="str">
            <v>1 023</v>
          </cell>
          <cell r="D395">
            <v>44440</v>
          </cell>
          <cell r="E395">
            <v>29357.919999999998</v>
          </cell>
          <cell r="F395">
            <v>29357.919999999998</v>
          </cell>
          <cell r="K395">
            <v>29357.919999999998</v>
          </cell>
        </row>
        <row r="396">
          <cell r="A396" t="str">
            <v>В-21219/КЛ.Транш - 1_В-20211230/Ц</v>
          </cell>
          <cell r="B396" t="str">
            <v>Майоров Олег Владимирович</v>
          </cell>
          <cell r="C396" t="str">
            <v>1 021</v>
          </cell>
          <cell r="D396">
            <v>44442</v>
          </cell>
          <cell r="E396">
            <v>1331000.45</v>
          </cell>
          <cell r="F396">
            <v>1331000.45</v>
          </cell>
          <cell r="G396">
            <v>795454.5</v>
          </cell>
          <cell r="H396">
            <v>795454.5</v>
          </cell>
          <cell r="I396">
            <v>96980.07</v>
          </cell>
          <cell r="J396">
            <v>96980.07</v>
          </cell>
          <cell r="K396">
            <v>438565.88</v>
          </cell>
        </row>
        <row r="397">
          <cell r="A397" t="str">
            <v>В-07717/КЛ.Транш - 4_В-20211230/Ц</v>
          </cell>
          <cell r="B397" t="str">
            <v>Перевалов Артём Владимирович</v>
          </cell>
          <cell r="C397" t="str">
            <v>1 020</v>
          </cell>
          <cell r="D397">
            <v>44443</v>
          </cell>
          <cell r="E397">
            <v>167182.26</v>
          </cell>
          <cell r="F397">
            <v>167182.26</v>
          </cell>
          <cell r="G397">
            <v>90159.83</v>
          </cell>
          <cell r="H397">
            <v>90159.83</v>
          </cell>
          <cell r="I397">
            <v>26362.39</v>
          </cell>
          <cell r="J397">
            <v>26362.39</v>
          </cell>
          <cell r="K397">
            <v>49660.04</v>
          </cell>
        </row>
        <row r="398">
          <cell r="A398" t="str">
            <v>В-07717/КЛ.Транш - 3_В-20211230/Ц</v>
          </cell>
          <cell r="B398" t="str">
            <v>Перевалов Артём Владимирович</v>
          </cell>
          <cell r="C398" t="str">
            <v>1 018</v>
          </cell>
          <cell r="D398">
            <v>44445</v>
          </cell>
          <cell r="E398">
            <v>163084.59</v>
          </cell>
          <cell r="F398">
            <v>163084.59</v>
          </cell>
          <cell r="G398">
            <v>87667.83</v>
          </cell>
          <cell r="H398">
            <v>87667.83</v>
          </cell>
          <cell r="I398">
            <v>25224</v>
          </cell>
          <cell r="J398">
            <v>25224</v>
          </cell>
          <cell r="K398">
            <v>48192.76</v>
          </cell>
        </row>
        <row r="399">
          <cell r="A399" t="str">
            <v>В-00708/АЗ_В-21082023/Ц</v>
          </cell>
          <cell r="B399" t="str">
            <v>Богданова Марина Алексеевна</v>
          </cell>
          <cell r="C399" t="str">
            <v>1 015</v>
          </cell>
          <cell r="D399">
            <v>44448</v>
          </cell>
          <cell r="E399">
            <v>287721.87</v>
          </cell>
          <cell r="F399">
            <v>287721.87</v>
          </cell>
          <cell r="G399">
            <v>159795.87</v>
          </cell>
          <cell r="H399">
            <v>159795.87</v>
          </cell>
          <cell r="I399">
            <v>55089.43</v>
          </cell>
          <cell r="J399">
            <v>55089.43</v>
          </cell>
          <cell r="K399">
            <v>61352.03</v>
          </cell>
        </row>
        <row r="400">
          <cell r="A400" t="str">
            <v>В-14005/КЛ.Транш - 3_В-20211230/Ц</v>
          </cell>
          <cell r="B400" t="str">
            <v>Биятов Малик Серекович</v>
          </cell>
          <cell r="C400" t="str">
            <v>1 014</v>
          </cell>
          <cell r="D400">
            <v>44449</v>
          </cell>
          <cell r="E400">
            <v>206150.92</v>
          </cell>
          <cell r="F400">
            <v>206150.92</v>
          </cell>
          <cell r="G400">
            <v>157126.31</v>
          </cell>
          <cell r="H400">
            <v>157126.31</v>
          </cell>
          <cell r="I400">
            <v>24149.73</v>
          </cell>
          <cell r="J400">
            <v>24149.73</v>
          </cell>
          <cell r="K400">
            <v>24874.880000000001</v>
          </cell>
        </row>
        <row r="401">
          <cell r="A401" t="str">
            <v>В-04229/КЛ.Транш - 1_В-20211230/Ц</v>
          </cell>
          <cell r="B401" t="str">
            <v>Матросов Дмитрий Сергеевич</v>
          </cell>
          <cell r="C401" t="str">
            <v>1 013</v>
          </cell>
          <cell r="D401">
            <v>44450</v>
          </cell>
          <cell r="E401">
            <v>125145.81</v>
          </cell>
          <cell r="F401">
            <v>125145.81</v>
          </cell>
          <cell r="G401">
            <v>78817.759999999995</v>
          </cell>
          <cell r="H401">
            <v>78817.759999999995</v>
          </cell>
          <cell r="K401">
            <v>46328.05</v>
          </cell>
        </row>
        <row r="402">
          <cell r="A402" t="str">
            <v>В-11186/КЛ.Транш - 1_В-21082023/Ц</v>
          </cell>
          <cell r="B402" t="str">
            <v>Гадян Артак Андраникович</v>
          </cell>
          <cell r="C402" t="str">
            <v>1 011</v>
          </cell>
          <cell r="D402">
            <v>44452</v>
          </cell>
          <cell r="E402">
            <v>384534.45</v>
          </cell>
          <cell r="F402">
            <v>384534.45</v>
          </cell>
          <cell r="G402">
            <v>149631.57</v>
          </cell>
          <cell r="H402">
            <v>149631.57</v>
          </cell>
          <cell r="I402">
            <v>153213.01999999999</v>
          </cell>
          <cell r="J402">
            <v>153213.01999999999</v>
          </cell>
          <cell r="K402">
            <v>81689.86</v>
          </cell>
        </row>
        <row r="403">
          <cell r="A403" t="str">
            <v>В-00439/КЛ.Транш - 1_В-21082023/Ц</v>
          </cell>
          <cell r="B403" t="str">
            <v>Сельцова Наталья Юрьевна</v>
          </cell>
          <cell r="C403" t="str">
            <v>1 009</v>
          </cell>
          <cell r="D403">
            <v>44454</v>
          </cell>
          <cell r="E403">
            <v>26053.42</v>
          </cell>
          <cell r="F403">
            <v>26053.42</v>
          </cell>
          <cell r="G403">
            <v>15724.51</v>
          </cell>
          <cell r="H403">
            <v>15724.51</v>
          </cell>
          <cell r="I403">
            <v>4089.22</v>
          </cell>
          <cell r="J403">
            <v>4089.22</v>
          </cell>
          <cell r="K403">
            <v>6239.69</v>
          </cell>
        </row>
        <row r="404">
          <cell r="A404" t="str">
            <v>В-18008/КЛ.Транш - 1_В-21082023/Ц</v>
          </cell>
          <cell r="B404" t="str">
            <v>Цикишев Сергей Николаевич</v>
          </cell>
          <cell r="C404" t="str">
            <v>1 008</v>
          </cell>
          <cell r="D404">
            <v>44455</v>
          </cell>
          <cell r="E404">
            <v>109088.57</v>
          </cell>
          <cell r="F404">
            <v>109088.57</v>
          </cell>
          <cell r="G404">
            <v>52139.58</v>
          </cell>
          <cell r="H404">
            <v>52139.58</v>
          </cell>
          <cell r="K404">
            <v>46554.91</v>
          </cell>
        </row>
        <row r="405">
          <cell r="A405" t="str">
            <v>В-20442/КЛ.Транш - 1_В-20211230/Ц</v>
          </cell>
          <cell r="B405" t="str">
            <v>Салимов Шерзод Тохирович</v>
          </cell>
          <cell r="C405" t="str">
            <v>1 008</v>
          </cell>
          <cell r="D405">
            <v>44455</v>
          </cell>
          <cell r="E405">
            <v>362438.1</v>
          </cell>
          <cell r="F405">
            <v>362438.1</v>
          </cell>
          <cell r="G405">
            <v>188912.94</v>
          </cell>
          <cell r="H405">
            <v>188912.94</v>
          </cell>
          <cell r="I405">
            <v>70696.070000000007</v>
          </cell>
          <cell r="J405">
            <v>70696.070000000007</v>
          </cell>
          <cell r="K405">
            <v>102829.09</v>
          </cell>
        </row>
        <row r="406">
          <cell r="A406" t="str">
            <v>В-19349/КЛ.Транш - 1_В-20211230/Ц</v>
          </cell>
          <cell r="B406" t="str">
            <v>Еременко Сергей Артурович</v>
          </cell>
          <cell r="C406" t="str">
            <v>1 006</v>
          </cell>
          <cell r="D406">
            <v>44457</v>
          </cell>
          <cell r="E406">
            <v>168981.58</v>
          </cell>
          <cell r="F406">
            <v>168981.58</v>
          </cell>
          <cell r="G406">
            <v>88294.39</v>
          </cell>
          <cell r="H406">
            <v>88294.39</v>
          </cell>
          <cell r="I406">
            <v>32722.15</v>
          </cell>
          <cell r="J406">
            <v>32722.15</v>
          </cell>
          <cell r="K406">
            <v>47965.04</v>
          </cell>
        </row>
        <row r="407">
          <cell r="A407" t="str">
            <v>В-15908/КЛ.Транш - 1_В-20211230/Ц</v>
          </cell>
          <cell r="B407" t="str">
            <v>Базарова Нафиса Ибрагимжановна</v>
          </cell>
          <cell r="C407" t="str">
            <v>1 003</v>
          </cell>
          <cell r="D407">
            <v>44460</v>
          </cell>
          <cell r="E407">
            <v>242524.23</v>
          </cell>
          <cell r="F407">
            <v>242524.23</v>
          </cell>
          <cell r="G407">
            <v>174287.07</v>
          </cell>
          <cell r="H407">
            <v>174287.07</v>
          </cell>
          <cell r="I407">
            <v>44268.33</v>
          </cell>
          <cell r="J407">
            <v>44268.33</v>
          </cell>
          <cell r="K407">
            <v>23968.83</v>
          </cell>
        </row>
        <row r="408">
          <cell r="A408" t="str">
            <v>В-14529/КЛ.Транш - 1_В-20211230/Ц</v>
          </cell>
          <cell r="B408" t="str">
            <v>Емельяненко Александр Николаевич</v>
          </cell>
          <cell r="C408" t="str">
            <v>1 002</v>
          </cell>
          <cell r="D408">
            <v>44461</v>
          </cell>
          <cell r="E408">
            <v>1309537.52</v>
          </cell>
          <cell r="F408">
            <v>1309537.52</v>
          </cell>
          <cell r="G408">
            <v>849321.77</v>
          </cell>
          <cell r="H408">
            <v>849321.77</v>
          </cell>
          <cell r="I408">
            <v>2458.21</v>
          </cell>
          <cell r="J408">
            <v>2458.21</v>
          </cell>
          <cell r="K408">
            <v>457757.54</v>
          </cell>
        </row>
        <row r="409">
          <cell r="A409" t="str">
            <v>В-12551/КЛ.Транш - 1_В-20211230/Ц</v>
          </cell>
          <cell r="B409" t="str">
            <v>Иванченко Сергей Александрович</v>
          </cell>
          <cell r="C409" t="str">
            <v>1 001</v>
          </cell>
          <cell r="D409">
            <v>44462</v>
          </cell>
          <cell r="E409">
            <v>292676.69</v>
          </cell>
          <cell r="F409">
            <v>292676.69</v>
          </cell>
          <cell r="G409">
            <v>168483.97</v>
          </cell>
          <cell r="H409">
            <v>168483.97</v>
          </cell>
          <cell r="I409">
            <v>33120.400000000001</v>
          </cell>
          <cell r="J409">
            <v>33120.400000000001</v>
          </cell>
          <cell r="K409">
            <v>91072.320000000007</v>
          </cell>
        </row>
        <row r="410">
          <cell r="A410" t="str">
            <v>В-14005/КЛ.Транш - 1_В-20211230/Ц</v>
          </cell>
          <cell r="B410" t="str">
            <v>Биятов Малик Серекович</v>
          </cell>
          <cell r="C410">
            <v>997</v>
          </cell>
          <cell r="D410">
            <v>44466</v>
          </cell>
          <cell r="E410">
            <v>20176.63</v>
          </cell>
          <cell r="F410">
            <v>20176.63</v>
          </cell>
          <cell r="G410">
            <v>16376.92</v>
          </cell>
          <cell r="H410">
            <v>16376.92</v>
          </cell>
          <cell r="K410">
            <v>3799.71</v>
          </cell>
        </row>
        <row r="411">
          <cell r="A411" t="str">
            <v>В-02961/КЛ.Транш - 1_В-21082023/Ц</v>
          </cell>
          <cell r="B411" t="str">
            <v>Любушкин Сергей Васильевич</v>
          </cell>
          <cell r="C411">
            <v>996</v>
          </cell>
          <cell r="D411">
            <v>44467</v>
          </cell>
          <cell r="E411">
            <v>73738.259999999995</v>
          </cell>
          <cell r="F411">
            <v>73738.259999999995</v>
          </cell>
          <cell r="K411">
            <v>73738.259999999995</v>
          </cell>
        </row>
        <row r="412">
          <cell r="A412" t="str">
            <v>В-17458/КЛ.Транш - 1_В-20211230/Ц</v>
          </cell>
          <cell r="B412" t="str">
            <v>Белолипцев Дмитрий Олегович</v>
          </cell>
          <cell r="C412">
            <v>996</v>
          </cell>
          <cell r="D412">
            <v>44467</v>
          </cell>
          <cell r="E412">
            <v>437078.25</v>
          </cell>
          <cell r="F412">
            <v>437078.25</v>
          </cell>
          <cell r="G412">
            <v>217155.4</v>
          </cell>
          <cell r="H412">
            <v>217155.4</v>
          </cell>
          <cell r="I412">
            <v>103127.99</v>
          </cell>
          <cell r="J412">
            <v>103127.99</v>
          </cell>
          <cell r="K412">
            <v>116794.86</v>
          </cell>
        </row>
        <row r="413">
          <cell r="A413" t="str">
            <v>В-22173/КЛ.Транш - 1_В-20211230/Ц</v>
          </cell>
          <cell r="B413" t="str">
            <v>Байтемиров Ахметхан Магарамович</v>
          </cell>
          <cell r="C413">
            <v>994</v>
          </cell>
          <cell r="D413">
            <v>44469</v>
          </cell>
          <cell r="E413">
            <v>497289.39</v>
          </cell>
          <cell r="F413">
            <v>497289.39</v>
          </cell>
          <cell r="G413">
            <v>284090.90000000002</v>
          </cell>
          <cell r="H413">
            <v>284090.90000000002</v>
          </cell>
          <cell r="I413">
            <v>60709.86</v>
          </cell>
          <cell r="J413">
            <v>60709.86</v>
          </cell>
          <cell r="K413">
            <v>152488.63</v>
          </cell>
        </row>
        <row r="414">
          <cell r="A414" t="str">
            <v>В-18163/КЛ.Транш - 1_В-21082023/Ц</v>
          </cell>
          <cell r="B414" t="str">
            <v>Магомедов Ахмед Багаутдинович</v>
          </cell>
          <cell r="C414">
            <v>990</v>
          </cell>
          <cell r="D414">
            <v>44473</v>
          </cell>
          <cell r="E414">
            <v>148655.57999999999</v>
          </cell>
          <cell r="F414">
            <v>148655.57999999999</v>
          </cell>
          <cell r="G414">
            <v>81433.66</v>
          </cell>
          <cell r="H414">
            <v>81433.66</v>
          </cell>
          <cell r="I414">
            <v>27568.29</v>
          </cell>
          <cell r="J414">
            <v>27568.29</v>
          </cell>
          <cell r="K414">
            <v>30166.29</v>
          </cell>
        </row>
        <row r="415">
          <cell r="A415" t="str">
            <v>В-22434/АЗ_В-20211230/Ц</v>
          </cell>
          <cell r="B415" t="str">
            <v>Касутин Евгений Дмитриевич</v>
          </cell>
          <cell r="C415">
            <v>984</v>
          </cell>
          <cell r="D415">
            <v>44479</v>
          </cell>
          <cell r="E415">
            <v>803657.24</v>
          </cell>
          <cell r="F415">
            <v>1781223.01</v>
          </cell>
          <cell r="G415">
            <v>1000000</v>
          </cell>
          <cell r="H415">
            <v>22434.23</v>
          </cell>
          <cell r="I415">
            <v>249863.01</v>
          </cell>
          <cell r="J415">
            <v>249863.01</v>
          </cell>
          <cell r="K415">
            <v>531360</v>
          </cell>
        </row>
        <row r="416">
          <cell r="A416" t="str">
            <v>В-22436/АЗ_В-20211230/Ц</v>
          </cell>
          <cell r="B416" t="str">
            <v>Касутина Виктория Алексеевна</v>
          </cell>
          <cell r="C416">
            <v>984</v>
          </cell>
          <cell r="D416">
            <v>44479</v>
          </cell>
          <cell r="E416">
            <v>184628.91</v>
          </cell>
          <cell r="F416">
            <v>184628.91</v>
          </cell>
          <cell r="G416">
            <v>100000</v>
          </cell>
          <cell r="H416">
            <v>100000</v>
          </cell>
          <cell r="I416">
            <v>27901.37</v>
          </cell>
          <cell r="J416">
            <v>27901.37</v>
          </cell>
          <cell r="K416">
            <v>56727.54</v>
          </cell>
        </row>
        <row r="417">
          <cell r="A417" t="str">
            <v>В-03541/КЛ.Транш - 1_В-21082023/Ц</v>
          </cell>
          <cell r="B417" t="str">
            <v>Баранов Сергей Алексеевич</v>
          </cell>
          <cell r="C417">
            <v>982</v>
          </cell>
          <cell r="D417">
            <v>44481</v>
          </cell>
          <cell r="E417">
            <v>128832.27</v>
          </cell>
          <cell r="F417">
            <v>128832.27</v>
          </cell>
          <cell r="G417">
            <v>99738.09</v>
          </cell>
          <cell r="H417">
            <v>99738.09</v>
          </cell>
          <cell r="K417">
            <v>16517.919999999998</v>
          </cell>
        </row>
        <row r="418">
          <cell r="A418" t="str">
            <v>В-18022/КЛ.Транш - 1_В-20211230/Ц</v>
          </cell>
          <cell r="B418" t="str">
            <v>Сосков Иван Сергеевич</v>
          </cell>
          <cell r="C418">
            <v>978</v>
          </cell>
          <cell r="D418">
            <v>44485</v>
          </cell>
          <cell r="E418">
            <v>345239.14</v>
          </cell>
          <cell r="F418">
            <v>345239.14</v>
          </cell>
          <cell r="G418">
            <v>187978.77</v>
          </cell>
          <cell r="H418">
            <v>187978.77</v>
          </cell>
          <cell r="I418">
            <v>57985.02</v>
          </cell>
          <cell r="J418">
            <v>57985.02</v>
          </cell>
          <cell r="K418">
            <v>99275.35</v>
          </cell>
        </row>
        <row r="419">
          <cell r="A419" t="str">
            <v>В-05425/КЛ.Транш - 2_В-20211230/Ц</v>
          </cell>
          <cell r="B419" t="str">
            <v>Мелкумян Масис Владимирович</v>
          </cell>
          <cell r="C419">
            <v>977</v>
          </cell>
          <cell r="D419">
            <v>44486</v>
          </cell>
          <cell r="E419">
            <v>41836.6</v>
          </cell>
          <cell r="F419">
            <v>41836.6</v>
          </cell>
          <cell r="G419">
            <v>17119.16</v>
          </cell>
          <cell r="H419">
            <v>17119.16</v>
          </cell>
          <cell r="K419">
            <v>24717.439999999999</v>
          </cell>
        </row>
        <row r="420">
          <cell r="A420" t="str">
            <v>В-21208/КЛ.Транш - 2_В-20211230/Ц</v>
          </cell>
          <cell r="B420" t="str">
            <v>Журавлева Наталья Юрьевна</v>
          </cell>
          <cell r="C420">
            <v>977</v>
          </cell>
          <cell r="D420">
            <v>44486</v>
          </cell>
          <cell r="E420">
            <v>150870.79999999999</v>
          </cell>
          <cell r="F420">
            <v>150870.79999999999</v>
          </cell>
          <cell r="G420">
            <v>80315.05</v>
          </cell>
          <cell r="H420">
            <v>80315.05</v>
          </cell>
          <cell r="K420">
            <v>70555.75</v>
          </cell>
        </row>
        <row r="421">
          <cell r="A421" t="str">
            <v>В-00034/КЭ.Транш - 1_В20211230/Ц</v>
          </cell>
          <cell r="B421" t="str">
            <v>ТК МЕЖРЕГИОНСЕРВИС-77 ООО</v>
          </cell>
          <cell r="C421">
            <v>975</v>
          </cell>
          <cell r="D421">
            <v>44488</v>
          </cell>
          <cell r="E421">
            <v>13544186.52</v>
          </cell>
          <cell r="F421">
            <v>13544186.52</v>
          </cell>
          <cell r="G421">
            <v>1547256.3</v>
          </cell>
          <cell r="H421">
            <v>1547256.3</v>
          </cell>
          <cell r="I421">
            <v>1326060.97</v>
          </cell>
          <cell r="J421">
            <v>1326060.97</v>
          </cell>
          <cell r="K421">
            <v>10670869.25</v>
          </cell>
        </row>
        <row r="422">
          <cell r="A422" t="str">
            <v>В-01179/АЗ_В-20211230/Ц</v>
          </cell>
          <cell r="B422" t="str">
            <v>Забиров Ринат Шавкатович</v>
          </cell>
          <cell r="C422">
            <v>975</v>
          </cell>
          <cell r="D422">
            <v>44488</v>
          </cell>
          <cell r="E422">
            <v>280608.84000000003</v>
          </cell>
          <cell r="F422">
            <v>619263.28</v>
          </cell>
          <cell r="G422">
            <v>346911.57</v>
          </cell>
          <cell r="H422">
            <v>8257.1299999999992</v>
          </cell>
          <cell r="I422">
            <v>89702.77</v>
          </cell>
          <cell r="J422">
            <v>89702.77</v>
          </cell>
          <cell r="K422">
            <v>182648.94</v>
          </cell>
        </row>
        <row r="423">
          <cell r="A423" t="str">
            <v>В-04682/КЛ.Транш - 3_В-20211230/Ц</v>
          </cell>
          <cell r="B423" t="str">
            <v>Усиков Андрей Васильевич</v>
          </cell>
          <cell r="C423">
            <v>975</v>
          </cell>
          <cell r="D423">
            <v>44488</v>
          </cell>
          <cell r="E423">
            <v>19119.09</v>
          </cell>
          <cell r="F423">
            <v>19119.09</v>
          </cell>
          <cell r="G423">
            <v>8054.83</v>
          </cell>
          <cell r="H423">
            <v>8054.83</v>
          </cell>
          <cell r="I423">
            <v>1325.41</v>
          </cell>
          <cell r="J423">
            <v>1325.41</v>
          </cell>
          <cell r="K423">
            <v>4402.7</v>
          </cell>
        </row>
        <row r="424">
          <cell r="A424" t="str">
            <v>В-17030/КЛ.Транш - 1_В-21082023/Ц</v>
          </cell>
          <cell r="B424" t="str">
            <v>Цуриков Яков Владимирович</v>
          </cell>
          <cell r="C424">
            <v>975</v>
          </cell>
          <cell r="D424">
            <v>44488</v>
          </cell>
          <cell r="E424">
            <v>171937.37</v>
          </cell>
          <cell r="F424">
            <v>171937.37</v>
          </cell>
          <cell r="G424">
            <v>92553.21</v>
          </cell>
          <cell r="H424">
            <v>92553.21</v>
          </cell>
          <cell r="I424">
            <v>31961.1</v>
          </cell>
          <cell r="J424">
            <v>31961.1</v>
          </cell>
          <cell r="K424">
            <v>37590.83</v>
          </cell>
        </row>
        <row r="425">
          <cell r="A425" t="str">
            <v>В-13264/КЛ.Транш - 3_В-21082023/Ц</v>
          </cell>
          <cell r="B425" t="str">
            <v>Леднев Алексей Иванович</v>
          </cell>
          <cell r="C425">
            <v>974</v>
          </cell>
          <cell r="D425">
            <v>44489</v>
          </cell>
          <cell r="E425">
            <v>36741.15</v>
          </cell>
          <cell r="F425">
            <v>36741.15</v>
          </cell>
          <cell r="K425">
            <v>36741.15</v>
          </cell>
        </row>
        <row r="426">
          <cell r="A426" t="str">
            <v>В-13264/КЛ.Транш - 1_В-21082023/Ц</v>
          </cell>
          <cell r="B426" t="str">
            <v>Леднев Алексей Иванович</v>
          </cell>
          <cell r="C426">
            <v>965</v>
          </cell>
          <cell r="D426">
            <v>44498</v>
          </cell>
          <cell r="E426">
            <v>27323.59</v>
          </cell>
          <cell r="F426">
            <v>27323.59</v>
          </cell>
          <cell r="K426">
            <v>27323.59</v>
          </cell>
        </row>
        <row r="427">
          <cell r="A427" t="str">
            <v>В-22100/КЛ.Транш - 1_В-20211230/Ц</v>
          </cell>
          <cell r="B427" t="str">
            <v>Кострыгина Юлия Викторовна</v>
          </cell>
          <cell r="C427">
            <v>964</v>
          </cell>
          <cell r="D427">
            <v>44499</v>
          </cell>
          <cell r="E427">
            <v>326484.05</v>
          </cell>
          <cell r="F427">
            <v>326484.05</v>
          </cell>
          <cell r="G427">
            <v>201803.89</v>
          </cell>
          <cell r="H427">
            <v>201803.89</v>
          </cell>
          <cell r="I427">
            <v>6500.13</v>
          </cell>
          <cell r="J427">
            <v>6500.13</v>
          </cell>
          <cell r="K427">
            <v>105051.03</v>
          </cell>
        </row>
        <row r="428">
          <cell r="A428" t="str">
            <v>В-21146/КЛ.Транш - 1_В-20211230/Ц</v>
          </cell>
          <cell r="B428" t="str">
            <v>Тришина Екатерина Викторовна</v>
          </cell>
          <cell r="C428">
            <v>963</v>
          </cell>
          <cell r="D428">
            <v>44500</v>
          </cell>
          <cell r="E428">
            <v>983863.49</v>
          </cell>
          <cell r="F428">
            <v>983863.49</v>
          </cell>
          <cell r="G428">
            <v>560402.75</v>
          </cell>
          <cell r="H428">
            <v>560402.75</v>
          </cell>
          <cell r="I428">
            <v>132040.1</v>
          </cell>
          <cell r="J428">
            <v>132040.1</v>
          </cell>
          <cell r="K428">
            <v>291420.64</v>
          </cell>
        </row>
        <row r="429">
          <cell r="A429" t="str">
            <v>В-23325/АЗ_В-20211230/Ц</v>
          </cell>
          <cell r="B429" t="str">
            <v>Ермакова Кристина Алексеевна</v>
          </cell>
          <cell r="C429">
            <v>957</v>
          </cell>
          <cell r="D429">
            <v>44506</v>
          </cell>
          <cell r="E429">
            <v>1659825.06</v>
          </cell>
          <cell r="F429">
            <v>1659825.06</v>
          </cell>
          <cell r="G429">
            <v>1000000</v>
          </cell>
          <cell r="H429">
            <v>1000000</v>
          </cell>
          <cell r="I429">
            <v>127684.94</v>
          </cell>
          <cell r="J429">
            <v>127684.94</v>
          </cell>
          <cell r="K429">
            <v>532140.12</v>
          </cell>
        </row>
        <row r="430">
          <cell r="A430" t="str">
            <v>В-23339/АЗ_В-20211230/Ц</v>
          </cell>
          <cell r="B430" t="str">
            <v>Ермаков Владислав Олегович</v>
          </cell>
          <cell r="C430">
            <v>957</v>
          </cell>
          <cell r="D430">
            <v>44506</v>
          </cell>
          <cell r="E430">
            <v>457663.1</v>
          </cell>
          <cell r="F430">
            <v>457663.1</v>
          </cell>
          <cell r="G430">
            <v>295226.84999999998</v>
          </cell>
          <cell r="H430">
            <v>295226.84999999998</v>
          </cell>
          <cell r="K430">
            <v>162436.25</v>
          </cell>
        </row>
        <row r="431">
          <cell r="A431" t="str">
            <v>В-04682/КЛ.Транш - 4_В-20211230/Ц</v>
          </cell>
          <cell r="B431" t="str">
            <v>Усиков Андрей Васильевич</v>
          </cell>
          <cell r="C431">
            <v>955</v>
          </cell>
          <cell r="D431">
            <v>44508</v>
          </cell>
          <cell r="E431">
            <v>22614.02</v>
          </cell>
          <cell r="F431">
            <v>22614.02</v>
          </cell>
          <cell r="G431">
            <v>11701.75</v>
          </cell>
          <cell r="H431">
            <v>11701.75</v>
          </cell>
          <cell r="I431">
            <v>2877.67</v>
          </cell>
          <cell r="J431">
            <v>2877.67</v>
          </cell>
          <cell r="K431">
            <v>6034.6</v>
          </cell>
        </row>
        <row r="432">
          <cell r="A432" t="str">
            <v>В-04682/КЛ.Транш - 5_В-20211230/Ц</v>
          </cell>
          <cell r="B432" t="str">
            <v>Усиков Андрей Васильевич</v>
          </cell>
          <cell r="C432">
            <v>954</v>
          </cell>
          <cell r="D432">
            <v>44509</v>
          </cell>
          <cell r="E432">
            <v>39614.57</v>
          </cell>
          <cell r="F432">
            <v>39614.57</v>
          </cell>
          <cell r="G432">
            <v>22517.63</v>
          </cell>
          <cell r="H432">
            <v>22517.63</v>
          </cell>
          <cell r="I432">
            <v>5496.76</v>
          </cell>
          <cell r="J432">
            <v>5496.76</v>
          </cell>
          <cell r="K432">
            <v>11600.18</v>
          </cell>
        </row>
        <row r="433">
          <cell r="A433" t="str">
            <v>В-04682/КЛ.Транш - 8_В-20211230/Ц</v>
          </cell>
          <cell r="B433" t="str">
            <v>Усиков Андрей Васильевич</v>
          </cell>
          <cell r="C433">
            <v>953</v>
          </cell>
          <cell r="D433">
            <v>44510</v>
          </cell>
          <cell r="E433">
            <v>99257.600000000006</v>
          </cell>
          <cell r="F433">
            <v>99257.600000000006</v>
          </cell>
          <cell r="G433">
            <v>57780.17</v>
          </cell>
          <cell r="H433">
            <v>57780.17</v>
          </cell>
          <cell r="I433">
            <v>11242.6</v>
          </cell>
          <cell r="J433">
            <v>11242.6</v>
          </cell>
          <cell r="K433">
            <v>29734.83</v>
          </cell>
        </row>
        <row r="434">
          <cell r="A434" t="str">
            <v>В-14005/КЛ.Транш - 2_В-20211230/Ц</v>
          </cell>
          <cell r="B434" t="str">
            <v>Биятов Малик Серекович</v>
          </cell>
          <cell r="C434">
            <v>952</v>
          </cell>
          <cell r="D434">
            <v>44511</v>
          </cell>
          <cell r="E434">
            <v>21148.25</v>
          </cell>
          <cell r="F434">
            <v>21148.25</v>
          </cell>
          <cell r="G434">
            <v>17598.169999999998</v>
          </cell>
          <cell r="H434">
            <v>17598.169999999998</v>
          </cell>
          <cell r="K434">
            <v>3550.08</v>
          </cell>
        </row>
        <row r="435">
          <cell r="A435" t="str">
            <v>В-01175/АЗ_В-20211230/Ц</v>
          </cell>
          <cell r="B435" t="str">
            <v>Евстигнеев Дмитрий Станиславович</v>
          </cell>
          <cell r="C435">
            <v>951</v>
          </cell>
          <cell r="D435">
            <v>44512</v>
          </cell>
          <cell r="E435">
            <v>891126.33</v>
          </cell>
          <cell r="F435">
            <v>891126.33</v>
          </cell>
          <cell r="G435">
            <v>645232.57999999996</v>
          </cell>
          <cell r="H435">
            <v>645232.57999999996</v>
          </cell>
          <cell r="I435">
            <v>170058.53</v>
          </cell>
          <cell r="J435">
            <v>170058.53</v>
          </cell>
          <cell r="K435">
            <v>75835.22</v>
          </cell>
        </row>
        <row r="436">
          <cell r="A436" t="str">
            <v>В-00021/КЭ.Транш - 1_В-20211230/Ц</v>
          </cell>
          <cell r="B436" t="str">
            <v>ИП Арутюнян Ваге Андреасович</v>
          </cell>
          <cell r="C436">
            <v>948</v>
          </cell>
          <cell r="D436">
            <v>44515</v>
          </cell>
          <cell r="E436">
            <v>409245.91</v>
          </cell>
          <cell r="F436">
            <v>409245.91</v>
          </cell>
          <cell r="K436">
            <v>409245.91</v>
          </cell>
        </row>
        <row r="437">
          <cell r="A437" t="str">
            <v>В-01107/АЗ_В-20211230/Ц</v>
          </cell>
          <cell r="B437" t="str">
            <v>Лещинский Михаил Дмитриевич</v>
          </cell>
          <cell r="C437">
            <v>946</v>
          </cell>
          <cell r="D437">
            <v>44517</v>
          </cell>
          <cell r="E437">
            <v>77290.11</v>
          </cell>
          <cell r="F437">
            <v>77290.11</v>
          </cell>
          <cell r="G437">
            <v>46812.73</v>
          </cell>
          <cell r="H437">
            <v>46812.73</v>
          </cell>
          <cell r="K437">
            <v>30477.38</v>
          </cell>
        </row>
        <row r="438">
          <cell r="A438" t="str">
            <v>В-04682/КЛ.Транш - 7_В-20211230/Ц</v>
          </cell>
          <cell r="B438" t="str">
            <v>Усиков Андрей Васильевич</v>
          </cell>
          <cell r="C438">
            <v>944</v>
          </cell>
          <cell r="D438">
            <v>44519</v>
          </cell>
          <cell r="E438">
            <v>66916.67</v>
          </cell>
          <cell r="F438">
            <v>66916.67</v>
          </cell>
          <cell r="G438">
            <v>39270.370000000003</v>
          </cell>
          <cell r="H438">
            <v>39270.370000000003</v>
          </cell>
          <cell r="I438">
            <v>7127.84</v>
          </cell>
          <cell r="J438">
            <v>7127.84</v>
          </cell>
          <cell r="K438">
            <v>20018.46</v>
          </cell>
        </row>
        <row r="439">
          <cell r="A439" t="str">
            <v>В-11186/КЛ.Транш - 2_В-21082023/Ц</v>
          </cell>
          <cell r="B439" t="str">
            <v>Гадян Артак Андраникович</v>
          </cell>
          <cell r="C439">
            <v>944</v>
          </cell>
          <cell r="D439">
            <v>44519</v>
          </cell>
          <cell r="E439">
            <v>154736.62</v>
          </cell>
          <cell r="F439">
            <v>154736.62</v>
          </cell>
          <cell r="G439">
            <v>62098.65</v>
          </cell>
          <cell r="H439">
            <v>62098.65</v>
          </cell>
          <cell r="I439">
            <v>60982.57</v>
          </cell>
          <cell r="J439">
            <v>60982.57</v>
          </cell>
          <cell r="K439">
            <v>31655.4</v>
          </cell>
        </row>
        <row r="440">
          <cell r="A440" t="str">
            <v>В-04682/КЛ.Транш - 6_В-20211230/Ц</v>
          </cell>
          <cell r="B440" t="str">
            <v>Усиков Андрей Васильевич</v>
          </cell>
          <cell r="C440">
            <v>938</v>
          </cell>
          <cell r="D440">
            <v>44525</v>
          </cell>
          <cell r="E440">
            <v>53554.05</v>
          </cell>
          <cell r="F440">
            <v>53554.05</v>
          </cell>
          <cell r="G440">
            <v>30875.34</v>
          </cell>
          <cell r="H440">
            <v>30875.34</v>
          </cell>
          <cell r="I440">
            <v>6039.73</v>
          </cell>
          <cell r="J440">
            <v>6039.73</v>
          </cell>
          <cell r="K440">
            <v>15638.98</v>
          </cell>
        </row>
        <row r="441">
          <cell r="A441" t="str">
            <v>В-00951/АЗ_В-20211230/Ц</v>
          </cell>
          <cell r="B441" t="str">
            <v>Громов Вячеслав Александрович</v>
          </cell>
          <cell r="C441">
            <v>937</v>
          </cell>
          <cell r="D441">
            <v>44526</v>
          </cell>
          <cell r="E441">
            <v>1459824.09</v>
          </cell>
          <cell r="F441">
            <v>1459824.09</v>
          </cell>
          <cell r="G441">
            <v>849570.3</v>
          </cell>
          <cell r="H441">
            <v>849570.3</v>
          </cell>
          <cell r="I441">
            <v>180388.21</v>
          </cell>
          <cell r="J441">
            <v>180388.21</v>
          </cell>
          <cell r="K441">
            <v>429865.58</v>
          </cell>
        </row>
        <row r="442">
          <cell r="A442" t="str">
            <v>Т-01931/АЗ_Т-20211028/Ц</v>
          </cell>
          <cell r="B442" t="str">
            <v>Громов Вячеслав Александрович</v>
          </cell>
          <cell r="C442">
            <v>937</v>
          </cell>
          <cell r="D442">
            <v>44526</v>
          </cell>
          <cell r="E442">
            <v>353223.84</v>
          </cell>
          <cell r="F442">
            <v>360898.51</v>
          </cell>
          <cell r="G442">
            <v>127435.59</v>
          </cell>
          <cell r="H442">
            <v>120015.05</v>
          </cell>
          <cell r="I442">
            <v>168728.93</v>
          </cell>
          <cell r="J442">
            <v>168983.06</v>
          </cell>
          <cell r="K442">
            <v>64479.86</v>
          </cell>
        </row>
        <row r="443">
          <cell r="A443" t="str">
            <v>В-24072/АЗ_В-20211230/Ц</v>
          </cell>
          <cell r="B443" t="str">
            <v>Султанов Салим Исламович</v>
          </cell>
          <cell r="C443">
            <v>936</v>
          </cell>
          <cell r="D443">
            <v>44527</v>
          </cell>
          <cell r="E443">
            <v>306220.84000000003</v>
          </cell>
          <cell r="F443">
            <v>306220.84000000003</v>
          </cell>
          <cell r="G443">
            <v>170000</v>
          </cell>
          <cell r="H443">
            <v>170000</v>
          </cell>
          <cell r="I443">
            <v>47697.8</v>
          </cell>
          <cell r="J443">
            <v>47697.8</v>
          </cell>
          <cell r="K443">
            <v>88523.04</v>
          </cell>
        </row>
        <row r="444">
          <cell r="A444" t="str">
            <v>Т-01914/АЗ_Т-20211028/Ц</v>
          </cell>
          <cell r="B444" t="str">
            <v>Битюцких Александр Александрович</v>
          </cell>
          <cell r="C444">
            <v>935</v>
          </cell>
          <cell r="D444">
            <v>44528</v>
          </cell>
          <cell r="E444">
            <v>170530.21</v>
          </cell>
          <cell r="F444">
            <v>344160.58</v>
          </cell>
          <cell r="G444">
            <v>204166.39</v>
          </cell>
          <cell r="H444">
            <v>30536.02</v>
          </cell>
          <cell r="I444">
            <v>36910.58</v>
          </cell>
          <cell r="J444">
            <v>36910.58</v>
          </cell>
          <cell r="K444">
            <v>103083.61</v>
          </cell>
        </row>
        <row r="445">
          <cell r="A445" t="str">
            <v>В-02707/КЛ.Транш - 1_В-21082023/Ц</v>
          </cell>
          <cell r="B445" t="str">
            <v>Гавриленко Денис Владимирович</v>
          </cell>
          <cell r="C445">
            <v>934</v>
          </cell>
          <cell r="D445">
            <v>44529</v>
          </cell>
          <cell r="E445">
            <v>94762.42</v>
          </cell>
          <cell r="F445">
            <v>94762.42</v>
          </cell>
          <cell r="G445">
            <v>39475.85</v>
          </cell>
          <cell r="H445">
            <v>39475.85</v>
          </cell>
          <cell r="I445">
            <v>35234.31</v>
          </cell>
          <cell r="J445">
            <v>35234.31</v>
          </cell>
          <cell r="K445">
            <v>20052.259999999998</v>
          </cell>
        </row>
        <row r="446">
          <cell r="A446" t="str">
            <v>В-20046/КЛ.Транш - 1_В-21082023/Ц</v>
          </cell>
          <cell r="B446" t="str">
            <v>Лебедовский Максим Юрьевич</v>
          </cell>
          <cell r="C446">
            <v>934</v>
          </cell>
          <cell r="D446">
            <v>44529</v>
          </cell>
          <cell r="E446">
            <v>231504.82</v>
          </cell>
          <cell r="F446">
            <v>231504.82</v>
          </cell>
          <cell r="G446">
            <v>142516.70000000001</v>
          </cell>
          <cell r="H446">
            <v>142516.70000000001</v>
          </cell>
          <cell r="I446">
            <v>29673.89</v>
          </cell>
          <cell r="J446">
            <v>29673.89</v>
          </cell>
          <cell r="K446">
            <v>48484.18</v>
          </cell>
        </row>
        <row r="447">
          <cell r="A447" t="str">
            <v>В-17687/КЛ.Транш - 2_В-20211230/Ц</v>
          </cell>
          <cell r="B447" t="str">
            <v>Мусаев Саид Рамазанович</v>
          </cell>
          <cell r="C447">
            <v>932</v>
          </cell>
          <cell r="D447">
            <v>44531</v>
          </cell>
          <cell r="E447">
            <v>390316.1</v>
          </cell>
          <cell r="F447">
            <v>390316.1</v>
          </cell>
          <cell r="G447">
            <v>258693.73</v>
          </cell>
          <cell r="H447">
            <v>258693.73</v>
          </cell>
          <cell r="K447">
            <v>131622.37</v>
          </cell>
        </row>
        <row r="448">
          <cell r="A448" t="str">
            <v>В-22026/КЛ.Транш - 1_В-20211230/Ц</v>
          </cell>
          <cell r="B448" t="str">
            <v>Гречкин Сергей Петрович</v>
          </cell>
          <cell r="C448">
            <v>927</v>
          </cell>
          <cell r="D448">
            <v>44536</v>
          </cell>
          <cell r="E448">
            <v>394529.11</v>
          </cell>
          <cell r="F448">
            <v>394529.11</v>
          </cell>
          <cell r="G448">
            <v>225088.84</v>
          </cell>
          <cell r="H448">
            <v>225088.84</v>
          </cell>
          <cell r="I448">
            <v>56833.38</v>
          </cell>
          <cell r="J448">
            <v>56833.38</v>
          </cell>
          <cell r="K448">
            <v>112606.89</v>
          </cell>
        </row>
        <row r="449">
          <cell r="A449" t="str">
            <v>В-20109/КЛ.Транш - 1_В-21082023/Ц</v>
          </cell>
          <cell r="B449" t="str">
            <v>Спицын Антон Вадимович</v>
          </cell>
          <cell r="C449">
            <v>926</v>
          </cell>
          <cell r="D449">
            <v>44537</v>
          </cell>
          <cell r="E449">
            <v>443084.52</v>
          </cell>
          <cell r="F449">
            <v>443084.52</v>
          </cell>
          <cell r="G449">
            <v>257341.17</v>
          </cell>
          <cell r="H449">
            <v>257341.17</v>
          </cell>
          <cell r="I449">
            <v>86233.96</v>
          </cell>
          <cell r="J449">
            <v>86233.96</v>
          </cell>
          <cell r="K449">
            <v>86705.49</v>
          </cell>
        </row>
        <row r="450">
          <cell r="A450" t="str">
            <v>В-01898/КЛ.Транш - 1_В-20211230/Ц</v>
          </cell>
          <cell r="B450" t="str">
            <v>Захаркин Алексей Викторович</v>
          </cell>
          <cell r="C450">
            <v>922</v>
          </cell>
          <cell r="D450">
            <v>44541</v>
          </cell>
          <cell r="E450">
            <v>181484.13</v>
          </cell>
          <cell r="F450">
            <v>181484.13</v>
          </cell>
          <cell r="G450">
            <v>108586.85</v>
          </cell>
          <cell r="H450">
            <v>108586.85</v>
          </cell>
          <cell r="I450">
            <v>7383.91</v>
          </cell>
          <cell r="J450">
            <v>7383.91</v>
          </cell>
          <cell r="K450">
            <v>55839.97</v>
          </cell>
        </row>
        <row r="451">
          <cell r="A451" t="str">
            <v>В-17805/КЛ.Транш - 2_В-20211230/Ц</v>
          </cell>
          <cell r="B451" t="str">
            <v>Апухтина Виолетта Байрамовна</v>
          </cell>
          <cell r="C451">
            <v>921</v>
          </cell>
          <cell r="D451">
            <v>44542</v>
          </cell>
          <cell r="E451">
            <v>351883.42</v>
          </cell>
          <cell r="F451">
            <v>351883.42</v>
          </cell>
          <cell r="G451">
            <v>215672.81</v>
          </cell>
          <cell r="H451">
            <v>215672.81</v>
          </cell>
          <cell r="I451">
            <v>28947.89</v>
          </cell>
          <cell r="J451">
            <v>28947.89</v>
          </cell>
          <cell r="K451">
            <v>107262.72</v>
          </cell>
        </row>
        <row r="452">
          <cell r="A452" t="str">
            <v>В-00039/КЭ.Транш - 1_В-20211230/Ц</v>
          </cell>
          <cell r="B452" t="str">
            <v>ЭЛ-КОМПЛЕКТ ООО</v>
          </cell>
          <cell r="C452">
            <v>920</v>
          </cell>
          <cell r="D452">
            <v>44543</v>
          </cell>
          <cell r="E452">
            <v>1469493.91</v>
          </cell>
          <cell r="F452">
            <v>1469493.91</v>
          </cell>
          <cell r="G452">
            <v>19789.57</v>
          </cell>
          <cell r="H452">
            <v>19789.57</v>
          </cell>
          <cell r="K452">
            <v>1449704.34</v>
          </cell>
        </row>
        <row r="453">
          <cell r="A453" t="str">
            <v>В-01084/АЗ</v>
          </cell>
          <cell r="B453" t="str">
            <v>Печеникова Оксана Александровна</v>
          </cell>
          <cell r="C453">
            <v>919</v>
          </cell>
          <cell r="D453">
            <v>44544</v>
          </cell>
          <cell r="E453">
            <v>114550.33</v>
          </cell>
          <cell r="F453">
            <v>114550.33</v>
          </cell>
          <cell r="I453">
            <v>42855.39</v>
          </cell>
          <cell r="J453">
            <v>42855.39</v>
          </cell>
          <cell r="K453">
            <v>50000</v>
          </cell>
        </row>
        <row r="454">
          <cell r="A454" t="str">
            <v>В-23633/КЛ.Транш - 1_В-20211230/Ц</v>
          </cell>
          <cell r="B454" t="str">
            <v>Кошелева Светлана Сергеевна</v>
          </cell>
          <cell r="C454">
            <v>919</v>
          </cell>
          <cell r="D454">
            <v>44544</v>
          </cell>
          <cell r="E454">
            <v>102455.16</v>
          </cell>
          <cell r="F454">
            <v>102455.16</v>
          </cell>
          <cell r="K454">
            <v>102455.16</v>
          </cell>
        </row>
        <row r="455">
          <cell r="A455" t="str">
            <v>В-00439/КЛ.Транш - 2_В-21082023/Ц</v>
          </cell>
          <cell r="B455" t="str">
            <v>Сельцова Наталья Юрьевна</v>
          </cell>
          <cell r="C455">
            <v>917</v>
          </cell>
          <cell r="D455">
            <v>44546</v>
          </cell>
          <cell r="E455">
            <v>91326.38</v>
          </cell>
          <cell r="F455">
            <v>91326.38</v>
          </cell>
          <cell r="G455">
            <v>77448.45</v>
          </cell>
          <cell r="H455">
            <v>77448.45</v>
          </cell>
          <cell r="I455">
            <v>12163.22</v>
          </cell>
          <cell r="J455">
            <v>12163.22</v>
          </cell>
          <cell r="K455">
            <v>1714.71</v>
          </cell>
        </row>
        <row r="456">
          <cell r="A456" t="str">
            <v>В-11334/КЛ.Транш - 1_В-20211230/Ц</v>
          </cell>
          <cell r="B456" t="str">
            <v>Кольчицкий Захар Викторович</v>
          </cell>
          <cell r="C456">
            <v>914</v>
          </cell>
          <cell r="D456">
            <v>44549</v>
          </cell>
          <cell r="E456">
            <v>546026.73</v>
          </cell>
          <cell r="F456">
            <v>546026.73</v>
          </cell>
          <cell r="G456">
            <v>311027.09000000003</v>
          </cell>
          <cell r="H456">
            <v>311027.09000000003</v>
          </cell>
          <cell r="I456">
            <v>81489.11</v>
          </cell>
          <cell r="J456">
            <v>81489.11</v>
          </cell>
          <cell r="K456">
            <v>153510.53</v>
          </cell>
        </row>
        <row r="457">
          <cell r="A457" t="str">
            <v>В-24983/КЛ.Транш - 1_В-20211230/Ц</v>
          </cell>
          <cell r="B457" t="str">
            <v>Новрузов Марат Абильфас Оглы</v>
          </cell>
          <cell r="C457">
            <v>914</v>
          </cell>
          <cell r="D457">
            <v>44549</v>
          </cell>
          <cell r="E457">
            <v>2735466.19</v>
          </cell>
          <cell r="F457">
            <v>3407423.01</v>
          </cell>
          <cell r="G457">
            <v>1000000</v>
          </cell>
          <cell r="H457">
            <v>329402.75</v>
          </cell>
          <cell r="I457">
            <v>1912503.44</v>
          </cell>
          <cell r="J457">
            <v>1913863.01</v>
          </cell>
          <cell r="K457">
            <v>493560</v>
          </cell>
        </row>
        <row r="458">
          <cell r="A458" t="str">
            <v>В-23840/КЛ.Транш - 1_В-20211230/Ц</v>
          </cell>
          <cell r="B458" t="str">
            <v>Золотов Олег Владимирович</v>
          </cell>
          <cell r="C458">
            <v>912</v>
          </cell>
          <cell r="D458">
            <v>44551</v>
          </cell>
          <cell r="E458">
            <v>375697.33</v>
          </cell>
          <cell r="F458">
            <v>375697.33</v>
          </cell>
          <cell r="I458">
            <v>129376.78</v>
          </cell>
          <cell r="J458">
            <v>129376.78</v>
          </cell>
          <cell r="K458">
            <v>246320.55</v>
          </cell>
        </row>
        <row r="459">
          <cell r="A459" t="str">
            <v>В-17153/КЛ.Транш - 2_В-20211230/Ц</v>
          </cell>
          <cell r="B459" t="str">
            <v>Хасанов Жасур Абдурашидович</v>
          </cell>
          <cell r="C459">
            <v>911</v>
          </cell>
          <cell r="D459">
            <v>44552</v>
          </cell>
          <cell r="E459">
            <v>134905.74</v>
          </cell>
          <cell r="F459">
            <v>134905.74</v>
          </cell>
          <cell r="G459">
            <v>74464.7</v>
          </cell>
          <cell r="H459">
            <v>74464.7</v>
          </cell>
          <cell r="I459">
            <v>20808.88</v>
          </cell>
          <cell r="J459">
            <v>20808.88</v>
          </cell>
          <cell r="K459">
            <v>36632.160000000003</v>
          </cell>
        </row>
        <row r="460">
          <cell r="A460" t="str">
            <v>В-20766/КЛ.Транш - 1_В-20211230/Ц</v>
          </cell>
          <cell r="B460" t="str">
            <v>Васильев Сергей Владимирович</v>
          </cell>
          <cell r="C460">
            <v>911</v>
          </cell>
          <cell r="D460">
            <v>44552</v>
          </cell>
          <cell r="E460">
            <v>167631.04000000001</v>
          </cell>
          <cell r="F460">
            <v>167631.04000000001</v>
          </cell>
          <cell r="G460">
            <v>81956.56</v>
          </cell>
          <cell r="H460">
            <v>81956.56</v>
          </cell>
          <cell r="I460">
            <v>45356.77</v>
          </cell>
          <cell r="J460">
            <v>45356.77</v>
          </cell>
          <cell r="K460">
            <v>40317.71</v>
          </cell>
        </row>
        <row r="461">
          <cell r="A461" t="str">
            <v>В-16023/КЛ.Транш - 1_В-20211230/Ц</v>
          </cell>
          <cell r="B461" t="str">
            <v>Волохов Юрий Викторович</v>
          </cell>
          <cell r="C461">
            <v>909</v>
          </cell>
          <cell r="D461">
            <v>44554</v>
          </cell>
          <cell r="E461">
            <v>1189062.23</v>
          </cell>
          <cell r="F461">
            <v>1189062.23</v>
          </cell>
          <cell r="G461">
            <v>710064.12</v>
          </cell>
          <cell r="H461">
            <v>710064.12</v>
          </cell>
          <cell r="I461">
            <v>136593.72</v>
          </cell>
          <cell r="J461">
            <v>136593.72</v>
          </cell>
          <cell r="K461">
            <v>342404.39</v>
          </cell>
        </row>
        <row r="462">
          <cell r="A462" t="str">
            <v>В-17153/КЛ.Транш - 1_В-20211230/Ц</v>
          </cell>
          <cell r="B462" t="str">
            <v>Хасанов Жасур Абдурашидович</v>
          </cell>
          <cell r="C462">
            <v>909</v>
          </cell>
          <cell r="D462">
            <v>44554</v>
          </cell>
          <cell r="E462">
            <v>271567.35999999999</v>
          </cell>
          <cell r="F462">
            <v>271567.35999999999</v>
          </cell>
          <cell r="G462">
            <v>150000</v>
          </cell>
          <cell r="H462">
            <v>150000</v>
          </cell>
          <cell r="I462">
            <v>44938.36</v>
          </cell>
          <cell r="J462">
            <v>44938.36</v>
          </cell>
          <cell r="K462">
            <v>73629</v>
          </cell>
        </row>
        <row r="463">
          <cell r="A463" t="str">
            <v>В-19655/КЛ.Транш - 1_В-20211230/Ц</v>
          </cell>
          <cell r="B463" t="str">
            <v>Башленко Илья Васильевич</v>
          </cell>
          <cell r="C463">
            <v>906</v>
          </cell>
          <cell r="D463">
            <v>44557</v>
          </cell>
          <cell r="E463">
            <v>53079.83</v>
          </cell>
          <cell r="F463">
            <v>53079.83</v>
          </cell>
          <cell r="G463">
            <v>46351.839999999997</v>
          </cell>
          <cell r="H463">
            <v>46351.839999999997</v>
          </cell>
          <cell r="K463">
            <v>6727.99</v>
          </cell>
        </row>
        <row r="464">
          <cell r="A464" t="str">
            <v>В-12427/КЛ.Транш - 1_В-21082023/Ц</v>
          </cell>
          <cell r="B464" t="str">
            <v>Хуртов Сергей Георгиевич</v>
          </cell>
          <cell r="C464">
            <v>904</v>
          </cell>
          <cell r="D464">
            <v>44559</v>
          </cell>
          <cell r="E464">
            <v>6843.48</v>
          </cell>
          <cell r="F464">
            <v>6843.48</v>
          </cell>
          <cell r="K464">
            <v>6843.48</v>
          </cell>
        </row>
        <row r="465">
          <cell r="A465" t="str">
            <v>В-21040/КЛ.Транш - 1_В-20211230/Ц</v>
          </cell>
          <cell r="B465" t="str">
            <v>Рассказов Максим Владимирович</v>
          </cell>
          <cell r="C465">
            <v>904</v>
          </cell>
          <cell r="D465">
            <v>44559</v>
          </cell>
          <cell r="E465">
            <v>325433.09999999998</v>
          </cell>
          <cell r="F465">
            <v>325433.09999999998</v>
          </cell>
          <cell r="G465">
            <v>203416.39</v>
          </cell>
          <cell r="H465">
            <v>203416.39</v>
          </cell>
          <cell r="I465">
            <v>22716.97</v>
          </cell>
          <cell r="J465">
            <v>22716.97</v>
          </cell>
          <cell r="K465">
            <v>99299.74</v>
          </cell>
        </row>
        <row r="466">
          <cell r="A466" t="str">
            <v>В-16959/КЛ.Транш - 1_В-20211230/Ц</v>
          </cell>
          <cell r="B466" t="str">
            <v>Рева Анастасия Владимировна</v>
          </cell>
          <cell r="C466">
            <v>903</v>
          </cell>
          <cell r="D466">
            <v>44560</v>
          </cell>
          <cell r="E466">
            <v>161194.88</v>
          </cell>
          <cell r="F466">
            <v>161194.88</v>
          </cell>
          <cell r="G466">
            <v>106660.18</v>
          </cell>
          <cell r="H466">
            <v>106660.18</v>
          </cell>
          <cell r="I466">
            <v>4310.13</v>
          </cell>
          <cell r="J466">
            <v>4310.13</v>
          </cell>
          <cell r="K466">
            <v>50224.57</v>
          </cell>
        </row>
        <row r="467">
          <cell r="A467" t="str">
            <v>В-21208/КЛ.Транш - 1_В-20211230/Ц</v>
          </cell>
          <cell r="B467" t="str">
            <v>Журавлева Наталья Юрьевна</v>
          </cell>
          <cell r="C467">
            <v>900</v>
          </cell>
          <cell r="D467">
            <v>44563</v>
          </cell>
          <cell r="E467">
            <v>2647.59</v>
          </cell>
          <cell r="F467">
            <v>2647.59</v>
          </cell>
          <cell r="K467">
            <v>2647.59</v>
          </cell>
        </row>
        <row r="468">
          <cell r="A468" t="str">
            <v>В-25457/КЛ.Транш - 1_В-20211230/Ц</v>
          </cell>
          <cell r="B468" t="str">
            <v>Крючковский Сергей Владиславович</v>
          </cell>
          <cell r="C468">
            <v>900</v>
          </cell>
          <cell r="D468">
            <v>44563</v>
          </cell>
          <cell r="E468">
            <v>179060.91</v>
          </cell>
          <cell r="F468">
            <v>179060.91</v>
          </cell>
          <cell r="G468">
            <v>119920.36</v>
          </cell>
          <cell r="H468">
            <v>119920.36</v>
          </cell>
          <cell r="K468">
            <v>59140.55</v>
          </cell>
        </row>
        <row r="469">
          <cell r="A469" t="str">
            <v>В-21269/КЛ.Транш - 1_В-20211230/Ц</v>
          </cell>
          <cell r="B469" t="str">
            <v>Елизарова Виктория Андреевна</v>
          </cell>
          <cell r="C469">
            <v>897</v>
          </cell>
          <cell r="D469">
            <v>44566</v>
          </cell>
          <cell r="E469">
            <v>1388330.29</v>
          </cell>
          <cell r="F469">
            <v>1388330.29</v>
          </cell>
          <cell r="G469">
            <v>883318.18</v>
          </cell>
          <cell r="H469">
            <v>883318.18</v>
          </cell>
          <cell r="I469">
            <v>74150.45</v>
          </cell>
          <cell r="J469">
            <v>74150.45</v>
          </cell>
          <cell r="K469">
            <v>427861.66</v>
          </cell>
        </row>
        <row r="470">
          <cell r="A470" t="str">
            <v>В-10934/КЛ.Транш - 1_В-20211230/Ц</v>
          </cell>
          <cell r="B470" t="str">
            <v>Бендас Евгений Васильевич</v>
          </cell>
          <cell r="C470">
            <v>896</v>
          </cell>
          <cell r="D470">
            <v>44567</v>
          </cell>
          <cell r="E470">
            <v>147265.5</v>
          </cell>
          <cell r="F470">
            <v>147265.5</v>
          </cell>
          <cell r="G470">
            <v>87729.919999999998</v>
          </cell>
          <cell r="H470">
            <v>87729.919999999998</v>
          </cell>
          <cell r="I470">
            <v>17088.330000000002</v>
          </cell>
          <cell r="J470">
            <v>17088.330000000002</v>
          </cell>
          <cell r="K470">
            <v>42447.25</v>
          </cell>
        </row>
        <row r="471">
          <cell r="A471" t="str">
            <v>В-12391/КЛ.Транш - 2_В-20211230/Ц</v>
          </cell>
          <cell r="B471" t="str">
            <v>Саутин Александр Юрьевич</v>
          </cell>
          <cell r="C471">
            <v>896</v>
          </cell>
          <cell r="D471">
            <v>44567</v>
          </cell>
          <cell r="E471">
            <v>457527.16</v>
          </cell>
          <cell r="F471">
            <v>457527.16</v>
          </cell>
          <cell r="G471">
            <v>249274.3</v>
          </cell>
          <cell r="H471">
            <v>249274.3</v>
          </cell>
          <cell r="K471">
            <v>208252.86</v>
          </cell>
        </row>
        <row r="472">
          <cell r="A472" t="str">
            <v>В-30009/КЭ.Транш - 1_В-20211230/Ц</v>
          </cell>
          <cell r="B472" t="str">
            <v>ИП Федотов Тихон Андреевич</v>
          </cell>
          <cell r="C472">
            <v>896</v>
          </cell>
          <cell r="D472">
            <v>44567</v>
          </cell>
          <cell r="E472">
            <v>1553481.56</v>
          </cell>
          <cell r="F472">
            <v>1553481.56</v>
          </cell>
          <cell r="G472">
            <v>139831.44</v>
          </cell>
          <cell r="H472">
            <v>139831.44</v>
          </cell>
          <cell r="I472">
            <v>28387.69</v>
          </cell>
          <cell r="J472">
            <v>28387.69</v>
          </cell>
          <cell r="K472">
            <v>1385262.43</v>
          </cell>
        </row>
        <row r="473">
          <cell r="A473" t="str">
            <v>В-17687/КЛ.Транш - 1_В-20211230/Ц</v>
          </cell>
          <cell r="B473" t="str">
            <v>Мусаев Саид Рамазанович</v>
          </cell>
          <cell r="C473">
            <v>894</v>
          </cell>
          <cell r="D473">
            <v>44569</v>
          </cell>
          <cell r="E473">
            <v>38601.43</v>
          </cell>
          <cell r="F473">
            <v>38601.43</v>
          </cell>
          <cell r="K473">
            <v>38601.43</v>
          </cell>
        </row>
        <row r="474">
          <cell r="A474" t="str">
            <v>В-25747/КЛ.Транш - 1_В-20211230/Ц</v>
          </cell>
          <cell r="B474" t="str">
            <v>Инютин Никита Александрович</v>
          </cell>
          <cell r="C474">
            <v>894</v>
          </cell>
          <cell r="D474">
            <v>44569</v>
          </cell>
          <cell r="E474">
            <v>1165427.6100000001</v>
          </cell>
          <cell r="F474">
            <v>1165427.6100000001</v>
          </cell>
          <cell r="G474">
            <v>665000</v>
          </cell>
          <cell r="H474">
            <v>665000</v>
          </cell>
          <cell r="I474">
            <v>179568.23</v>
          </cell>
          <cell r="J474">
            <v>179568.23</v>
          </cell>
          <cell r="K474">
            <v>320859.38</v>
          </cell>
        </row>
        <row r="475">
          <cell r="A475" t="str">
            <v>В-12427/КЛ.Транш - 2_В-21082023/Ц</v>
          </cell>
          <cell r="B475" t="str">
            <v>Хуртов Сергей Георгиевич</v>
          </cell>
          <cell r="C475">
            <v>892</v>
          </cell>
          <cell r="D475">
            <v>44571</v>
          </cell>
          <cell r="E475">
            <v>56337.599999999999</v>
          </cell>
          <cell r="F475">
            <v>56337.599999999999</v>
          </cell>
          <cell r="K475">
            <v>54312.35</v>
          </cell>
        </row>
        <row r="476">
          <cell r="A476" t="str">
            <v>В-08918/КЛ.Транш - 1_В-20211230/Ц</v>
          </cell>
          <cell r="B476" t="str">
            <v>Фофанов Михаил Михайлович</v>
          </cell>
          <cell r="C476">
            <v>891</v>
          </cell>
          <cell r="D476">
            <v>44572</v>
          </cell>
          <cell r="E476">
            <v>53429.46</v>
          </cell>
          <cell r="F476">
            <v>53429.46</v>
          </cell>
          <cell r="K476">
            <v>53429.46</v>
          </cell>
        </row>
        <row r="477">
          <cell r="A477" t="str">
            <v>В-17805/КЛ.Транш - 1_В-20211230/Ц</v>
          </cell>
          <cell r="B477" t="str">
            <v>Апухтина Виолетта Байрамовна</v>
          </cell>
          <cell r="C477">
            <v>891</v>
          </cell>
          <cell r="D477">
            <v>44572</v>
          </cell>
          <cell r="E477">
            <v>244451.78</v>
          </cell>
          <cell r="F477">
            <v>244451.78</v>
          </cell>
          <cell r="G477">
            <v>153915.17000000001</v>
          </cell>
          <cell r="H477">
            <v>153915.17000000001</v>
          </cell>
          <cell r="I477">
            <v>16481.86</v>
          </cell>
          <cell r="J477">
            <v>16481.86</v>
          </cell>
          <cell r="K477">
            <v>74054.75</v>
          </cell>
        </row>
        <row r="478">
          <cell r="A478" t="str">
            <v>В-10934/КЛ.Транш - 2_В-20211230/Ц</v>
          </cell>
          <cell r="B478" t="str">
            <v>Бендас Евгений Васильевич</v>
          </cell>
          <cell r="C478">
            <v>890</v>
          </cell>
          <cell r="D478">
            <v>44573</v>
          </cell>
          <cell r="E478">
            <v>145501.66</v>
          </cell>
          <cell r="F478">
            <v>145501.66</v>
          </cell>
          <cell r="G478">
            <v>85760.74</v>
          </cell>
          <cell r="H478">
            <v>85760.74</v>
          </cell>
          <cell r="I478">
            <v>18524.310000000001</v>
          </cell>
          <cell r="J478">
            <v>18524.310000000001</v>
          </cell>
          <cell r="K478">
            <v>41216.61</v>
          </cell>
        </row>
        <row r="479">
          <cell r="A479" t="str">
            <v>В-16959/КЛ.Транш - 2_В-20211230/Ц</v>
          </cell>
          <cell r="B479" t="str">
            <v>Рева Анастасия Владимировна</v>
          </cell>
          <cell r="C479">
            <v>890</v>
          </cell>
          <cell r="D479">
            <v>44573</v>
          </cell>
          <cell r="E479">
            <v>177495.34</v>
          </cell>
          <cell r="F479">
            <v>177495.34</v>
          </cell>
          <cell r="G479">
            <v>108644.45</v>
          </cell>
          <cell r="H479">
            <v>108644.45</v>
          </cell>
          <cell r="I479">
            <v>18454.669999999998</v>
          </cell>
          <cell r="J479">
            <v>18454.669999999998</v>
          </cell>
          <cell r="K479">
            <v>50396.22</v>
          </cell>
        </row>
        <row r="480">
          <cell r="A480" t="str">
            <v>В-12368/КЛ.Транш - 1_В-20211230/Ц</v>
          </cell>
          <cell r="B480" t="str">
            <v>Масальский Руслан Иванович</v>
          </cell>
          <cell r="C480">
            <v>888</v>
          </cell>
          <cell r="D480">
            <v>44575</v>
          </cell>
          <cell r="E480">
            <v>153100.10999999999</v>
          </cell>
          <cell r="F480">
            <v>153100.10999999999</v>
          </cell>
          <cell r="G480">
            <v>64686.21</v>
          </cell>
          <cell r="H480">
            <v>64686.21</v>
          </cell>
          <cell r="I480">
            <v>5892.09</v>
          </cell>
          <cell r="J480">
            <v>5892.09</v>
          </cell>
          <cell r="K480">
            <v>82521.81</v>
          </cell>
        </row>
        <row r="481">
          <cell r="A481" t="str">
            <v>В-17788/КЛ.Транш - 2_В-20211230/Ц</v>
          </cell>
          <cell r="B481" t="str">
            <v>Ташланова Юлия Юрьевна</v>
          </cell>
          <cell r="C481">
            <v>885</v>
          </cell>
          <cell r="D481">
            <v>44578</v>
          </cell>
          <cell r="E481">
            <v>46930.6</v>
          </cell>
          <cell r="F481">
            <v>46930.6</v>
          </cell>
          <cell r="K481">
            <v>46930.6</v>
          </cell>
        </row>
        <row r="482">
          <cell r="A482" t="str">
            <v>В-09795/КЛ.Транш - 1_В-20211230/Ц</v>
          </cell>
          <cell r="B482" t="str">
            <v>Матвеев Андрей Александрович</v>
          </cell>
          <cell r="C482">
            <v>884</v>
          </cell>
          <cell r="D482">
            <v>44579</v>
          </cell>
          <cell r="E482">
            <v>234219.94</v>
          </cell>
          <cell r="F482">
            <v>234219.94</v>
          </cell>
          <cell r="G482">
            <v>187087.25</v>
          </cell>
          <cell r="H482">
            <v>187087.25</v>
          </cell>
          <cell r="I482">
            <v>32548.04</v>
          </cell>
          <cell r="J482">
            <v>32548.04</v>
          </cell>
          <cell r="K482">
            <v>14584.65</v>
          </cell>
        </row>
        <row r="483">
          <cell r="A483" t="str">
            <v>В-14818/КЛ.Транш - 1_В-20211230/Ц</v>
          </cell>
          <cell r="B483" t="str">
            <v>Навасардян Алёна Евгеньевна</v>
          </cell>
          <cell r="C483">
            <v>882</v>
          </cell>
          <cell r="D483">
            <v>44581</v>
          </cell>
          <cell r="E483">
            <v>480378.96</v>
          </cell>
          <cell r="F483">
            <v>480378.96</v>
          </cell>
          <cell r="G483">
            <v>265431.03000000003</v>
          </cell>
          <cell r="H483">
            <v>265431.03000000003</v>
          </cell>
          <cell r="I483">
            <v>88253.99</v>
          </cell>
          <cell r="J483">
            <v>88253.99</v>
          </cell>
          <cell r="K483">
            <v>112751.07</v>
          </cell>
        </row>
        <row r="484">
          <cell r="A484" t="str">
            <v>В-17788/КЛ.Транш - 3_В-20211230/Ц</v>
          </cell>
          <cell r="B484" t="str">
            <v>Ташланова Юлия Юрьевна</v>
          </cell>
          <cell r="C484">
            <v>882</v>
          </cell>
          <cell r="D484">
            <v>44581</v>
          </cell>
          <cell r="E484">
            <v>206775.04000000001</v>
          </cell>
          <cell r="F484">
            <v>206775.04000000001</v>
          </cell>
          <cell r="G484">
            <v>134481.29999999999</v>
          </cell>
          <cell r="H484">
            <v>134481.29999999999</v>
          </cell>
          <cell r="I484">
            <v>9550.15</v>
          </cell>
          <cell r="J484">
            <v>9550.15</v>
          </cell>
          <cell r="K484">
            <v>62743.59</v>
          </cell>
        </row>
        <row r="485">
          <cell r="A485" t="str">
            <v>В-26247/КЛ.Транш - 1_В-20211230/Ц</v>
          </cell>
          <cell r="B485" t="str">
            <v>Марков Владислав Владимирович</v>
          </cell>
          <cell r="C485">
            <v>881</v>
          </cell>
          <cell r="D485">
            <v>44582</v>
          </cell>
          <cell r="E485">
            <v>1371225.97</v>
          </cell>
          <cell r="F485">
            <v>1371225.97</v>
          </cell>
          <cell r="G485">
            <v>750000</v>
          </cell>
          <cell r="H485">
            <v>750000</v>
          </cell>
          <cell r="I485">
            <v>263999.99</v>
          </cell>
          <cell r="J485">
            <v>263999.99</v>
          </cell>
          <cell r="K485">
            <v>357225.98</v>
          </cell>
        </row>
        <row r="486">
          <cell r="A486" t="str">
            <v>В-21847/КЛ.Транш - 1_В-20211230/Ц</v>
          </cell>
          <cell r="B486" t="str">
            <v>Пантелеев Даниил Александрович</v>
          </cell>
          <cell r="C486">
            <v>880</v>
          </cell>
          <cell r="D486">
            <v>44583</v>
          </cell>
          <cell r="E486">
            <v>17478.41</v>
          </cell>
          <cell r="F486">
            <v>17478.41</v>
          </cell>
          <cell r="K486">
            <v>17478.41</v>
          </cell>
        </row>
        <row r="487">
          <cell r="A487" t="str">
            <v>В-04210/КЛ.Транш - 1_В-20211230/Ц</v>
          </cell>
          <cell r="B487" t="str">
            <v>Фейзуллаев Альберт Нефтуллаевич</v>
          </cell>
          <cell r="C487">
            <v>877</v>
          </cell>
          <cell r="D487">
            <v>44586</v>
          </cell>
          <cell r="E487">
            <v>229495.89</v>
          </cell>
          <cell r="F487">
            <v>229495.89</v>
          </cell>
          <cell r="G487">
            <v>152936.34</v>
          </cell>
          <cell r="H487">
            <v>152936.34</v>
          </cell>
          <cell r="K487">
            <v>76559.55</v>
          </cell>
        </row>
        <row r="488">
          <cell r="A488" t="str">
            <v>В-12391/КЛ.Транш - 1_В-20211230/Ц</v>
          </cell>
          <cell r="B488" t="str">
            <v>Саутин Александр Юрьевич</v>
          </cell>
          <cell r="C488">
            <v>877</v>
          </cell>
          <cell r="D488">
            <v>44586</v>
          </cell>
          <cell r="E488">
            <v>42253.18</v>
          </cell>
          <cell r="F488">
            <v>42253.18</v>
          </cell>
          <cell r="K488">
            <v>42253.18</v>
          </cell>
        </row>
        <row r="489">
          <cell r="A489" t="str">
            <v>В-18370/КЛ.Транш - 1_В-20211230/Ц</v>
          </cell>
          <cell r="B489" t="str">
            <v>Богданов Борис Владимирович</v>
          </cell>
          <cell r="C489">
            <v>877</v>
          </cell>
          <cell r="D489">
            <v>44586</v>
          </cell>
          <cell r="E489">
            <v>19795.330000000002</v>
          </cell>
          <cell r="F489">
            <v>19795.330000000002</v>
          </cell>
          <cell r="K489">
            <v>19795.330000000002</v>
          </cell>
        </row>
        <row r="490">
          <cell r="A490" t="str">
            <v>В-20855/КЛ.Транш - 1_В-20211230/Ц</v>
          </cell>
          <cell r="B490" t="str">
            <v>Лебедева Евгения Александровна</v>
          </cell>
          <cell r="C490">
            <v>877</v>
          </cell>
          <cell r="D490">
            <v>44586</v>
          </cell>
          <cell r="E490">
            <v>120069.83</v>
          </cell>
          <cell r="F490">
            <v>120069.83</v>
          </cell>
          <cell r="K490">
            <v>120069.83</v>
          </cell>
        </row>
        <row r="491">
          <cell r="A491" t="str">
            <v>В-24021/КЛ.Транш - 1_В-20211230/Ц</v>
          </cell>
          <cell r="B491" t="str">
            <v>Кострюков Сергей Вячеславович</v>
          </cell>
          <cell r="C491">
            <v>877</v>
          </cell>
          <cell r="D491">
            <v>44586</v>
          </cell>
          <cell r="E491">
            <v>137697</v>
          </cell>
          <cell r="F491">
            <v>137697</v>
          </cell>
          <cell r="G491">
            <v>35976.559999999998</v>
          </cell>
          <cell r="H491">
            <v>35976.559999999998</v>
          </cell>
          <cell r="I491">
            <v>2131.48</v>
          </cell>
          <cell r="J491">
            <v>2131.48</v>
          </cell>
          <cell r="K491">
            <v>99588.96</v>
          </cell>
        </row>
        <row r="492">
          <cell r="A492" t="str">
            <v>В-12401/КЛ.Транш - 1_В-21082023/Ц</v>
          </cell>
          <cell r="B492" t="str">
            <v>Джабраилов Саид-Хусейн Хасанович</v>
          </cell>
          <cell r="C492">
            <v>876</v>
          </cell>
          <cell r="D492">
            <v>44587</v>
          </cell>
          <cell r="E492">
            <v>148956.49</v>
          </cell>
          <cell r="F492">
            <v>148956.49</v>
          </cell>
          <cell r="G492">
            <v>125658</v>
          </cell>
          <cell r="H492">
            <v>125658</v>
          </cell>
          <cell r="I492">
            <v>20380.71</v>
          </cell>
          <cell r="J492">
            <v>20380.71</v>
          </cell>
          <cell r="K492">
            <v>2917.78</v>
          </cell>
        </row>
        <row r="493">
          <cell r="A493" t="str">
            <v>В-12401/КЛ.Транш - 2_В-21082023/Ц</v>
          </cell>
          <cell r="B493" t="str">
            <v>Джабраилов Саид-Хусейн Хасанович</v>
          </cell>
          <cell r="C493">
            <v>874</v>
          </cell>
          <cell r="D493">
            <v>44589</v>
          </cell>
          <cell r="E493">
            <v>191121.34</v>
          </cell>
          <cell r="F493">
            <v>191121.34</v>
          </cell>
          <cell r="G493">
            <v>165572.75</v>
          </cell>
          <cell r="H493">
            <v>165572.75</v>
          </cell>
          <cell r="I493">
            <v>21882.81</v>
          </cell>
          <cell r="J493">
            <v>21882.81</v>
          </cell>
          <cell r="K493">
            <v>3665.78</v>
          </cell>
        </row>
        <row r="494">
          <cell r="A494" t="str">
            <v>В-10012/КЭ.Транш - 1_В-20211230/Ц</v>
          </cell>
          <cell r="B494" t="str">
            <v>АРТЭС ООО</v>
          </cell>
          <cell r="C494">
            <v>873</v>
          </cell>
          <cell r="D494">
            <v>44590</v>
          </cell>
          <cell r="E494">
            <v>2065460.8</v>
          </cell>
          <cell r="F494">
            <v>2065460.8</v>
          </cell>
          <cell r="G494">
            <v>195756.47</v>
          </cell>
          <cell r="H494">
            <v>195756.47</v>
          </cell>
          <cell r="I494">
            <v>28383.58</v>
          </cell>
          <cell r="J494">
            <v>28383.58</v>
          </cell>
          <cell r="K494">
            <v>1841320.75</v>
          </cell>
        </row>
        <row r="495">
          <cell r="A495" t="str">
            <v>В-25302/КЛ.Транш - 1_В-20211230/Ц</v>
          </cell>
          <cell r="B495" t="str">
            <v>Пеньков Алексей Александрович</v>
          </cell>
          <cell r="C495">
            <v>873</v>
          </cell>
          <cell r="D495">
            <v>44590</v>
          </cell>
          <cell r="E495">
            <v>1798292.28</v>
          </cell>
          <cell r="F495">
            <v>1798292.28</v>
          </cell>
          <cell r="G495">
            <v>996455.47</v>
          </cell>
          <cell r="H495">
            <v>996455.47</v>
          </cell>
          <cell r="I495">
            <v>331532.99</v>
          </cell>
          <cell r="J495">
            <v>331532.99</v>
          </cell>
          <cell r="K495">
            <v>470303.82</v>
          </cell>
        </row>
        <row r="496">
          <cell r="A496" t="str">
            <v>В-12427/КЛ.Транш - 3_В-21082023/Ц</v>
          </cell>
          <cell r="B496" t="str">
            <v>Хуртов Сергей Георгиевич</v>
          </cell>
          <cell r="C496">
            <v>872</v>
          </cell>
          <cell r="D496">
            <v>44591</v>
          </cell>
          <cell r="E496">
            <v>33672</v>
          </cell>
          <cell r="F496">
            <v>33672</v>
          </cell>
          <cell r="K496">
            <v>30672</v>
          </cell>
        </row>
        <row r="497">
          <cell r="A497" t="str">
            <v>В-21048/КЛ.Транш - 1_В-20211230/Ц</v>
          </cell>
          <cell r="B497" t="str">
            <v>Матузов Алексей Викторович</v>
          </cell>
          <cell r="C497">
            <v>869</v>
          </cell>
          <cell r="D497">
            <v>44594</v>
          </cell>
          <cell r="E497">
            <v>32937.47</v>
          </cell>
          <cell r="F497">
            <v>32937.47</v>
          </cell>
          <cell r="K497">
            <v>32937.47</v>
          </cell>
        </row>
        <row r="498">
          <cell r="A498" t="str">
            <v>В-17788/КЛ.Транш - 1_В-20211230/Ц</v>
          </cell>
          <cell r="B498" t="str">
            <v>Ташланова Юлия Юрьевна</v>
          </cell>
          <cell r="C498">
            <v>861</v>
          </cell>
          <cell r="D498">
            <v>44602</v>
          </cell>
          <cell r="E498">
            <v>67788.05</v>
          </cell>
          <cell r="F498">
            <v>67788.05</v>
          </cell>
          <cell r="K498">
            <v>67788.05</v>
          </cell>
        </row>
        <row r="499">
          <cell r="A499" t="str">
            <v>В-25806/КЛ.Транш - 1_В-20211230/Ц</v>
          </cell>
          <cell r="B499" t="str">
            <v>Армяновский Сергей Владимирович</v>
          </cell>
          <cell r="C499">
            <v>861</v>
          </cell>
          <cell r="D499">
            <v>44602</v>
          </cell>
          <cell r="E499">
            <v>295450.19</v>
          </cell>
          <cell r="F499">
            <v>295450.19</v>
          </cell>
          <cell r="G499">
            <v>225509.31</v>
          </cell>
          <cell r="H499">
            <v>225509.31</v>
          </cell>
          <cell r="I499">
            <v>54962.49</v>
          </cell>
          <cell r="J499">
            <v>54962.49</v>
          </cell>
          <cell r="K499">
            <v>14978.39</v>
          </cell>
        </row>
        <row r="500">
          <cell r="A500" t="str">
            <v>В-17824/КЛ.Транш - 1_В-20211230/Ц</v>
          </cell>
          <cell r="B500" t="str">
            <v>Трунтов Андрей Федорович</v>
          </cell>
          <cell r="C500">
            <v>860</v>
          </cell>
          <cell r="D500">
            <v>44603</v>
          </cell>
          <cell r="E500">
            <v>307981.92</v>
          </cell>
          <cell r="F500">
            <v>307981.92</v>
          </cell>
          <cell r="G500">
            <v>277060.77</v>
          </cell>
          <cell r="H500">
            <v>277060.77</v>
          </cell>
          <cell r="I500">
            <v>14375.86</v>
          </cell>
          <cell r="J500">
            <v>14375.86</v>
          </cell>
          <cell r="K500">
            <v>16545.29</v>
          </cell>
        </row>
        <row r="501">
          <cell r="A501" t="str">
            <v>В-12279/КЛ.Транш - 1_В-20211230/Ц</v>
          </cell>
          <cell r="B501" t="str">
            <v>Чащин Александр Станиславович</v>
          </cell>
          <cell r="C501">
            <v>859</v>
          </cell>
          <cell r="D501">
            <v>44604</v>
          </cell>
          <cell r="E501">
            <v>151045.15</v>
          </cell>
          <cell r="F501">
            <v>151045.15</v>
          </cell>
          <cell r="G501">
            <v>118689.25</v>
          </cell>
          <cell r="H501">
            <v>118689.25</v>
          </cell>
          <cell r="I501">
            <v>23575.27</v>
          </cell>
          <cell r="J501">
            <v>23575.27</v>
          </cell>
          <cell r="K501">
            <v>8780.6299999999992</v>
          </cell>
        </row>
        <row r="502">
          <cell r="A502" t="str">
            <v>В-17805/КЛ.Транш - 3_В-20211230/Ц</v>
          </cell>
          <cell r="B502" t="str">
            <v>Апухтина Виолетта Байрамовна</v>
          </cell>
          <cell r="C502">
            <v>859</v>
          </cell>
          <cell r="D502">
            <v>44604</v>
          </cell>
          <cell r="E502">
            <v>175450.58</v>
          </cell>
          <cell r="F502">
            <v>175450.58</v>
          </cell>
          <cell r="G502">
            <v>111799</v>
          </cell>
          <cell r="H502">
            <v>111799</v>
          </cell>
          <cell r="I502">
            <v>11792.49</v>
          </cell>
          <cell r="J502">
            <v>11792.49</v>
          </cell>
          <cell r="K502">
            <v>51859.09</v>
          </cell>
        </row>
        <row r="503">
          <cell r="A503" t="str">
            <v>В-14178/КЛ.Транш - 1_В-20211230/Ц</v>
          </cell>
          <cell r="B503" t="str">
            <v>Киселев Андрей Владимирович</v>
          </cell>
          <cell r="C503">
            <v>856</v>
          </cell>
          <cell r="D503">
            <v>44607</v>
          </cell>
          <cell r="E503">
            <v>94447.35</v>
          </cell>
          <cell r="F503">
            <v>94447.35</v>
          </cell>
          <cell r="G503">
            <v>70754.86</v>
          </cell>
          <cell r="H503">
            <v>70754.86</v>
          </cell>
          <cell r="I503">
            <v>18572.669999999998</v>
          </cell>
          <cell r="J503">
            <v>18572.669999999998</v>
          </cell>
          <cell r="K503">
            <v>5119.82</v>
          </cell>
        </row>
        <row r="504">
          <cell r="A504" t="str">
            <v>В-18757/КЛ.Транш - 1_В-20211230/Ц</v>
          </cell>
          <cell r="B504" t="str">
            <v>Машковцев Алексей Валерьевич</v>
          </cell>
          <cell r="C504">
            <v>856</v>
          </cell>
          <cell r="D504">
            <v>44607</v>
          </cell>
          <cell r="E504">
            <v>167500</v>
          </cell>
          <cell r="F504">
            <v>167500</v>
          </cell>
          <cell r="G504">
            <v>151175.47</v>
          </cell>
          <cell r="H504">
            <v>151175.47</v>
          </cell>
          <cell r="K504">
            <v>16324.53</v>
          </cell>
        </row>
        <row r="505">
          <cell r="A505" t="str">
            <v>В-17062/КЛ.Транш - 2_В-20211230/Ц</v>
          </cell>
          <cell r="B505" t="str">
            <v>Мацола Артём Иванович</v>
          </cell>
          <cell r="C505">
            <v>855</v>
          </cell>
          <cell r="D505">
            <v>44608</v>
          </cell>
          <cell r="E505">
            <v>137065.20000000001</v>
          </cell>
          <cell r="F505">
            <v>137065.20000000001</v>
          </cell>
          <cell r="G505">
            <v>116694.96</v>
          </cell>
          <cell r="H505">
            <v>116694.96</v>
          </cell>
          <cell r="I505">
            <v>11989.21</v>
          </cell>
          <cell r="J505">
            <v>11989.21</v>
          </cell>
          <cell r="K505">
            <v>8381.0300000000007</v>
          </cell>
        </row>
        <row r="506">
          <cell r="A506" t="str">
            <v>В-17062/КЛ.Транш - 3_В-20211230/Ц</v>
          </cell>
          <cell r="B506" t="str">
            <v>Мацола Артём Иванович</v>
          </cell>
          <cell r="C506">
            <v>855</v>
          </cell>
          <cell r="D506">
            <v>44608</v>
          </cell>
          <cell r="E506">
            <v>197891.23</v>
          </cell>
          <cell r="F506">
            <v>197891.23</v>
          </cell>
          <cell r="G506">
            <v>163263.93</v>
          </cell>
          <cell r="H506">
            <v>163263.93</v>
          </cell>
          <cell r="I506">
            <v>22901.68</v>
          </cell>
          <cell r="J506">
            <v>22901.68</v>
          </cell>
          <cell r="K506">
            <v>11725.62</v>
          </cell>
        </row>
        <row r="507">
          <cell r="A507" t="str">
            <v>В-20490/КЛ.Транш - 1_В-21082023/Ц</v>
          </cell>
          <cell r="B507" t="str">
            <v>Муравьев Сергей Сергеевич</v>
          </cell>
          <cell r="C507">
            <v>855</v>
          </cell>
          <cell r="D507">
            <v>44608</v>
          </cell>
          <cell r="E507">
            <v>345922.99</v>
          </cell>
          <cell r="F507">
            <v>345922.99</v>
          </cell>
          <cell r="G507">
            <v>221017.86</v>
          </cell>
          <cell r="H507">
            <v>221017.86</v>
          </cell>
          <cell r="I507">
            <v>45293.53</v>
          </cell>
          <cell r="J507">
            <v>45293.53</v>
          </cell>
          <cell r="K507">
            <v>67623.17</v>
          </cell>
        </row>
        <row r="508">
          <cell r="A508" t="str">
            <v>В-21574/КЛ.Транш - 1_В-20211230/Ц</v>
          </cell>
          <cell r="B508" t="str">
            <v>Тряпко Владимир Александрович</v>
          </cell>
          <cell r="C508">
            <v>855</v>
          </cell>
          <cell r="D508">
            <v>44608</v>
          </cell>
          <cell r="E508">
            <v>345124.76</v>
          </cell>
          <cell r="F508">
            <v>345124.76</v>
          </cell>
          <cell r="G508">
            <v>283080.28000000003</v>
          </cell>
          <cell r="H508">
            <v>283080.28000000003</v>
          </cell>
          <cell r="I508">
            <v>41713.65</v>
          </cell>
          <cell r="J508">
            <v>41713.65</v>
          </cell>
          <cell r="K508">
            <v>20330.830000000002</v>
          </cell>
        </row>
        <row r="509">
          <cell r="A509" t="str">
            <v>В-20952/КЛ.Транш - 4_В-21082023/Ц</v>
          </cell>
          <cell r="B509" t="str">
            <v>Ширманов Никита Александрович</v>
          </cell>
          <cell r="C509">
            <v>854</v>
          </cell>
          <cell r="D509">
            <v>44609</v>
          </cell>
          <cell r="E509">
            <v>118474.08</v>
          </cell>
          <cell r="F509">
            <v>179069.52</v>
          </cell>
          <cell r="G509">
            <v>84770.39</v>
          </cell>
          <cell r="H509">
            <v>24565.87</v>
          </cell>
          <cell r="I509">
            <v>66907.75</v>
          </cell>
          <cell r="J509">
            <v>67298.67</v>
          </cell>
          <cell r="K509">
            <v>27000.46</v>
          </cell>
        </row>
        <row r="510">
          <cell r="A510" t="str">
            <v>В-08745/КЛ.Транш - 1_В-21082023/Ц</v>
          </cell>
          <cell r="B510" t="str">
            <v>Правдивцева Наталья Владимировна</v>
          </cell>
          <cell r="C510">
            <v>853</v>
          </cell>
          <cell r="D510">
            <v>44610</v>
          </cell>
          <cell r="E510">
            <v>234195.41</v>
          </cell>
          <cell r="F510">
            <v>234195.41</v>
          </cell>
          <cell r="G510">
            <v>148567.23000000001</v>
          </cell>
          <cell r="H510">
            <v>148567.23000000001</v>
          </cell>
          <cell r="I510">
            <v>41583.94</v>
          </cell>
          <cell r="J510">
            <v>41583.94</v>
          </cell>
          <cell r="K510">
            <v>44044.24</v>
          </cell>
        </row>
        <row r="511">
          <cell r="A511" t="str">
            <v>В-24878/КЛ.Транш - 1_В-20211230/Ц</v>
          </cell>
          <cell r="B511" t="str">
            <v>Мовсесян Гарик Вагифович</v>
          </cell>
          <cell r="C511">
            <v>852</v>
          </cell>
          <cell r="D511">
            <v>44611</v>
          </cell>
          <cell r="E511">
            <v>578361.67000000004</v>
          </cell>
          <cell r="F511">
            <v>578361.67000000004</v>
          </cell>
          <cell r="G511">
            <v>449305.93</v>
          </cell>
          <cell r="H511">
            <v>449305.93</v>
          </cell>
          <cell r="I511">
            <v>97514.46</v>
          </cell>
          <cell r="J511">
            <v>97514.46</v>
          </cell>
          <cell r="K511">
            <v>31541.279999999999</v>
          </cell>
        </row>
        <row r="512">
          <cell r="A512" t="str">
            <v>В-11534/КЛ.Транш - 2_В-20211230/Ц</v>
          </cell>
          <cell r="B512" t="str">
            <v>Иванов Владимир Леонидович</v>
          </cell>
          <cell r="C512">
            <v>851</v>
          </cell>
          <cell r="D512">
            <v>44612</v>
          </cell>
          <cell r="E512">
            <v>253711.37</v>
          </cell>
          <cell r="F512">
            <v>253711.37</v>
          </cell>
          <cell r="G512">
            <v>188012.23</v>
          </cell>
          <cell r="H512">
            <v>188012.23</v>
          </cell>
          <cell r="I512">
            <v>52602.21</v>
          </cell>
          <cell r="J512">
            <v>52602.21</v>
          </cell>
          <cell r="K512">
            <v>13096.93</v>
          </cell>
        </row>
        <row r="513">
          <cell r="A513" t="str">
            <v>В-13336/КЛ.Транш - 2_В-21082023/Ц</v>
          </cell>
          <cell r="B513" t="str">
            <v>Алыбаев Долеткельди Ягудович</v>
          </cell>
          <cell r="C513">
            <v>849</v>
          </cell>
          <cell r="D513">
            <v>44614</v>
          </cell>
          <cell r="E513">
            <v>269323.46999999997</v>
          </cell>
          <cell r="F513">
            <v>269323.46999999997</v>
          </cell>
          <cell r="G513">
            <v>195543.37</v>
          </cell>
          <cell r="H513">
            <v>195543.37</v>
          </cell>
          <cell r="I513">
            <v>21816.34</v>
          </cell>
          <cell r="J513">
            <v>21816.34</v>
          </cell>
          <cell r="K513">
            <v>51963.76</v>
          </cell>
        </row>
        <row r="514">
          <cell r="A514" t="str">
            <v>В-17106/КЛ.Транш - 1_В-20211230/Ц</v>
          </cell>
          <cell r="B514" t="str">
            <v>Кебурия Илья Нугзариевич</v>
          </cell>
          <cell r="C514">
            <v>849</v>
          </cell>
          <cell r="D514">
            <v>44614</v>
          </cell>
          <cell r="E514">
            <v>84643.06</v>
          </cell>
          <cell r="F514">
            <v>84643.06</v>
          </cell>
          <cell r="G514">
            <v>67895.75</v>
          </cell>
          <cell r="H514">
            <v>67895.75</v>
          </cell>
          <cell r="I514">
            <v>12091.02</v>
          </cell>
          <cell r="J514">
            <v>12091.02</v>
          </cell>
          <cell r="K514">
            <v>4656.29</v>
          </cell>
        </row>
        <row r="515">
          <cell r="A515" t="str">
            <v>В-24927/КЛ.Транш - 1_В-20211230/Ц</v>
          </cell>
          <cell r="B515" t="str">
            <v>Златин Денис Петрович</v>
          </cell>
          <cell r="C515">
            <v>849</v>
          </cell>
          <cell r="D515">
            <v>44614</v>
          </cell>
          <cell r="E515">
            <v>220947.03</v>
          </cell>
          <cell r="F515">
            <v>220947.03</v>
          </cell>
          <cell r="G515">
            <v>168816.6</v>
          </cell>
          <cell r="H515">
            <v>168816.6</v>
          </cell>
          <cell r="I515">
            <v>40552.99</v>
          </cell>
          <cell r="J515">
            <v>40552.99</v>
          </cell>
          <cell r="K515">
            <v>11577.44</v>
          </cell>
        </row>
        <row r="516">
          <cell r="A516" t="str">
            <v>В-21858/КЛ.Транш - 1_В-20211230/Ц</v>
          </cell>
          <cell r="B516" t="str">
            <v>Тонконогов Артем Андреевич</v>
          </cell>
          <cell r="C516">
            <v>848</v>
          </cell>
          <cell r="D516">
            <v>44615</v>
          </cell>
          <cell r="E516">
            <v>475165.18</v>
          </cell>
          <cell r="F516">
            <v>475165.18</v>
          </cell>
          <cell r="G516">
            <v>260536.4</v>
          </cell>
          <cell r="H516">
            <v>260536.4</v>
          </cell>
          <cell r="K516">
            <v>214628.78</v>
          </cell>
        </row>
        <row r="517">
          <cell r="A517" t="str">
            <v>В-14907/КЛ.Транш - 1_В-20211230/Ц</v>
          </cell>
          <cell r="B517" t="str">
            <v>Аперян Любовь Артуровна</v>
          </cell>
          <cell r="C517">
            <v>847</v>
          </cell>
          <cell r="D517">
            <v>44616</v>
          </cell>
          <cell r="E517">
            <v>18357.53</v>
          </cell>
          <cell r="F517">
            <v>18357.53</v>
          </cell>
          <cell r="G517">
            <v>13559.44</v>
          </cell>
          <cell r="H517">
            <v>13559.44</v>
          </cell>
          <cell r="I517">
            <v>3882.83</v>
          </cell>
          <cell r="J517">
            <v>3882.83</v>
          </cell>
          <cell r="K517">
            <v>915.26</v>
          </cell>
        </row>
        <row r="518">
          <cell r="A518" t="str">
            <v>В-25131/КЛ.Транш - 1_В-20211230/Ц</v>
          </cell>
          <cell r="B518" t="str">
            <v>Айрапетян Нарек Гайкович</v>
          </cell>
          <cell r="C518">
            <v>847</v>
          </cell>
          <cell r="D518">
            <v>44616</v>
          </cell>
          <cell r="E518">
            <v>504946.8</v>
          </cell>
          <cell r="F518">
            <v>504946.8</v>
          </cell>
          <cell r="G518">
            <v>290917.65000000002</v>
          </cell>
          <cell r="H518">
            <v>290917.65000000002</v>
          </cell>
          <cell r="K518">
            <v>196098.26</v>
          </cell>
        </row>
        <row r="519">
          <cell r="A519" t="str">
            <v>В-11534/КЛ.Транш - 1_В-20211230/Ц</v>
          </cell>
          <cell r="B519" t="str">
            <v>Иванов Владимир Леонидович</v>
          </cell>
          <cell r="C519">
            <v>846</v>
          </cell>
          <cell r="D519">
            <v>44617</v>
          </cell>
          <cell r="E519">
            <v>287904.3</v>
          </cell>
          <cell r="F519">
            <v>287904.3</v>
          </cell>
          <cell r="G519">
            <v>230479.84</v>
          </cell>
          <cell r="H519">
            <v>230479.84</v>
          </cell>
          <cell r="I519">
            <v>41991.53</v>
          </cell>
          <cell r="J519">
            <v>41991.53</v>
          </cell>
          <cell r="K519">
            <v>15432.93</v>
          </cell>
        </row>
        <row r="520">
          <cell r="A520" t="str">
            <v>В-14544/КЛ.Транш - 1_В-20211230/Ц</v>
          </cell>
          <cell r="B520" t="str">
            <v>Солдатенков Алексей Геннадиевич</v>
          </cell>
          <cell r="C520">
            <v>846</v>
          </cell>
          <cell r="D520">
            <v>44617</v>
          </cell>
          <cell r="E520">
            <v>221601.18</v>
          </cell>
          <cell r="F520">
            <v>221601.18</v>
          </cell>
          <cell r="G520">
            <v>169768.2</v>
          </cell>
          <cell r="H520">
            <v>169768.2</v>
          </cell>
          <cell r="I520">
            <v>40465.300000000003</v>
          </cell>
          <cell r="J520">
            <v>40465.300000000003</v>
          </cell>
          <cell r="K520">
            <v>11367.68</v>
          </cell>
        </row>
        <row r="521">
          <cell r="A521" t="str">
            <v>В-14544/КЛ.Транш - 2_В-20211230/Ц</v>
          </cell>
          <cell r="B521" t="str">
            <v>Солдатенков Алексей Геннадиевич</v>
          </cell>
          <cell r="C521">
            <v>846</v>
          </cell>
          <cell r="D521">
            <v>44617</v>
          </cell>
          <cell r="E521">
            <v>173544.82</v>
          </cell>
          <cell r="F521">
            <v>173544.82</v>
          </cell>
          <cell r="G521">
            <v>130000</v>
          </cell>
          <cell r="H521">
            <v>130000</v>
          </cell>
          <cell r="I521">
            <v>34840.019999999997</v>
          </cell>
          <cell r="J521">
            <v>34840.019999999997</v>
          </cell>
          <cell r="K521">
            <v>8704.7999999999993</v>
          </cell>
        </row>
        <row r="522">
          <cell r="A522" t="str">
            <v>В-22057/КЛ.Транш - 2_В-20211230/Ц</v>
          </cell>
          <cell r="B522" t="str">
            <v>Лихачева Мария Николаевна</v>
          </cell>
          <cell r="C522">
            <v>846</v>
          </cell>
          <cell r="D522">
            <v>44617</v>
          </cell>
          <cell r="E522">
            <v>210348.02</v>
          </cell>
          <cell r="F522">
            <v>210348.02</v>
          </cell>
          <cell r="G522">
            <v>157374.98000000001</v>
          </cell>
          <cell r="H522">
            <v>157374.98000000001</v>
          </cell>
          <cell r="I522">
            <v>42435.21</v>
          </cell>
          <cell r="J522">
            <v>42435.21</v>
          </cell>
          <cell r="K522">
            <v>10537.83</v>
          </cell>
        </row>
        <row r="523">
          <cell r="A523" t="str">
            <v>В-27521/КЛ.Транш - 1_В-20211230/Ц</v>
          </cell>
          <cell r="B523" t="str">
            <v>Невкипелый Дмитрий Валерьевич</v>
          </cell>
          <cell r="C523">
            <v>846</v>
          </cell>
          <cell r="D523">
            <v>44617</v>
          </cell>
          <cell r="E523">
            <v>280487.65999999997</v>
          </cell>
          <cell r="F523">
            <v>280487.65999999997</v>
          </cell>
          <cell r="G523">
            <v>269513.53000000003</v>
          </cell>
          <cell r="H523">
            <v>269513.53000000003</v>
          </cell>
          <cell r="K523">
            <v>10974.13</v>
          </cell>
        </row>
        <row r="524">
          <cell r="A524" t="str">
            <v>В-01051/АЗ_В-20211230/Ц</v>
          </cell>
          <cell r="B524" t="str">
            <v>Демченко Андрей Сергеевич</v>
          </cell>
          <cell r="C524">
            <v>845</v>
          </cell>
          <cell r="D524">
            <v>44618</v>
          </cell>
          <cell r="E524">
            <v>897464.16</v>
          </cell>
          <cell r="F524">
            <v>897464.16</v>
          </cell>
          <cell r="G524">
            <v>485590.5</v>
          </cell>
          <cell r="H524">
            <v>485590.5</v>
          </cell>
          <cell r="I524">
            <v>192586.54</v>
          </cell>
          <cell r="J524">
            <v>192586.54</v>
          </cell>
          <cell r="K524">
            <v>219287.12</v>
          </cell>
        </row>
        <row r="525">
          <cell r="A525" t="str">
            <v>В-00068/КЭ.Транш - 1_В-20211230/Ц</v>
          </cell>
          <cell r="B525" t="str">
            <v>Бизнес Бухгалтер ООО</v>
          </cell>
          <cell r="C525">
            <v>843</v>
          </cell>
          <cell r="D525">
            <v>44620</v>
          </cell>
          <cell r="E525">
            <v>2729864.41</v>
          </cell>
          <cell r="F525">
            <v>2729864.41</v>
          </cell>
          <cell r="G525">
            <v>255257.44</v>
          </cell>
          <cell r="H525">
            <v>255257.44</v>
          </cell>
          <cell r="I525">
            <v>48184.22</v>
          </cell>
          <cell r="J525">
            <v>48184.22</v>
          </cell>
          <cell r="K525">
            <v>2426422.75</v>
          </cell>
        </row>
        <row r="526">
          <cell r="A526" t="str">
            <v>В-17062/КЛ.Транш - 1_В-20211230/Ц</v>
          </cell>
          <cell r="B526" t="str">
            <v>Мацола Артём Иванович</v>
          </cell>
          <cell r="C526">
            <v>843</v>
          </cell>
          <cell r="D526">
            <v>44620</v>
          </cell>
          <cell r="E526">
            <v>134489.06</v>
          </cell>
          <cell r="F526">
            <v>134489.06</v>
          </cell>
          <cell r="G526">
            <v>117058.82</v>
          </cell>
          <cell r="H526">
            <v>117058.82</v>
          </cell>
          <cell r="I526">
            <v>9781.6200000000008</v>
          </cell>
          <cell r="J526">
            <v>9781.6200000000008</v>
          </cell>
          <cell r="K526">
            <v>7648.62</v>
          </cell>
        </row>
        <row r="527">
          <cell r="A527" t="str">
            <v>В-22057/КЛ.Транш - 1_В-20211230/Ц</v>
          </cell>
          <cell r="B527" t="str">
            <v>Лихачева Мария Николаевна</v>
          </cell>
          <cell r="C527">
            <v>843</v>
          </cell>
          <cell r="D527">
            <v>44620</v>
          </cell>
          <cell r="E527">
            <v>724410.15</v>
          </cell>
          <cell r="F527">
            <v>724410.15</v>
          </cell>
          <cell r="G527">
            <v>583556.47</v>
          </cell>
          <cell r="H527">
            <v>583556.47</v>
          </cell>
          <cell r="I527">
            <v>102724.1</v>
          </cell>
          <cell r="J527">
            <v>102724.1</v>
          </cell>
          <cell r="K527">
            <v>38129.58</v>
          </cell>
        </row>
        <row r="528">
          <cell r="A528" t="str">
            <v>В-25304/АЗ_В-20211230/Ц</v>
          </cell>
          <cell r="B528" t="str">
            <v>Гаврин Валентин Николаевич</v>
          </cell>
          <cell r="C528">
            <v>843</v>
          </cell>
          <cell r="D528">
            <v>44620</v>
          </cell>
          <cell r="E528">
            <v>1291563.54</v>
          </cell>
          <cell r="F528">
            <v>1291563.54</v>
          </cell>
          <cell r="G528">
            <v>992657.44</v>
          </cell>
          <cell r="H528">
            <v>992657.44</v>
          </cell>
          <cell r="I528">
            <v>234045.86</v>
          </cell>
          <cell r="J528">
            <v>234045.86</v>
          </cell>
          <cell r="K528">
            <v>64860.24</v>
          </cell>
        </row>
        <row r="529">
          <cell r="A529" t="str">
            <v>В-26776/КЛ.Транш - 1_В-20211230/Ц</v>
          </cell>
          <cell r="B529" t="str">
            <v>Комаров Андрей Сергеевич</v>
          </cell>
          <cell r="C529">
            <v>843</v>
          </cell>
          <cell r="D529">
            <v>44620</v>
          </cell>
          <cell r="E529">
            <v>1085577.21</v>
          </cell>
          <cell r="F529">
            <v>1085577.21</v>
          </cell>
          <cell r="G529">
            <v>894567.06</v>
          </cell>
          <cell r="H529">
            <v>894567.06</v>
          </cell>
          <cell r="I529">
            <v>183815.15</v>
          </cell>
          <cell r="J529">
            <v>183815.15</v>
          </cell>
          <cell r="K529">
            <v>7195</v>
          </cell>
        </row>
        <row r="530">
          <cell r="A530" t="str">
            <v>В-27747/КЛ.Транш - 1_В-20211230/Ц</v>
          </cell>
          <cell r="B530" t="str">
            <v>Гусейнов Магомед Динисламович</v>
          </cell>
          <cell r="C530">
            <v>843</v>
          </cell>
          <cell r="D530">
            <v>44620</v>
          </cell>
          <cell r="E530">
            <v>145625.62</v>
          </cell>
          <cell r="F530">
            <v>145625.62</v>
          </cell>
          <cell r="G530">
            <v>110000</v>
          </cell>
          <cell r="H530">
            <v>110000</v>
          </cell>
          <cell r="I530">
            <v>32909.58</v>
          </cell>
          <cell r="J530">
            <v>32909.58</v>
          </cell>
          <cell r="K530">
            <v>2716.04</v>
          </cell>
        </row>
        <row r="531">
          <cell r="A531" t="str">
            <v>В-00070/КЭ.Транш - 1_В-20211230/Ц</v>
          </cell>
          <cell r="B531" t="str">
            <v>ТехТара ООО</v>
          </cell>
          <cell r="C531">
            <v>841</v>
          </cell>
          <cell r="D531">
            <v>44622</v>
          </cell>
          <cell r="E531">
            <v>2044402.67</v>
          </cell>
          <cell r="F531">
            <v>2044402.67</v>
          </cell>
          <cell r="G531">
            <v>189983.15</v>
          </cell>
          <cell r="H531">
            <v>189983.15</v>
          </cell>
          <cell r="I531">
            <v>34847.599999999999</v>
          </cell>
          <cell r="J531">
            <v>34847.599999999999</v>
          </cell>
          <cell r="K531">
            <v>1819571.92</v>
          </cell>
        </row>
        <row r="532">
          <cell r="A532" t="str">
            <v>В-19451/КЛ.Транш - 2_В-20211230/Ц</v>
          </cell>
          <cell r="B532" t="str">
            <v>Устинов Максим Викторович</v>
          </cell>
          <cell r="C532">
            <v>841</v>
          </cell>
          <cell r="D532">
            <v>44622</v>
          </cell>
          <cell r="E532">
            <v>109698.3</v>
          </cell>
          <cell r="F532">
            <v>109698.3</v>
          </cell>
          <cell r="G532">
            <v>86699.6</v>
          </cell>
          <cell r="H532">
            <v>86699.6</v>
          </cell>
          <cell r="I532">
            <v>17427.38</v>
          </cell>
          <cell r="J532">
            <v>17427.38</v>
          </cell>
          <cell r="K532">
            <v>5571.32</v>
          </cell>
        </row>
        <row r="533">
          <cell r="A533" t="str">
            <v>В-07877/КЛ.Транш - 12_В-21082023/Ц</v>
          </cell>
          <cell r="B533" t="str">
            <v>Кильдюшкин Андрей Николаевич</v>
          </cell>
          <cell r="C533">
            <v>837</v>
          </cell>
          <cell r="D533">
            <v>44626</v>
          </cell>
          <cell r="E533">
            <v>222319.52</v>
          </cell>
          <cell r="F533">
            <v>222319.52</v>
          </cell>
          <cell r="G533">
            <v>81525.179999999993</v>
          </cell>
          <cell r="H533">
            <v>81525.179999999993</v>
          </cell>
          <cell r="I533">
            <v>103994.85</v>
          </cell>
          <cell r="J533">
            <v>103994.85</v>
          </cell>
          <cell r="K533">
            <v>36799.49</v>
          </cell>
        </row>
        <row r="534">
          <cell r="A534" t="str">
            <v>В-20218/КЛ.Транш - 1_В-20211230/Ц</v>
          </cell>
          <cell r="B534" t="str">
            <v>Проклов Игорь Петрович</v>
          </cell>
          <cell r="C534">
            <v>834</v>
          </cell>
          <cell r="D534">
            <v>44629</v>
          </cell>
          <cell r="E534">
            <v>257372.57</v>
          </cell>
          <cell r="F534">
            <v>257372.57</v>
          </cell>
          <cell r="G534">
            <v>205526.33</v>
          </cell>
          <cell r="H534">
            <v>205526.33</v>
          </cell>
          <cell r="I534">
            <v>39416.01</v>
          </cell>
          <cell r="J534">
            <v>39416.01</v>
          </cell>
          <cell r="K534">
            <v>12430.23</v>
          </cell>
        </row>
        <row r="535">
          <cell r="A535" t="str">
            <v>В-27006/КЛ.Транш - 1_В-20211230/Ц</v>
          </cell>
          <cell r="B535" t="str">
            <v>Валиков Алексей Анатольевич</v>
          </cell>
          <cell r="C535">
            <v>833</v>
          </cell>
          <cell r="D535">
            <v>44630</v>
          </cell>
          <cell r="E535">
            <v>107080.9</v>
          </cell>
          <cell r="F535">
            <v>107080.9</v>
          </cell>
          <cell r="I535">
            <v>10511.96</v>
          </cell>
          <cell r="J535">
            <v>10511.96</v>
          </cell>
          <cell r="K535">
            <v>96568.94</v>
          </cell>
        </row>
        <row r="536">
          <cell r="A536" t="str">
            <v>В-14907/КЛ.Транш - 2_В-20211230/Ц</v>
          </cell>
          <cell r="B536" t="str">
            <v>Аперян Любовь Артуровна</v>
          </cell>
          <cell r="C536">
            <v>831</v>
          </cell>
          <cell r="D536">
            <v>44632</v>
          </cell>
          <cell r="E536">
            <v>782720.84</v>
          </cell>
          <cell r="F536">
            <v>782720.84</v>
          </cell>
          <cell r="G536">
            <v>585600</v>
          </cell>
          <cell r="H536">
            <v>585600</v>
          </cell>
          <cell r="I536">
            <v>162652.42000000001</v>
          </cell>
          <cell r="J536">
            <v>162652.42000000001</v>
          </cell>
          <cell r="K536">
            <v>34468.42</v>
          </cell>
        </row>
        <row r="537">
          <cell r="A537" t="str">
            <v>В-17752/КЛ.Транш - 1_В-20211230/Ц</v>
          </cell>
          <cell r="B537" t="str">
            <v>Симонов Станислав Валерьевич</v>
          </cell>
          <cell r="C537">
            <v>831</v>
          </cell>
          <cell r="D537">
            <v>44632</v>
          </cell>
          <cell r="E537">
            <v>369867.04</v>
          </cell>
          <cell r="F537">
            <v>369867.04</v>
          </cell>
          <cell r="G537">
            <v>296850.77</v>
          </cell>
          <cell r="H537">
            <v>296850.77</v>
          </cell>
          <cell r="I537">
            <v>55543.63</v>
          </cell>
          <cell r="J537">
            <v>55543.63</v>
          </cell>
          <cell r="K537">
            <v>17472.64</v>
          </cell>
        </row>
        <row r="538">
          <cell r="A538" t="str">
            <v>В-27050/АЗ_В-20211230/Ц</v>
          </cell>
          <cell r="B538" t="str">
            <v>Бутурлакин Марк Николаевич</v>
          </cell>
          <cell r="C538">
            <v>831</v>
          </cell>
          <cell r="D538">
            <v>44632</v>
          </cell>
          <cell r="E538">
            <v>536324.46</v>
          </cell>
          <cell r="F538">
            <v>536324.46</v>
          </cell>
          <cell r="G538">
            <v>413095.75</v>
          </cell>
          <cell r="H538">
            <v>413095.75</v>
          </cell>
          <cell r="I538">
            <v>119390.32</v>
          </cell>
          <cell r="J538">
            <v>119390.32</v>
          </cell>
          <cell r="K538">
            <v>3838.39</v>
          </cell>
        </row>
        <row r="539">
          <cell r="A539" t="str">
            <v>В-17752/КЛ.Транш - 2_В-20211230/Ц</v>
          </cell>
          <cell r="B539" t="str">
            <v>Симонов Станислав Валерьевич</v>
          </cell>
          <cell r="C539">
            <v>827</v>
          </cell>
          <cell r="D539">
            <v>44636</v>
          </cell>
          <cell r="E539">
            <v>135442.16</v>
          </cell>
          <cell r="F539">
            <v>135442.16</v>
          </cell>
          <cell r="G539">
            <v>109325.25</v>
          </cell>
          <cell r="H539">
            <v>109325.25</v>
          </cell>
          <cell r="I539">
            <v>19918.169999999998</v>
          </cell>
          <cell r="J539">
            <v>19918.169999999998</v>
          </cell>
          <cell r="K539">
            <v>6198.74</v>
          </cell>
        </row>
        <row r="540">
          <cell r="A540" t="str">
            <v>В-15393/КЛ.Транш - 1_В-20211230/Ц</v>
          </cell>
          <cell r="B540" t="str">
            <v>Темникова Оксана Дмитриевна</v>
          </cell>
          <cell r="C540">
            <v>826</v>
          </cell>
          <cell r="D540">
            <v>44637</v>
          </cell>
          <cell r="E540">
            <v>117663.15</v>
          </cell>
          <cell r="F540">
            <v>117663.15</v>
          </cell>
          <cell r="G540">
            <v>92548.6</v>
          </cell>
          <cell r="H540">
            <v>92548.6</v>
          </cell>
          <cell r="I540">
            <v>19917.02</v>
          </cell>
          <cell r="J540">
            <v>19917.02</v>
          </cell>
          <cell r="K540">
            <v>5197.53</v>
          </cell>
        </row>
        <row r="541">
          <cell r="A541" t="str">
            <v>В-07877/КЛ.Транш - 15_В-21082023/Ц</v>
          </cell>
          <cell r="B541" t="str">
            <v>Кильдюшкин Андрей Николаевич</v>
          </cell>
          <cell r="C541">
            <v>825</v>
          </cell>
          <cell r="D541">
            <v>44638</v>
          </cell>
          <cell r="E541">
            <v>227711.04</v>
          </cell>
          <cell r="F541">
            <v>234193.79</v>
          </cell>
          <cell r="G541">
            <v>86951.96</v>
          </cell>
          <cell r="H541">
            <v>80490.45</v>
          </cell>
          <cell r="I541">
            <v>109180.89</v>
          </cell>
          <cell r="J541">
            <v>109202.13</v>
          </cell>
          <cell r="K541">
            <v>38039.699999999997</v>
          </cell>
        </row>
        <row r="542">
          <cell r="A542" t="str">
            <v>В-26093/КЛ.Транш - 1_В-20211230/Ц</v>
          </cell>
          <cell r="B542" t="str">
            <v>Храмцова Дарья Юрьевна</v>
          </cell>
          <cell r="C542">
            <v>823</v>
          </cell>
          <cell r="D542">
            <v>44640</v>
          </cell>
          <cell r="E542">
            <v>318985.53000000003</v>
          </cell>
          <cell r="F542">
            <v>318985.53000000003</v>
          </cell>
          <cell r="G542">
            <v>153752.76</v>
          </cell>
          <cell r="H542">
            <v>153752.76</v>
          </cell>
          <cell r="I542">
            <v>133131.68</v>
          </cell>
          <cell r="J542">
            <v>133131.68</v>
          </cell>
          <cell r="K542">
            <v>32101.09</v>
          </cell>
        </row>
        <row r="543">
          <cell r="A543" t="str">
            <v>В-07877/КЛ.Транш - 14_В-21082023/Ц</v>
          </cell>
          <cell r="B543" t="str">
            <v>Кильдюшкин Андрей Николаевич</v>
          </cell>
          <cell r="C543">
            <v>822</v>
          </cell>
          <cell r="D543">
            <v>44641</v>
          </cell>
          <cell r="E543">
            <v>165324.79</v>
          </cell>
          <cell r="F543">
            <v>165324.79</v>
          </cell>
          <cell r="G543">
            <v>61346.76</v>
          </cell>
          <cell r="H543">
            <v>61346.76</v>
          </cell>
          <cell r="I543">
            <v>76742.289999999994</v>
          </cell>
          <cell r="J543">
            <v>76742.289999999994</v>
          </cell>
          <cell r="K543">
            <v>27235.74</v>
          </cell>
        </row>
        <row r="544">
          <cell r="A544" t="str">
            <v>В-27416/АЗ_В-20211230/Ц</v>
          </cell>
          <cell r="B544" t="str">
            <v>Жолобов Алексей Юрьевич</v>
          </cell>
          <cell r="C544">
            <v>822</v>
          </cell>
          <cell r="D544">
            <v>44641</v>
          </cell>
          <cell r="E544">
            <v>290545.06</v>
          </cell>
          <cell r="F544">
            <v>290545.06</v>
          </cell>
          <cell r="G544">
            <v>42862.02</v>
          </cell>
          <cell r="H544">
            <v>42862.02</v>
          </cell>
          <cell r="I544">
            <v>238801.5</v>
          </cell>
          <cell r="J544">
            <v>238801.5</v>
          </cell>
          <cell r="K544">
            <v>8881.5400000000009</v>
          </cell>
        </row>
        <row r="545">
          <cell r="A545" t="str">
            <v>В-00077/КЭ.Транш - 1_В-20211230/Ц</v>
          </cell>
          <cell r="B545" t="str">
            <v>ДОРРЕМСТРОЙ ООО</v>
          </cell>
          <cell r="C545">
            <v>820</v>
          </cell>
          <cell r="D545">
            <v>44643</v>
          </cell>
          <cell r="E545">
            <v>2838617.95</v>
          </cell>
          <cell r="F545">
            <v>2838617.95</v>
          </cell>
          <cell r="G545">
            <v>1382886.78</v>
          </cell>
          <cell r="H545">
            <v>1382886.78</v>
          </cell>
          <cell r="I545">
            <v>187542.18</v>
          </cell>
          <cell r="J545">
            <v>187542.18</v>
          </cell>
          <cell r="K545">
            <v>1268188.99</v>
          </cell>
        </row>
        <row r="546">
          <cell r="A546" t="str">
            <v>В-19451/КЛ.Транш - 3_В-20211230/Ц</v>
          </cell>
          <cell r="B546" t="str">
            <v>Устинов Максим Викторович</v>
          </cell>
          <cell r="C546">
            <v>820</v>
          </cell>
          <cell r="D546">
            <v>44643</v>
          </cell>
          <cell r="E546">
            <v>106252.33</v>
          </cell>
          <cell r="F546">
            <v>106252.33</v>
          </cell>
          <cell r="G546">
            <v>86699.6</v>
          </cell>
          <cell r="H546">
            <v>86699.6</v>
          </cell>
          <cell r="I546">
            <v>14964.59</v>
          </cell>
          <cell r="J546">
            <v>14964.59</v>
          </cell>
          <cell r="K546">
            <v>4588.1400000000003</v>
          </cell>
        </row>
        <row r="547">
          <cell r="A547" t="str">
            <v>В-20787/КЛ.Транш - 1_В-20211230/Ц</v>
          </cell>
          <cell r="B547" t="str">
            <v>Исаков Иван Владимирович</v>
          </cell>
          <cell r="C547">
            <v>820</v>
          </cell>
          <cell r="D547">
            <v>44643</v>
          </cell>
          <cell r="E547">
            <v>118180.95</v>
          </cell>
          <cell r="F547">
            <v>118180.95</v>
          </cell>
          <cell r="G547">
            <v>105093.83</v>
          </cell>
          <cell r="H547">
            <v>105093.83</v>
          </cell>
          <cell r="I547">
            <v>7525.55</v>
          </cell>
          <cell r="J547">
            <v>7525.55</v>
          </cell>
          <cell r="K547">
            <v>5561.57</v>
          </cell>
        </row>
        <row r="548">
          <cell r="A548" t="str">
            <v>В-17199/КЛ.Транш - 3_В-20211230/Ц</v>
          </cell>
          <cell r="B548" t="str">
            <v>Мустафин Ринад Исмаилович</v>
          </cell>
          <cell r="C548">
            <v>818</v>
          </cell>
          <cell r="D548">
            <v>44645</v>
          </cell>
          <cell r="E548">
            <v>15676.99</v>
          </cell>
          <cell r="F548">
            <v>15676.99</v>
          </cell>
          <cell r="I548">
            <v>9829.1299999999992</v>
          </cell>
          <cell r="J548">
            <v>9829.1299999999992</v>
          </cell>
          <cell r="K548">
            <v>5847.86</v>
          </cell>
        </row>
        <row r="549">
          <cell r="A549" t="str">
            <v>В-11630/КЛ.Транш - 1_В-20211230/Ц</v>
          </cell>
          <cell r="B549" t="str">
            <v>Комарова Марина Владимировна</v>
          </cell>
          <cell r="C549">
            <v>817</v>
          </cell>
          <cell r="D549">
            <v>44646</v>
          </cell>
          <cell r="E549">
            <v>1393096.43</v>
          </cell>
          <cell r="F549">
            <v>1393096.43</v>
          </cell>
          <cell r="G549">
            <v>868613.88</v>
          </cell>
          <cell r="H549">
            <v>868613.88</v>
          </cell>
          <cell r="I549">
            <v>152490.42000000001</v>
          </cell>
          <cell r="J549">
            <v>152490.42000000001</v>
          </cell>
          <cell r="K549">
            <v>371992.13</v>
          </cell>
        </row>
        <row r="550">
          <cell r="A550" t="str">
            <v>В-17506/КЛ.Транш - 1_В-21082023/Ц</v>
          </cell>
          <cell r="B550" t="str">
            <v>Богачук Сергей Прокопьевич</v>
          </cell>
          <cell r="C550">
            <v>814</v>
          </cell>
          <cell r="D550">
            <v>44649</v>
          </cell>
          <cell r="E550">
            <v>985790.77</v>
          </cell>
          <cell r="F550">
            <v>985790.77</v>
          </cell>
          <cell r="G550">
            <v>729903.21</v>
          </cell>
          <cell r="H550">
            <v>729903.21</v>
          </cell>
          <cell r="I550">
            <v>54867.68</v>
          </cell>
          <cell r="J550">
            <v>54867.68</v>
          </cell>
          <cell r="K550">
            <v>201019.88</v>
          </cell>
        </row>
        <row r="551">
          <cell r="A551" t="str">
            <v>В-23074/КЛ.Транш - 1_В-20211230/Ц</v>
          </cell>
          <cell r="B551" t="str">
            <v>Дорожинская Екатерина Андреевна</v>
          </cell>
          <cell r="C551">
            <v>813</v>
          </cell>
          <cell r="D551">
            <v>44650</v>
          </cell>
          <cell r="E551">
            <v>293799.21000000002</v>
          </cell>
          <cell r="F551">
            <v>293799.21000000002</v>
          </cell>
          <cell r="G551">
            <v>186575.46</v>
          </cell>
          <cell r="H551">
            <v>186575.46</v>
          </cell>
          <cell r="I551">
            <v>15140.28</v>
          </cell>
          <cell r="J551">
            <v>15140.28</v>
          </cell>
          <cell r="K551">
            <v>79913.460000000006</v>
          </cell>
        </row>
        <row r="552">
          <cell r="A552" t="str">
            <v>В-24261/КЛ.Транш - 1_В-20211230/Ц</v>
          </cell>
          <cell r="B552" t="str">
            <v>Мустафьева Айтан Таджединовна</v>
          </cell>
          <cell r="C552">
            <v>810</v>
          </cell>
          <cell r="D552">
            <v>44653</v>
          </cell>
          <cell r="E552">
            <v>287707.90999999997</v>
          </cell>
          <cell r="F552">
            <v>287707.90999999997</v>
          </cell>
          <cell r="G552">
            <v>245619.82</v>
          </cell>
          <cell r="H552">
            <v>245619.82</v>
          </cell>
          <cell r="I552">
            <v>33083.839999999997</v>
          </cell>
          <cell r="J552">
            <v>33083.839999999997</v>
          </cell>
          <cell r="K552">
            <v>9004.25</v>
          </cell>
        </row>
        <row r="553">
          <cell r="A553" t="str">
            <v>В-24336/КЛ.Транш - 1_В-21082023/Ц</v>
          </cell>
          <cell r="B553" t="str">
            <v>Алексанян Роберт Робертович</v>
          </cell>
          <cell r="C553">
            <v>810</v>
          </cell>
          <cell r="D553">
            <v>44653</v>
          </cell>
          <cell r="E553">
            <v>53312.89</v>
          </cell>
          <cell r="F553">
            <v>53312.89</v>
          </cell>
          <cell r="K553">
            <v>47998.19</v>
          </cell>
        </row>
        <row r="554">
          <cell r="A554" t="str">
            <v>В-16432/КЛ.Транш - 1_В-21082023/Ц</v>
          </cell>
          <cell r="B554" t="str">
            <v>Малинина Оксана Александровна</v>
          </cell>
          <cell r="C554">
            <v>809</v>
          </cell>
          <cell r="D554">
            <v>44654</v>
          </cell>
          <cell r="E554">
            <v>669486.55000000005</v>
          </cell>
          <cell r="F554">
            <v>669486.55000000005</v>
          </cell>
          <cell r="G554">
            <v>463654.9</v>
          </cell>
          <cell r="H554">
            <v>463654.9</v>
          </cell>
          <cell r="I554">
            <v>79392.960000000006</v>
          </cell>
          <cell r="J554">
            <v>79392.960000000006</v>
          </cell>
          <cell r="K554">
            <v>126438.69</v>
          </cell>
        </row>
        <row r="555">
          <cell r="A555" t="str">
            <v>В-21175/КЛ.Транш - 1_В-21082023/Ц</v>
          </cell>
          <cell r="B555" t="str">
            <v>Пилюгин Олег Васильевич</v>
          </cell>
          <cell r="C555">
            <v>809</v>
          </cell>
          <cell r="D555">
            <v>44654</v>
          </cell>
          <cell r="E555">
            <v>262606.06</v>
          </cell>
          <cell r="F555">
            <v>262606.06</v>
          </cell>
          <cell r="G555">
            <v>180657.57</v>
          </cell>
          <cell r="H555">
            <v>180657.57</v>
          </cell>
          <cell r="I555">
            <v>19181.98</v>
          </cell>
          <cell r="J555">
            <v>19181.98</v>
          </cell>
          <cell r="K555">
            <v>51475.44</v>
          </cell>
        </row>
        <row r="556">
          <cell r="A556" t="str">
            <v>В-17199/КЛ.Транш - 2_В-20211230/Ц</v>
          </cell>
          <cell r="B556" t="str">
            <v>Мустафин Ринад Исмаилович</v>
          </cell>
          <cell r="C556">
            <v>808</v>
          </cell>
          <cell r="D556">
            <v>44655</v>
          </cell>
          <cell r="E556">
            <v>8454.2999999999993</v>
          </cell>
          <cell r="F556">
            <v>8454.2999999999993</v>
          </cell>
          <cell r="I556">
            <v>4218.54</v>
          </cell>
          <cell r="J556">
            <v>4218.54</v>
          </cell>
          <cell r="K556">
            <v>4235.76</v>
          </cell>
        </row>
        <row r="557">
          <cell r="A557" t="str">
            <v>В-24336/КЛ.Транш - 2_В-21082023/Ц</v>
          </cell>
          <cell r="B557" t="str">
            <v>Алексанян Роберт Робертович</v>
          </cell>
          <cell r="C557">
            <v>807</v>
          </cell>
          <cell r="D557">
            <v>44656</v>
          </cell>
          <cell r="E557">
            <v>156180.94</v>
          </cell>
          <cell r="F557">
            <v>156180.94</v>
          </cell>
          <cell r="G557">
            <v>101424</v>
          </cell>
          <cell r="H557">
            <v>101424</v>
          </cell>
          <cell r="K557">
            <v>49756.94</v>
          </cell>
        </row>
        <row r="558">
          <cell r="A558" t="str">
            <v>В-19179/КЛ.Транш - 2_В-20211230/Ц</v>
          </cell>
          <cell r="B558" t="str">
            <v>Буренкова Екатерина Сергеевна</v>
          </cell>
          <cell r="C558">
            <v>806</v>
          </cell>
          <cell r="D558">
            <v>44657</v>
          </cell>
          <cell r="E558">
            <v>233614.9</v>
          </cell>
          <cell r="F558">
            <v>233614.9</v>
          </cell>
          <cell r="G558">
            <v>143102.51</v>
          </cell>
          <cell r="H558">
            <v>143102.51</v>
          </cell>
          <cell r="I558">
            <v>28228.45</v>
          </cell>
          <cell r="J558">
            <v>28228.45</v>
          </cell>
          <cell r="K558">
            <v>62283.94</v>
          </cell>
        </row>
        <row r="559">
          <cell r="A559" t="str">
            <v>В-29072/КЛ.Транш - 1_В-20211230/Ц</v>
          </cell>
          <cell r="B559" t="str">
            <v>Папикян Андраник Климентович</v>
          </cell>
          <cell r="C559">
            <v>805</v>
          </cell>
          <cell r="D559">
            <v>44658</v>
          </cell>
          <cell r="E559">
            <v>61622.59</v>
          </cell>
          <cell r="F559">
            <v>61622.59</v>
          </cell>
          <cell r="G559">
            <v>28964.38</v>
          </cell>
          <cell r="H559">
            <v>28964.38</v>
          </cell>
          <cell r="K559">
            <v>32658.21</v>
          </cell>
        </row>
        <row r="560">
          <cell r="A560" t="str">
            <v>В-16261/КЛ.Транш - 1_В-20211230/Ц</v>
          </cell>
          <cell r="B560" t="str">
            <v>Прусаков Максим Владимирович</v>
          </cell>
          <cell r="C560">
            <v>804</v>
          </cell>
          <cell r="D560">
            <v>44659</v>
          </cell>
          <cell r="E560">
            <v>134046.43</v>
          </cell>
          <cell r="F560">
            <v>134046.43</v>
          </cell>
          <cell r="G560">
            <v>78719.33</v>
          </cell>
          <cell r="H560">
            <v>78719.33</v>
          </cell>
          <cell r="I560">
            <v>15636.04</v>
          </cell>
          <cell r="J560">
            <v>15636.04</v>
          </cell>
          <cell r="K560">
            <v>30004.89</v>
          </cell>
        </row>
        <row r="561">
          <cell r="A561" t="str">
            <v>В-19179/КЛ.Транш - 1_В-20211230/Ц</v>
          </cell>
          <cell r="B561" t="str">
            <v>Буренкова Екатерина Сергеевна</v>
          </cell>
          <cell r="C561">
            <v>799</v>
          </cell>
          <cell r="D561">
            <v>44664</v>
          </cell>
          <cell r="E561">
            <v>93065.54</v>
          </cell>
          <cell r="F561">
            <v>93065.54</v>
          </cell>
          <cell r="G561">
            <v>17697.03</v>
          </cell>
          <cell r="H561">
            <v>17697.03</v>
          </cell>
          <cell r="K561">
            <v>75368.509999999995</v>
          </cell>
        </row>
        <row r="562">
          <cell r="A562" t="str">
            <v>В-20458/КЛ.Транш - 1_В-20211230/Ц</v>
          </cell>
          <cell r="B562" t="str">
            <v>Музыка Евгений Александрович</v>
          </cell>
          <cell r="C562">
            <v>797</v>
          </cell>
          <cell r="D562">
            <v>44666</v>
          </cell>
          <cell r="E562">
            <v>364420.07</v>
          </cell>
          <cell r="F562">
            <v>364420.07</v>
          </cell>
          <cell r="G562">
            <v>250180.57</v>
          </cell>
          <cell r="H562">
            <v>250180.57</v>
          </cell>
          <cell r="K562">
            <v>114239.5</v>
          </cell>
        </row>
        <row r="563">
          <cell r="A563" t="str">
            <v>В-24336/КЛ.Транш - 3_В-21082023/Ц</v>
          </cell>
          <cell r="B563" t="str">
            <v>Алексанян Роберт Робертович</v>
          </cell>
          <cell r="C563">
            <v>797</v>
          </cell>
          <cell r="D563">
            <v>44666</v>
          </cell>
          <cell r="E563">
            <v>353587.87</v>
          </cell>
          <cell r="F563">
            <v>353587.87</v>
          </cell>
          <cell r="G563">
            <v>226198.69</v>
          </cell>
          <cell r="H563">
            <v>226198.69</v>
          </cell>
          <cell r="I563">
            <v>62170.559999999998</v>
          </cell>
          <cell r="J563">
            <v>62170.559999999998</v>
          </cell>
          <cell r="K563">
            <v>60218.62</v>
          </cell>
        </row>
        <row r="564">
          <cell r="A564" t="str">
            <v>В-21666/КЛ.Транш - 1_В-20211230/Ц</v>
          </cell>
          <cell r="B564" t="str">
            <v>Кочнева Наталья Николаевна</v>
          </cell>
          <cell r="C564">
            <v>795</v>
          </cell>
          <cell r="D564">
            <v>44668</v>
          </cell>
          <cell r="E564">
            <v>698559.41</v>
          </cell>
          <cell r="F564">
            <v>698559.41</v>
          </cell>
          <cell r="G564">
            <v>429470.36</v>
          </cell>
          <cell r="H564">
            <v>429470.36</v>
          </cell>
          <cell r="I564">
            <v>84717.43</v>
          </cell>
          <cell r="J564">
            <v>84717.43</v>
          </cell>
          <cell r="K564">
            <v>184371.62</v>
          </cell>
        </row>
        <row r="565">
          <cell r="A565" t="str">
            <v>В-28383/КЛ.Транш - 1_В-20211230/Ц</v>
          </cell>
          <cell r="B565" t="str">
            <v>Абдуллин Азат Мазитович</v>
          </cell>
          <cell r="C565">
            <v>795</v>
          </cell>
          <cell r="D565">
            <v>44668</v>
          </cell>
          <cell r="E565">
            <v>566021.62</v>
          </cell>
          <cell r="F565">
            <v>566021.62</v>
          </cell>
          <cell r="G565">
            <v>378078.96</v>
          </cell>
          <cell r="H565">
            <v>378078.96</v>
          </cell>
          <cell r="K565">
            <v>187942.66</v>
          </cell>
        </row>
        <row r="566">
          <cell r="A566" t="str">
            <v>В-24336/КЛ.Транш - 4_В-21082023/Ц</v>
          </cell>
          <cell r="B566" t="str">
            <v>Алексанян Роберт Робертович</v>
          </cell>
          <cell r="C566">
            <v>794</v>
          </cell>
          <cell r="D566">
            <v>44669</v>
          </cell>
          <cell r="E566">
            <v>282767.19</v>
          </cell>
          <cell r="F566">
            <v>282767.19</v>
          </cell>
          <cell r="G566">
            <v>183838.7</v>
          </cell>
          <cell r="H566">
            <v>183838.7</v>
          </cell>
          <cell r="I566">
            <v>45284.77</v>
          </cell>
          <cell r="J566">
            <v>45284.77</v>
          </cell>
          <cell r="K566">
            <v>48643.72</v>
          </cell>
        </row>
        <row r="567">
          <cell r="A567" t="str">
            <v>В-18851/КЛ.Транш - 1_В-21082023/Ц</v>
          </cell>
          <cell r="B567" t="str">
            <v>Царьков Павел Игоревич</v>
          </cell>
          <cell r="C567">
            <v>793</v>
          </cell>
          <cell r="D567">
            <v>44670</v>
          </cell>
          <cell r="E567">
            <v>51458.83</v>
          </cell>
          <cell r="F567">
            <v>51458.83</v>
          </cell>
          <cell r="G567">
            <v>30048.27</v>
          </cell>
          <cell r="H567">
            <v>30048.27</v>
          </cell>
          <cell r="I567">
            <v>6133.13</v>
          </cell>
          <cell r="J567">
            <v>6133.13</v>
          </cell>
          <cell r="K567">
            <v>7934.55</v>
          </cell>
        </row>
        <row r="568">
          <cell r="A568" t="str">
            <v>В-23897/КЛ.Транш - 1_В-20211230/Ц</v>
          </cell>
          <cell r="B568" t="str">
            <v>Курнакова Надежда Александровна</v>
          </cell>
          <cell r="C568">
            <v>791</v>
          </cell>
          <cell r="D568">
            <v>44672</v>
          </cell>
          <cell r="E568">
            <v>87285.31</v>
          </cell>
          <cell r="F568">
            <v>87285.31</v>
          </cell>
          <cell r="G568">
            <v>54264.51</v>
          </cell>
          <cell r="H568">
            <v>54264.51</v>
          </cell>
          <cell r="I568">
            <v>6889.97</v>
          </cell>
          <cell r="J568">
            <v>6889.97</v>
          </cell>
          <cell r="K568">
            <v>26130.83</v>
          </cell>
        </row>
        <row r="569">
          <cell r="A569" t="str">
            <v>В-28684/КЛ.Транш - 1_В-21082023/Ц</v>
          </cell>
          <cell r="B569" t="str">
            <v>Крайнева Марина Александровна</v>
          </cell>
          <cell r="C569">
            <v>788</v>
          </cell>
          <cell r="D569">
            <v>44675</v>
          </cell>
          <cell r="E569">
            <v>378224.62</v>
          </cell>
          <cell r="F569">
            <v>378224.62</v>
          </cell>
          <cell r="G569">
            <v>145322.84</v>
          </cell>
          <cell r="H569">
            <v>145322.84</v>
          </cell>
          <cell r="I569">
            <v>128890.64</v>
          </cell>
          <cell r="J569">
            <v>128890.64</v>
          </cell>
          <cell r="K569">
            <v>90966.44</v>
          </cell>
        </row>
        <row r="570">
          <cell r="A570" t="str">
            <v>В-18334/КЛ.Транш - 1_В-20211230/Ц</v>
          </cell>
          <cell r="B570" t="str">
            <v>Акиньшин Олег Алексеевич</v>
          </cell>
          <cell r="C570">
            <v>787</v>
          </cell>
          <cell r="D570">
            <v>44676</v>
          </cell>
          <cell r="E570">
            <v>40251.839999999997</v>
          </cell>
          <cell r="F570">
            <v>40251.839999999997</v>
          </cell>
          <cell r="G570">
            <v>22869.38</v>
          </cell>
          <cell r="H570">
            <v>22869.38</v>
          </cell>
          <cell r="I570">
            <v>7663.43</v>
          </cell>
          <cell r="J570">
            <v>7663.43</v>
          </cell>
          <cell r="K570">
            <v>9719.0300000000007</v>
          </cell>
        </row>
        <row r="571">
          <cell r="A571" t="str">
            <v>В-01050/АЗ_В-20211230/Ц</v>
          </cell>
          <cell r="B571" t="str">
            <v>Демченко Андрей Сергеевич</v>
          </cell>
          <cell r="C571">
            <v>786</v>
          </cell>
          <cell r="D571">
            <v>44677</v>
          </cell>
          <cell r="E571">
            <v>652249.17000000004</v>
          </cell>
          <cell r="F571">
            <v>652249.17000000004</v>
          </cell>
          <cell r="G571">
            <v>386298.82</v>
          </cell>
          <cell r="H571">
            <v>386298.82</v>
          </cell>
          <cell r="I571">
            <v>100894.46</v>
          </cell>
          <cell r="J571">
            <v>100894.46</v>
          </cell>
          <cell r="K571">
            <v>165055.89000000001</v>
          </cell>
        </row>
        <row r="572">
          <cell r="A572" t="str">
            <v>В-20921/КЛ.Транш - 1_В-20211230/Ц</v>
          </cell>
          <cell r="B572" t="str">
            <v>Оганесян Наири Миранович</v>
          </cell>
          <cell r="C572">
            <v>785</v>
          </cell>
          <cell r="D572">
            <v>44678</v>
          </cell>
          <cell r="E572">
            <v>1264620.43</v>
          </cell>
          <cell r="F572">
            <v>1264620.43</v>
          </cell>
          <cell r="G572">
            <v>849727.94</v>
          </cell>
          <cell r="H572">
            <v>849727.94</v>
          </cell>
          <cell r="I572">
            <v>75998.45</v>
          </cell>
          <cell r="J572">
            <v>75998.45</v>
          </cell>
          <cell r="K572">
            <v>338894.04</v>
          </cell>
        </row>
        <row r="573">
          <cell r="A573" t="str">
            <v>В-25367/АЗ_В-20211230/Ц</v>
          </cell>
          <cell r="B573" t="str">
            <v>Диакону Сергей Борисович</v>
          </cell>
          <cell r="C573">
            <v>783</v>
          </cell>
          <cell r="D573">
            <v>44680</v>
          </cell>
          <cell r="E573">
            <v>575515.39</v>
          </cell>
          <cell r="F573">
            <v>575515.39</v>
          </cell>
          <cell r="G573">
            <v>257921.22</v>
          </cell>
          <cell r="H573">
            <v>257921.22</v>
          </cell>
          <cell r="K573">
            <v>317594.17</v>
          </cell>
        </row>
        <row r="574">
          <cell r="A574" t="str">
            <v>В-25370/АЗ_В-20211230/Ц</v>
          </cell>
          <cell r="B574" t="str">
            <v>Науменко Андрей Николаевич</v>
          </cell>
          <cell r="C574">
            <v>783</v>
          </cell>
          <cell r="D574">
            <v>44680</v>
          </cell>
          <cell r="E574">
            <v>856601.99</v>
          </cell>
          <cell r="F574">
            <v>856601.99</v>
          </cell>
          <cell r="G574">
            <v>520512.45</v>
          </cell>
          <cell r="H574">
            <v>520512.45</v>
          </cell>
          <cell r="K574">
            <v>336089.54</v>
          </cell>
        </row>
        <row r="575">
          <cell r="A575" t="str">
            <v>В-19227/КЛ.Транш - 1_В-20211230/Ц</v>
          </cell>
          <cell r="B575" t="str">
            <v>Мощинская Елена Николаевна</v>
          </cell>
          <cell r="C575">
            <v>781</v>
          </cell>
          <cell r="D575">
            <v>44682</v>
          </cell>
          <cell r="E575">
            <v>468628.16</v>
          </cell>
          <cell r="F575">
            <v>468628.16</v>
          </cell>
          <cell r="G575">
            <v>317000.24</v>
          </cell>
          <cell r="H575">
            <v>317000.24</v>
          </cell>
          <cell r="I575">
            <v>17936.240000000002</v>
          </cell>
          <cell r="J575">
            <v>17936.240000000002</v>
          </cell>
          <cell r="K575">
            <v>133691.68</v>
          </cell>
        </row>
        <row r="576">
          <cell r="A576" t="str">
            <v>В-23919/КЛ.Транш - 1_В-21082023/Ц</v>
          </cell>
          <cell r="B576" t="str">
            <v>Локшина Ольга Владимировна</v>
          </cell>
          <cell r="C576">
            <v>775</v>
          </cell>
          <cell r="D576">
            <v>44688</v>
          </cell>
          <cell r="E576">
            <v>1210237.47</v>
          </cell>
          <cell r="F576">
            <v>1358130.22</v>
          </cell>
          <cell r="G576">
            <v>475359.11</v>
          </cell>
          <cell r="H576">
            <v>331164.07</v>
          </cell>
          <cell r="I576">
            <v>680135.61</v>
          </cell>
          <cell r="J576">
            <v>683833.32</v>
          </cell>
          <cell r="K576">
            <v>198937.79</v>
          </cell>
        </row>
        <row r="577">
          <cell r="A577" t="str">
            <v>В-05402/КЛ.Транш - 4_В-21082023/Ц</v>
          </cell>
          <cell r="B577" t="str">
            <v>Мылов Сергей Геннадьевич</v>
          </cell>
          <cell r="C577">
            <v>771</v>
          </cell>
          <cell r="D577">
            <v>44692</v>
          </cell>
          <cell r="E577">
            <v>501324.77</v>
          </cell>
          <cell r="F577">
            <v>501324.77</v>
          </cell>
          <cell r="G577">
            <v>301632.03000000003</v>
          </cell>
          <cell r="H577">
            <v>301632.03000000003</v>
          </cell>
          <cell r="I577">
            <v>120702.39999999999</v>
          </cell>
          <cell r="J577">
            <v>120702.39999999999</v>
          </cell>
          <cell r="K577">
            <v>78990.34</v>
          </cell>
        </row>
        <row r="578">
          <cell r="A578" t="str">
            <v>В-19093/КЛ.Транш - 1_В-20211230/Ц</v>
          </cell>
          <cell r="B578" t="str">
            <v>Баранов Аркадий Александрович</v>
          </cell>
          <cell r="C578">
            <v>771</v>
          </cell>
          <cell r="D578">
            <v>44692</v>
          </cell>
          <cell r="E578">
            <v>786691.22</v>
          </cell>
          <cell r="F578">
            <v>786691.22</v>
          </cell>
          <cell r="G578">
            <v>464844.35</v>
          </cell>
          <cell r="H578">
            <v>464844.35</v>
          </cell>
          <cell r="I578">
            <v>110090.02</v>
          </cell>
          <cell r="J578">
            <v>110090.02</v>
          </cell>
          <cell r="K578">
            <v>193282.28</v>
          </cell>
        </row>
        <row r="579">
          <cell r="A579" t="str">
            <v>В-07072/КЛ.Транш - 1_В-20211230/Ц</v>
          </cell>
          <cell r="B579" t="str">
            <v>Мазурин Николай Анатольевич</v>
          </cell>
          <cell r="C579">
            <v>768</v>
          </cell>
          <cell r="D579">
            <v>44695</v>
          </cell>
          <cell r="E579">
            <v>519905.69</v>
          </cell>
          <cell r="F579">
            <v>519905.69</v>
          </cell>
          <cell r="G579">
            <v>291242.32</v>
          </cell>
          <cell r="H579">
            <v>291242.32</v>
          </cell>
          <cell r="I579">
            <v>107879.35</v>
          </cell>
          <cell r="J579">
            <v>107879.35</v>
          </cell>
          <cell r="K579">
            <v>120784.02</v>
          </cell>
        </row>
        <row r="580">
          <cell r="A580" t="str">
            <v>В-17853/КЛ.Транш - 6_В-20211230/Ц</v>
          </cell>
          <cell r="B580" t="str">
            <v>Савельев Александр Владимирович</v>
          </cell>
          <cell r="C580">
            <v>767</v>
          </cell>
          <cell r="D580">
            <v>44696</v>
          </cell>
          <cell r="E580">
            <v>167603.56</v>
          </cell>
          <cell r="F580">
            <v>167603.56</v>
          </cell>
          <cell r="G580">
            <v>102269.77</v>
          </cell>
          <cell r="H580">
            <v>102269.77</v>
          </cell>
          <cell r="I580">
            <v>22975.7</v>
          </cell>
          <cell r="J580">
            <v>22975.7</v>
          </cell>
          <cell r="K580">
            <v>42358.09</v>
          </cell>
        </row>
        <row r="581">
          <cell r="A581" t="str">
            <v>В-23410/КЛ.Транш - 1_В-20211230/Ц</v>
          </cell>
          <cell r="B581" t="str">
            <v>Шиховцов Игорь Николаевич</v>
          </cell>
          <cell r="C581">
            <v>766</v>
          </cell>
          <cell r="D581">
            <v>44697</v>
          </cell>
          <cell r="E581">
            <v>399601.74</v>
          </cell>
          <cell r="F581">
            <v>399601.74</v>
          </cell>
          <cell r="G581">
            <v>281706.62</v>
          </cell>
          <cell r="H581">
            <v>281706.62</v>
          </cell>
          <cell r="K581">
            <v>117895.12</v>
          </cell>
        </row>
        <row r="582">
          <cell r="A582" t="str">
            <v>В-13336/КЛ.Транш - 1_В-21082023/Ц</v>
          </cell>
          <cell r="B582" t="str">
            <v>Алыбаев Долеткельди Ягудович</v>
          </cell>
          <cell r="C582">
            <v>764</v>
          </cell>
          <cell r="D582">
            <v>44699</v>
          </cell>
          <cell r="E582">
            <v>276865.57</v>
          </cell>
          <cell r="F582">
            <v>276865.57</v>
          </cell>
          <cell r="G582">
            <v>182060.65</v>
          </cell>
          <cell r="H582">
            <v>182060.65</v>
          </cell>
          <cell r="I582">
            <v>49581.05</v>
          </cell>
          <cell r="J582">
            <v>49581.05</v>
          </cell>
          <cell r="K582">
            <v>45223.87</v>
          </cell>
        </row>
        <row r="583">
          <cell r="A583" t="str">
            <v>В-15451/КЛ.Транш - 1_В-21082023/Ц</v>
          </cell>
          <cell r="B583" t="str">
            <v>Кутанов Егор Сергеевич</v>
          </cell>
          <cell r="C583">
            <v>757</v>
          </cell>
          <cell r="D583">
            <v>44706</v>
          </cell>
          <cell r="E583">
            <v>232727.95</v>
          </cell>
          <cell r="F583">
            <v>232727.95</v>
          </cell>
          <cell r="I583">
            <v>154486.75</v>
          </cell>
          <cell r="J583">
            <v>154486.75</v>
          </cell>
          <cell r="K583">
            <v>65275.46</v>
          </cell>
        </row>
        <row r="584">
          <cell r="A584" t="str">
            <v>В-17853/КЛ.Транш - 4_В-20211230/Ц</v>
          </cell>
          <cell r="B584" t="str">
            <v>Савельев Александр Владимирович</v>
          </cell>
          <cell r="C584">
            <v>757</v>
          </cell>
          <cell r="D584">
            <v>44706</v>
          </cell>
          <cell r="E584">
            <v>159830</v>
          </cell>
          <cell r="F584">
            <v>159830</v>
          </cell>
          <cell r="G584">
            <v>98676.39</v>
          </cell>
          <cell r="H584">
            <v>98676.39</v>
          </cell>
          <cell r="I584">
            <v>20816.68</v>
          </cell>
          <cell r="J584">
            <v>20816.68</v>
          </cell>
          <cell r="K584">
            <v>40336.93</v>
          </cell>
        </row>
        <row r="585">
          <cell r="A585" t="str">
            <v>В-28694/КЛ.Транш - 1_В-21082023/Ц</v>
          </cell>
          <cell r="B585" t="str">
            <v>Аракелян Лусине Вардановна</v>
          </cell>
          <cell r="C585">
            <v>757</v>
          </cell>
          <cell r="D585">
            <v>44706</v>
          </cell>
          <cell r="E585">
            <v>598824.53</v>
          </cell>
          <cell r="F585">
            <v>598824.53</v>
          </cell>
          <cell r="G585">
            <v>328244.65000000002</v>
          </cell>
          <cell r="H585">
            <v>328244.65000000002</v>
          </cell>
          <cell r="I585">
            <v>237338.23</v>
          </cell>
          <cell r="J585">
            <v>237338.23</v>
          </cell>
          <cell r="K585">
            <v>18205.41</v>
          </cell>
        </row>
        <row r="586">
          <cell r="A586" t="str">
            <v>В-07072/КЛ.Транш - 3_В-20211230/Ц</v>
          </cell>
          <cell r="B586" t="str">
            <v>Мазурин Николай Анатольевич</v>
          </cell>
          <cell r="C586">
            <v>756</v>
          </cell>
          <cell r="D586">
            <v>44707</v>
          </cell>
          <cell r="E586">
            <v>269999.67</v>
          </cell>
          <cell r="F586">
            <v>269999.67</v>
          </cell>
          <cell r="G586">
            <v>153701.38</v>
          </cell>
          <cell r="H586">
            <v>153701.38</v>
          </cell>
          <cell r="I586">
            <v>53551.24</v>
          </cell>
          <cell r="J586">
            <v>53551.24</v>
          </cell>
          <cell r="K586">
            <v>62747.05</v>
          </cell>
        </row>
        <row r="587">
          <cell r="A587" t="str">
            <v>В-18164/КЛ.Транш - 1_В-21082023/Ц</v>
          </cell>
          <cell r="B587" t="str">
            <v>Гилаев Флюс Фаусович</v>
          </cell>
          <cell r="C587">
            <v>756</v>
          </cell>
          <cell r="D587">
            <v>44707</v>
          </cell>
          <cell r="E587">
            <v>590502.11</v>
          </cell>
          <cell r="F587">
            <v>590502.11</v>
          </cell>
          <cell r="G587">
            <v>227762.38</v>
          </cell>
          <cell r="H587">
            <v>227762.38</v>
          </cell>
          <cell r="I587">
            <v>269758.02</v>
          </cell>
          <cell r="J587">
            <v>269758.02</v>
          </cell>
          <cell r="K587">
            <v>92981.71</v>
          </cell>
        </row>
        <row r="588">
          <cell r="A588" t="str">
            <v>В-17853/КЛ.Транш - 3_В-20211230/Ц</v>
          </cell>
          <cell r="B588" t="str">
            <v>Савельев Александр Владимирович</v>
          </cell>
          <cell r="C588">
            <v>755</v>
          </cell>
          <cell r="D588">
            <v>44708</v>
          </cell>
          <cell r="E588">
            <v>156000.18</v>
          </cell>
          <cell r="F588">
            <v>156000.18</v>
          </cell>
          <cell r="G588">
            <v>96539.59</v>
          </cell>
          <cell r="H588">
            <v>96539.59</v>
          </cell>
          <cell r="I588">
            <v>20101.400000000001</v>
          </cell>
          <cell r="J588">
            <v>20101.400000000001</v>
          </cell>
          <cell r="K588">
            <v>39359.19</v>
          </cell>
        </row>
        <row r="589">
          <cell r="A589" t="str">
            <v>В-17853/КЛ.Транш - 5_В-20211230/Ц</v>
          </cell>
          <cell r="B589" t="str">
            <v>Савельев Александр Владимирович</v>
          </cell>
          <cell r="C589">
            <v>754</v>
          </cell>
          <cell r="D589">
            <v>44709</v>
          </cell>
          <cell r="E589">
            <v>162224.76</v>
          </cell>
          <cell r="F589">
            <v>162224.76</v>
          </cell>
          <cell r="G589">
            <v>100510.42</v>
          </cell>
          <cell r="H589">
            <v>100510.42</v>
          </cell>
          <cell r="I589">
            <v>20790.52</v>
          </cell>
          <cell r="J589">
            <v>20790.52</v>
          </cell>
          <cell r="K589">
            <v>40923.82</v>
          </cell>
        </row>
        <row r="590">
          <cell r="A590" t="str">
            <v>В-13740/КЛ.Транш - 1_В-21082023/Ц</v>
          </cell>
          <cell r="B590" t="str">
            <v>Семенов Андрей Сергеевич</v>
          </cell>
          <cell r="C590">
            <v>752</v>
          </cell>
          <cell r="D590">
            <v>44711</v>
          </cell>
          <cell r="E590">
            <v>1096197.1000000001</v>
          </cell>
          <cell r="F590">
            <v>1096197.1000000001</v>
          </cell>
          <cell r="G590">
            <v>750359.09</v>
          </cell>
          <cell r="H590">
            <v>750359.09</v>
          </cell>
          <cell r="I590">
            <v>266825.2</v>
          </cell>
          <cell r="J590">
            <v>266825.2</v>
          </cell>
          <cell r="K590">
            <v>79012.81</v>
          </cell>
        </row>
        <row r="591">
          <cell r="A591" t="str">
            <v>В-27251/КЛ.Транш - 1_В-21082023/Ц</v>
          </cell>
          <cell r="B591" t="str">
            <v>Алешкин Алексей Владиславович</v>
          </cell>
          <cell r="C591">
            <v>750</v>
          </cell>
          <cell r="D591">
            <v>44713</v>
          </cell>
          <cell r="E591">
            <v>77593.789999999994</v>
          </cell>
          <cell r="F591">
            <v>77593.789999999994</v>
          </cell>
          <cell r="G591">
            <v>25248.14</v>
          </cell>
          <cell r="H591">
            <v>25248.14</v>
          </cell>
          <cell r="K591">
            <v>37558.49</v>
          </cell>
        </row>
        <row r="592">
          <cell r="A592" t="str">
            <v>В-10141/КЛ.Транш - 2_В-20211230/Ц</v>
          </cell>
          <cell r="B592" t="str">
            <v>Галеев Александр Ринатович</v>
          </cell>
          <cell r="C592">
            <v>748</v>
          </cell>
          <cell r="D592">
            <v>44715</v>
          </cell>
          <cell r="E592">
            <v>114382.49</v>
          </cell>
          <cell r="F592">
            <v>114382.49</v>
          </cell>
          <cell r="G592">
            <v>77027.12</v>
          </cell>
          <cell r="H592">
            <v>77027.12</v>
          </cell>
          <cell r="I592">
            <v>6241.28</v>
          </cell>
          <cell r="J592">
            <v>6241.28</v>
          </cell>
          <cell r="K592">
            <v>31114.09</v>
          </cell>
        </row>
        <row r="593">
          <cell r="A593" t="str">
            <v>В-17853/КЛ.Транш - 7_В-20211230/Ц</v>
          </cell>
          <cell r="B593" t="str">
            <v>Савельев Александр Владимирович</v>
          </cell>
          <cell r="C593">
            <v>746</v>
          </cell>
          <cell r="D593">
            <v>44717</v>
          </cell>
          <cell r="E593">
            <v>163673.54999999999</v>
          </cell>
          <cell r="F593">
            <v>163673.54999999999</v>
          </cell>
          <cell r="G593">
            <v>102289.56</v>
          </cell>
          <cell r="H593">
            <v>102289.56</v>
          </cell>
          <cell r="I593">
            <v>20177.669999999998</v>
          </cell>
          <cell r="J593">
            <v>20177.669999999998</v>
          </cell>
          <cell r="K593">
            <v>41206.32</v>
          </cell>
        </row>
        <row r="594">
          <cell r="A594" t="str">
            <v>В-09174/КЛ.Транш - 9_В-20211230/Ц</v>
          </cell>
          <cell r="B594" t="str">
            <v>Скрипичников Егор Сергеевич</v>
          </cell>
          <cell r="C594">
            <v>743</v>
          </cell>
          <cell r="D594">
            <v>44720</v>
          </cell>
          <cell r="E594">
            <v>156642.63</v>
          </cell>
          <cell r="F594">
            <v>156642.63</v>
          </cell>
          <cell r="G594">
            <v>95538.49</v>
          </cell>
          <cell r="H594">
            <v>95538.49</v>
          </cell>
          <cell r="I594">
            <v>22772.19</v>
          </cell>
          <cell r="J594">
            <v>22772.19</v>
          </cell>
          <cell r="K594">
            <v>38331.949999999997</v>
          </cell>
        </row>
        <row r="595">
          <cell r="A595" t="str">
            <v>В-09174/КЛ.Транш - 7_В-20211230/Ц</v>
          </cell>
          <cell r="B595" t="str">
            <v>Скрипичников Егор Сергеевич</v>
          </cell>
          <cell r="C595">
            <v>740</v>
          </cell>
          <cell r="D595">
            <v>44723</v>
          </cell>
          <cell r="E595">
            <v>154557.20000000001</v>
          </cell>
          <cell r="F595">
            <v>154557.20000000001</v>
          </cell>
          <cell r="G595">
            <v>93530.64</v>
          </cell>
          <cell r="H595">
            <v>93530.64</v>
          </cell>
          <cell r="I595">
            <v>23651.71</v>
          </cell>
          <cell r="J595">
            <v>23651.71</v>
          </cell>
          <cell r="K595">
            <v>37374.85</v>
          </cell>
        </row>
        <row r="596">
          <cell r="A596" t="str">
            <v>В-11050/КЛ.Транш - 1_В-20211230/Ц</v>
          </cell>
          <cell r="B596" t="str">
            <v>Садигов Нарман Адждар Оглы</v>
          </cell>
          <cell r="C596">
            <v>739</v>
          </cell>
          <cell r="D596">
            <v>44724</v>
          </cell>
          <cell r="E596">
            <v>244347.28</v>
          </cell>
          <cell r="F596">
            <v>244347.28</v>
          </cell>
          <cell r="G596">
            <v>136126.84</v>
          </cell>
          <cell r="H596">
            <v>136126.84</v>
          </cell>
          <cell r="I596">
            <v>42068.800000000003</v>
          </cell>
          <cell r="J596">
            <v>42068.800000000003</v>
          </cell>
          <cell r="K596">
            <v>54322.77</v>
          </cell>
        </row>
        <row r="597">
          <cell r="A597" t="str">
            <v>В-17853/КЛ.Транш - 1_В-20211230/Ц</v>
          </cell>
          <cell r="B597" t="str">
            <v>Савельев Александр Владимирович</v>
          </cell>
          <cell r="C597">
            <v>739</v>
          </cell>
          <cell r="D597">
            <v>44724</v>
          </cell>
          <cell r="E597">
            <v>366079.94</v>
          </cell>
          <cell r="F597">
            <v>366079.94</v>
          </cell>
          <cell r="G597">
            <v>230713.27</v>
          </cell>
          <cell r="H597">
            <v>230713.27</v>
          </cell>
          <cell r="I597">
            <v>43298.23</v>
          </cell>
          <cell r="J597">
            <v>43298.23</v>
          </cell>
          <cell r="K597">
            <v>92068.44</v>
          </cell>
        </row>
        <row r="598">
          <cell r="A598" t="str">
            <v>В-17853/КЛ.Транш - 2_В-20211230/Ц</v>
          </cell>
          <cell r="B598" t="str">
            <v>Савельев Александр Владимирович</v>
          </cell>
          <cell r="C598">
            <v>739</v>
          </cell>
          <cell r="D598">
            <v>44724</v>
          </cell>
          <cell r="E598">
            <v>149720.23000000001</v>
          </cell>
          <cell r="F598">
            <v>149720.23000000001</v>
          </cell>
          <cell r="G598">
            <v>94357.66</v>
          </cell>
          <cell r="H598">
            <v>94357.66</v>
          </cell>
          <cell r="I598">
            <v>17708.2</v>
          </cell>
          <cell r="J598">
            <v>17708.2</v>
          </cell>
          <cell r="K598">
            <v>37654.370000000003</v>
          </cell>
        </row>
        <row r="599">
          <cell r="A599" t="str">
            <v>В-27105/КЛ.Транш - 1_В-20211230/Ц</v>
          </cell>
          <cell r="B599" t="str">
            <v>Холодков Денис Владимирович</v>
          </cell>
          <cell r="C599">
            <v>739</v>
          </cell>
          <cell r="D599">
            <v>44724</v>
          </cell>
          <cell r="E599">
            <v>816892.11</v>
          </cell>
          <cell r="F599">
            <v>816892.11</v>
          </cell>
          <cell r="G599">
            <v>443666.24</v>
          </cell>
          <cell r="H599">
            <v>443666.24</v>
          </cell>
          <cell r="I599">
            <v>180956.57</v>
          </cell>
          <cell r="J599">
            <v>180956.57</v>
          </cell>
          <cell r="K599">
            <v>192269.3</v>
          </cell>
        </row>
        <row r="600">
          <cell r="A600" t="str">
            <v>В-07072/КЛ.Транш - 2_В-20211230/Ц</v>
          </cell>
          <cell r="B600" t="str">
            <v>Мазурин Николай Анатольевич</v>
          </cell>
          <cell r="C600">
            <v>738</v>
          </cell>
          <cell r="D600">
            <v>44725</v>
          </cell>
          <cell r="E600">
            <v>251465.60000000001</v>
          </cell>
          <cell r="F600">
            <v>251465.60000000001</v>
          </cell>
          <cell r="G600">
            <v>147455.22</v>
          </cell>
          <cell r="H600">
            <v>147455.22</v>
          </cell>
          <cell r="I600">
            <v>45246.53</v>
          </cell>
          <cell r="J600">
            <v>45246.53</v>
          </cell>
          <cell r="K600">
            <v>58763.85</v>
          </cell>
        </row>
        <row r="601">
          <cell r="A601" t="str">
            <v>В-10141/КЛ.Транш - 1_В-20211230/Ц</v>
          </cell>
          <cell r="B601" t="str">
            <v>Галеев Александр Ринатович</v>
          </cell>
          <cell r="C601">
            <v>738</v>
          </cell>
          <cell r="D601">
            <v>44725</v>
          </cell>
          <cell r="E601">
            <v>152790.29999999999</v>
          </cell>
          <cell r="F601">
            <v>152790.29999999999</v>
          </cell>
          <cell r="G601">
            <v>88583.72</v>
          </cell>
          <cell r="H601">
            <v>88583.72</v>
          </cell>
          <cell r="I601">
            <v>16988.66</v>
          </cell>
          <cell r="J601">
            <v>16988.66</v>
          </cell>
          <cell r="K601">
            <v>35302.39</v>
          </cell>
        </row>
        <row r="602">
          <cell r="A602" t="str">
            <v>В-09174/КЛ.Транш - 8_В-20211230/Ц</v>
          </cell>
          <cell r="B602" t="str">
            <v>Скрипичников Егор Сергеевич</v>
          </cell>
          <cell r="C602">
            <v>729</v>
          </cell>
          <cell r="D602">
            <v>44734</v>
          </cell>
          <cell r="E602">
            <v>152364.46</v>
          </cell>
          <cell r="F602">
            <v>152364.46</v>
          </cell>
          <cell r="G602">
            <v>94694.98</v>
          </cell>
          <cell r="H602">
            <v>94694.98</v>
          </cell>
          <cell r="I602">
            <v>20391.849999999999</v>
          </cell>
          <cell r="J602">
            <v>20391.849999999999</v>
          </cell>
          <cell r="K602">
            <v>37277.629999999997</v>
          </cell>
        </row>
        <row r="603">
          <cell r="A603" t="str">
            <v>В-19425/КЛ.Транш - 1_В-20211230/Ц</v>
          </cell>
          <cell r="B603" t="str">
            <v>Молчанов Дмитрий Викторович</v>
          </cell>
          <cell r="C603">
            <v>721</v>
          </cell>
          <cell r="D603">
            <v>44742</v>
          </cell>
          <cell r="E603">
            <v>795805.44</v>
          </cell>
          <cell r="F603">
            <v>795805.44</v>
          </cell>
          <cell r="G603">
            <v>478102.78</v>
          </cell>
          <cell r="H603">
            <v>478102.78</v>
          </cell>
          <cell r="I603">
            <v>131558.12</v>
          </cell>
          <cell r="J603">
            <v>131558.12</v>
          </cell>
          <cell r="K603">
            <v>186144.54</v>
          </cell>
        </row>
        <row r="604">
          <cell r="A604" t="str">
            <v>В-08393/КЛ.Транш - 1_В-20211230/Ц</v>
          </cell>
          <cell r="B604" t="str">
            <v>Бажуткин Николай Владимирович</v>
          </cell>
          <cell r="C604">
            <v>720</v>
          </cell>
          <cell r="D604">
            <v>44743</v>
          </cell>
          <cell r="E604">
            <v>67878.62</v>
          </cell>
          <cell r="F604">
            <v>67878.62</v>
          </cell>
          <cell r="I604">
            <v>26725.52</v>
          </cell>
          <cell r="J604">
            <v>26725.52</v>
          </cell>
          <cell r="K604">
            <v>41153.1</v>
          </cell>
        </row>
        <row r="605">
          <cell r="A605" t="str">
            <v>В-24308/КЛ.Транш - 1_В-20211230/Ц</v>
          </cell>
          <cell r="B605" t="str">
            <v>Кондратюк Алексей Николаевич</v>
          </cell>
          <cell r="C605">
            <v>720</v>
          </cell>
          <cell r="D605">
            <v>44743</v>
          </cell>
          <cell r="E605">
            <v>564360.91</v>
          </cell>
          <cell r="F605">
            <v>564360.91</v>
          </cell>
          <cell r="G605">
            <v>341433.95</v>
          </cell>
          <cell r="H605">
            <v>341433.95</v>
          </cell>
          <cell r="I605">
            <v>69605.179999999993</v>
          </cell>
          <cell r="J605">
            <v>69605.179999999993</v>
          </cell>
          <cell r="K605">
            <v>132749.51999999999</v>
          </cell>
        </row>
        <row r="606">
          <cell r="A606" t="str">
            <v>В-08644/КЛ.Транш - 1_В-21082023/Ц</v>
          </cell>
          <cell r="B606" t="str">
            <v>Жирнов Игорь Владимирович</v>
          </cell>
          <cell r="C606">
            <v>719</v>
          </cell>
          <cell r="D606">
            <v>44744</v>
          </cell>
          <cell r="E606">
            <v>115856.47</v>
          </cell>
          <cell r="F606">
            <v>132065.60000000001</v>
          </cell>
          <cell r="G606">
            <v>68963.759999999995</v>
          </cell>
          <cell r="H606">
            <v>52754.63</v>
          </cell>
          <cell r="I606">
            <v>40274.839999999997</v>
          </cell>
          <cell r="J606">
            <v>40274.839999999997</v>
          </cell>
          <cell r="K606">
            <v>13247.83</v>
          </cell>
        </row>
        <row r="607">
          <cell r="A607" t="str">
            <v>В-27855/КЛ.Транш - 1_В-20211230/Ц</v>
          </cell>
          <cell r="B607" t="str">
            <v>Калашников Юрий Витальевич</v>
          </cell>
          <cell r="C607">
            <v>719</v>
          </cell>
          <cell r="D607">
            <v>44744</v>
          </cell>
          <cell r="E607">
            <v>1036018.36</v>
          </cell>
          <cell r="F607">
            <v>1036018.36</v>
          </cell>
          <cell r="G607">
            <v>695054.08</v>
          </cell>
          <cell r="H607">
            <v>695054.08</v>
          </cell>
          <cell r="I607">
            <v>60070.19</v>
          </cell>
          <cell r="J607">
            <v>60070.19</v>
          </cell>
          <cell r="K607">
            <v>260784.54</v>
          </cell>
        </row>
        <row r="608">
          <cell r="A608" t="str">
            <v>В-24350/КЛ.Транш - 1_В-20211230/Ц</v>
          </cell>
          <cell r="B608" t="str">
            <v>Мусаев Заурбек Хадживелиевич</v>
          </cell>
          <cell r="C608">
            <v>718</v>
          </cell>
          <cell r="D608">
            <v>44745</v>
          </cell>
          <cell r="E608">
            <v>940261.75</v>
          </cell>
          <cell r="F608">
            <v>940261.75</v>
          </cell>
          <cell r="G608">
            <v>234354.87</v>
          </cell>
          <cell r="H608">
            <v>234354.87</v>
          </cell>
          <cell r="I608">
            <v>372250.38</v>
          </cell>
          <cell r="J608">
            <v>372250.38</v>
          </cell>
          <cell r="K608">
            <v>311418.15999999997</v>
          </cell>
        </row>
        <row r="609">
          <cell r="A609" t="str">
            <v>В-09174/КЛ.Транш - 10_В-20211230/Ц</v>
          </cell>
          <cell r="B609" t="str">
            <v>Скрипичников Егор Сергеевич</v>
          </cell>
          <cell r="C609">
            <v>714</v>
          </cell>
          <cell r="D609">
            <v>44749</v>
          </cell>
          <cell r="E609">
            <v>127595.36</v>
          </cell>
          <cell r="F609">
            <v>127595.36</v>
          </cell>
          <cell r="G609">
            <v>92760.7</v>
          </cell>
          <cell r="H609">
            <v>92760.7</v>
          </cell>
          <cell r="K609">
            <v>32834.660000000003</v>
          </cell>
        </row>
        <row r="610">
          <cell r="A610" t="str">
            <v>В-25792/КЛ.Транш - 1_В-20211230/Ц</v>
          </cell>
          <cell r="B610" t="str">
            <v>Бакласова Мирабелла Викторовна</v>
          </cell>
          <cell r="C610">
            <v>712</v>
          </cell>
          <cell r="D610">
            <v>44751</v>
          </cell>
          <cell r="E610">
            <v>1334294.58</v>
          </cell>
          <cell r="F610">
            <v>1334294.58</v>
          </cell>
          <cell r="G610">
            <v>700000</v>
          </cell>
          <cell r="H610">
            <v>700000</v>
          </cell>
          <cell r="I610">
            <v>343535.99</v>
          </cell>
          <cell r="J610">
            <v>343535.99</v>
          </cell>
          <cell r="K610">
            <v>269136</v>
          </cell>
        </row>
        <row r="611">
          <cell r="A611" t="str">
            <v>В-19227/КЛ.Транш - 2_В-20211230/Ц</v>
          </cell>
          <cell r="B611" t="str">
            <v>Мощинская Елена Николаевна</v>
          </cell>
          <cell r="C611">
            <v>710</v>
          </cell>
          <cell r="D611">
            <v>44753</v>
          </cell>
          <cell r="E611">
            <v>163359.89000000001</v>
          </cell>
          <cell r="F611">
            <v>163359.89000000001</v>
          </cell>
          <cell r="G611">
            <v>106391.85</v>
          </cell>
          <cell r="H611">
            <v>106391.85</v>
          </cell>
          <cell r="I611">
            <v>16177.4</v>
          </cell>
          <cell r="J611">
            <v>16177.4</v>
          </cell>
          <cell r="K611">
            <v>40790.639999999999</v>
          </cell>
        </row>
        <row r="612">
          <cell r="A612" t="str">
            <v>В-06818/КЛ.Транш - 1_В-20211230/Ц</v>
          </cell>
          <cell r="B612" t="str">
            <v>Собиров Раджабали Карахужаевич</v>
          </cell>
          <cell r="C612">
            <v>706</v>
          </cell>
          <cell r="D612">
            <v>44757</v>
          </cell>
          <cell r="E612">
            <v>257093.91</v>
          </cell>
          <cell r="F612">
            <v>257093.91</v>
          </cell>
          <cell r="G612">
            <v>147031.49</v>
          </cell>
          <cell r="H612">
            <v>147031.49</v>
          </cell>
          <cell r="I612">
            <v>42251.49</v>
          </cell>
          <cell r="J612">
            <v>42251.49</v>
          </cell>
          <cell r="K612">
            <v>55966.7</v>
          </cell>
        </row>
        <row r="613">
          <cell r="A613" t="str">
            <v>В-28360/КЛ.Транш - 1_В-20211230/Ц</v>
          </cell>
          <cell r="B613" t="str">
            <v>Абакумов Вадим Михайлович</v>
          </cell>
          <cell r="C613">
            <v>693</v>
          </cell>
          <cell r="D613">
            <v>44770</v>
          </cell>
          <cell r="E613">
            <v>288163.46999999997</v>
          </cell>
          <cell r="F613">
            <v>373838.2</v>
          </cell>
          <cell r="G613">
            <v>137796.93</v>
          </cell>
          <cell r="H613">
            <v>94857.73</v>
          </cell>
          <cell r="I613">
            <v>160968.10999999999</v>
          </cell>
          <cell r="J613">
            <v>203703.64</v>
          </cell>
          <cell r="K613">
            <v>32337.63</v>
          </cell>
        </row>
        <row r="614">
          <cell r="A614" t="str">
            <v>В-18548/КЛ.Транш - 1_В-20211230/Ц</v>
          </cell>
          <cell r="B614" t="str">
            <v>Элоян Артур Гамбарович</v>
          </cell>
          <cell r="C614">
            <v>692</v>
          </cell>
          <cell r="D614">
            <v>44771</v>
          </cell>
          <cell r="E614">
            <v>823071.12</v>
          </cell>
          <cell r="F614">
            <v>823071.12</v>
          </cell>
          <cell r="G614">
            <v>494147.5</v>
          </cell>
          <cell r="H614">
            <v>494147.5</v>
          </cell>
          <cell r="I614">
            <v>122350.12</v>
          </cell>
          <cell r="J614">
            <v>122350.12</v>
          </cell>
          <cell r="K614">
            <v>184653.04</v>
          </cell>
        </row>
        <row r="615">
          <cell r="A615" t="str">
            <v>В-28872/КЛ.Транш - 1_В-20211230/Ц</v>
          </cell>
          <cell r="B615" t="str">
            <v>Хачатрян Лаврент Юрикович</v>
          </cell>
          <cell r="C615">
            <v>689</v>
          </cell>
          <cell r="D615">
            <v>44774</v>
          </cell>
          <cell r="E615">
            <v>1209066.57</v>
          </cell>
          <cell r="F615">
            <v>1209066.57</v>
          </cell>
          <cell r="G615">
            <v>750876.09</v>
          </cell>
          <cell r="H615">
            <v>750876.09</v>
          </cell>
          <cell r="I615">
            <v>149259.60999999999</v>
          </cell>
          <cell r="J615">
            <v>149259.60999999999</v>
          </cell>
          <cell r="K615">
            <v>308930.87</v>
          </cell>
        </row>
        <row r="616">
          <cell r="A616" t="str">
            <v>В-02583/КЛ.Транш - 8_В-21082023/Ц</v>
          </cell>
          <cell r="B616" t="str">
            <v>Филатова Юлия Петровна</v>
          </cell>
          <cell r="C616">
            <v>688</v>
          </cell>
          <cell r="D616">
            <v>44775</v>
          </cell>
          <cell r="E616">
            <v>135890.53</v>
          </cell>
          <cell r="F616">
            <v>135890.53</v>
          </cell>
          <cell r="G616">
            <v>107594.14</v>
          </cell>
          <cell r="H616">
            <v>107594.14</v>
          </cell>
          <cell r="I616">
            <v>16920.29</v>
          </cell>
          <cell r="J616">
            <v>16920.29</v>
          </cell>
          <cell r="K616">
            <v>11376.1</v>
          </cell>
        </row>
        <row r="617">
          <cell r="A617" t="str">
            <v>В-30001/КЭ.Транш - 1_В-20211230/Ц</v>
          </cell>
          <cell r="B617" t="str">
            <v>ИП Белан Надежда Александровна</v>
          </cell>
          <cell r="C617">
            <v>685</v>
          </cell>
          <cell r="D617">
            <v>44778</v>
          </cell>
          <cell r="E617">
            <v>522592.16</v>
          </cell>
          <cell r="F617">
            <v>522592.16</v>
          </cell>
          <cell r="G617">
            <v>62617.29</v>
          </cell>
          <cell r="H617">
            <v>62617.29</v>
          </cell>
          <cell r="I617">
            <v>3701.38</v>
          </cell>
          <cell r="J617">
            <v>3701.38</v>
          </cell>
          <cell r="K617">
            <v>439100.75</v>
          </cell>
        </row>
        <row r="618">
          <cell r="A618" t="str">
            <v>В-02583/КЛ.Транш - 5_В-21082023/Ц</v>
          </cell>
          <cell r="B618" t="str">
            <v>Филатова Юлия Петровна</v>
          </cell>
          <cell r="C618">
            <v>684</v>
          </cell>
          <cell r="D618">
            <v>44779</v>
          </cell>
          <cell r="E618">
            <v>120632.76</v>
          </cell>
          <cell r="F618">
            <v>120632.76</v>
          </cell>
          <cell r="G618">
            <v>96312.13</v>
          </cell>
          <cell r="H618">
            <v>96312.13</v>
          </cell>
          <cell r="I618">
            <v>14407.23</v>
          </cell>
          <cell r="J618">
            <v>14407.23</v>
          </cell>
          <cell r="K618">
            <v>9913.4</v>
          </cell>
        </row>
        <row r="619">
          <cell r="A619" t="str">
            <v>В-10008/КЭ.Транш - 2_В-20211230/Ц</v>
          </cell>
          <cell r="B619" t="str">
            <v>ИП Светлов Виталий Анатольевич</v>
          </cell>
          <cell r="C619">
            <v>682</v>
          </cell>
          <cell r="D619">
            <v>44781</v>
          </cell>
          <cell r="E619">
            <v>2161479.71</v>
          </cell>
          <cell r="F619">
            <v>2161479.71</v>
          </cell>
          <cell r="G619">
            <v>254579.72</v>
          </cell>
          <cell r="H619">
            <v>254579.72</v>
          </cell>
          <cell r="I619">
            <v>38082.36</v>
          </cell>
          <cell r="J619">
            <v>38082.36</v>
          </cell>
          <cell r="K619">
            <v>1868817.63</v>
          </cell>
        </row>
        <row r="620">
          <cell r="A620" t="str">
            <v>В-12113/КЛ.Транш - 1_В-20211230/Ц</v>
          </cell>
          <cell r="B620" t="str">
            <v>Кузьмин Михаил Юрьевич</v>
          </cell>
          <cell r="C620">
            <v>682</v>
          </cell>
          <cell r="D620">
            <v>44781</v>
          </cell>
          <cell r="E620">
            <v>176398.07999999999</v>
          </cell>
          <cell r="F620">
            <v>176398.07999999999</v>
          </cell>
          <cell r="G620">
            <v>118573.92</v>
          </cell>
          <cell r="H620">
            <v>118573.92</v>
          </cell>
          <cell r="I620">
            <v>3512.36</v>
          </cell>
          <cell r="J620">
            <v>3512.36</v>
          </cell>
          <cell r="K620">
            <v>43846.47</v>
          </cell>
        </row>
        <row r="621">
          <cell r="A621" t="str">
            <v>В-18548/КЛ.Транш - 2_В-20211230/Ц</v>
          </cell>
          <cell r="B621" t="str">
            <v>Элоян Артур Гамбарович</v>
          </cell>
          <cell r="C621">
            <v>681</v>
          </cell>
          <cell r="D621">
            <v>44782</v>
          </cell>
          <cell r="E621">
            <v>752283.12</v>
          </cell>
          <cell r="F621">
            <v>752283.12</v>
          </cell>
          <cell r="G621">
            <v>422614.63</v>
          </cell>
          <cell r="H621">
            <v>422614.63</v>
          </cell>
          <cell r="I621">
            <v>174256.19</v>
          </cell>
          <cell r="J621">
            <v>174256.19</v>
          </cell>
          <cell r="K621">
            <v>155412.29999999999</v>
          </cell>
        </row>
        <row r="622">
          <cell r="A622" t="str">
            <v>В-04724/КЛ.Транш - 3_В-20211230/Ц</v>
          </cell>
          <cell r="B622" t="str">
            <v>Белан Надежда Александровна</v>
          </cell>
          <cell r="C622">
            <v>680</v>
          </cell>
          <cell r="D622">
            <v>44783</v>
          </cell>
          <cell r="E622">
            <v>560984.67000000004</v>
          </cell>
          <cell r="F622">
            <v>560984.67000000004</v>
          </cell>
          <cell r="G622">
            <v>344945.56</v>
          </cell>
          <cell r="H622">
            <v>344945.56</v>
          </cell>
          <cell r="I622">
            <v>89375.1</v>
          </cell>
          <cell r="J622">
            <v>89375.1</v>
          </cell>
          <cell r="K622">
            <v>126664.01</v>
          </cell>
        </row>
        <row r="623">
          <cell r="A623" t="str">
            <v>В-17417/КЛ.Транш - 1_В-20211230/Ц</v>
          </cell>
          <cell r="B623" t="str">
            <v>Минаева Наталия Анатольевна</v>
          </cell>
          <cell r="C623">
            <v>680</v>
          </cell>
          <cell r="D623">
            <v>44783</v>
          </cell>
          <cell r="E623">
            <v>338906.26</v>
          </cell>
          <cell r="F623">
            <v>338906.26</v>
          </cell>
          <cell r="G623">
            <v>200335.03</v>
          </cell>
          <cell r="H623">
            <v>200335.03</v>
          </cell>
          <cell r="I623">
            <v>52526.22</v>
          </cell>
          <cell r="J623">
            <v>52526.22</v>
          </cell>
          <cell r="K623">
            <v>73563.02</v>
          </cell>
        </row>
        <row r="624">
          <cell r="A624" t="str">
            <v>В-10008/КЭ.Транш - 3_В-20211230/Ц</v>
          </cell>
          <cell r="B624" t="str">
            <v>ИП Светлов Виталий Анатольевич</v>
          </cell>
          <cell r="C624">
            <v>679</v>
          </cell>
          <cell r="D624">
            <v>44784</v>
          </cell>
          <cell r="E624">
            <v>726970.41</v>
          </cell>
          <cell r="F624">
            <v>726970.41</v>
          </cell>
          <cell r="G624">
            <v>86356.46</v>
          </cell>
          <cell r="H624">
            <v>86356.46</v>
          </cell>
          <cell r="I624">
            <v>12456.62</v>
          </cell>
          <cell r="J624">
            <v>12456.62</v>
          </cell>
          <cell r="K624">
            <v>628157.32999999996</v>
          </cell>
        </row>
        <row r="625">
          <cell r="A625" t="str">
            <v>В-10024/КЭ.Транш - 1_В-20211230/Ц</v>
          </cell>
          <cell r="B625" t="str">
            <v>ИП Светлов Виталий Анатольевич</v>
          </cell>
          <cell r="C625">
            <v>676</v>
          </cell>
          <cell r="D625">
            <v>44787</v>
          </cell>
          <cell r="E625">
            <v>1905499.82</v>
          </cell>
          <cell r="F625">
            <v>1905499.82</v>
          </cell>
          <cell r="G625">
            <v>227999.63</v>
          </cell>
          <cell r="H625">
            <v>227999.63</v>
          </cell>
          <cell r="I625">
            <v>31670.09</v>
          </cell>
          <cell r="J625">
            <v>31670.09</v>
          </cell>
          <cell r="K625">
            <v>1645830.1</v>
          </cell>
        </row>
        <row r="626">
          <cell r="A626" t="str">
            <v>В-20251/КЛ.Транш - 2_В-20211230/Ц</v>
          </cell>
          <cell r="B626" t="str">
            <v>Слепнев Иван Викторович</v>
          </cell>
          <cell r="C626">
            <v>673</v>
          </cell>
          <cell r="D626">
            <v>44790</v>
          </cell>
          <cell r="E626">
            <v>312845.24</v>
          </cell>
          <cell r="F626">
            <v>312845.24</v>
          </cell>
          <cell r="G626">
            <v>188883.75</v>
          </cell>
          <cell r="H626">
            <v>188883.75</v>
          </cell>
          <cell r="I626">
            <v>43210.38</v>
          </cell>
          <cell r="J626">
            <v>43210.38</v>
          </cell>
          <cell r="K626">
            <v>68644.13</v>
          </cell>
        </row>
        <row r="627">
          <cell r="A627" t="str">
            <v>В-28393/КЛ.Транш - 1_В-20211230/Ц</v>
          </cell>
          <cell r="B627" t="str">
            <v>Петров Николай Анатольевич</v>
          </cell>
          <cell r="C627">
            <v>673</v>
          </cell>
          <cell r="D627">
            <v>44790</v>
          </cell>
          <cell r="E627">
            <v>5614.92</v>
          </cell>
          <cell r="F627">
            <v>5614.92</v>
          </cell>
          <cell r="K627">
            <v>5614.92</v>
          </cell>
        </row>
        <row r="628">
          <cell r="A628" t="str">
            <v>В-01217/АЗ_В-20211230/Ц</v>
          </cell>
          <cell r="B628" t="str">
            <v>Гупало Илья Александрович</v>
          </cell>
          <cell r="C628">
            <v>669</v>
          </cell>
          <cell r="D628">
            <v>44794</v>
          </cell>
          <cell r="E628">
            <v>569262.17000000004</v>
          </cell>
          <cell r="F628">
            <v>569262.17000000004</v>
          </cell>
          <cell r="G628">
            <v>340495.15</v>
          </cell>
          <cell r="H628">
            <v>340495.15</v>
          </cell>
          <cell r="I628">
            <v>91152.88</v>
          </cell>
          <cell r="J628">
            <v>91152.88</v>
          </cell>
          <cell r="K628">
            <v>123007.27</v>
          </cell>
        </row>
        <row r="629">
          <cell r="A629" t="str">
            <v>В-26449/АЗ_В-20211230/Ц</v>
          </cell>
          <cell r="B629" t="str">
            <v>Светлов Виталий Анатольевич</v>
          </cell>
          <cell r="C629">
            <v>666</v>
          </cell>
          <cell r="D629">
            <v>44797</v>
          </cell>
          <cell r="E629">
            <v>1551632.06</v>
          </cell>
          <cell r="F629">
            <v>1551632.06</v>
          </cell>
          <cell r="G629">
            <v>966941.07</v>
          </cell>
          <cell r="H629">
            <v>966941.07</v>
          </cell>
          <cell r="I629">
            <v>211932.29</v>
          </cell>
          <cell r="J629">
            <v>211932.29</v>
          </cell>
          <cell r="K629">
            <v>347750.68</v>
          </cell>
        </row>
        <row r="630">
          <cell r="A630" t="str">
            <v>В-10008/КЭ.Транш - 1_В-20211230/Ц</v>
          </cell>
          <cell r="B630" t="str">
            <v>ИП Светлов Виталий Анатольевич</v>
          </cell>
          <cell r="C630">
            <v>660</v>
          </cell>
          <cell r="D630">
            <v>44803</v>
          </cell>
          <cell r="E630">
            <v>436969.72</v>
          </cell>
          <cell r="F630">
            <v>436969.72</v>
          </cell>
          <cell r="G630">
            <v>50650.14</v>
          </cell>
          <cell r="H630">
            <v>50650.14</v>
          </cell>
          <cell r="I630">
            <v>5592.33</v>
          </cell>
          <cell r="J630">
            <v>5592.33</v>
          </cell>
          <cell r="K630">
            <v>359744.46</v>
          </cell>
        </row>
        <row r="631">
          <cell r="A631" t="str">
            <v>В-26816/КЛ.Транш - 1_В-20211230/Ц</v>
          </cell>
          <cell r="B631" t="str">
            <v>Мартынко Александра Андреевна</v>
          </cell>
          <cell r="C631">
            <v>660</v>
          </cell>
          <cell r="D631">
            <v>44803</v>
          </cell>
          <cell r="E631">
            <v>303415.92</v>
          </cell>
          <cell r="F631">
            <v>303415.92</v>
          </cell>
          <cell r="G631">
            <v>161018.21</v>
          </cell>
          <cell r="H631">
            <v>161018.21</v>
          </cell>
          <cell r="K631">
            <v>127340.82</v>
          </cell>
        </row>
        <row r="632">
          <cell r="A632" t="str">
            <v>В-00063/КЭ.Транш - 3_В-20211230/Ц</v>
          </cell>
          <cell r="B632" t="str">
            <v>ИП Месропян Аревик Орбеловна</v>
          </cell>
          <cell r="C632">
            <v>656</v>
          </cell>
          <cell r="D632">
            <v>44807</v>
          </cell>
          <cell r="E632">
            <v>1811902.54</v>
          </cell>
          <cell r="F632">
            <v>1811902.54</v>
          </cell>
          <cell r="G632">
            <v>252337.44</v>
          </cell>
          <cell r="H632">
            <v>252337.44</v>
          </cell>
          <cell r="I632">
            <v>25841.279999999999</v>
          </cell>
          <cell r="J632">
            <v>25841.279999999999</v>
          </cell>
          <cell r="K632">
            <v>1533723.82</v>
          </cell>
        </row>
        <row r="633">
          <cell r="A633" t="str">
            <v>В-25792/КЛ.Транш - 2_В-20211230/Ц</v>
          </cell>
          <cell r="B633" t="str">
            <v>Бакласова Мирабелла Викторовна</v>
          </cell>
          <cell r="C633">
            <v>650</v>
          </cell>
          <cell r="D633">
            <v>44813</v>
          </cell>
          <cell r="E633">
            <v>57192.59</v>
          </cell>
          <cell r="F633">
            <v>57192.59</v>
          </cell>
          <cell r="G633">
            <v>32041.16</v>
          </cell>
          <cell r="H633">
            <v>32041.16</v>
          </cell>
          <cell r="I633">
            <v>13904.98</v>
          </cell>
          <cell r="J633">
            <v>13904.98</v>
          </cell>
          <cell r="K633">
            <v>11246.45</v>
          </cell>
        </row>
        <row r="634">
          <cell r="A634" t="str">
            <v>В-28090/АЗ_В-20211230/Ц</v>
          </cell>
          <cell r="B634" t="str">
            <v>Колесников Михаил Вячеславович</v>
          </cell>
          <cell r="C634">
            <v>650</v>
          </cell>
          <cell r="D634">
            <v>44813</v>
          </cell>
          <cell r="E634">
            <v>1447458.28</v>
          </cell>
          <cell r="F634">
            <v>1447458.28</v>
          </cell>
          <cell r="G634">
            <v>915534.29</v>
          </cell>
          <cell r="H634">
            <v>915534.29</v>
          </cell>
          <cell r="I634">
            <v>184032.38</v>
          </cell>
          <cell r="J634">
            <v>184032.38</v>
          </cell>
          <cell r="K634">
            <v>326956.69</v>
          </cell>
        </row>
        <row r="635">
          <cell r="A635" t="str">
            <v>В-10025/КЭ.Транш - 1_В-20211230/Ц</v>
          </cell>
          <cell r="B635" t="str">
            <v>ИП Петров Юрий Викторович</v>
          </cell>
          <cell r="C635">
            <v>645</v>
          </cell>
          <cell r="D635">
            <v>44818</v>
          </cell>
          <cell r="E635">
            <v>2062278.39</v>
          </cell>
          <cell r="F635">
            <v>2062278.39</v>
          </cell>
          <cell r="G635">
            <v>254968.95</v>
          </cell>
          <cell r="H635">
            <v>254968.95</v>
          </cell>
          <cell r="I635">
            <v>60113.55</v>
          </cell>
          <cell r="J635">
            <v>60113.55</v>
          </cell>
          <cell r="K635">
            <v>1747195.89</v>
          </cell>
        </row>
        <row r="636">
          <cell r="A636" t="str">
            <v>В-25950/КЛ.Транш - 1_В-20211230/Ц</v>
          </cell>
          <cell r="B636" t="str">
            <v>Пивченкова Наталья Александровна</v>
          </cell>
          <cell r="C636">
            <v>645</v>
          </cell>
          <cell r="D636">
            <v>44818</v>
          </cell>
          <cell r="E636">
            <v>114370.68</v>
          </cell>
          <cell r="F636">
            <v>114370.68</v>
          </cell>
          <cell r="I636">
            <v>35010.160000000003</v>
          </cell>
          <cell r="J636">
            <v>35010.160000000003</v>
          </cell>
          <cell r="K636">
            <v>79360.52</v>
          </cell>
        </row>
        <row r="637">
          <cell r="A637" t="str">
            <v>В-26170/КЛ.Транш - 1_В-20211230/Ц</v>
          </cell>
          <cell r="B637" t="str">
            <v>Магомедов Саид Магомедрасулович</v>
          </cell>
          <cell r="C637">
            <v>642</v>
          </cell>
          <cell r="D637">
            <v>44821</v>
          </cell>
          <cell r="E637">
            <v>147763.46</v>
          </cell>
          <cell r="F637">
            <v>147763.46</v>
          </cell>
          <cell r="G637">
            <v>84396.97</v>
          </cell>
          <cell r="H637">
            <v>84396.97</v>
          </cell>
          <cell r="I637">
            <v>14465.75</v>
          </cell>
          <cell r="J637">
            <v>14465.75</v>
          </cell>
          <cell r="K637">
            <v>29258.74</v>
          </cell>
        </row>
        <row r="638">
          <cell r="A638" t="str">
            <v>В-24308/КЛ.Транш - 2_В-20211230/Ц</v>
          </cell>
          <cell r="B638" t="str">
            <v>Кондратюк Алексей Николаевич</v>
          </cell>
          <cell r="C638">
            <v>637</v>
          </cell>
          <cell r="D638">
            <v>44826</v>
          </cell>
          <cell r="E638">
            <v>596804.36</v>
          </cell>
          <cell r="F638">
            <v>596804.36</v>
          </cell>
          <cell r="G638">
            <v>422557.17</v>
          </cell>
          <cell r="H638">
            <v>422557.17</v>
          </cell>
          <cell r="I638">
            <v>28895.97</v>
          </cell>
          <cell r="J638">
            <v>28895.97</v>
          </cell>
          <cell r="K638">
            <v>145351.22</v>
          </cell>
        </row>
        <row r="639">
          <cell r="A639" t="str">
            <v>Т-01885/АЗ_Т-20211028/Ц</v>
          </cell>
          <cell r="B639" t="str">
            <v>Месропян Аревик Орбеловна</v>
          </cell>
          <cell r="C639">
            <v>636</v>
          </cell>
          <cell r="D639">
            <v>44827</v>
          </cell>
          <cell r="E639">
            <v>180608.07</v>
          </cell>
          <cell r="F639">
            <v>180608.07</v>
          </cell>
          <cell r="G639">
            <v>98003.53</v>
          </cell>
          <cell r="H639">
            <v>98003.53</v>
          </cell>
          <cell r="I639">
            <v>48775.94</v>
          </cell>
          <cell r="J639">
            <v>48775.94</v>
          </cell>
          <cell r="K639">
            <v>33828.6</v>
          </cell>
        </row>
        <row r="640">
          <cell r="A640" t="str">
            <v>В-10039/КЛ.Транш - 1_В-20211230/Ц</v>
          </cell>
          <cell r="B640" t="str">
            <v>Чеботкова Полина Михайловна</v>
          </cell>
          <cell r="C640">
            <v>635</v>
          </cell>
          <cell r="D640">
            <v>44828</v>
          </cell>
          <cell r="E640">
            <v>839972.41</v>
          </cell>
          <cell r="F640">
            <v>839972.41</v>
          </cell>
          <cell r="G640">
            <v>510538.93</v>
          </cell>
          <cell r="H640">
            <v>510538.93</v>
          </cell>
          <cell r="I640">
            <v>144269.68</v>
          </cell>
          <cell r="J640">
            <v>144269.68</v>
          </cell>
          <cell r="K640">
            <v>175063.8</v>
          </cell>
        </row>
        <row r="641">
          <cell r="A641" t="str">
            <v>В-26450/АЗ_В-20211230/Ц</v>
          </cell>
          <cell r="B641" t="str">
            <v>Петров Юрий Викторович</v>
          </cell>
          <cell r="C641">
            <v>635</v>
          </cell>
          <cell r="D641">
            <v>44828</v>
          </cell>
          <cell r="E641">
            <v>873034.41</v>
          </cell>
          <cell r="F641">
            <v>873034.41</v>
          </cell>
          <cell r="G641">
            <v>575064.78</v>
          </cell>
          <cell r="H641">
            <v>575064.78</v>
          </cell>
          <cell r="I641">
            <v>100779.92</v>
          </cell>
          <cell r="J641">
            <v>100779.92</v>
          </cell>
          <cell r="K641">
            <v>197189.71</v>
          </cell>
        </row>
        <row r="642">
          <cell r="A642" t="str">
            <v>В-02583/КЛ.Транш - 6_В-21082023/Ц</v>
          </cell>
          <cell r="B642" t="str">
            <v>Филатова Юлия Петровна</v>
          </cell>
          <cell r="C642">
            <v>634</v>
          </cell>
          <cell r="D642">
            <v>44829</v>
          </cell>
          <cell r="E642">
            <v>100983.26</v>
          </cell>
          <cell r="F642">
            <v>100983.26</v>
          </cell>
          <cell r="G642">
            <v>79192.86</v>
          </cell>
          <cell r="H642">
            <v>79192.86</v>
          </cell>
          <cell r="I642">
            <v>14157.07</v>
          </cell>
          <cell r="J642">
            <v>14157.07</v>
          </cell>
          <cell r="K642">
            <v>7633.33</v>
          </cell>
        </row>
        <row r="643">
          <cell r="A643" t="str">
            <v>В-10039/КЛ.Транш - 2_В-20211230/Ц</v>
          </cell>
          <cell r="B643" t="str">
            <v>Чеботкова Полина Михайловна</v>
          </cell>
          <cell r="C643">
            <v>631</v>
          </cell>
          <cell r="D643">
            <v>44832</v>
          </cell>
          <cell r="E643">
            <v>250035.28</v>
          </cell>
          <cell r="F643">
            <v>250035.28</v>
          </cell>
          <cell r="G643">
            <v>146529.69</v>
          </cell>
          <cell r="H643">
            <v>146529.69</v>
          </cell>
          <cell r="I643">
            <v>43657.81</v>
          </cell>
          <cell r="J643">
            <v>43657.81</v>
          </cell>
          <cell r="K643">
            <v>49928.53</v>
          </cell>
        </row>
        <row r="644">
          <cell r="A644" t="str">
            <v>В-02583/КЛ.Транш - 7_В-21082023/Ц</v>
          </cell>
          <cell r="B644" t="str">
            <v>Филатова Юлия Петровна</v>
          </cell>
          <cell r="C644">
            <v>629</v>
          </cell>
          <cell r="D644">
            <v>44834</v>
          </cell>
          <cell r="E644">
            <v>125995.57</v>
          </cell>
          <cell r="F644">
            <v>125995.57</v>
          </cell>
          <cell r="G644">
            <v>98821.17</v>
          </cell>
          <cell r="H644">
            <v>98821.17</v>
          </cell>
          <cell r="I644">
            <v>17056.8</v>
          </cell>
          <cell r="J644">
            <v>17056.8</v>
          </cell>
          <cell r="K644">
            <v>10117.6</v>
          </cell>
        </row>
        <row r="645">
          <cell r="A645" t="str">
            <v>В-10020/КЭ.Транш - 1_В-20211230/Ц</v>
          </cell>
          <cell r="B645" t="str">
            <v>АС ООО</v>
          </cell>
          <cell r="C645">
            <v>628</v>
          </cell>
          <cell r="D645">
            <v>44835</v>
          </cell>
          <cell r="E645">
            <v>5775253.6699999999</v>
          </cell>
          <cell r="F645">
            <v>5775253.6699999999</v>
          </cell>
          <cell r="G645">
            <v>761323.76</v>
          </cell>
          <cell r="H645">
            <v>761323.76</v>
          </cell>
          <cell r="I645">
            <v>126049.61</v>
          </cell>
          <cell r="J645">
            <v>126049.61</v>
          </cell>
          <cell r="K645">
            <v>4873001.25</v>
          </cell>
        </row>
        <row r="646">
          <cell r="A646" t="str">
            <v>В-25659/КЛ.Транш - 1_В-20211230/Ц</v>
          </cell>
          <cell r="B646" t="str">
            <v>Бондаренко Александр Александрович</v>
          </cell>
          <cell r="C646">
            <v>622</v>
          </cell>
          <cell r="D646">
            <v>44841</v>
          </cell>
          <cell r="E646">
            <v>109443.49</v>
          </cell>
          <cell r="F646">
            <v>243954.73</v>
          </cell>
          <cell r="G646">
            <v>107547.4</v>
          </cell>
          <cell r="H646">
            <v>10596.43</v>
          </cell>
          <cell r="I646">
            <v>73700.320000000007</v>
          </cell>
          <cell r="J646">
            <v>111260.59</v>
          </cell>
          <cell r="K646">
            <v>25146.74</v>
          </cell>
        </row>
        <row r="647">
          <cell r="A647" t="str">
            <v>В-03450/КЛ.Транш - 1_В-20211230/Ц</v>
          </cell>
          <cell r="B647" t="str">
            <v>Рябоконов Алексей Викторович</v>
          </cell>
          <cell r="C647">
            <v>615</v>
          </cell>
          <cell r="D647">
            <v>44848</v>
          </cell>
          <cell r="E647">
            <v>46315.44</v>
          </cell>
          <cell r="F647">
            <v>46315.44</v>
          </cell>
          <cell r="G647">
            <v>35828.65</v>
          </cell>
          <cell r="H647">
            <v>35828.65</v>
          </cell>
          <cell r="K647">
            <v>10486.79</v>
          </cell>
        </row>
        <row r="648">
          <cell r="A648" t="str">
            <v>В-11396/КЛ.Транш - 2_В-21082023/Ц</v>
          </cell>
          <cell r="B648" t="str">
            <v>Губская Светлана Анатольевна</v>
          </cell>
          <cell r="C648">
            <v>614</v>
          </cell>
          <cell r="D648">
            <v>44849</v>
          </cell>
          <cell r="E648">
            <v>45353.16</v>
          </cell>
          <cell r="F648">
            <v>220115.92</v>
          </cell>
          <cell r="G648">
            <v>185125.83</v>
          </cell>
          <cell r="H648">
            <v>12116.86</v>
          </cell>
          <cell r="I648">
            <v>11757.86</v>
          </cell>
          <cell r="J648">
            <v>13511.65</v>
          </cell>
          <cell r="K648">
            <v>21478.44</v>
          </cell>
        </row>
        <row r="649">
          <cell r="A649" t="str">
            <v>В-25659/КЛ.Транш - 2_В-20211230/Ц</v>
          </cell>
          <cell r="B649" t="str">
            <v>Бондаренко Александр Александрович</v>
          </cell>
          <cell r="C649">
            <v>612</v>
          </cell>
          <cell r="D649">
            <v>44851</v>
          </cell>
          <cell r="E649">
            <v>115832.62</v>
          </cell>
          <cell r="F649">
            <v>284339.49</v>
          </cell>
          <cell r="G649">
            <v>130577.68</v>
          </cell>
          <cell r="H649">
            <v>11599.49</v>
          </cell>
          <cell r="I649">
            <v>76521.94</v>
          </cell>
          <cell r="J649">
            <v>126050.62</v>
          </cell>
          <cell r="K649">
            <v>27711.19</v>
          </cell>
        </row>
        <row r="650">
          <cell r="A650" t="str">
            <v>В-14546/КЛ.Транш - 1_В-20211230/Ц</v>
          </cell>
          <cell r="B650" t="str">
            <v>Козлов Иван Александрович</v>
          </cell>
          <cell r="C650">
            <v>603</v>
          </cell>
          <cell r="D650">
            <v>44860</v>
          </cell>
          <cell r="E650">
            <v>371723.24</v>
          </cell>
          <cell r="F650">
            <v>371723.24</v>
          </cell>
          <cell r="G650">
            <v>243347.98</v>
          </cell>
          <cell r="H650">
            <v>243347.98</v>
          </cell>
          <cell r="I650">
            <v>49136.29</v>
          </cell>
          <cell r="J650">
            <v>49136.29</v>
          </cell>
          <cell r="K650">
            <v>79238.97</v>
          </cell>
        </row>
        <row r="651">
          <cell r="A651" t="str">
            <v>В-26649/АЗ_В-20211230/Ц</v>
          </cell>
          <cell r="B651" t="str">
            <v>Краснокутская Ирина Анатольевна</v>
          </cell>
          <cell r="C651">
            <v>601</v>
          </cell>
          <cell r="D651">
            <v>44862</v>
          </cell>
          <cell r="E651">
            <v>1453659.47</v>
          </cell>
          <cell r="F651">
            <v>1453659.47</v>
          </cell>
          <cell r="G651">
            <v>937688.28</v>
          </cell>
          <cell r="H651">
            <v>937688.28</v>
          </cell>
          <cell r="I651">
            <v>190774.61</v>
          </cell>
          <cell r="J651">
            <v>190774.61</v>
          </cell>
          <cell r="K651">
            <v>304317.36</v>
          </cell>
        </row>
        <row r="652">
          <cell r="A652" t="str">
            <v>В-26651/АЗ_В-20211230/Ц</v>
          </cell>
          <cell r="B652" t="str">
            <v>Краснокутский Анатолий Владимирович</v>
          </cell>
          <cell r="C652">
            <v>601</v>
          </cell>
          <cell r="D652">
            <v>44862</v>
          </cell>
          <cell r="E652">
            <v>1151163.99</v>
          </cell>
          <cell r="F652">
            <v>1151163.99</v>
          </cell>
          <cell r="G652">
            <v>746957.49</v>
          </cell>
          <cell r="H652">
            <v>746957.49</v>
          </cell>
          <cell r="I652">
            <v>142351.67999999999</v>
          </cell>
          <cell r="J652">
            <v>142351.67999999999</v>
          </cell>
          <cell r="K652">
            <v>242417.58</v>
          </cell>
        </row>
        <row r="653">
          <cell r="A653" t="str">
            <v>В-21731/КЛ.Транш - 2_В-21082023/Ц</v>
          </cell>
          <cell r="B653" t="str">
            <v>Виноградова Светлана Витальевна</v>
          </cell>
          <cell r="C653">
            <v>597</v>
          </cell>
          <cell r="D653">
            <v>44866</v>
          </cell>
          <cell r="E653">
            <v>157407.25</v>
          </cell>
          <cell r="F653">
            <v>157407.25</v>
          </cell>
          <cell r="G653">
            <v>123900.97</v>
          </cell>
          <cell r="H653">
            <v>123900.97</v>
          </cell>
          <cell r="I653">
            <v>15888.03</v>
          </cell>
          <cell r="J653">
            <v>15888.03</v>
          </cell>
          <cell r="K653">
            <v>17618.25</v>
          </cell>
        </row>
        <row r="654">
          <cell r="A654" t="str">
            <v>В-14232/КЛ.Транш - 1_В-20211230/Ц</v>
          </cell>
          <cell r="B654" t="str">
            <v>Эскеров Агаси Эскерович</v>
          </cell>
          <cell r="C654">
            <v>594</v>
          </cell>
          <cell r="D654">
            <v>44869</v>
          </cell>
          <cell r="E654">
            <v>70225.84</v>
          </cell>
          <cell r="F654">
            <v>70225.84</v>
          </cell>
          <cell r="G654">
            <v>41869.35</v>
          </cell>
          <cell r="H654">
            <v>41869.35</v>
          </cell>
          <cell r="I654">
            <v>6763.34</v>
          </cell>
          <cell r="J654">
            <v>6763.34</v>
          </cell>
          <cell r="K654">
            <v>13430.01</v>
          </cell>
        </row>
        <row r="655">
          <cell r="A655" t="str">
            <v>В-02583/КЛ.Транш - 9_В-21082023/Ц</v>
          </cell>
          <cell r="B655" t="str">
            <v>Филатова Юлия Петровна</v>
          </cell>
          <cell r="C655">
            <v>591</v>
          </cell>
          <cell r="D655">
            <v>44872</v>
          </cell>
          <cell r="E655">
            <v>56486.47</v>
          </cell>
          <cell r="F655">
            <v>56486.47</v>
          </cell>
          <cell r="G655">
            <v>43697.18</v>
          </cell>
          <cell r="H655">
            <v>43697.18</v>
          </cell>
          <cell r="I655">
            <v>8749.02</v>
          </cell>
          <cell r="J655">
            <v>8749.02</v>
          </cell>
          <cell r="K655">
            <v>4040.27</v>
          </cell>
        </row>
        <row r="656">
          <cell r="A656" t="str">
            <v>В-28159/КЛ.Транш - 1_В-20211230/Ц</v>
          </cell>
          <cell r="B656" t="str">
            <v>Карагезян Шушаник Вачагановна</v>
          </cell>
          <cell r="C656">
            <v>586</v>
          </cell>
          <cell r="D656">
            <v>44877</v>
          </cell>
          <cell r="E656">
            <v>444683.93</v>
          </cell>
          <cell r="F656">
            <v>444683.93</v>
          </cell>
          <cell r="G656">
            <v>285560.12</v>
          </cell>
          <cell r="H656">
            <v>285560.12</v>
          </cell>
          <cell r="K656">
            <v>142166.87</v>
          </cell>
        </row>
        <row r="657">
          <cell r="A657" t="str">
            <v>В-30007/КЭ.Транш - 1_В-20211230/Ц</v>
          </cell>
          <cell r="B657" t="str">
            <v>ИП Артемов Александр Викторович</v>
          </cell>
          <cell r="C657">
            <v>579</v>
          </cell>
          <cell r="D657">
            <v>44884</v>
          </cell>
          <cell r="E657">
            <v>2129960.14</v>
          </cell>
          <cell r="F657">
            <v>2129960.14</v>
          </cell>
          <cell r="G657">
            <v>244671.35999999999</v>
          </cell>
          <cell r="H657">
            <v>244671.35999999999</v>
          </cell>
          <cell r="K657">
            <v>1885288.78</v>
          </cell>
        </row>
        <row r="658">
          <cell r="A658" t="str">
            <v>В-27410/КЛ.Транш - 1_В-21082023/Ц</v>
          </cell>
          <cell r="B658" t="str">
            <v>Бунаков Алексей Вячеславович</v>
          </cell>
          <cell r="C658">
            <v>576</v>
          </cell>
          <cell r="D658">
            <v>44887</v>
          </cell>
          <cell r="E658">
            <v>514525.83</v>
          </cell>
          <cell r="F658">
            <v>514525.83</v>
          </cell>
          <cell r="G658">
            <v>353990.13</v>
          </cell>
          <cell r="H658">
            <v>353990.13</v>
          </cell>
          <cell r="I658">
            <v>118940.68</v>
          </cell>
          <cell r="J658">
            <v>118940.68</v>
          </cell>
          <cell r="K658">
            <v>27304.43</v>
          </cell>
        </row>
        <row r="659">
          <cell r="A659" t="str">
            <v>В-28274/КЛ.Транш - 1_В-21082023/Ц</v>
          </cell>
          <cell r="B659" t="str">
            <v>Подтуркин Алексей Сергеевич</v>
          </cell>
          <cell r="C659">
            <v>575</v>
          </cell>
          <cell r="D659">
            <v>44888</v>
          </cell>
          <cell r="E659">
            <v>303361.96999999997</v>
          </cell>
          <cell r="F659">
            <v>303361.96999999997</v>
          </cell>
          <cell r="G659">
            <v>185069.57</v>
          </cell>
          <cell r="H659">
            <v>185069.57</v>
          </cell>
          <cell r="I659">
            <v>83626.080000000002</v>
          </cell>
          <cell r="J659">
            <v>83626.080000000002</v>
          </cell>
          <cell r="K659">
            <v>22623.46</v>
          </cell>
        </row>
        <row r="660">
          <cell r="A660" t="str">
            <v>В-25052/КЛ.Транш - 1_В-21082023/Ц</v>
          </cell>
          <cell r="B660" t="str">
            <v>Журавлёв Денис Сергеевич</v>
          </cell>
          <cell r="C660">
            <v>573</v>
          </cell>
          <cell r="D660">
            <v>44890</v>
          </cell>
          <cell r="E660">
            <v>605122.38</v>
          </cell>
          <cell r="F660">
            <v>605122.38</v>
          </cell>
          <cell r="G660">
            <v>400799.7</v>
          </cell>
          <cell r="H660">
            <v>400799.7</v>
          </cell>
          <cell r="I660">
            <v>133811.82999999999</v>
          </cell>
          <cell r="J660">
            <v>133811.82999999999</v>
          </cell>
          <cell r="K660">
            <v>55642.25</v>
          </cell>
        </row>
        <row r="661">
          <cell r="A661" t="str">
            <v>В-01203/АЗ_В-21082023/Ц</v>
          </cell>
          <cell r="B661" t="str">
            <v>Нахапетов Артур Валерьевич</v>
          </cell>
          <cell r="C661">
            <v>569</v>
          </cell>
          <cell r="D661">
            <v>44894</v>
          </cell>
          <cell r="E661">
            <v>692959.79</v>
          </cell>
          <cell r="F661">
            <v>692959.79</v>
          </cell>
          <cell r="G661">
            <v>417428.36</v>
          </cell>
          <cell r="H661">
            <v>417428.36</v>
          </cell>
          <cell r="I661">
            <v>212225.15</v>
          </cell>
          <cell r="J661">
            <v>212225.15</v>
          </cell>
          <cell r="K661">
            <v>47336.38</v>
          </cell>
        </row>
        <row r="662">
          <cell r="A662" t="str">
            <v>В-18631/КЛ.Транш - 1_В-21082023/Ц</v>
          </cell>
          <cell r="B662" t="str">
            <v>Самедов Эльдар Абилевич</v>
          </cell>
          <cell r="C662">
            <v>567</v>
          </cell>
          <cell r="D662">
            <v>44896</v>
          </cell>
          <cell r="E662">
            <v>296317.43</v>
          </cell>
          <cell r="F662">
            <v>296317.43</v>
          </cell>
          <cell r="G662">
            <v>109431.76</v>
          </cell>
          <cell r="H662">
            <v>109431.76</v>
          </cell>
          <cell r="I662">
            <v>153537.25</v>
          </cell>
          <cell r="J662">
            <v>153537.25</v>
          </cell>
          <cell r="K662">
            <v>33348.42</v>
          </cell>
        </row>
        <row r="663">
          <cell r="A663" t="str">
            <v>В-19346/КЛ.Транш - 2_В-21082023/Ц</v>
          </cell>
          <cell r="B663" t="str">
            <v>Киселев Александр Максимович</v>
          </cell>
          <cell r="C663">
            <v>556</v>
          </cell>
          <cell r="D663">
            <v>44907</v>
          </cell>
          <cell r="E663">
            <v>150271.29</v>
          </cell>
          <cell r="F663">
            <v>150271.29</v>
          </cell>
          <cell r="G663">
            <v>101855.26</v>
          </cell>
          <cell r="H663">
            <v>101855.26</v>
          </cell>
          <cell r="I663">
            <v>34555.57</v>
          </cell>
          <cell r="J663">
            <v>34555.57</v>
          </cell>
          <cell r="K663">
            <v>13860.46</v>
          </cell>
        </row>
        <row r="664">
          <cell r="A664" t="str">
            <v>В-19346/КЛ.Транш - 3_В-21082023/Ц</v>
          </cell>
          <cell r="B664" t="str">
            <v>Киселев Александр Максимович</v>
          </cell>
          <cell r="C664">
            <v>549</v>
          </cell>
          <cell r="D664">
            <v>44914</v>
          </cell>
          <cell r="E664">
            <v>268103.32</v>
          </cell>
          <cell r="F664">
            <v>268103.32</v>
          </cell>
          <cell r="G664">
            <v>182301.85</v>
          </cell>
          <cell r="H664">
            <v>182301.85</v>
          </cell>
          <cell r="I664">
            <v>61682.94</v>
          </cell>
          <cell r="J664">
            <v>61682.94</v>
          </cell>
          <cell r="K664">
            <v>24118.53</v>
          </cell>
        </row>
        <row r="665">
          <cell r="A665" t="str">
            <v>В-00030/КЭ.Транш - 1_В-21082023/Ц</v>
          </cell>
          <cell r="B665" t="str">
            <v>Макси-Строй ООО</v>
          </cell>
          <cell r="C665">
            <v>548</v>
          </cell>
          <cell r="D665">
            <v>44915</v>
          </cell>
          <cell r="E665">
            <v>359359.26</v>
          </cell>
          <cell r="F665">
            <v>359359.26</v>
          </cell>
          <cell r="G665">
            <v>39349.879999999997</v>
          </cell>
          <cell r="H665">
            <v>39349.879999999997</v>
          </cell>
          <cell r="I665">
            <v>33800.75</v>
          </cell>
          <cell r="J665">
            <v>33800.75</v>
          </cell>
          <cell r="K665">
            <v>286208.63</v>
          </cell>
        </row>
        <row r="666">
          <cell r="A666" t="str">
            <v>В-18141/КЛ.Транш - 1_В-21082023/Ц</v>
          </cell>
          <cell r="B666" t="str">
            <v>Королёв Сергей Николаевич</v>
          </cell>
          <cell r="C666">
            <v>548</v>
          </cell>
          <cell r="D666">
            <v>44915</v>
          </cell>
          <cell r="E666">
            <v>314791.89</v>
          </cell>
          <cell r="F666">
            <v>314791.89</v>
          </cell>
          <cell r="G666">
            <v>212357.23</v>
          </cell>
          <cell r="H666">
            <v>212357.23</v>
          </cell>
          <cell r="I666">
            <v>62288.98</v>
          </cell>
          <cell r="J666">
            <v>62288.98</v>
          </cell>
          <cell r="K666">
            <v>27980.19</v>
          </cell>
        </row>
        <row r="667">
          <cell r="A667" t="str">
            <v>В-19104/КЛ.Транш - 1_В-21082023/Ц</v>
          </cell>
          <cell r="B667" t="str">
            <v>Кожанов Александр Михайлович</v>
          </cell>
          <cell r="C667">
            <v>548</v>
          </cell>
          <cell r="D667">
            <v>44915</v>
          </cell>
          <cell r="E667">
            <v>456509.88</v>
          </cell>
          <cell r="F667">
            <v>456509.88</v>
          </cell>
          <cell r="G667">
            <v>304765.15000000002</v>
          </cell>
          <cell r="H667">
            <v>304765.15000000002</v>
          </cell>
          <cell r="I667">
            <v>107669.88</v>
          </cell>
          <cell r="J667">
            <v>107669.88</v>
          </cell>
          <cell r="K667">
            <v>30446.04</v>
          </cell>
        </row>
        <row r="668">
          <cell r="A668" t="str">
            <v>В-12943/КЛ.Транш - 1_В-21082023/Ц</v>
          </cell>
          <cell r="B668" t="str">
            <v>Дробот Роман Вячеславович</v>
          </cell>
          <cell r="C668">
            <v>545</v>
          </cell>
          <cell r="D668">
            <v>44918</v>
          </cell>
          <cell r="E668">
            <v>321997.18</v>
          </cell>
          <cell r="F668">
            <v>321997.18</v>
          </cell>
          <cell r="G668">
            <v>180436.57</v>
          </cell>
          <cell r="H668">
            <v>180436.57</v>
          </cell>
          <cell r="I668">
            <v>93700.32</v>
          </cell>
          <cell r="J668">
            <v>93700.32</v>
          </cell>
          <cell r="K668">
            <v>47860.29</v>
          </cell>
        </row>
        <row r="669">
          <cell r="A669" t="str">
            <v>В-03300/КЛ.Транш - 1_В-21082023/Ц</v>
          </cell>
          <cell r="B669" t="str">
            <v>Тихонова Ирина Анатольевна</v>
          </cell>
          <cell r="C669">
            <v>544</v>
          </cell>
          <cell r="D669">
            <v>44919</v>
          </cell>
          <cell r="E669">
            <v>122755.51</v>
          </cell>
          <cell r="F669">
            <v>122755.51</v>
          </cell>
          <cell r="G669">
            <v>88985.76</v>
          </cell>
          <cell r="H669">
            <v>88985.76</v>
          </cell>
          <cell r="I669">
            <v>6630.69</v>
          </cell>
          <cell r="J669">
            <v>6630.69</v>
          </cell>
          <cell r="K669">
            <v>16692.87</v>
          </cell>
        </row>
        <row r="670">
          <cell r="A670" t="str">
            <v>В-27753/КЛ.Транш - 1_В-21082023/Ц</v>
          </cell>
          <cell r="B670" t="str">
            <v>Турумбекова Темиркан Кадырбековна</v>
          </cell>
          <cell r="C670">
            <v>543</v>
          </cell>
          <cell r="D670">
            <v>44920</v>
          </cell>
          <cell r="E670">
            <v>311232.8</v>
          </cell>
          <cell r="F670">
            <v>311232.8</v>
          </cell>
          <cell r="G670">
            <v>201867.89</v>
          </cell>
          <cell r="H670">
            <v>201867.89</v>
          </cell>
          <cell r="I670">
            <v>93842.94</v>
          </cell>
          <cell r="J670">
            <v>93842.94</v>
          </cell>
          <cell r="K670">
            <v>15521.97</v>
          </cell>
        </row>
        <row r="671">
          <cell r="A671" t="str">
            <v>В-19684/КЛ.Транш - 1_В-21082023/Ц</v>
          </cell>
          <cell r="B671" t="str">
            <v>Белорыбкин Михаил Васильевич</v>
          </cell>
          <cell r="C671">
            <v>540</v>
          </cell>
          <cell r="D671">
            <v>44923</v>
          </cell>
          <cell r="E671">
            <v>351355.26</v>
          </cell>
          <cell r="F671">
            <v>351355.26</v>
          </cell>
          <cell r="G671">
            <v>237825.37</v>
          </cell>
          <cell r="H671">
            <v>237825.37</v>
          </cell>
          <cell r="I671">
            <v>70696.05</v>
          </cell>
          <cell r="J671">
            <v>70696.05</v>
          </cell>
          <cell r="K671">
            <v>30308.47</v>
          </cell>
        </row>
        <row r="672">
          <cell r="A672" t="str">
            <v>В-25306/КЛ.Транш - 1_В-21082023/Ц</v>
          </cell>
          <cell r="B672" t="str">
            <v>Сидоренко Надежда Алексеевна</v>
          </cell>
          <cell r="C672">
            <v>527</v>
          </cell>
          <cell r="D672">
            <v>44936</v>
          </cell>
          <cell r="E672">
            <v>1074750.27</v>
          </cell>
          <cell r="F672">
            <v>1795182.1</v>
          </cell>
          <cell r="G672">
            <v>908272.7</v>
          </cell>
          <cell r="H672">
            <v>187840.87</v>
          </cell>
          <cell r="I672">
            <v>712294.41</v>
          </cell>
          <cell r="J672">
            <v>712294.41</v>
          </cell>
          <cell r="K672">
            <v>151554.38</v>
          </cell>
        </row>
        <row r="673">
          <cell r="A673" t="str">
            <v>В-25865/КЛ.Транш - 1_В-21082023/Ц</v>
          </cell>
          <cell r="B673" t="str">
            <v>Набойченко Юлия Александровна</v>
          </cell>
          <cell r="C673">
            <v>526</v>
          </cell>
          <cell r="D673">
            <v>44937</v>
          </cell>
          <cell r="E673">
            <v>791579.9</v>
          </cell>
          <cell r="F673">
            <v>791579.9</v>
          </cell>
          <cell r="G673">
            <v>523728.74</v>
          </cell>
          <cell r="H673">
            <v>523728.74</v>
          </cell>
          <cell r="I673">
            <v>188254.63</v>
          </cell>
          <cell r="J673">
            <v>188254.63</v>
          </cell>
          <cell r="K673">
            <v>62784.6</v>
          </cell>
        </row>
        <row r="674">
          <cell r="A674" t="str">
            <v>В-26664/КЛ.Транш - 1_В-21082023/Ц</v>
          </cell>
          <cell r="B674" t="str">
            <v>Лемкин Николай Иванович</v>
          </cell>
          <cell r="C674">
            <v>509</v>
          </cell>
          <cell r="D674">
            <v>44954</v>
          </cell>
          <cell r="E674">
            <v>146145.22</v>
          </cell>
          <cell r="F674">
            <v>301305.65000000002</v>
          </cell>
          <cell r="G674">
            <v>207666.7</v>
          </cell>
          <cell r="H674">
            <v>52506.27</v>
          </cell>
          <cell r="I674">
            <v>44881.21</v>
          </cell>
          <cell r="J674">
            <v>44881.21</v>
          </cell>
          <cell r="K674">
            <v>36700.33</v>
          </cell>
        </row>
        <row r="675">
          <cell r="A675" t="str">
            <v>В-00970/АЗ_В-21082023/Ц</v>
          </cell>
          <cell r="B675" t="str">
            <v>Башкатов Егор Иванович</v>
          </cell>
          <cell r="C675">
            <v>508</v>
          </cell>
          <cell r="D675">
            <v>44955</v>
          </cell>
          <cell r="E675">
            <v>461624.15</v>
          </cell>
          <cell r="F675">
            <v>497995.86</v>
          </cell>
          <cell r="G675">
            <v>241206.49</v>
          </cell>
          <cell r="H675">
            <v>205898.85</v>
          </cell>
          <cell r="I675">
            <v>177032.25</v>
          </cell>
          <cell r="J675">
            <v>178096.32</v>
          </cell>
          <cell r="K675">
            <v>66167.77</v>
          </cell>
        </row>
        <row r="676">
          <cell r="A676" t="str">
            <v>В-23776/КЛ.Транш - 1_В-21082023/Ц</v>
          </cell>
          <cell r="B676" t="str">
            <v>Шалдыбин Данил Геннадьевич</v>
          </cell>
          <cell r="C676">
            <v>489</v>
          </cell>
          <cell r="D676">
            <v>44974</v>
          </cell>
          <cell r="E676">
            <v>149685.63</v>
          </cell>
          <cell r="F676">
            <v>149685.63</v>
          </cell>
          <cell r="G676">
            <v>129004.89</v>
          </cell>
          <cell r="H676">
            <v>129004.89</v>
          </cell>
          <cell r="K676">
            <v>20680.740000000002</v>
          </cell>
        </row>
        <row r="677">
          <cell r="A677" t="str">
            <v>В-10022/КЭ.Транш - 1_В-21082023/Ц</v>
          </cell>
          <cell r="B677" t="str">
            <v>ТРАНСЛОГ ООО</v>
          </cell>
          <cell r="C677">
            <v>483</v>
          </cell>
          <cell r="D677">
            <v>44980</v>
          </cell>
          <cell r="E677">
            <v>20488.990000000002</v>
          </cell>
          <cell r="F677">
            <v>20488.990000000002</v>
          </cell>
          <cell r="K677">
            <v>20488.990000000002</v>
          </cell>
        </row>
        <row r="678">
          <cell r="A678" t="str">
            <v>В-20952/КЛ.Транш - 3_В-21082023/Ц</v>
          </cell>
          <cell r="B678" t="str">
            <v>Ширманов Никита Александрович</v>
          </cell>
          <cell r="C678">
            <v>483</v>
          </cell>
          <cell r="D678">
            <v>44980</v>
          </cell>
          <cell r="E678">
            <v>107228.53</v>
          </cell>
          <cell r="F678">
            <v>172838.1</v>
          </cell>
          <cell r="G678">
            <v>85616.51</v>
          </cell>
          <cell r="H678">
            <v>23441.07</v>
          </cell>
          <cell r="I678">
            <v>65246.6</v>
          </cell>
          <cell r="J678">
            <v>68680.73</v>
          </cell>
          <cell r="K678">
            <v>18540.86</v>
          </cell>
        </row>
        <row r="679">
          <cell r="A679" t="str">
            <v>В-22979/КЛ.Транш - 1_В-21082023/Ц</v>
          </cell>
          <cell r="B679" t="str">
            <v>Цирамуа Наталия Наполеоновна</v>
          </cell>
          <cell r="C679">
            <v>481</v>
          </cell>
          <cell r="D679">
            <v>44982</v>
          </cell>
          <cell r="E679">
            <v>84262.65</v>
          </cell>
          <cell r="F679">
            <v>311501.98</v>
          </cell>
          <cell r="G679">
            <v>239427.03</v>
          </cell>
          <cell r="H679">
            <v>22095.63</v>
          </cell>
          <cell r="I679">
            <v>26254.2</v>
          </cell>
          <cell r="J679">
            <v>36162.129999999997</v>
          </cell>
          <cell r="K679">
            <v>35912.82</v>
          </cell>
        </row>
        <row r="680">
          <cell r="A680" t="str">
            <v>В-01113/АЗ_В-21082023/Ц</v>
          </cell>
          <cell r="B680" t="str">
            <v>Петров Денис Александрович</v>
          </cell>
          <cell r="C680">
            <v>471</v>
          </cell>
          <cell r="D680">
            <v>44992</v>
          </cell>
          <cell r="E680">
            <v>367318.73</v>
          </cell>
          <cell r="F680">
            <v>367318.73</v>
          </cell>
          <cell r="G680">
            <v>189695.68</v>
          </cell>
          <cell r="H680">
            <v>189695.68</v>
          </cell>
          <cell r="I680">
            <v>129375.85</v>
          </cell>
          <cell r="J680">
            <v>129375.85</v>
          </cell>
          <cell r="K680">
            <v>48247.199999999997</v>
          </cell>
        </row>
        <row r="681">
          <cell r="A681" t="str">
            <v>В-21321/КЛ.Транш - 1_В-21082023/Ц</v>
          </cell>
          <cell r="B681" t="str">
            <v>Надеев Алексей Александрович</v>
          </cell>
          <cell r="C681">
            <v>467</v>
          </cell>
          <cell r="D681">
            <v>44996</v>
          </cell>
          <cell r="E681">
            <v>6484.24</v>
          </cell>
          <cell r="F681">
            <v>6484.24</v>
          </cell>
          <cell r="K681">
            <v>6484.24</v>
          </cell>
        </row>
        <row r="682">
          <cell r="A682" t="str">
            <v>В-14198/КЛ.Транш - 1_В-21082023/Ц</v>
          </cell>
          <cell r="B682" t="str">
            <v>Борисов Андрей Сергеевич</v>
          </cell>
          <cell r="C682">
            <v>462</v>
          </cell>
          <cell r="D682">
            <v>45001</v>
          </cell>
          <cell r="E682">
            <v>5604.35</v>
          </cell>
          <cell r="F682">
            <v>117599.97</v>
          </cell>
          <cell r="G682">
            <v>111094.69</v>
          </cell>
          <cell r="J682">
            <v>900.93</v>
          </cell>
          <cell r="K682">
            <v>5604.35</v>
          </cell>
        </row>
        <row r="683">
          <cell r="A683" t="str">
            <v>В-20952/КЛ.Транш - 6_В-21082023/Ц</v>
          </cell>
          <cell r="B683" t="str">
            <v>Ширманов Никита Александрович</v>
          </cell>
          <cell r="C683">
            <v>447</v>
          </cell>
          <cell r="D683">
            <v>45016</v>
          </cell>
          <cell r="E683">
            <v>105121.84</v>
          </cell>
          <cell r="F683">
            <v>170016.01</v>
          </cell>
          <cell r="G683">
            <v>85748.58</v>
          </cell>
          <cell r="H683">
            <v>23383.200000000001</v>
          </cell>
          <cell r="I683">
            <v>64749.79</v>
          </cell>
          <cell r="J683">
            <v>67278.58</v>
          </cell>
          <cell r="K683">
            <v>16988.849999999999</v>
          </cell>
        </row>
        <row r="684">
          <cell r="A684" t="str">
            <v>В-17318/КЛ.Транш - 1_В-21082023/Ц</v>
          </cell>
          <cell r="B684" t="str">
            <v>Анищенкова Оксана Михайловна</v>
          </cell>
          <cell r="C684">
            <v>443</v>
          </cell>
          <cell r="D684">
            <v>45020</v>
          </cell>
          <cell r="E684">
            <v>904257.53</v>
          </cell>
          <cell r="F684">
            <v>904257.53</v>
          </cell>
          <cell r="G684">
            <v>763161.64</v>
          </cell>
          <cell r="H684">
            <v>763161.64</v>
          </cell>
          <cell r="I684">
            <v>108951.52</v>
          </cell>
          <cell r="J684">
            <v>108951.52</v>
          </cell>
          <cell r="K684">
            <v>32144.37</v>
          </cell>
        </row>
        <row r="685">
          <cell r="A685" t="str">
            <v>В-25824/КЛ.Транш - 1_В-21082023/Ц</v>
          </cell>
          <cell r="B685" t="str">
            <v>Яковлев Борис Викторович</v>
          </cell>
          <cell r="C685">
            <v>434</v>
          </cell>
          <cell r="D685">
            <v>45029</v>
          </cell>
          <cell r="E685">
            <v>169521.03</v>
          </cell>
          <cell r="F685">
            <v>169521.03</v>
          </cell>
          <cell r="G685">
            <v>102744.52</v>
          </cell>
          <cell r="H685">
            <v>102744.52</v>
          </cell>
          <cell r="I685">
            <v>43743.83</v>
          </cell>
          <cell r="J685">
            <v>43743.83</v>
          </cell>
          <cell r="K685">
            <v>12649.91</v>
          </cell>
        </row>
        <row r="686">
          <cell r="A686" t="str">
            <v>В-26114/КЛ.Транш - 1_В-21082023/Ц</v>
          </cell>
          <cell r="B686" t="str">
            <v>Рахимов Фарход Каримович</v>
          </cell>
          <cell r="C686">
            <v>430</v>
          </cell>
          <cell r="D686">
            <v>45033</v>
          </cell>
          <cell r="E686">
            <v>350237.69</v>
          </cell>
          <cell r="F686">
            <v>438268.08</v>
          </cell>
          <cell r="G686">
            <v>214781.62</v>
          </cell>
          <cell r="H686">
            <v>127211.87</v>
          </cell>
          <cell r="I686">
            <v>173153.53</v>
          </cell>
          <cell r="J686">
            <v>173614.17</v>
          </cell>
          <cell r="K686">
            <v>49872.29</v>
          </cell>
        </row>
        <row r="687">
          <cell r="A687" t="str">
            <v>В-21872/КЛ.Транш - 1_В-21082023/Ц</v>
          </cell>
          <cell r="B687" t="str">
            <v>Савчук Елена Александровна</v>
          </cell>
          <cell r="C687">
            <v>423</v>
          </cell>
          <cell r="D687">
            <v>45040</v>
          </cell>
          <cell r="E687">
            <v>295338.03999999998</v>
          </cell>
          <cell r="F687">
            <v>295338.03999999998</v>
          </cell>
          <cell r="G687">
            <v>200305.09</v>
          </cell>
          <cell r="H687">
            <v>200305.09</v>
          </cell>
          <cell r="I687">
            <v>56615.13</v>
          </cell>
          <cell r="J687">
            <v>56615.13</v>
          </cell>
          <cell r="K687">
            <v>26384.77</v>
          </cell>
        </row>
        <row r="688">
          <cell r="A688" t="str">
            <v>В-28587/КЛ.Транш - 1_В-21082023/Ц</v>
          </cell>
          <cell r="B688" t="str">
            <v>Видяков Денис Сергеевич</v>
          </cell>
          <cell r="C688">
            <v>417</v>
          </cell>
          <cell r="D688">
            <v>45046</v>
          </cell>
          <cell r="E688">
            <v>282567.63</v>
          </cell>
          <cell r="F688">
            <v>456614.08</v>
          </cell>
          <cell r="G688">
            <v>302836.65000000002</v>
          </cell>
          <cell r="H688">
            <v>128790.2</v>
          </cell>
          <cell r="I688">
            <v>131099.24</v>
          </cell>
          <cell r="J688">
            <v>131099.24</v>
          </cell>
          <cell r="K688">
            <v>8813.4</v>
          </cell>
        </row>
        <row r="689">
          <cell r="A689" t="str">
            <v>В-00052/КЭ.Транш - 1_В-21082023/Ц</v>
          </cell>
          <cell r="B689" t="str">
            <v>ИП Окунева Лилия Викторовна</v>
          </cell>
          <cell r="C689">
            <v>414</v>
          </cell>
          <cell r="D689">
            <v>45049</v>
          </cell>
          <cell r="E689">
            <v>675391.54</v>
          </cell>
          <cell r="F689">
            <v>675391.54</v>
          </cell>
          <cell r="G689">
            <v>96264.45</v>
          </cell>
          <cell r="H689">
            <v>96264.45</v>
          </cell>
          <cell r="I689">
            <v>76114.41</v>
          </cell>
          <cell r="J689">
            <v>76114.41</v>
          </cell>
          <cell r="K689">
            <v>503012.68</v>
          </cell>
        </row>
        <row r="690">
          <cell r="A690" t="str">
            <v>В-27914/КЛ.Транш - 1_В-21082023/Ц</v>
          </cell>
          <cell r="B690" t="str">
            <v>Чепрасова Галина Александровна</v>
          </cell>
          <cell r="C690">
            <v>413</v>
          </cell>
          <cell r="D690">
            <v>45050</v>
          </cell>
          <cell r="E690">
            <v>119251.92</v>
          </cell>
          <cell r="F690">
            <v>237698.62</v>
          </cell>
          <cell r="G690">
            <v>153054.64000000001</v>
          </cell>
          <cell r="H690">
            <v>34607.94</v>
          </cell>
          <cell r="I690">
            <v>67946.14</v>
          </cell>
          <cell r="J690">
            <v>67946.14</v>
          </cell>
          <cell r="K690">
            <v>5102.7</v>
          </cell>
        </row>
        <row r="691">
          <cell r="A691" t="str">
            <v>В-19585/КЛ.Транш - 1_В-21082023/Ц</v>
          </cell>
          <cell r="B691" t="str">
            <v>Лотонин Александр Олегович</v>
          </cell>
          <cell r="C691">
            <v>410</v>
          </cell>
          <cell r="D691">
            <v>45053</v>
          </cell>
          <cell r="E691">
            <v>16945.57</v>
          </cell>
          <cell r="F691">
            <v>26069.65</v>
          </cell>
          <cell r="G691">
            <v>15366.33</v>
          </cell>
          <cell r="H691">
            <v>6417.55</v>
          </cell>
          <cell r="I691">
            <v>77.36</v>
          </cell>
          <cell r="J691">
            <v>252.66</v>
          </cell>
          <cell r="K691">
            <v>10450.66</v>
          </cell>
        </row>
        <row r="692">
          <cell r="A692" t="str">
            <v>В-01174/АЗ_В-21082023/Ц</v>
          </cell>
          <cell r="B692" t="str">
            <v>Барт Денис Михайлович</v>
          </cell>
          <cell r="C692">
            <v>395</v>
          </cell>
          <cell r="D692">
            <v>45068</v>
          </cell>
          <cell r="E692">
            <v>320141.88</v>
          </cell>
          <cell r="F692">
            <v>535775.51</v>
          </cell>
          <cell r="G692">
            <v>323475.14</v>
          </cell>
          <cell r="H692">
            <v>107841.51</v>
          </cell>
          <cell r="I692">
            <v>161728.70000000001</v>
          </cell>
          <cell r="J692">
            <v>161728.70000000001</v>
          </cell>
          <cell r="K692">
            <v>36158.050000000003</v>
          </cell>
        </row>
        <row r="693">
          <cell r="A693" t="str">
            <v>В-28436/АЗ_В-21082023/Ц</v>
          </cell>
          <cell r="B693" t="str">
            <v>Левченков Георгий Михайлович</v>
          </cell>
          <cell r="C693">
            <v>385</v>
          </cell>
          <cell r="D693">
            <v>45078</v>
          </cell>
          <cell r="E693">
            <v>286079.34999999998</v>
          </cell>
          <cell r="F693">
            <v>633970.35</v>
          </cell>
          <cell r="G693">
            <v>418557.53</v>
          </cell>
          <cell r="H693">
            <v>70666.53</v>
          </cell>
          <cell r="I693">
            <v>188958.66</v>
          </cell>
          <cell r="J693">
            <v>188958.66</v>
          </cell>
          <cell r="K693">
            <v>10765.38</v>
          </cell>
        </row>
        <row r="694">
          <cell r="A694" t="str">
            <v>В-26422/КЛ.Транш - 1_В-21082023/Ц</v>
          </cell>
          <cell r="B694" t="str">
            <v>Ахмедов Магомедрасул Камаладинович</v>
          </cell>
          <cell r="C694">
            <v>372</v>
          </cell>
          <cell r="D694">
            <v>45091</v>
          </cell>
          <cell r="E694">
            <v>358793.44</v>
          </cell>
          <cell r="F694">
            <v>800023.35</v>
          </cell>
          <cell r="G694">
            <v>540292.54</v>
          </cell>
          <cell r="H694">
            <v>99062.63</v>
          </cell>
          <cell r="I694">
            <v>196661.44</v>
          </cell>
          <cell r="J694">
            <v>196661.44</v>
          </cell>
          <cell r="K694">
            <v>46059.28</v>
          </cell>
        </row>
        <row r="695">
          <cell r="A695" t="str">
            <v>В-22677/КЛ.Транш - 1_В-21082023/Ц</v>
          </cell>
          <cell r="B695" t="str">
            <v>Белякова Марина Сергеевна</v>
          </cell>
          <cell r="C695">
            <v>369</v>
          </cell>
          <cell r="D695">
            <v>45094</v>
          </cell>
          <cell r="E695">
            <v>176483.43</v>
          </cell>
          <cell r="F695">
            <v>297805.61</v>
          </cell>
          <cell r="G695">
            <v>176315.99</v>
          </cell>
          <cell r="H695">
            <v>55490.35</v>
          </cell>
          <cell r="I695">
            <v>88627.54</v>
          </cell>
          <cell r="J695">
            <v>89124.08</v>
          </cell>
          <cell r="K695">
            <v>32365.54</v>
          </cell>
        </row>
        <row r="696">
          <cell r="A696" t="str">
            <v>В-04333/КЛ.Транш - 8_В-20211230/Ц</v>
          </cell>
          <cell r="B696" t="str">
            <v>Заика Денис Викторович</v>
          </cell>
          <cell r="C696">
            <v>364</v>
          </cell>
          <cell r="D696">
            <v>45099</v>
          </cell>
          <cell r="E696">
            <v>8024.32</v>
          </cell>
          <cell r="F696">
            <v>8024.32</v>
          </cell>
        </row>
        <row r="697">
          <cell r="A697" t="str">
            <v>В-28961/КЛ.Транш - 1_В-21082023/Ц</v>
          </cell>
          <cell r="B697" t="str">
            <v>Гагарин Юрий Александрович</v>
          </cell>
          <cell r="C697">
            <v>353</v>
          </cell>
          <cell r="D697">
            <v>45110</v>
          </cell>
          <cell r="E697">
            <v>147858.09</v>
          </cell>
          <cell r="F697">
            <v>334993.07</v>
          </cell>
          <cell r="G697">
            <v>214297.59</v>
          </cell>
          <cell r="H697">
            <v>27162.61</v>
          </cell>
          <cell r="I697">
            <v>103038.97</v>
          </cell>
          <cell r="J697">
            <v>103038.97</v>
          </cell>
          <cell r="K697">
            <v>5092.21</v>
          </cell>
        </row>
        <row r="698">
          <cell r="A698" t="str">
            <v>В-08348/КЛ.Транш - 7_В-21082023/Ц</v>
          </cell>
          <cell r="B698" t="str">
            <v>Голосенин Тимофей Васильевич</v>
          </cell>
          <cell r="C698">
            <v>335</v>
          </cell>
          <cell r="D698">
            <v>45128</v>
          </cell>
          <cell r="E698">
            <v>44042.53</v>
          </cell>
          <cell r="F698">
            <v>77926.789999999994</v>
          </cell>
          <cell r="G698">
            <v>43756.97</v>
          </cell>
          <cell r="H698">
            <v>11465.18</v>
          </cell>
          <cell r="I698">
            <v>24661.72</v>
          </cell>
          <cell r="J698">
            <v>26254.19</v>
          </cell>
          <cell r="K698">
            <v>7915.63</v>
          </cell>
        </row>
        <row r="699">
          <cell r="A699" t="str">
            <v>В-12574/КЛ.Транш - 1_В-21082023/Ц</v>
          </cell>
          <cell r="B699" t="str">
            <v>Павлов Вячеслав Игоревич</v>
          </cell>
          <cell r="C699">
            <v>308</v>
          </cell>
          <cell r="D699">
            <v>45155</v>
          </cell>
          <cell r="E699">
            <v>69444.31</v>
          </cell>
          <cell r="F699">
            <v>94726.69</v>
          </cell>
          <cell r="G699">
            <v>58089.47</v>
          </cell>
          <cell r="H699">
            <v>32910.559999999998</v>
          </cell>
          <cell r="I699">
            <v>26872.31</v>
          </cell>
          <cell r="J699">
            <v>26975.78</v>
          </cell>
          <cell r="K699">
            <v>9661.44</v>
          </cell>
        </row>
        <row r="700">
          <cell r="A700" t="str">
            <v>В-12574/КЛ.Транш - 3_В-21082023/Ц</v>
          </cell>
          <cell r="B700" t="str">
            <v>Павлов Вячеслав Игоревич</v>
          </cell>
          <cell r="C700">
            <v>306</v>
          </cell>
          <cell r="D700">
            <v>45157</v>
          </cell>
          <cell r="E700">
            <v>85417.57</v>
          </cell>
          <cell r="F700">
            <v>131405.32</v>
          </cell>
          <cell r="G700">
            <v>73664.179999999993</v>
          </cell>
          <cell r="H700">
            <v>27760.69</v>
          </cell>
          <cell r="I700">
            <v>45484.61</v>
          </cell>
          <cell r="J700">
            <v>45568.87</v>
          </cell>
          <cell r="K700">
            <v>12172.27</v>
          </cell>
        </row>
        <row r="701">
          <cell r="A701" t="str">
            <v>В-22409/КЛ.Транш - 1_В-21082023/Ц</v>
          </cell>
          <cell r="B701" t="str">
            <v>Дзюба Евгений Григорьевич</v>
          </cell>
          <cell r="C701">
            <v>305</v>
          </cell>
          <cell r="D701">
            <v>45158</v>
          </cell>
          <cell r="E701">
            <v>255321.36</v>
          </cell>
          <cell r="F701">
            <v>304382</v>
          </cell>
          <cell r="G701">
            <v>173551.16</v>
          </cell>
          <cell r="H701">
            <v>124490.52</v>
          </cell>
          <cell r="I701">
            <v>102246.96</v>
          </cell>
          <cell r="J701">
            <v>102246.96</v>
          </cell>
          <cell r="K701">
            <v>28583.88</v>
          </cell>
        </row>
        <row r="702">
          <cell r="A702" t="str">
            <v>В-12256/КЛ.Транш - 1_В-21082023/Ц</v>
          </cell>
          <cell r="B702" t="str">
            <v>Диденко Роман Владимирович</v>
          </cell>
          <cell r="C702">
            <v>304</v>
          </cell>
          <cell r="D702">
            <v>45159</v>
          </cell>
          <cell r="E702">
            <v>177116.7</v>
          </cell>
          <cell r="F702">
            <v>254025.23</v>
          </cell>
          <cell r="G702">
            <v>129429.49</v>
          </cell>
          <cell r="H702">
            <v>57653.440000000002</v>
          </cell>
          <cell r="I702">
            <v>98216.11</v>
          </cell>
          <cell r="J702">
            <v>103348.59</v>
          </cell>
          <cell r="K702">
            <v>21247.15</v>
          </cell>
        </row>
        <row r="703">
          <cell r="A703" t="str">
            <v>В-12574/КЛ.Транш - 2_В-21082023/Ц</v>
          </cell>
          <cell r="B703" t="str">
            <v>Павлов Вячеслав Игоревич</v>
          </cell>
          <cell r="C703">
            <v>299</v>
          </cell>
          <cell r="D703">
            <v>45164</v>
          </cell>
          <cell r="E703">
            <v>78989.919999999998</v>
          </cell>
          <cell r="F703">
            <v>120412.06</v>
          </cell>
          <cell r="G703">
            <v>68136.69</v>
          </cell>
          <cell r="H703">
            <v>28532.02</v>
          </cell>
          <cell r="I703">
            <v>39456.550000000003</v>
          </cell>
          <cell r="J703">
            <v>41274.019999999997</v>
          </cell>
          <cell r="K703">
            <v>11001.35</v>
          </cell>
        </row>
        <row r="704">
          <cell r="A704" t="str">
            <v>В-23923/КЛ.Транш - 1_В-21082023/Ц</v>
          </cell>
          <cell r="B704" t="str">
            <v>Самошин Дмитрий Сергеевич</v>
          </cell>
          <cell r="C704">
            <v>293</v>
          </cell>
          <cell r="D704">
            <v>45170</v>
          </cell>
          <cell r="E704">
            <v>247667.7</v>
          </cell>
          <cell r="F704">
            <v>455707.92</v>
          </cell>
          <cell r="G704">
            <v>251065.36</v>
          </cell>
          <cell r="H704">
            <v>50741.72</v>
          </cell>
          <cell r="I704">
            <v>157202.42000000001</v>
          </cell>
          <cell r="J704">
            <v>164919</v>
          </cell>
          <cell r="K704">
            <v>39723.56</v>
          </cell>
        </row>
        <row r="705">
          <cell r="A705" t="str">
            <v>В-27315/КЛ.Транш - 1_В-21082023/Ц</v>
          </cell>
          <cell r="B705" t="str">
            <v>Годуйко Николай Николаевич</v>
          </cell>
          <cell r="C705">
            <v>292</v>
          </cell>
          <cell r="D705">
            <v>45171</v>
          </cell>
          <cell r="E705">
            <v>105137.61</v>
          </cell>
          <cell r="F705">
            <v>453283.96</v>
          </cell>
          <cell r="G705">
            <v>386511.69</v>
          </cell>
          <cell r="H705">
            <v>49017.22</v>
          </cell>
          <cell r="I705">
            <v>48843.46</v>
          </cell>
          <cell r="J705">
            <v>59495.34</v>
          </cell>
          <cell r="K705">
            <v>7276.93</v>
          </cell>
        </row>
        <row r="706">
          <cell r="A706" t="str">
            <v>В-26928/КЛ.Транш - 1_В-21082023/Ц</v>
          </cell>
          <cell r="B706" t="str">
            <v>Труханкин Анатолий Васильевич</v>
          </cell>
          <cell r="C706">
            <v>283</v>
          </cell>
          <cell r="D706">
            <v>45180</v>
          </cell>
          <cell r="E706">
            <v>421942.46</v>
          </cell>
          <cell r="F706">
            <v>421942.46</v>
          </cell>
          <cell r="G706">
            <v>257945.25</v>
          </cell>
          <cell r="H706">
            <v>257945.25</v>
          </cell>
          <cell r="I706">
            <v>125997.42</v>
          </cell>
          <cell r="J706">
            <v>125997.42</v>
          </cell>
          <cell r="K706">
            <v>37999.79</v>
          </cell>
        </row>
        <row r="707">
          <cell r="A707" t="str">
            <v>В-27065/АЗ_В-21082023/Ц</v>
          </cell>
          <cell r="B707" t="str">
            <v>Мордвинцева Елена Александровна</v>
          </cell>
          <cell r="C707">
            <v>274</v>
          </cell>
          <cell r="D707">
            <v>45189</v>
          </cell>
          <cell r="E707">
            <v>524063.61</v>
          </cell>
          <cell r="F707">
            <v>524063.61</v>
          </cell>
          <cell r="G707">
            <v>280388.82</v>
          </cell>
          <cell r="H707">
            <v>280388.82</v>
          </cell>
          <cell r="I707">
            <v>196218.14</v>
          </cell>
          <cell r="J707">
            <v>196218.14</v>
          </cell>
          <cell r="K707">
            <v>47456.65</v>
          </cell>
        </row>
        <row r="708">
          <cell r="A708" t="str">
            <v>В-28968/АЗ_В-21082023/Ц</v>
          </cell>
          <cell r="B708" t="str">
            <v>Егупов Дмитрий Сергеевич</v>
          </cell>
          <cell r="C708">
            <v>224</v>
          </cell>
          <cell r="D708">
            <v>45239</v>
          </cell>
          <cell r="E708">
            <v>48922.17</v>
          </cell>
          <cell r="F708">
            <v>48922.17</v>
          </cell>
          <cell r="G708">
            <v>32487.77</v>
          </cell>
          <cell r="H708">
            <v>32487.77</v>
          </cell>
          <cell r="I708">
            <v>12734.69</v>
          </cell>
          <cell r="J708">
            <v>12734.69</v>
          </cell>
          <cell r="K708">
            <v>3699.71</v>
          </cell>
        </row>
        <row r="709">
          <cell r="A709" t="str">
            <v>В-28549/АЗ_В-21082023/Ц</v>
          </cell>
          <cell r="B709" t="str">
            <v>Егупов Дмитрий Сергеевич</v>
          </cell>
          <cell r="C709">
            <v>212</v>
          </cell>
          <cell r="D709">
            <v>45251</v>
          </cell>
          <cell r="E709">
            <v>75199.05</v>
          </cell>
          <cell r="F709">
            <v>232879.15</v>
          </cell>
          <cell r="G709">
            <v>177462.1</v>
          </cell>
          <cell r="H709">
            <v>26601.72</v>
          </cell>
          <cell r="I709">
            <v>44160.19</v>
          </cell>
          <cell r="J709">
            <v>50979.91</v>
          </cell>
          <cell r="K709">
            <v>4437.1400000000003</v>
          </cell>
        </row>
        <row r="710">
          <cell r="A710" t="str">
            <v>В-24580/КЛ.Транш - 1_В-21082023/Ц</v>
          </cell>
          <cell r="B710" t="str">
            <v>Смирнов Игорь Александрович</v>
          </cell>
          <cell r="C710">
            <v>179</v>
          </cell>
          <cell r="D710">
            <v>45284</v>
          </cell>
          <cell r="E710">
            <v>7169.47</v>
          </cell>
          <cell r="F710">
            <v>122063.05</v>
          </cell>
          <cell r="G710">
            <v>110795.66</v>
          </cell>
          <cell r="J710">
            <v>4097.92</v>
          </cell>
          <cell r="K710">
            <v>7169.47</v>
          </cell>
        </row>
        <row r="711">
          <cell r="A711" t="str">
            <v>В-19286/КЛ.Транш - 1_В-21082023/Ц</v>
          </cell>
          <cell r="B711" t="str">
            <v>Насырова Шахлохон Раимжановна</v>
          </cell>
          <cell r="C711">
            <v>167</v>
          </cell>
          <cell r="D711">
            <v>45296</v>
          </cell>
          <cell r="E711">
            <v>23781.48</v>
          </cell>
          <cell r="F711">
            <v>291326.59000000003</v>
          </cell>
          <cell r="G711">
            <v>262158.3</v>
          </cell>
          <cell r="J711">
            <v>5386.81</v>
          </cell>
          <cell r="K711">
            <v>23781.48</v>
          </cell>
        </row>
        <row r="712">
          <cell r="A712" t="str">
            <v>В-01188/АЗ_В-21082023/Ц</v>
          </cell>
          <cell r="B712" t="str">
            <v>Сапунов Дмитрий Владимирович</v>
          </cell>
          <cell r="C712">
            <v>157</v>
          </cell>
          <cell r="D712">
            <v>45306</v>
          </cell>
          <cell r="E712">
            <v>63480.36</v>
          </cell>
          <cell r="F712">
            <v>63480.36</v>
          </cell>
          <cell r="G712">
            <v>42264.29</v>
          </cell>
          <cell r="H712">
            <v>42264.29</v>
          </cell>
          <cell r="I712">
            <v>17632.900000000001</v>
          </cell>
          <cell r="J712">
            <v>17632.900000000001</v>
          </cell>
          <cell r="K712">
            <v>3583.17</v>
          </cell>
        </row>
        <row r="713">
          <cell r="A713" t="str">
            <v>В-19355/КЛ.Транш - 1_В-21082023/Ц</v>
          </cell>
          <cell r="B713" t="str">
            <v>Сидоров Александр Владимирович</v>
          </cell>
          <cell r="C713">
            <v>154</v>
          </cell>
          <cell r="D713">
            <v>45309</v>
          </cell>
          <cell r="E713">
            <v>16493.23</v>
          </cell>
          <cell r="F713">
            <v>99498.93</v>
          </cell>
          <cell r="G713">
            <v>82778.91</v>
          </cell>
          <cell r="I713">
            <v>10189.06</v>
          </cell>
          <cell r="J713">
            <v>10415.85</v>
          </cell>
          <cell r="K713">
            <v>6304.17</v>
          </cell>
        </row>
        <row r="714">
          <cell r="A714" t="str">
            <v>В-25764/КЛ.Транш - 1_В-21082023/Ц</v>
          </cell>
          <cell r="B714" t="str">
            <v>Соколова Екатерина Николаевна</v>
          </cell>
          <cell r="C714">
            <v>127</v>
          </cell>
          <cell r="D714">
            <v>45336</v>
          </cell>
          <cell r="E714">
            <v>961.21</v>
          </cell>
          <cell r="F714">
            <v>222575.3</v>
          </cell>
          <cell r="G714">
            <v>219628.41</v>
          </cell>
          <cell r="J714">
            <v>1985.68</v>
          </cell>
          <cell r="K714">
            <v>961.21</v>
          </cell>
        </row>
        <row r="715">
          <cell r="A715" t="str">
            <v>В-09100/КЛ.Транш - 1_В-21082023/Ц</v>
          </cell>
          <cell r="B715" t="str">
            <v>Фомин Иван Евгеньевич</v>
          </cell>
          <cell r="C715">
            <v>123</v>
          </cell>
          <cell r="D715">
            <v>45340</v>
          </cell>
          <cell r="E715">
            <v>26390.49</v>
          </cell>
          <cell r="F715">
            <v>39529.050000000003</v>
          </cell>
          <cell r="G715">
            <v>32183.25</v>
          </cell>
          <cell r="H715">
            <v>19080.59</v>
          </cell>
          <cell r="I715">
            <v>5172.29</v>
          </cell>
          <cell r="J715">
            <v>5208.1899999999996</v>
          </cell>
          <cell r="K715">
            <v>2137.61</v>
          </cell>
        </row>
        <row r="716">
          <cell r="A716" t="str">
            <v>В-18921/КЛ.Транш - 1_В-21082023/Ц</v>
          </cell>
          <cell r="B716" t="str">
            <v>Колесников Евгений Михайлович</v>
          </cell>
          <cell r="C716">
            <v>104</v>
          </cell>
          <cell r="D716">
            <v>45359</v>
          </cell>
          <cell r="E716">
            <v>353818.65</v>
          </cell>
          <cell r="F716">
            <v>1003520.33</v>
          </cell>
          <cell r="G716">
            <v>742627.39</v>
          </cell>
          <cell r="H716">
            <v>109778.56</v>
          </cell>
          <cell r="I716">
            <v>202334.14</v>
          </cell>
          <cell r="J716">
            <v>219186.99</v>
          </cell>
          <cell r="K716">
            <v>41705.949999999997</v>
          </cell>
        </row>
        <row r="717">
          <cell r="A717" t="str">
            <v>В-11277/КЛ.Транш - 1_В-21082023/Ц</v>
          </cell>
          <cell r="B717" t="str">
            <v>Литвинов Дмитрий Геннадьевич</v>
          </cell>
          <cell r="C717">
            <v>96</v>
          </cell>
          <cell r="D717">
            <v>45367</v>
          </cell>
          <cell r="E717">
            <v>60360.32</v>
          </cell>
          <cell r="F717">
            <v>157695.37</v>
          </cell>
          <cell r="G717">
            <v>143205.79999999999</v>
          </cell>
          <cell r="H717">
            <v>45870.75</v>
          </cell>
          <cell r="I717">
            <v>13174.94</v>
          </cell>
          <cell r="J717">
            <v>13174.94</v>
          </cell>
          <cell r="K717">
            <v>1314.63</v>
          </cell>
        </row>
        <row r="718">
          <cell r="A718" t="str">
            <v>В-26950/КЛ.Транш - 1_В-21082023/Ц</v>
          </cell>
          <cell r="B718" t="str">
            <v>Макаренко Екатерина Васильевна</v>
          </cell>
          <cell r="C718">
            <v>89</v>
          </cell>
          <cell r="D718">
            <v>45374</v>
          </cell>
          <cell r="E718">
            <v>39993.449999999997</v>
          </cell>
          <cell r="F718">
            <v>160435.76999999999</v>
          </cell>
          <cell r="G718">
            <v>122063.51</v>
          </cell>
          <cell r="H718">
            <v>8912.4599999999991</v>
          </cell>
          <cell r="I718">
            <v>29788.86</v>
          </cell>
          <cell r="J718">
            <v>37080.129999999997</v>
          </cell>
          <cell r="K718">
            <v>1292.1300000000001</v>
          </cell>
        </row>
        <row r="719">
          <cell r="A719" t="str">
            <v>В-28598/КЛ.Транш - 1_В-21082023/Ц</v>
          </cell>
          <cell r="B719" t="str">
            <v>Кожинов Дмитрий Сергеевич</v>
          </cell>
          <cell r="C719">
            <v>58</v>
          </cell>
          <cell r="D719">
            <v>45405</v>
          </cell>
          <cell r="E719">
            <v>121875.62</v>
          </cell>
          <cell r="F719">
            <v>776991.55</v>
          </cell>
          <cell r="G719">
            <v>642628.82999999996</v>
          </cell>
          <cell r="H719">
            <v>27171.93</v>
          </cell>
          <cell r="I719">
            <v>91965.440000000002</v>
          </cell>
          <cell r="J719">
            <v>131624.47</v>
          </cell>
          <cell r="K719">
            <v>2738.25</v>
          </cell>
        </row>
        <row r="720">
          <cell r="A720" t="str">
            <v>В-17469/КЛ.Транш - 1_В-21082023/Ц</v>
          </cell>
          <cell r="B720" t="str">
            <v>Копытман Александр Семенович</v>
          </cell>
          <cell r="C720">
            <v>39</v>
          </cell>
          <cell r="D720">
            <v>45424</v>
          </cell>
          <cell r="E720">
            <v>136631.32999999999</v>
          </cell>
          <cell r="F720">
            <v>656618.30000000005</v>
          </cell>
          <cell r="G720">
            <v>576927.80000000005</v>
          </cell>
          <cell r="H720">
            <v>64466.29</v>
          </cell>
          <cell r="I720">
            <v>60014.94</v>
          </cell>
          <cell r="J720">
            <v>67540.399999999994</v>
          </cell>
          <cell r="K720">
            <v>12150.1</v>
          </cell>
        </row>
        <row r="721">
          <cell r="A721" t="str">
            <v>В-17469/КЛ.Транш - 2_В-21082023/Ц</v>
          </cell>
          <cell r="B721" t="str">
            <v>Копытман Александр Семенович</v>
          </cell>
          <cell r="C721">
            <v>26</v>
          </cell>
          <cell r="D721">
            <v>45437</v>
          </cell>
          <cell r="E721">
            <v>6425.48</v>
          </cell>
          <cell r="F721">
            <v>60921.919999999998</v>
          </cell>
          <cell r="G721">
            <v>55078.39</v>
          </cell>
          <cell r="H721">
            <v>2815.65</v>
          </cell>
          <cell r="I721">
            <v>2836.53</v>
          </cell>
          <cell r="J721">
            <v>5070.2299999999996</v>
          </cell>
          <cell r="K721">
            <v>773.3</v>
          </cell>
        </row>
        <row r="722">
          <cell r="A722" t="str">
            <v>В-19354/КЛ.Транш - 1_В-21082023/Ц</v>
          </cell>
          <cell r="B722" t="str">
            <v>Аксенчук Александр Вячеславович</v>
          </cell>
          <cell r="C722">
            <v>17</v>
          </cell>
          <cell r="D722">
            <v>45446</v>
          </cell>
          <cell r="E722">
            <v>9890.01</v>
          </cell>
          <cell r="F722">
            <v>19289.009999999998</v>
          </cell>
          <cell r="G722">
            <v>17984.009999999998</v>
          </cell>
          <cell r="H722">
            <v>8798.91</v>
          </cell>
          <cell r="I722">
            <v>926.01</v>
          </cell>
          <cell r="J722">
            <v>1139.9100000000001</v>
          </cell>
          <cell r="K722">
            <v>165.09</v>
          </cell>
        </row>
        <row r="723">
          <cell r="A723" t="str">
            <v>В-27788/КЛ.Транш - 1_В-21082023/Ц</v>
          </cell>
          <cell r="B723" t="str">
            <v>Смолин Виктор Иванович</v>
          </cell>
          <cell r="C723">
            <v>17</v>
          </cell>
          <cell r="D723">
            <v>45446</v>
          </cell>
          <cell r="E723">
            <v>27163.21</v>
          </cell>
          <cell r="F723">
            <v>378457.35</v>
          </cell>
          <cell r="G723">
            <v>350606.49</v>
          </cell>
          <cell r="H723">
            <v>9480.7000000000007</v>
          </cell>
          <cell r="I723">
            <v>17436.78</v>
          </cell>
          <cell r="J723">
            <v>27605.13</v>
          </cell>
          <cell r="K723">
            <v>245.73</v>
          </cell>
        </row>
        <row r="724">
          <cell r="A724" t="str">
            <v>В-12067/КЛ.Транш - 1_В-21082023/Ц</v>
          </cell>
          <cell r="B724" t="str">
            <v>Тульнова Ольга Владимировна</v>
          </cell>
          <cell r="C724">
            <v>13</v>
          </cell>
          <cell r="D724">
            <v>45450</v>
          </cell>
          <cell r="E724">
            <v>6915.7</v>
          </cell>
          <cell r="F724">
            <v>40107.440000000002</v>
          </cell>
          <cell r="G724">
            <v>36911.79</v>
          </cell>
          <cell r="H724">
            <v>4482.3599999999997</v>
          </cell>
          <cell r="I724">
            <v>2174.2199999999998</v>
          </cell>
          <cell r="J724">
            <v>2936.53</v>
          </cell>
          <cell r="K724">
            <v>259.12</v>
          </cell>
        </row>
        <row r="725">
          <cell r="A725" t="str">
            <v>В-25807/АЗ_В-21082023/Ц</v>
          </cell>
          <cell r="B725" t="str">
            <v>Платонов Николай Владимирович</v>
          </cell>
          <cell r="C725">
            <v>10</v>
          </cell>
          <cell r="D725">
            <v>45453</v>
          </cell>
          <cell r="E725">
            <v>59457.41</v>
          </cell>
          <cell r="F725">
            <v>342609.55</v>
          </cell>
          <cell r="G725">
            <v>323793.43</v>
          </cell>
          <cell r="H725">
            <v>46267.839999999997</v>
          </cell>
          <cell r="I725">
            <v>11441.09</v>
          </cell>
          <cell r="J725">
            <v>17067.64</v>
          </cell>
          <cell r="K725">
            <v>1748.48</v>
          </cell>
        </row>
        <row r="726">
          <cell r="A726" t="str">
            <v>В-25810/АЗ_В-21082023/Ц</v>
          </cell>
          <cell r="B726" t="str">
            <v>Попов Михаил Александрович</v>
          </cell>
          <cell r="C726">
            <v>10</v>
          </cell>
          <cell r="D726">
            <v>45453</v>
          </cell>
          <cell r="E726">
            <v>49494.84</v>
          </cell>
          <cell r="F726">
            <v>396186.28</v>
          </cell>
          <cell r="G726">
            <v>385341.82</v>
          </cell>
          <cell r="H726">
            <v>45539.519999999997</v>
          </cell>
          <cell r="I726">
            <v>1874.47</v>
          </cell>
          <cell r="J726">
            <v>8763.61</v>
          </cell>
          <cell r="K726">
            <v>2080.85</v>
          </cell>
        </row>
        <row r="727">
          <cell r="A727" t="str">
            <v>В-16057/КЛ.Транш - 6_В-21082023/Ц</v>
          </cell>
          <cell r="B727" t="str">
            <v>Хлебников Владимир Витальевич</v>
          </cell>
          <cell r="C727">
            <v>9</v>
          </cell>
          <cell r="D727">
            <v>45454</v>
          </cell>
          <cell r="E727">
            <v>29726.47</v>
          </cell>
          <cell r="F727">
            <v>202020.33</v>
          </cell>
          <cell r="G727">
            <v>190647.35</v>
          </cell>
          <cell r="H727">
            <v>20451.79</v>
          </cell>
          <cell r="I727">
            <v>8348.1299999999992</v>
          </cell>
          <cell r="J727">
            <v>10446.43</v>
          </cell>
          <cell r="K727">
            <v>926.55</v>
          </cell>
        </row>
        <row r="728">
          <cell r="A728" t="str">
            <v>В-01038/АЗ_В-21082023/Ц</v>
          </cell>
          <cell r="B728" t="str">
            <v>Егоян Вард Баласанович</v>
          </cell>
          <cell r="C728">
            <v>8</v>
          </cell>
          <cell r="D728">
            <v>45455</v>
          </cell>
          <cell r="E728">
            <v>66673.95</v>
          </cell>
          <cell r="F728">
            <v>328523.13</v>
          </cell>
          <cell r="G728">
            <v>303536.03999999998</v>
          </cell>
          <cell r="H728">
            <v>45810.47</v>
          </cell>
          <cell r="I728">
            <v>19552.2</v>
          </cell>
          <cell r="J728">
            <v>23675.81</v>
          </cell>
          <cell r="K728">
            <v>1311.28</v>
          </cell>
        </row>
        <row r="729">
          <cell r="A729" t="str">
            <v>В-01039/АЗ_В-21082023/Ц</v>
          </cell>
          <cell r="B729" t="str">
            <v>Члоян Геворк Мамбреович</v>
          </cell>
          <cell r="C729">
            <v>8</v>
          </cell>
          <cell r="D729">
            <v>45455</v>
          </cell>
          <cell r="E729">
            <v>72037.13</v>
          </cell>
          <cell r="F729">
            <v>346307.31</v>
          </cell>
          <cell r="G729">
            <v>317771.59000000003</v>
          </cell>
          <cell r="H729">
            <v>48227.66</v>
          </cell>
          <cell r="I729">
            <v>22436.7</v>
          </cell>
          <cell r="J729">
            <v>27162.95</v>
          </cell>
          <cell r="K729">
            <v>1372.77</v>
          </cell>
        </row>
        <row r="730">
          <cell r="A730" t="str">
            <v>В-23555/КЛ.Транш - 1_В-21082023/Ц</v>
          </cell>
          <cell r="B730" t="str">
            <v>Зотов Дмитрий Анатольевич</v>
          </cell>
          <cell r="C730">
            <v>7</v>
          </cell>
          <cell r="D730">
            <v>45456</v>
          </cell>
          <cell r="E730">
            <v>45385.58</v>
          </cell>
          <cell r="F730">
            <v>503464.18</v>
          </cell>
          <cell r="G730">
            <v>468978.58</v>
          </cell>
          <cell r="H730">
            <v>16711.3</v>
          </cell>
          <cell r="I730">
            <v>26901.54</v>
          </cell>
          <cell r="J730">
            <v>32712.86</v>
          </cell>
          <cell r="K730">
            <v>1772.74</v>
          </cell>
        </row>
        <row r="731">
          <cell r="A731" t="str">
            <v>В-21306/КЛ.Транш - 1_В-21082023/Ц</v>
          </cell>
          <cell r="B731" t="str">
            <v>Попов Виктор Вячеславович</v>
          </cell>
          <cell r="C731">
            <v>5</v>
          </cell>
          <cell r="D731">
            <v>45458</v>
          </cell>
          <cell r="E731">
            <v>64.23</v>
          </cell>
          <cell r="F731">
            <v>101489.88</v>
          </cell>
          <cell r="G731">
            <v>100735.67999999999</v>
          </cell>
          <cell r="I731">
            <v>7.05</v>
          </cell>
          <cell r="J731">
            <v>697.02</v>
          </cell>
          <cell r="K731">
            <v>57.18</v>
          </cell>
        </row>
        <row r="732">
          <cell r="A732" t="str">
            <v>В-28358/КЛ.Транш - 1_В-21082023/Ц</v>
          </cell>
          <cell r="B732" t="str">
            <v>Егиазарян Геворг Рубикович</v>
          </cell>
          <cell r="C732">
            <v>3</v>
          </cell>
          <cell r="D732">
            <v>45460</v>
          </cell>
          <cell r="E732">
            <v>53696.14</v>
          </cell>
          <cell r="F732">
            <v>744719.4</v>
          </cell>
          <cell r="G732">
            <v>707115.14</v>
          </cell>
          <cell r="H732">
            <v>19314.18</v>
          </cell>
          <cell r="I732">
            <v>34295.21</v>
          </cell>
          <cell r="J732">
            <v>37517.51</v>
          </cell>
          <cell r="K732">
            <v>86.75</v>
          </cell>
        </row>
        <row r="733">
          <cell r="A733" t="str">
            <v>В-18496/КЛ.Транш - 1_В-21082023/Ц</v>
          </cell>
          <cell r="B733" t="str">
            <v>Корнилова Наталия Владимировна</v>
          </cell>
          <cell r="C733">
            <v>2</v>
          </cell>
          <cell r="D733">
            <v>45461</v>
          </cell>
          <cell r="E733">
            <v>12094.74</v>
          </cell>
          <cell r="F733">
            <v>12094.74</v>
          </cell>
          <cell r="G733">
            <v>11559.77</v>
          </cell>
          <cell r="H733">
            <v>11559.77</v>
          </cell>
          <cell r="I733">
            <v>522.49</v>
          </cell>
          <cell r="J733">
            <v>522.49</v>
          </cell>
          <cell r="K733">
            <v>12.48</v>
          </cell>
        </row>
        <row r="734">
          <cell r="A734" t="str">
            <v>А-04028/АЗ</v>
          </cell>
          <cell r="B734" t="str">
            <v>Селютин Петр Петрович</v>
          </cell>
          <cell r="C734">
            <v>1</v>
          </cell>
          <cell r="D734">
            <v>45462</v>
          </cell>
          <cell r="E734">
            <v>5281.34</v>
          </cell>
          <cell r="F734">
            <v>5281.34</v>
          </cell>
          <cell r="K734">
            <v>5281.34</v>
          </cell>
        </row>
        <row r="735">
          <cell r="A735" t="str">
            <v>В-22744/КЛ.Транш - 1_В-21082023/Ц</v>
          </cell>
          <cell r="B735" t="str">
            <v>Зайцева Светлана Юрьевна</v>
          </cell>
          <cell r="C735">
            <v>1</v>
          </cell>
          <cell r="D735">
            <v>45462</v>
          </cell>
          <cell r="E735">
            <v>5138.97</v>
          </cell>
          <cell r="F735">
            <v>11013.3</v>
          </cell>
          <cell r="G735">
            <v>10422.85</v>
          </cell>
          <cell r="H735">
            <v>4558.8</v>
          </cell>
          <cell r="I735">
            <v>574.54</v>
          </cell>
          <cell r="J735">
            <v>584.82000000000005</v>
          </cell>
          <cell r="K735">
            <v>5.63</v>
          </cell>
        </row>
        <row r="736">
          <cell r="A736" t="str">
            <v>В-00033/КЭ.Транш - 2</v>
          </cell>
          <cell r="B736" t="str">
            <v>АВТОКОНТИНЕНТ ООО</v>
          </cell>
        </row>
        <row r="737">
          <cell r="A737" t="str">
            <v>В-00036/КЭ.Транш - 2</v>
          </cell>
          <cell r="B737" t="str">
            <v>Лого-Трейд ООО</v>
          </cell>
        </row>
        <row r="738">
          <cell r="A738" t="str">
            <v>В-00052/КЭ.Транш - 1</v>
          </cell>
          <cell r="B738" t="str">
            <v>ИП Окунева Лилия Викторовна</v>
          </cell>
        </row>
        <row r="739">
          <cell r="A739" t="str">
            <v>В-00065/КЭ.Транш - 1</v>
          </cell>
          <cell r="B739" t="str">
            <v>Эврика ООО</v>
          </cell>
        </row>
        <row r="740">
          <cell r="A740" t="str">
            <v>В-00079/КЭ.Транш - 1</v>
          </cell>
          <cell r="B740" t="str">
            <v>ИП Деньга Виктор Иванович</v>
          </cell>
        </row>
        <row r="741">
          <cell r="A741" t="str">
            <v>В-00431/КЛ.Транш - 2</v>
          </cell>
          <cell r="B741" t="str">
            <v>Дагиров Рустам Шамсутдинович</v>
          </cell>
        </row>
        <row r="742">
          <cell r="A742" t="str">
            <v>В-00953/АЗ</v>
          </cell>
          <cell r="B742" t="str">
            <v>Змиевский Владимир Владимирович</v>
          </cell>
        </row>
        <row r="743">
          <cell r="A743" t="str">
            <v>В-00953/АЗ_В-21082023/Ц</v>
          </cell>
          <cell r="B743" t="str">
            <v>Змиевский Владимир Владимирович</v>
          </cell>
          <cell r="F743">
            <v>28438.69</v>
          </cell>
          <cell r="G743">
            <v>27740.99</v>
          </cell>
          <cell r="J743">
            <v>697.7</v>
          </cell>
        </row>
        <row r="744">
          <cell r="A744" t="str">
            <v>В-00955/АЗ</v>
          </cell>
          <cell r="B744" t="str">
            <v>Романов Евгений Юрьевич</v>
          </cell>
        </row>
        <row r="745">
          <cell r="A745" t="str">
            <v>В-00955/АЗ_В-21082023/Ц</v>
          </cell>
          <cell r="B745" t="str">
            <v>Романов Евгений Юрьевич</v>
          </cell>
          <cell r="F745">
            <v>57736.56</v>
          </cell>
          <cell r="G745">
            <v>55322.09</v>
          </cell>
          <cell r="J745">
            <v>2414.4699999999998</v>
          </cell>
        </row>
        <row r="746">
          <cell r="A746" t="str">
            <v>В-00970/АЗ</v>
          </cell>
          <cell r="B746" t="str">
            <v>Башкатов Егор Иванович</v>
          </cell>
        </row>
        <row r="747">
          <cell r="A747" t="str">
            <v>В-01022/АЗ</v>
          </cell>
          <cell r="B747" t="str">
            <v>Осмаева Зулихан Авхадовна</v>
          </cell>
        </row>
        <row r="748">
          <cell r="A748" t="str">
            <v>В-01023/АЗ</v>
          </cell>
          <cell r="B748" t="str">
            <v>Осмаев Ибрагим Исламович</v>
          </cell>
        </row>
        <row r="749">
          <cell r="A749" t="str">
            <v>В-01024/АЗ</v>
          </cell>
          <cell r="B749" t="str">
            <v>Билалов Имам Исламович</v>
          </cell>
        </row>
        <row r="750">
          <cell r="A750" t="str">
            <v>В-01038/АЗ</v>
          </cell>
          <cell r="B750" t="str">
            <v>Егоян Вард Баласанович</v>
          </cell>
        </row>
        <row r="751">
          <cell r="A751" t="str">
            <v>В-01039/АЗ</v>
          </cell>
          <cell r="B751" t="str">
            <v>Члоян Геворк Мамбреович</v>
          </cell>
        </row>
        <row r="752">
          <cell r="A752" t="str">
            <v>В-01068/АЗ</v>
          </cell>
          <cell r="B752" t="str">
            <v>Тарасов Дмитрий Алексеевич</v>
          </cell>
        </row>
        <row r="753">
          <cell r="A753" t="str">
            <v>В-01109/АЗ</v>
          </cell>
          <cell r="B753" t="str">
            <v>Мазуренко Наталья Владимировна</v>
          </cell>
        </row>
        <row r="754">
          <cell r="A754" t="str">
            <v>В-01113/АЗ</v>
          </cell>
          <cell r="B754" t="str">
            <v>Петров Денис Александрович</v>
          </cell>
        </row>
        <row r="755">
          <cell r="A755" t="str">
            <v>В-01161/АЗ</v>
          </cell>
          <cell r="B755" t="str">
            <v>Ельшин Владимир Анатольевич</v>
          </cell>
        </row>
        <row r="756">
          <cell r="A756" t="str">
            <v>В-01174/АЗ</v>
          </cell>
          <cell r="B756" t="str">
            <v>Барт Денис Михайлович</v>
          </cell>
        </row>
        <row r="757">
          <cell r="A757" t="str">
            <v>В-01184/АЗ</v>
          </cell>
          <cell r="B757" t="str">
            <v>Конев Сергей Арсентьевич</v>
          </cell>
        </row>
        <row r="758">
          <cell r="A758" t="str">
            <v>В-01188/АЗ</v>
          </cell>
          <cell r="B758" t="str">
            <v>Сапунов Дмитрий Владимирович</v>
          </cell>
        </row>
        <row r="759">
          <cell r="A759" t="str">
            <v>В-01211/АЗ</v>
          </cell>
          <cell r="B759" t="str">
            <v>Азиева Милана Зайнуладаевна</v>
          </cell>
        </row>
        <row r="760">
          <cell r="A760" t="str">
            <v>В-02064/КЛ.Транш - 2</v>
          </cell>
          <cell r="B760" t="str">
            <v>Авагян Тигран Агванович</v>
          </cell>
        </row>
        <row r="761">
          <cell r="A761" t="str">
            <v>В-02064/КЛ.Транш - 3</v>
          </cell>
          <cell r="B761" t="str">
            <v>Авагян Тигран Агванович</v>
          </cell>
        </row>
        <row r="762">
          <cell r="A762" t="str">
            <v>В-02064/КЛ.Транш - 3_В-21082023/Ц</v>
          </cell>
          <cell r="B762" t="str">
            <v>Авагян Тигран Агванович</v>
          </cell>
          <cell r="F762">
            <v>72038.58</v>
          </cell>
          <cell r="G762">
            <v>69710.44</v>
          </cell>
          <cell r="J762">
            <v>2328.14</v>
          </cell>
        </row>
        <row r="763">
          <cell r="A763" t="str">
            <v>В-02064/КЛ.Транш - 4</v>
          </cell>
          <cell r="B763" t="str">
            <v>Авагян Тигран Агванович</v>
          </cell>
        </row>
        <row r="764">
          <cell r="A764" t="str">
            <v>В-02064/КЛ.Транш - 4_В-21082023/Ц</v>
          </cell>
          <cell r="B764" t="str">
            <v>Авагян Тигран Агванович</v>
          </cell>
          <cell r="F764">
            <v>53119.03</v>
          </cell>
          <cell r="G764">
            <v>52119.48</v>
          </cell>
          <cell r="J764">
            <v>999.55</v>
          </cell>
        </row>
        <row r="765">
          <cell r="A765" t="str">
            <v>В-02849/КЛ.Транш - 1</v>
          </cell>
          <cell r="B765" t="str">
            <v>Тарасов Александр Владимирович</v>
          </cell>
        </row>
        <row r="766">
          <cell r="A766" t="str">
            <v>В-03974/КЛ.Транш - 3_В-21082023/Ц</v>
          </cell>
          <cell r="B766" t="str">
            <v>Петрова Елена Владимировна</v>
          </cell>
          <cell r="F766">
            <v>132833.10999999999</v>
          </cell>
          <cell r="G766">
            <v>67889.05</v>
          </cell>
          <cell r="J766">
            <v>50816.36</v>
          </cell>
        </row>
        <row r="767">
          <cell r="A767" t="str">
            <v>В-04967/КЛ.Транш - 4</v>
          </cell>
          <cell r="B767" t="str">
            <v>Горшков Никита Григорьевич</v>
          </cell>
        </row>
        <row r="768">
          <cell r="A768" t="str">
            <v>В-05253/КЛ.Транш - 4</v>
          </cell>
          <cell r="B768" t="str">
            <v>Мамедов Динар Рашид Оглы</v>
          </cell>
        </row>
        <row r="769">
          <cell r="A769" t="str">
            <v>В-06345/КЛ.Транш - 1</v>
          </cell>
          <cell r="B769" t="str">
            <v>Шаулов Шаул Рамбомович</v>
          </cell>
        </row>
        <row r="770">
          <cell r="A770" t="str">
            <v>В-06345/КЛ.Транш - 1_В-21082023/Ц</v>
          </cell>
          <cell r="B770" t="str">
            <v>Шаулов Шаул Рамбомович</v>
          </cell>
          <cell r="F770">
            <v>11323.98</v>
          </cell>
          <cell r="G770">
            <v>11246.95</v>
          </cell>
          <cell r="J770">
            <v>77.03</v>
          </cell>
        </row>
        <row r="771">
          <cell r="A771" t="str">
            <v>В-06920/КЛ.Транш - 3</v>
          </cell>
          <cell r="B771" t="str">
            <v>Кузнецова Юлия Сергеевна</v>
          </cell>
        </row>
        <row r="772">
          <cell r="A772" t="str">
            <v>В-07559/КЛ.Транш - 3</v>
          </cell>
          <cell r="B772" t="str">
            <v>Мкртчян Григор Рубикович</v>
          </cell>
        </row>
        <row r="773">
          <cell r="A773" t="str">
            <v>В-07559/КЛ.Транш - 4</v>
          </cell>
          <cell r="B773" t="str">
            <v>Мкртчян Григор Рубикович</v>
          </cell>
        </row>
        <row r="774">
          <cell r="A774" t="str">
            <v>В-07877/КЛ.Транш - 12</v>
          </cell>
          <cell r="B774" t="str">
            <v>Кильдюшкин Андрей Николаевич</v>
          </cell>
        </row>
        <row r="775">
          <cell r="A775" t="str">
            <v>В-07877/КЛ.Транш - 14</v>
          </cell>
          <cell r="B775" t="str">
            <v>Кильдюшкин Андрей Николаевич</v>
          </cell>
        </row>
        <row r="776">
          <cell r="A776" t="str">
            <v>В-07877/КЛ.Транш - 15</v>
          </cell>
          <cell r="B776" t="str">
            <v>Кильдюшкин Андрей Николаевич</v>
          </cell>
        </row>
        <row r="777">
          <cell r="A777" t="str">
            <v>В-08270/КЛ.Транш - 1</v>
          </cell>
          <cell r="B777" t="str">
            <v>Куренкова Марина Анатольевна</v>
          </cell>
        </row>
        <row r="778">
          <cell r="A778" t="str">
            <v>В-08270/КЛ.Транш - 1_В-21082023/Ц</v>
          </cell>
          <cell r="B778" t="str">
            <v>Куренкова Марина Анатольевна</v>
          </cell>
          <cell r="F778">
            <v>27584.87</v>
          </cell>
          <cell r="G778">
            <v>26671.46</v>
          </cell>
          <cell r="J778">
            <v>913.41</v>
          </cell>
        </row>
        <row r="779">
          <cell r="A779" t="str">
            <v>В-08348/КЛ.Транш - 7</v>
          </cell>
          <cell r="B779" t="str">
            <v>Голосенин Тимофей Васильевич</v>
          </cell>
        </row>
        <row r="780">
          <cell r="A780" t="str">
            <v>В-08368/КЛ.Транш - 2</v>
          </cell>
          <cell r="B780" t="str">
            <v>Князев Алексей Иванович</v>
          </cell>
        </row>
        <row r="781">
          <cell r="A781" t="str">
            <v>В-08454/КЛ.Транш - 1</v>
          </cell>
          <cell r="B781" t="str">
            <v>Савельев Станислав Валентинович</v>
          </cell>
        </row>
        <row r="782">
          <cell r="A782" t="str">
            <v>В-08454/КЛ.Транш - 1_В-21082023/Ц</v>
          </cell>
          <cell r="B782" t="str">
            <v>Савельев Станислав Валентинович</v>
          </cell>
          <cell r="F782">
            <v>9200.9699999999993</v>
          </cell>
          <cell r="G782">
            <v>8833.59</v>
          </cell>
          <cell r="J782">
            <v>367.38</v>
          </cell>
        </row>
        <row r="783">
          <cell r="A783" t="str">
            <v>В-08644/КЛ.Транш - 1</v>
          </cell>
          <cell r="B783" t="str">
            <v>Жирнов Игорь Владимирович</v>
          </cell>
        </row>
        <row r="784">
          <cell r="A784" t="str">
            <v>В-09086/КЛ.Транш - 1</v>
          </cell>
          <cell r="B784" t="str">
            <v>Баранова Светлана Александровна</v>
          </cell>
        </row>
        <row r="785">
          <cell r="A785" t="str">
            <v>В-09086/КЛ.Транш - 2</v>
          </cell>
          <cell r="B785" t="str">
            <v>Баранова Светлана Александровна</v>
          </cell>
        </row>
        <row r="786">
          <cell r="A786" t="str">
            <v>В-09086/КЛ.Транш - 3</v>
          </cell>
          <cell r="B786" t="str">
            <v>Баранова Светлана Александровна</v>
          </cell>
        </row>
        <row r="787">
          <cell r="A787" t="str">
            <v>В-09100/КЛ.Транш - 1</v>
          </cell>
          <cell r="B787" t="str">
            <v>Фомин Иван Евгеньевич</v>
          </cell>
        </row>
        <row r="788">
          <cell r="A788" t="str">
            <v>В-09172/КЛ.Транш - 1</v>
          </cell>
          <cell r="B788" t="str">
            <v>Атабоев Каримжон Валижонович</v>
          </cell>
        </row>
        <row r="789">
          <cell r="A789" t="str">
            <v>В-09172/КЛ.Транш - 1_В-21082023/Ц</v>
          </cell>
          <cell r="B789" t="str">
            <v>Атабоев Каримжон Валижонович</v>
          </cell>
          <cell r="F789">
            <v>32189.27</v>
          </cell>
          <cell r="G789">
            <v>31000.22</v>
          </cell>
          <cell r="J789">
            <v>1189.05</v>
          </cell>
        </row>
        <row r="790">
          <cell r="A790" t="str">
            <v>В-10022/КЭ.Транш - 1</v>
          </cell>
          <cell r="B790" t="str">
            <v>ТРАНСЛОГ ООО</v>
          </cell>
        </row>
        <row r="791">
          <cell r="A791" t="str">
            <v>В-10050/КЛ.Транш - 1</v>
          </cell>
          <cell r="B791" t="str">
            <v>Ларина Анна Ильинична</v>
          </cell>
        </row>
        <row r="792">
          <cell r="A792" t="str">
            <v>В-10204/КЛ.Транш - 1</v>
          </cell>
          <cell r="B792" t="str">
            <v>Афонин Сергей Юрьевич</v>
          </cell>
        </row>
        <row r="793">
          <cell r="A793" t="str">
            <v>В-10204/КЛ.Транш - 1_В-21082023/Ц</v>
          </cell>
          <cell r="B793" t="str">
            <v>Афонин Сергей Юрьевич</v>
          </cell>
          <cell r="F793">
            <v>27651.68</v>
          </cell>
          <cell r="G793">
            <v>27463.57</v>
          </cell>
          <cell r="J793">
            <v>188.11</v>
          </cell>
        </row>
        <row r="794">
          <cell r="A794" t="str">
            <v>В-10474/КЛ.Транш - 3</v>
          </cell>
          <cell r="B794" t="str">
            <v>Хоминец Владимир Владимирович</v>
          </cell>
        </row>
        <row r="795">
          <cell r="A795" t="str">
            <v>В-10474/КЛ.Транш - 3_В-21082023/Ц</v>
          </cell>
          <cell r="B795" t="str">
            <v>Хоминец Владимир Владимирович</v>
          </cell>
          <cell r="F795">
            <v>72666.92</v>
          </cell>
          <cell r="G795">
            <v>68631.75</v>
          </cell>
          <cell r="J795">
            <v>4035.17</v>
          </cell>
        </row>
        <row r="796">
          <cell r="A796" t="str">
            <v>В-10474/КЛ.Транш - 4</v>
          </cell>
          <cell r="B796" t="str">
            <v>Хоминец Владимир Владимирович</v>
          </cell>
        </row>
        <row r="797">
          <cell r="A797" t="str">
            <v>В-10474/КЛ.Транш - 4_В-21082023/Ц</v>
          </cell>
          <cell r="B797" t="str">
            <v>Хоминец Владимир Владимирович</v>
          </cell>
          <cell r="F797">
            <v>122843.59</v>
          </cell>
          <cell r="G797">
            <v>121249.08</v>
          </cell>
          <cell r="J797">
            <v>1594.51</v>
          </cell>
        </row>
        <row r="798">
          <cell r="A798" t="str">
            <v>В-10474/КЛ.Транш - 5</v>
          </cell>
          <cell r="B798" t="str">
            <v>Хоминец Владимир Владимирович</v>
          </cell>
        </row>
        <row r="799">
          <cell r="A799" t="str">
            <v>В-10474/КЛ.Транш - 5_В-21082023/Ц</v>
          </cell>
          <cell r="B799" t="str">
            <v>Хоминец Владимир Владимирович</v>
          </cell>
          <cell r="F799">
            <v>111208.67</v>
          </cell>
          <cell r="G799">
            <v>108012.68</v>
          </cell>
          <cell r="J799">
            <v>3195.99</v>
          </cell>
        </row>
        <row r="800">
          <cell r="A800" t="str">
            <v>В-10474/КЛ.Транш - 6</v>
          </cell>
          <cell r="B800" t="str">
            <v>Хоминец Владимир Владимирович</v>
          </cell>
        </row>
        <row r="801">
          <cell r="A801" t="str">
            <v>В-10474/КЛ.Транш - 6_В-21082023/Ц</v>
          </cell>
          <cell r="B801" t="str">
            <v>Хоминец Владимир Владимирович</v>
          </cell>
          <cell r="F801">
            <v>44199.81</v>
          </cell>
          <cell r="G801">
            <v>43205.49</v>
          </cell>
          <cell r="J801">
            <v>994.32</v>
          </cell>
        </row>
        <row r="802">
          <cell r="A802" t="str">
            <v>В-10495/КЛ.Транш - 1</v>
          </cell>
          <cell r="B802" t="str">
            <v>Житаренко Юрий Иванович</v>
          </cell>
        </row>
        <row r="803">
          <cell r="A803" t="str">
            <v>В-10789/КЛ.Транш - 1</v>
          </cell>
          <cell r="B803" t="str">
            <v>Арутюнян Сережа Теватосович</v>
          </cell>
        </row>
        <row r="804">
          <cell r="A804" t="str">
            <v>В-10841/КЛ.Транш - 1</v>
          </cell>
          <cell r="B804" t="str">
            <v>Азиев Абдурахман Авхадович</v>
          </cell>
        </row>
        <row r="805">
          <cell r="A805" t="str">
            <v>В-10909/КЛ.Транш - 1</v>
          </cell>
          <cell r="B805" t="str">
            <v>Дементьев Василий Алексеевич</v>
          </cell>
        </row>
        <row r="806">
          <cell r="A806" t="str">
            <v>В-11277/КЛ.Транш - 1</v>
          </cell>
          <cell r="B806" t="str">
            <v>Литвинов Дмитрий Геннадьевич</v>
          </cell>
        </row>
        <row r="807">
          <cell r="A807" t="str">
            <v>В-11396/КЛ.Транш - 2</v>
          </cell>
          <cell r="B807" t="str">
            <v>Губская Светлана Анатольевна</v>
          </cell>
        </row>
        <row r="808">
          <cell r="A808" t="str">
            <v>В-11447/КЛ.Транш - 1</v>
          </cell>
          <cell r="B808" t="str">
            <v>Елистратов Сергей Викторович</v>
          </cell>
        </row>
        <row r="809">
          <cell r="A809" t="str">
            <v>В-11447/КЛ.Транш - 1_В-21082023/Ц</v>
          </cell>
          <cell r="B809" t="str">
            <v>Елистратов Сергей Викторович</v>
          </cell>
          <cell r="F809">
            <v>276646.63</v>
          </cell>
          <cell r="G809">
            <v>149392.56</v>
          </cell>
          <cell r="J809">
            <v>127254.07</v>
          </cell>
        </row>
        <row r="810">
          <cell r="A810" t="str">
            <v>В-11605/КЛ.Транш - 1</v>
          </cell>
          <cell r="B810" t="str">
            <v>Мамлина Наталия Андреевна</v>
          </cell>
        </row>
        <row r="811">
          <cell r="A811" t="str">
            <v>В-11716/КЛ.Транш - 1</v>
          </cell>
          <cell r="B811" t="str">
            <v>Валеев Рамиль Равилович</v>
          </cell>
        </row>
        <row r="812">
          <cell r="A812" t="str">
            <v>В-11716/КЛ.Транш - 1_В-21082023/Ц</v>
          </cell>
          <cell r="B812" t="str">
            <v>Валеев Рамиль Равилович</v>
          </cell>
          <cell r="F812">
            <v>31749.81</v>
          </cell>
          <cell r="G812">
            <v>30353.55</v>
          </cell>
          <cell r="J812">
            <v>1396.26</v>
          </cell>
        </row>
        <row r="813">
          <cell r="A813" t="str">
            <v>В-11782/КЛ.Транш - 1</v>
          </cell>
          <cell r="B813" t="str">
            <v>Ангелов Алексей Славов</v>
          </cell>
        </row>
        <row r="814">
          <cell r="A814" t="str">
            <v>В-11948/КЛ.Транш - 1</v>
          </cell>
          <cell r="B814" t="str">
            <v>Романов Алексей Викторович</v>
          </cell>
        </row>
        <row r="815">
          <cell r="A815" t="str">
            <v>В-12066/КЛ.Транш - 1</v>
          </cell>
          <cell r="B815" t="str">
            <v>Хачатрян Хачик Норайрович</v>
          </cell>
        </row>
        <row r="816">
          <cell r="A816" t="str">
            <v>В-12066/КЛ.Транш - 1_В-21082023/Ц</v>
          </cell>
          <cell r="B816" t="str">
            <v>Хачатрян Хачик Норайрович</v>
          </cell>
          <cell r="F816">
            <v>34086.980000000003</v>
          </cell>
          <cell r="G816">
            <v>34086.980000000003</v>
          </cell>
        </row>
        <row r="817">
          <cell r="A817" t="str">
            <v>В-12067/КЛ.Транш - 1</v>
          </cell>
          <cell r="B817" t="str">
            <v>Тульнова Ольга Владимировна</v>
          </cell>
        </row>
        <row r="818">
          <cell r="A818" t="str">
            <v>В-12098/КЛ.Транш - 1</v>
          </cell>
          <cell r="B818" t="str">
            <v>Лекторова Екатерина Николаевна</v>
          </cell>
        </row>
        <row r="819">
          <cell r="A819" t="str">
            <v>В-12098/КЛ.Транш - 1_В-21082023/Ц</v>
          </cell>
          <cell r="B819" t="str">
            <v>Лекторова Екатерина Николаевна</v>
          </cell>
          <cell r="F819">
            <v>180085.62</v>
          </cell>
          <cell r="G819">
            <v>176887.11</v>
          </cell>
          <cell r="J819">
            <v>3198.51</v>
          </cell>
        </row>
        <row r="820">
          <cell r="A820" t="str">
            <v>В-12098/КЛ.Транш - 2</v>
          </cell>
          <cell r="B820" t="str">
            <v>Лекторова Екатерина Николаевна</v>
          </cell>
        </row>
        <row r="821">
          <cell r="A821" t="str">
            <v>В-12098/КЛ.Транш - 2_В-21082023/Ц</v>
          </cell>
          <cell r="B821" t="str">
            <v>Лекторова Екатерина Николаевна</v>
          </cell>
          <cell r="F821">
            <v>71463.649999999994</v>
          </cell>
          <cell r="G821">
            <v>69766.320000000007</v>
          </cell>
          <cell r="J821">
            <v>1697.33</v>
          </cell>
        </row>
        <row r="822">
          <cell r="A822" t="str">
            <v>В-12231/КЛ.Транш - 1</v>
          </cell>
          <cell r="B822" t="str">
            <v>Кобзев Олег Викторович</v>
          </cell>
        </row>
        <row r="823">
          <cell r="A823" t="str">
            <v>В-12231/КЛ.Транш - 1_В-21082023/Ц</v>
          </cell>
          <cell r="B823" t="str">
            <v>Кобзев Олег Викторович</v>
          </cell>
          <cell r="F823">
            <v>52732.02</v>
          </cell>
          <cell r="G823">
            <v>50851.22</v>
          </cell>
          <cell r="J823">
            <v>1880.8</v>
          </cell>
        </row>
        <row r="824">
          <cell r="A824" t="str">
            <v>В-12256/КЛ.Транш - 1</v>
          </cell>
          <cell r="B824" t="str">
            <v>Диденко Роман Владимирович</v>
          </cell>
        </row>
        <row r="825">
          <cell r="A825" t="str">
            <v>В-12269/КЛ.Транш - 1</v>
          </cell>
          <cell r="B825" t="str">
            <v>Степенко Александр Сергеевич</v>
          </cell>
        </row>
        <row r="826">
          <cell r="A826" t="str">
            <v>В-12269/КЛ.Транш - 1_В-21082023/Ц</v>
          </cell>
          <cell r="B826" t="str">
            <v>Степенко Александр Сергеевич</v>
          </cell>
          <cell r="F826">
            <v>14958.57</v>
          </cell>
          <cell r="G826">
            <v>14463.25</v>
          </cell>
          <cell r="J826">
            <v>495.32</v>
          </cell>
        </row>
        <row r="827">
          <cell r="A827" t="str">
            <v>В-12523/КЛ.Транш - 2</v>
          </cell>
          <cell r="B827" t="str">
            <v>Павлов Алексей Георгиевич</v>
          </cell>
        </row>
        <row r="828">
          <cell r="A828" t="str">
            <v>В-12523/КЛ.Транш - 2_В-21082023/Ц</v>
          </cell>
          <cell r="B828" t="str">
            <v>Павлов Алексей Георгиевич</v>
          </cell>
          <cell r="F828">
            <v>207921.87</v>
          </cell>
          <cell r="G828">
            <v>200209.68</v>
          </cell>
          <cell r="J828">
            <v>7712.19</v>
          </cell>
        </row>
        <row r="829">
          <cell r="A829" t="str">
            <v>В-12553/КЛ.Транш - 1</v>
          </cell>
          <cell r="B829" t="str">
            <v>Кисель Наталья Александровна</v>
          </cell>
        </row>
        <row r="830">
          <cell r="A830" t="str">
            <v>В-12553/КЛ.Транш - 1_В-21082023/Ц</v>
          </cell>
          <cell r="B830" t="str">
            <v>Кисель Наталья Александровна</v>
          </cell>
          <cell r="F830">
            <v>94556.41</v>
          </cell>
          <cell r="G830">
            <v>90053.72</v>
          </cell>
          <cell r="J830">
            <v>4502.6899999999996</v>
          </cell>
        </row>
        <row r="831">
          <cell r="A831" t="str">
            <v>В-12574/КЛ.Транш - 1</v>
          </cell>
          <cell r="B831" t="str">
            <v>Павлов Вячеслав Игоревич</v>
          </cell>
        </row>
        <row r="832">
          <cell r="A832" t="str">
            <v>В-12574/КЛ.Транш - 2</v>
          </cell>
          <cell r="B832" t="str">
            <v>Павлов Вячеслав Игоревич</v>
          </cell>
        </row>
        <row r="833">
          <cell r="A833" t="str">
            <v>В-12574/КЛ.Транш - 3</v>
          </cell>
          <cell r="B833" t="str">
            <v>Павлов Вячеслав Игоревич</v>
          </cell>
        </row>
        <row r="834">
          <cell r="A834" t="str">
            <v>В-12662/КЛ.Транш - 1</v>
          </cell>
          <cell r="B834" t="str">
            <v>Сайдалиева Наталия Владимировна</v>
          </cell>
        </row>
        <row r="835">
          <cell r="A835" t="str">
            <v>В-12662/КЛ.Транш - 1_В-21082023/Ц</v>
          </cell>
          <cell r="B835" t="str">
            <v>Сайдалиева Наталия Владимировна</v>
          </cell>
          <cell r="F835">
            <v>21251.39</v>
          </cell>
          <cell r="G835">
            <v>21166.720000000001</v>
          </cell>
          <cell r="J835">
            <v>84.67</v>
          </cell>
        </row>
        <row r="836">
          <cell r="A836" t="str">
            <v>В-12789/КЛ.Транш - 1</v>
          </cell>
          <cell r="B836" t="str">
            <v>Агапов Сергей Петрович</v>
          </cell>
        </row>
        <row r="837">
          <cell r="A837" t="str">
            <v>В-12790/КЛ.Транш - 1</v>
          </cell>
          <cell r="B837" t="str">
            <v>Наумов Олег Владимирович</v>
          </cell>
        </row>
        <row r="838">
          <cell r="A838" t="str">
            <v>В-12813/КЛ.Транш - 1</v>
          </cell>
          <cell r="B838" t="str">
            <v>Розанов Сергей Александрович</v>
          </cell>
        </row>
        <row r="839">
          <cell r="A839" t="str">
            <v>В-12912/КЛ.Транш - 1</v>
          </cell>
          <cell r="B839" t="str">
            <v>Захарова Ирина Константиновна</v>
          </cell>
        </row>
        <row r="840">
          <cell r="A840" t="str">
            <v>В-12912/КЛ.Транш - 1_В-21082023/Ц</v>
          </cell>
          <cell r="B840" t="str">
            <v>Захарова Ирина Константиновна</v>
          </cell>
          <cell r="F840">
            <v>175972.33</v>
          </cell>
          <cell r="G840">
            <v>167780.94</v>
          </cell>
          <cell r="J840">
            <v>8191.39</v>
          </cell>
        </row>
        <row r="841">
          <cell r="A841" t="str">
            <v>В-12943/КЛ.Транш - 1</v>
          </cell>
          <cell r="B841" t="str">
            <v>Дробот Роман Вячеславович</v>
          </cell>
        </row>
        <row r="842">
          <cell r="A842" t="str">
            <v>В-13005/КЛ.Транш - 3</v>
          </cell>
          <cell r="B842" t="str">
            <v>Воронова Татьяна Алексеевна</v>
          </cell>
        </row>
        <row r="843">
          <cell r="A843" t="str">
            <v>В-13235/КЛ.Транш - 1</v>
          </cell>
          <cell r="B843" t="str">
            <v>Харитонова Ирина Александровна</v>
          </cell>
        </row>
        <row r="844">
          <cell r="A844" t="str">
            <v>В-13235/КЛ.Транш - 1_В-21082023/Ц</v>
          </cell>
          <cell r="B844" t="str">
            <v>Харитонова Ирина Александровна</v>
          </cell>
          <cell r="F844">
            <v>38567.870000000003</v>
          </cell>
          <cell r="G844">
            <v>36793.71</v>
          </cell>
          <cell r="J844">
            <v>1774.16</v>
          </cell>
        </row>
        <row r="845">
          <cell r="A845" t="str">
            <v>В-13405/КЛ.Транш - 1</v>
          </cell>
          <cell r="B845" t="str">
            <v>Покатаев Андрей Борисович</v>
          </cell>
        </row>
        <row r="846">
          <cell r="A846" t="str">
            <v>В-13449/КЛ.Транш - 1</v>
          </cell>
          <cell r="B846" t="str">
            <v>Зайцев Иван Владимирович</v>
          </cell>
        </row>
        <row r="847">
          <cell r="A847" t="str">
            <v>В-13449/КЛ.Транш - 1_В-21082023/Ц</v>
          </cell>
          <cell r="B847" t="str">
            <v>Зайцев Иван Владимирович</v>
          </cell>
          <cell r="F847">
            <v>35256.04</v>
          </cell>
          <cell r="G847">
            <v>34486.93</v>
          </cell>
          <cell r="J847">
            <v>769.11</v>
          </cell>
        </row>
        <row r="848">
          <cell r="A848" t="str">
            <v>В-13545/КЛ.Транш - 1</v>
          </cell>
          <cell r="B848" t="str">
            <v>Оскомова Инна Анатольевна</v>
          </cell>
        </row>
        <row r="849">
          <cell r="A849" t="str">
            <v>В-14074/КЛ.Транш - 1</v>
          </cell>
          <cell r="B849" t="str">
            <v>Наумик Екатерина Андреевна</v>
          </cell>
        </row>
        <row r="850">
          <cell r="A850" t="str">
            <v>В-14074/КЛ.Транш - 2</v>
          </cell>
          <cell r="B850" t="str">
            <v>Наумик Екатерина Андреевна</v>
          </cell>
        </row>
        <row r="851">
          <cell r="A851" t="str">
            <v>В-14168/КЛ.Транш - 4</v>
          </cell>
          <cell r="B851" t="str">
            <v>Расулов Ахмедхан Саидбекович</v>
          </cell>
        </row>
        <row r="852">
          <cell r="A852" t="str">
            <v>В-14198/КЛ.Транш - 1</v>
          </cell>
          <cell r="B852" t="str">
            <v>Борисов Андрей Сергеевич</v>
          </cell>
        </row>
        <row r="853">
          <cell r="A853" t="str">
            <v>В-14216/КЛ.Транш - 1</v>
          </cell>
          <cell r="B853" t="str">
            <v>Ципис Вадим Яковлевич</v>
          </cell>
        </row>
        <row r="854">
          <cell r="A854" t="str">
            <v>В-14216/КЛ.Транш - 2</v>
          </cell>
          <cell r="B854" t="str">
            <v>Ципис Вадим Яковлевич</v>
          </cell>
        </row>
        <row r="855">
          <cell r="A855" t="str">
            <v>В-14216/КЛ.Транш - 2_В-21082023/Ц</v>
          </cell>
          <cell r="B855" t="str">
            <v>Ципис Вадим Яковлевич</v>
          </cell>
          <cell r="F855">
            <v>42974.21</v>
          </cell>
          <cell r="G855">
            <v>42817.02</v>
          </cell>
          <cell r="J855">
            <v>157.19</v>
          </cell>
        </row>
        <row r="856">
          <cell r="A856" t="str">
            <v>В-14216/КЛ.Транш - 3</v>
          </cell>
          <cell r="B856" t="str">
            <v>Ципис Вадим Яковлевич</v>
          </cell>
        </row>
        <row r="857">
          <cell r="A857" t="str">
            <v>В-14216/КЛ.Транш - 3_В-21082023/Ц</v>
          </cell>
          <cell r="B857" t="str">
            <v>Ципис Вадим Яковлевич</v>
          </cell>
          <cell r="F857">
            <v>54701.34</v>
          </cell>
          <cell r="G857">
            <v>51862.41</v>
          </cell>
          <cell r="J857">
            <v>2838.93</v>
          </cell>
        </row>
        <row r="858">
          <cell r="A858" t="str">
            <v>В-14216/КЛ.Транш - 4</v>
          </cell>
          <cell r="B858" t="str">
            <v>Ципис Вадим Яковлевич</v>
          </cell>
        </row>
        <row r="859">
          <cell r="A859" t="str">
            <v>В-14216/КЛ.Транш - 4_В-21082023/Ц</v>
          </cell>
          <cell r="B859" t="str">
            <v>Ципис Вадим Яковлевич</v>
          </cell>
          <cell r="F859">
            <v>65038.32</v>
          </cell>
          <cell r="G859">
            <v>61309.37</v>
          </cell>
          <cell r="J859">
            <v>3728.95</v>
          </cell>
        </row>
        <row r="860">
          <cell r="A860" t="str">
            <v>В-14291/КЛ.Транш - 7</v>
          </cell>
          <cell r="B860" t="str">
            <v>Янишевская Анна Сергеевна</v>
          </cell>
        </row>
        <row r="861">
          <cell r="A861" t="str">
            <v>В-14291/КЛ.Транш - 7_В-21082023/Ц</v>
          </cell>
          <cell r="B861" t="str">
            <v>Янишевская Анна Сергеевна</v>
          </cell>
          <cell r="F861">
            <v>45513.14</v>
          </cell>
          <cell r="G861">
            <v>44596.77</v>
          </cell>
          <cell r="J861">
            <v>916.37</v>
          </cell>
        </row>
        <row r="862">
          <cell r="A862" t="str">
            <v>В-14430/КЛ.Транш - 2</v>
          </cell>
          <cell r="B862" t="str">
            <v>Хечоян Владимир Левонович</v>
          </cell>
        </row>
        <row r="863">
          <cell r="A863" t="str">
            <v>В-14816/КЛ.Транш - 1</v>
          </cell>
          <cell r="B863" t="str">
            <v>Хадиев Фанис Рафисович</v>
          </cell>
        </row>
        <row r="864">
          <cell r="A864" t="str">
            <v>В-14816/КЛ.Транш - 1_В-21082023/Ц</v>
          </cell>
          <cell r="B864" t="str">
            <v>Хадиев Фанис Рафисович</v>
          </cell>
          <cell r="F864">
            <v>15113.88</v>
          </cell>
          <cell r="G864">
            <v>14247.33</v>
          </cell>
          <cell r="J864">
            <v>866.55</v>
          </cell>
        </row>
        <row r="865">
          <cell r="A865" t="str">
            <v>В-14816/КЛ.Транш - 5</v>
          </cell>
          <cell r="B865" t="str">
            <v>Хадиев Фанис Рафисович</v>
          </cell>
        </row>
        <row r="866">
          <cell r="A866" t="str">
            <v>В-14816/КЛ.Транш - 6</v>
          </cell>
          <cell r="B866" t="str">
            <v>Хадиев Фанис Рафисович</v>
          </cell>
        </row>
        <row r="867">
          <cell r="A867" t="str">
            <v>В-14816/КЛ.Транш - 7</v>
          </cell>
          <cell r="B867" t="str">
            <v>Хадиев Фанис Рафисович</v>
          </cell>
        </row>
        <row r="868">
          <cell r="A868" t="str">
            <v>В-14913/КЛ.Транш - 1</v>
          </cell>
          <cell r="B868" t="str">
            <v>Семененко Трофим Игоревич</v>
          </cell>
        </row>
        <row r="869">
          <cell r="A869" t="str">
            <v>В-15138/КЛ.Транш - 1</v>
          </cell>
          <cell r="B869" t="str">
            <v>Малхасян Арарат Балабекович</v>
          </cell>
        </row>
        <row r="870">
          <cell r="A870" t="str">
            <v>В-15138/КЛ.Транш - 1_В-21082023/Ц</v>
          </cell>
          <cell r="B870" t="str">
            <v>Малхасян Арарат Балабекович</v>
          </cell>
          <cell r="F870">
            <v>68976.22</v>
          </cell>
          <cell r="G870">
            <v>66770.06</v>
          </cell>
          <cell r="J870">
            <v>2206.16</v>
          </cell>
        </row>
        <row r="871">
          <cell r="A871" t="str">
            <v>В-15831/КЛ.Транш - 1</v>
          </cell>
          <cell r="B871" t="str">
            <v>Зиновьева Елена Николаевна</v>
          </cell>
        </row>
        <row r="872">
          <cell r="A872" t="str">
            <v>В-15954/КЛ.Транш - 1</v>
          </cell>
          <cell r="B872" t="str">
            <v>Пушкарев Александр Борисович</v>
          </cell>
        </row>
        <row r="873">
          <cell r="A873" t="str">
            <v>В-15954/КЛ.Транш - 1_В-21082023/Ц</v>
          </cell>
          <cell r="B873" t="str">
            <v>Пушкарев Александр Борисович</v>
          </cell>
          <cell r="F873">
            <v>274395.65000000002</v>
          </cell>
          <cell r="G873">
            <v>262321.67</v>
          </cell>
          <cell r="J873">
            <v>12073.98</v>
          </cell>
        </row>
        <row r="874">
          <cell r="A874" t="str">
            <v>В-16057/КЛ.Транш - 6</v>
          </cell>
          <cell r="B874" t="str">
            <v>Хлебников Владимир Витальевич</v>
          </cell>
        </row>
        <row r="875">
          <cell r="A875" t="str">
            <v>В-16067/КЛ.Транш - 1</v>
          </cell>
          <cell r="B875" t="str">
            <v>Дудин Василий Васильевич</v>
          </cell>
        </row>
        <row r="876">
          <cell r="A876" t="str">
            <v>В-16067/КЛ.Транш - 1_В-21082023/Ц</v>
          </cell>
          <cell r="B876" t="str">
            <v>Дудин Василий Васильевич</v>
          </cell>
          <cell r="F876">
            <v>59540.47</v>
          </cell>
          <cell r="G876">
            <v>59055.08</v>
          </cell>
          <cell r="J876">
            <v>485.39</v>
          </cell>
        </row>
        <row r="877">
          <cell r="A877" t="str">
            <v>В-16242/КЛ.Транш - 2</v>
          </cell>
          <cell r="B877" t="str">
            <v>Лякишев Павел Александрович</v>
          </cell>
        </row>
        <row r="878">
          <cell r="A878" t="str">
            <v>В-16242/КЛ.Транш - 2_В-21082023/Ц</v>
          </cell>
          <cell r="B878" t="str">
            <v>Лякишев Павел Александрович</v>
          </cell>
          <cell r="F878">
            <v>166901.76999999999</v>
          </cell>
          <cell r="G878">
            <v>158466.16</v>
          </cell>
          <cell r="J878">
            <v>8435.61</v>
          </cell>
        </row>
        <row r="879">
          <cell r="A879" t="str">
            <v>В-16455/КЛ.Транш - 1</v>
          </cell>
          <cell r="B879" t="str">
            <v>Кондрашов Василий Игоревич</v>
          </cell>
        </row>
        <row r="880">
          <cell r="A880" t="str">
            <v>В-16455/КЛ.Транш - 1_В-21082023/Ц</v>
          </cell>
          <cell r="B880" t="str">
            <v>Кондрашов Василий Игоревич</v>
          </cell>
          <cell r="F880">
            <v>114039.63</v>
          </cell>
          <cell r="G880">
            <v>111743.53</v>
          </cell>
          <cell r="J880">
            <v>2296.1</v>
          </cell>
        </row>
        <row r="881">
          <cell r="A881" t="str">
            <v>В-16934/КЛ.Транш - 1</v>
          </cell>
          <cell r="B881" t="str">
            <v>Мотыка Андрей Павлович</v>
          </cell>
        </row>
        <row r="882">
          <cell r="A882" t="str">
            <v>В-16934/КЛ.Транш - 5</v>
          </cell>
          <cell r="B882" t="str">
            <v>Мотыка Андрей Павлович</v>
          </cell>
        </row>
        <row r="883">
          <cell r="A883" t="str">
            <v>В-17095/КЛ.Транш - 1</v>
          </cell>
          <cell r="B883" t="str">
            <v>Иванов Антон Олегович</v>
          </cell>
        </row>
        <row r="884">
          <cell r="A884" t="str">
            <v>В-17469/КЛ.Транш - 1</v>
          </cell>
          <cell r="B884" t="str">
            <v>Копытман Александр Семенович</v>
          </cell>
        </row>
        <row r="885">
          <cell r="A885" t="str">
            <v>В-17469/КЛ.Транш - 2</v>
          </cell>
          <cell r="B885" t="str">
            <v>Копытман Александр Семенович</v>
          </cell>
        </row>
        <row r="886">
          <cell r="A886" t="str">
            <v>В-17916/КЛ.Транш - 1</v>
          </cell>
          <cell r="B886" t="str">
            <v>Рамазанов Абакар Рамазанович</v>
          </cell>
        </row>
        <row r="887">
          <cell r="A887" t="str">
            <v>В-17916/КЛ.Транш - 1_В-21082023/Ц</v>
          </cell>
          <cell r="B887" t="str">
            <v>Рамазанов Абакар Рамазанович</v>
          </cell>
          <cell r="F887">
            <v>97366.78</v>
          </cell>
          <cell r="G887">
            <v>94267.57</v>
          </cell>
          <cell r="J887">
            <v>3099.21</v>
          </cell>
        </row>
        <row r="888">
          <cell r="A888" t="str">
            <v>В-18414/КЛ.Транш - 1</v>
          </cell>
          <cell r="B888" t="str">
            <v>Селеверстов Михаил Васильевич</v>
          </cell>
        </row>
        <row r="889">
          <cell r="A889" t="str">
            <v>В-18414/КЛ.Транш - 1_В-21082023/Ц</v>
          </cell>
          <cell r="B889" t="str">
            <v>Селеверстов Михаил Васильевич</v>
          </cell>
          <cell r="F889">
            <v>256950.73</v>
          </cell>
          <cell r="G889">
            <v>248771.93</v>
          </cell>
          <cell r="J889">
            <v>8178.8</v>
          </cell>
        </row>
        <row r="890">
          <cell r="A890" t="str">
            <v>В-18496/КЛ.Транш - 1</v>
          </cell>
          <cell r="B890" t="str">
            <v>Корнилова Наталия Владимировна</v>
          </cell>
        </row>
        <row r="891">
          <cell r="A891" t="str">
            <v>В-18536/КЛ.Транш - 1</v>
          </cell>
          <cell r="B891" t="str">
            <v>Богданова Ольга Геннадиевна</v>
          </cell>
        </row>
        <row r="892">
          <cell r="A892" t="str">
            <v>В-18536/КЛ.Транш - 1_В-21082023/Ц</v>
          </cell>
          <cell r="B892" t="str">
            <v>Богданова Ольга Геннадиевна</v>
          </cell>
          <cell r="F892">
            <v>117612.95</v>
          </cell>
          <cell r="G892">
            <v>114020.52</v>
          </cell>
          <cell r="J892">
            <v>3592.43</v>
          </cell>
        </row>
        <row r="893">
          <cell r="A893" t="str">
            <v>В-18600/КЛ.Транш - 1</v>
          </cell>
          <cell r="B893" t="str">
            <v>Ворошилин Владимир Игоревич</v>
          </cell>
        </row>
        <row r="894">
          <cell r="A894" t="str">
            <v>В-18894/КЛ.Транш - 1</v>
          </cell>
          <cell r="B894" t="str">
            <v>Григорьев Олег Вячеславович</v>
          </cell>
        </row>
        <row r="895">
          <cell r="A895" t="str">
            <v>В-18894/КЛ.Транш - 1_В-21082023/Ц</v>
          </cell>
          <cell r="B895" t="str">
            <v>Григорьев Олег Вячеславович</v>
          </cell>
          <cell r="F895">
            <v>141974.32999999999</v>
          </cell>
          <cell r="G895">
            <v>136729.9</v>
          </cell>
          <cell r="J895">
            <v>5244.43</v>
          </cell>
        </row>
        <row r="896">
          <cell r="A896" t="str">
            <v>В-18921/КЛ.Транш - 1</v>
          </cell>
          <cell r="B896" t="str">
            <v>Колесников Евгений Михайлович</v>
          </cell>
        </row>
        <row r="897">
          <cell r="A897" t="str">
            <v>В-18958/КЛ.Транш - 1</v>
          </cell>
          <cell r="B897" t="str">
            <v>Голубь Елена Николаевна</v>
          </cell>
        </row>
        <row r="898">
          <cell r="A898" t="str">
            <v>В-19070/КЛ.Транш - 4</v>
          </cell>
          <cell r="B898" t="str">
            <v>Коростелкина Татьяна Владимировна</v>
          </cell>
        </row>
        <row r="899">
          <cell r="A899" t="str">
            <v>В-19286/КЛ.Транш - 1</v>
          </cell>
          <cell r="B899" t="str">
            <v>Насырова Шахлохон Раимжановна</v>
          </cell>
        </row>
        <row r="900">
          <cell r="A900" t="str">
            <v>В-19354/КЛ.Транш - 1</v>
          </cell>
          <cell r="B900" t="str">
            <v>Аксенчук Александр Вячеславович</v>
          </cell>
        </row>
        <row r="901">
          <cell r="A901" t="str">
            <v>В-19355/КЛ.Транш - 1</v>
          </cell>
          <cell r="B901" t="str">
            <v>Сидоров Александр Владимирович</v>
          </cell>
        </row>
        <row r="902">
          <cell r="A902" t="str">
            <v>В-19548/КЛ.Транш - 1</v>
          </cell>
          <cell r="B902" t="str">
            <v>Новоселов Сергей Владимирович</v>
          </cell>
        </row>
        <row r="903">
          <cell r="A903" t="str">
            <v>В-19548/КЛ.Транш - 1_В-21082023/Ц</v>
          </cell>
          <cell r="B903" t="str">
            <v>Новоселов Сергей Владимирович</v>
          </cell>
          <cell r="F903">
            <v>283200.26</v>
          </cell>
          <cell r="G903">
            <v>273460.57</v>
          </cell>
          <cell r="J903">
            <v>9739.69</v>
          </cell>
        </row>
        <row r="904">
          <cell r="A904" t="str">
            <v>В-19585/КЛ.Транш - 1</v>
          </cell>
          <cell r="B904" t="str">
            <v>Лотонин Александр Олегович</v>
          </cell>
        </row>
        <row r="905">
          <cell r="A905" t="str">
            <v>В-19593/КЛ.Транш - 1</v>
          </cell>
          <cell r="B905" t="str">
            <v>Клинов Сергей Евгеньевич</v>
          </cell>
        </row>
        <row r="906">
          <cell r="A906" t="str">
            <v>В-19593/КЛ.Транш - 1_В-21082023/Ц</v>
          </cell>
          <cell r="B906" t="str">
            <v>Клинов Сергей Евгеньевич</v>
          </cell>
          <cell r="F906">
            <v>28274.16</v>
          </cell>
          <cell r="G906">
            <v>27301.77</v>
          </cell>
          <cell r="J906">
            <v>972.39</v>
          </cell>
        </row>
        <row r="907">
          <cell r="A907" t="str">
            <v>В-19736/КЛ.Транш - 1</v>
          </cell>
          <cell r="B907" t="str">
            <v>Бабенышева Наталия Григорьевна</v>
          </cell>
        </row>
        <row r="908">
          <cell r="A908" t="str">
            <v>В-19736/КЛ.Транш - 1_В-21082023/Ц</v>
          </cell>
          <cell r="B908" t="str">
            <v>Бабенышева Наталия Григорьевна</v>
          </cell>
          <cell r="F908">
            <v>41280.519999999997</v>
          </cell>
          <cell r="G908">
            <v>39849.22</v>
          </cell>
          <cell r="J908">
            <v>1431.3</v>
          </cell>
        </row>
        <row r="909">
          <cell r="A909" t="str">
            <v>В-19740/КЛ.Транш - 5</v>
          </cell>
          <cell r="B909" t="str">
            <v>Назаров Всеволод Владимирович</v>
          </cell>
        </row>
        <row r="910">
          <cell r="A910" t="str">
            <v>В-19740/КЛ.Транш - 5_В-21082023/Ц</v>
          </cell>
          <cell r="B910" t="str">
            <v>Назаров Всеволод Владимирович</v>
          </cell>
          <cell r="F910">
            <v>159334.06</v>
          </cell>
          <cell r="G910">
            <v>156335.84</v>
          </cell>
          <cell r="J910">
            <v>2998.22</v>
          </cell>
        </row>
        <row r="911">
          <cell r="A911" t="str">
            <v>В-19740/КЛ.Транш - 6</v>
          </cell>
          <cell r="B911" t="str">
            <v>Назаров Всеволод Владимирович</v>
          </cell>
        </row>
        <row r="912">
          <cell r="A912" t="str">
            <v>В-19740/КЛ.Транш - 6_В-21082023/Ц</v>
          </cell>
          <cell r="B912" t="str">
            <v>Назаров Всеволод Владимирович</v>
          </cell>
          <cell r="F912">
            <v>190429.81</v>
          </cell>
          <cell r="G912">
            <v>187602.92</v>
          </cell>
          <cell r="J912">
            <v>2826.89</v>
          </cell>
        </row>
        <row r="913">
          <cell r="A913" t="str">
            <v>В-19740/КЛ.Транш - 7</v>
          </cell>
          <cell r="B913" t="str">
            <v>Назаров Всеволод Владимирович</v>
          </cell>
        </row>
        <row r="914">
          <cell r="A914" t="str">
            <v>В-19740/КЛ.Транш - 7_В-21082023/Ц</v>
          </cell>
          <cell r="B914" t="str">
            <v>Назаров Всеволод Владимирович</v>
          </cell>
          <cell r="F914">
            <v>75555.34</v>
          </cell>
          <cell r="G914">
            <v>75041.36</v>
          </cell>
          <cell r="J914">
            <v>513.98</v>
          </cell>
        </row>
        <row r="915">
          <cell r="A915" t="str">
            <v>В-19740/КЛ.Транш - 8</v>
          </cell>
          <cell r="B915" t="str">
            <v>Назаров Всеволод Владимирович</v>
          </cell>
        </row>
        <row r="916">
          <cell r="A916" t="str">
            <v>В-19740/КЛ.Транш - 8_В-21082023/Ц</v>
          </cell>
          <cell r="B916" t="str">
            <v>Назаров Всеволод Владимирович</v>
          </cell>
          <cell r="F916">
            <v>116995.61</v>
          </cell>
          <cell r="G916">
            <v>112971.95</v>
          </cell>
          <cell r="J916">
            <v>4023.66</v>
          </cell>
        </row>
        <row r="917">
          <cell r="A917" t="str">
            <v>В-19880/КЛ.Транш - 1</v>
          </cell>
          <cell r="B917" t="str">
            <v>Колпаков Антон Валерьевич</v>
          </cell>
        </row>
        <row r="918">
          <cell r="A918" t="str">
            <v>В-19991/КЛ.Транш - 1</v>
          </cell>
          <cell r="B918" t="str">
            <v>Коркина Елена Александровна</v>
          </cell>
        </row>
        <row r="919">
          <cell r="A919" t="str">
            <v>В-19991/КЛ.Транш - 1_В-21082023/Ц</v>
          </cell>
          <cell r="B919" t="str">
            <v>Коркина Елена Александровна</v>
          </cell>
          <cell r="F919">
            <v>28059.08</v>
          </cell>
          <cell r="G919">
            <v>27421.99</v>
          </cell>
          <cell r="J919">
            <v>637.09</v>
          </cell>
        </row>
        <row r="920">
          <cell r="A920" t="str">
            <v>В-19991/КЛ.Транш - 2</v>
          </cell>
          <cell r="B920" t="str">
            <v>Коркина Елена Александровна</v>
          </cell>
        </row>
        <row r="921">
          <cell r="A921" t="str">
            <v>В-19991/КЛ.Транш - 2_В-21082023/Ц</v>
          </cell>
          <cell r="B921" t="str">
            <v>Коркина Елена Александровна</v>
          </cell>
          <cell r="F921">
            <v>19290.490000000002</v>
          </cell>
          <cell r="G921">
            <v>19290.490000000002</v>
          </cell>
        </row>
        <row r="922">
          <cell r="A922" t="str">
            <v>В-19991/КЛ.Транш - 3</v>
          </cell>
          <cell r="B922" t="str">
            <v>Коркина Елена Александровна</v>
          </cell>
        </row>
        <row r="923">
          <cell r="A923" t="str">
            <v>В-20035/КЛ.Транш - 1</v>
          </cell>
          <cell r="B923" t="str">
            <v>Терехов Андрей Анатольевич</v>
          </cell>
        </row>
        <row r="924">
          <cell r="A924" t="str">
            <v>В-20035/КЛ.Транш - 1_В-21082023/Ц</v>
          </cell>
          <cell r="B924" t="str">
            <v>Терехов Андрей Анатольевич</v>
          </cell>
          <cell r="F924">
            <v>5516.5</v>
          </cell>
          <cell r="G924">
            <v>5338.78</v>
          </cell>
          <cell r="J924">
            <v>177.72</v>
          </cell>
        </row>
        <row r="925">
          <cell r="A925" t="str">
            <v>В-20133/КЛ.Транш - 1</v>
          </cell>
          <cell r="B925" t="str">
            <v>Фролов Павел Андреевич</v>
          </cell>
        </row>
        <row r="926">
          <cell r="A926" t="str">
            <v>В-20133/КЛ.Транш - 1_В-21082023/Ц</v>
          </cell>
          <cell r="B926" t="str">
            <v>Фролов Павел Андреевич</v>
          </cell>
          <cell r="F926">
            <v>110752.69</v>
          </cell>
          <cell r="G926">
            <v>109403.88</v>
          </cell>
          <cell r="J926">
            <v>1348.81</v>
          </cell>
        </row>
        <row r="927">
          <cell r="A927" t="str">
            <v>В-20329/КЛ.Транш - 2</v>
          </cell>
          <cell r="B927" t="str">
            <v>Тимохин Иван Алексеевич</v>
          </cell>
        </row>
        <row r="928">
          <cell r="A928" t="str">
            <v>В-20384/КЛ.Транш - 1</v>
          </cell>
          <cell r="B928" t="str">
            <v>Куразян Гарий Рафаэлович</v>
          </cell>
        </row>
        <row r="929">
          <cell r="A929" t="str">
            <v>В-20544/КЛ.Транш - 1</v>
          </cell>
          <cell r="B929" t="str">
            <v>Соколова Елена Викторовна</v>
          </cell>
        </row>
        <row r="930">
          <cell r="A930" t="str">
            <v>В-20952/КЛ.Транш - 3</v>
          </cell>
          <cell r="B930" t="str">
            <v>Ширманов Никита Александрович</v>
          </cell>
        </row>
        <row r="931">
          <cell r="A931" t="str">
            <v>В-20952/КЛ.Транш - 4</v>
          </cell>
          <cell r="B931" t="str">
            <v>Ширманов Никита Александрович</v>
          </cell>
        </row>
        <row r="932">
          <cell r="A932" t="str">
            <v>В-20952/КЛ.Транш - 6</v>
          </cell>
          <cell r="B932" t="str">
            <v>Ширманов Никита Александрович</v>
          </cell>
        </row>
        <row r="933">
          <cell r="A933" t="str">
            <v>В-21245/КЛ.Транш - 2</v>
          </cell>
          <cell r="B933" t="str">
            <v>Рузавина Наталья Викторовна</v>
          </cell>
        </row>
        <row r="934">
          <cell r="A934" t="str">
            <v>В-21245/КЛ.Транш - 3</v>
          </cell>
          <cell r="B934" t="str">
            <v>Рузавина Наталья Викторовна</v>
          </cell>
        </row>
        <row r="935">
          <cell r="A935" t="str">
            <v>В-21253/КЛ.Транш - 1</v>
          </cell>
          <cell r="B935" t="str">
            <v>Ахметова Елена Леонидовна</v>
          </cell>
        </row>
        <row r="936">
          <cell r="A936" t="str">
            <v>В-21253/КЛ.Транш - 1_В-21082023/Ц</v>
          </cell>
          <cell r="B936" t="str">
            <v>Ахметова Елена Леонидовна</v>
          </cell>
          <cell r="F936">
            <v>59040.03</v>
          </cell>
          <cell r="G936">
            <v>57773.760000000002</v>
          </cell>
          <cell r="J936">
            <v>1266.27</v>
          </cell>
        </row>
        <row r="937">
          <cell r="A937" t="str">
            <v>В-21306/КЛ.Транш - 1</v>
          </cell>
          <cell r="B937" t="str">
            <v>Попов Виктор Вячеславович</v>
          </cell>
        </row>
        <row r="938">
          <cell r="A938" t="str">
            <v>В-21321/КЛ.Транш - 1</v>
          </cell>
          <cell r="B938" t="str">
            <v>Надеев Алексей Александрович</v>
          </cell>
        </row>
        <row r="939">
          <cell r="A939" t="str">
            <v>В-21568/КЛ.Транш - 1</v>
          </cell>
          <cell r="B939" t="str">
            <v>Говоруха Андрей Михайлович</v>
          </cell>
        </row>
        <row r="940">
          <cell r="A940" t="str">
            <v>В-21568/КЛ.Транш - 1_В-21082023/Ц</v>
          </cell>
          <cell r="B940" t="str">
            <v>Говоруха Андрей Михайлович</v>
          </cell>
          <cell r="D940">
            <v>45463</v>
          </cell>
          <cell r="E940">
            <v>14839.24</v>
          </cell>
          <cell r="F940">
            <v>53980</v>
          </cell>
          <cell r="G940">
            <v>50505.5</v>
          </cell>
          <cell r="H940">
            <v>11364.74</v>
          </cell>
          <cell r="I940">
            <v>3474.5</v>
          </cell>
          <cell r="J940">
            <v>3474.5</v>
          </cell>
        </row>
        <row r="941">
          <cell r="A941" t="str">
            <v>В-21872/КЛ.Транш - 1</v>
          </cell>
          <cell r="B941" t="str">
            <v>Савчук Елена Александровна</v>
          </cell>
        </row>
        <row r="942">
          <cell r="A942" t="str">
            <v>В-21911/КЛ.Транш - 1</v>
          </cell>
          <cell r="B942" t="str">
            <v>Рябов Игорь Владимирович</v>
          </cell>
        </row>
        <row r="943">
          <cell r="A943" t="str">
            <v>В-21911/КЛ.Транш - 1_В-21082023/Ц</v>
          </cell>
          <cell r="B943" t="str">
            <v>Рябов Игорь Владимирович</v>
          </cell>
          <cell r="F943">
            <v>340572.05</v>
          </cell>
          <cell r="G943">
            <v>329731.56</v>
          </cell>
          <cell r="J943">
            <v>10840.49</v>
          </cell>
        </row>
        <row r="944">
          <cell r="A944" t="str">
            <v>В-21960/КЛ.Транш - 1</v>
          </cell>
          <cell r="B944" t="str">
            <v>Кравченко Владимир Николаевич</v>
          </cell>
        </row>
        <row r="945">
          <cell r="A945" t="str">
            <v>В-21960/КЛ.Транш - 2</v>
          </cell>
          <cell r="B945" t="str">
            <v>Кравченко Владимир Николаевич</v>
          </cell>
        </row>
        <row r="946">
          <cell r="A946" t="str">
            <v>В-22052/КЛ.Транш - 1</v>
          </cell>
          <cell r="B946" t="str">
            <v>Мокрицкий Константин Александрович</v>
          </cell>
        </row>
        <row r="947">
          <cell r="A947" t="str">
            <v>В-22052/КЛ.Транш - 2</v>
          </cell>
          <cell r="B947" t="str">
            <v>Мокрицкий Константин Александрович</v>
          </cell>
        </row>
        <row r="948">
          <cell r="A948" t="str">
            <v>В-22205/КЛ.Транш - 1</v>
          </cell>
          <cell r="B948" t="str">
            <v>Тарасов Олег Васильевич</v>
          </cell>
        </row>
        <row r="949">
          <cell r="A949" t="str">
            <v>В-22205/КЛ.Транш - 1_В-21082023/Ц</v>
          </cell>
          <cell r="B949" t="str">
            <v>Тарасов Олег Васильевич</v>
          </cell>
          <cell r="F949">
            <v>217896.65</v>
          </cell>
          <cell r="G949">
            <v>212653.15</v>
          </cell>
          <cell r="J949">
            <v>5243.5</v>
          </cell>
        </row>
        <row r="950">
          <cell r="A950" t="str">
            <v>В-22205/КЛ.Транш - 2</v>
          </cell>
          <cell r="B950" t="str">
            <v>Тарасов Олег Васильевич</v>
          </cell>
        </row>
        <row r="951">
          <cell r="A951" t="str">
            <v>В-22205/КЛ.Транш - 2_В-21082023/Ц</v>
          </cell>
          <cell r="B951" t="str">
            <v>Тарасов Олег Васильевич</v>
          </cell>
          <cell r="F951">
            <v>54658.17</v>
          </cell>
          <cell r="G951">
            <v>53672.94</v>
          </cell>
          <cell r="J951">
            <v>985.23</v>
          </cell>
        </row>
        <row r="952">
          <cell r="A952" t="str">
            <v>В-22246/КЛ.Транш - 3</v>
          </cell>
          <cell r="B952" t="str">
            <v>Сбоев Виктор Юрьевич</v>
          </cell>
        </row>
        <row r="953">
          <cell r="A953" t="str">
            <v>В-22309/АЗ</v>
          </cell>
          <cell r="B953" t="str">
            <v>Мисюк Георгий Анатольевич</v>
          </cell>
        </row>
        <row r="954">
          <cell r="A954" t="str">
            <v>В-22309/АЗ_В-21082023/Ц</v>
          </cell>
          <cell r="B954" t="str">
            <v>Мисюк Георгий Анатольевич</v>
          </cell>
          <cell r="F954">
            <v>39988.69</v>
          </cell>
          <cell r="G954">
            <v>39456.83</v>
          </cell>
          <cell r="J954">
            <v>531.86</v>
          </cell>
        </row>
        <row r="955">
          <cell r="A955" t="str">
            <v>В-22409/КЛ.Транш - 1</v>
          </cell>
          <cell r="B955" t="str">
            <v>Дзюба Евгений Григорьевич</v>
          </cell>
        </row>
        <row r="956">
          <cell r="A956" t="str">
            <v>В-22449/КЛ.Транш - 1</v>
          </cell>
          <cell r="B956" t="str">
            <v>Подчуфарова Лариса Николаевна</v>
          </cell>
        </row>
        <row r="957">
          <cell r="A957" t="str">
            <v>В-22449/КЛ.Транш - 1_В-21082023/Ц</v>
          </cell>
          <cell r="B957" t="str">
            <v>Подчуфарова Лариса Николаевна</v>
          </cell>
          <cell r="F957">
            <v>160363.38</v>
          </cell>
          <cell r="G957">
            <v>152575.75</v>
          </cell>
          <cell r="J957">
            <v>7787.63</v>
          </cell>
        </row>
        <row r="958">
          <cell r="A958" t="str">
            <v>В-22677/КЛ.Транш - 1</v>
          </cell>
          <cell r="B958" t="str">
            <v>Белякова Марина Сергеевна</v>
          </cell>
        </row>
        <row r="959">
          <cell r="A959" t="str">
            <v>В-22683/КЛ.Транш - 1</v>
          </cell>
          <cell r="B959" t="str">
            <v>Кузнецова Александра Николаевна</v>
          </cell>
        </row>
        <row r="960">
          <cell r="A960" t="str">
            <v>В-22744/КЛ.Транш - 1</v>
          </cell>
          <cell r="B960" t="str">
            <v>Зайцева Светлана Юрьевна</v>
          </cell>
        </row>
        <row r="961">
          <cell r="A961" t="str">
            <v>В-22864/КЛ.Транш - 1</v>
          </cell>
          <cell r="B961" t="str">
            <v>Пушкарева Виолетта Алексеевна</v>
          </cell>
        </row>
        <row r="962">
          <cell r="A962" t="str">
            <v>В-22935/КЛ.Транш - 1</v>
          </cell>
          <cell r="B962" t="str">
            <v>Король Маргарита Игоревна</v>
          </cell>
        </row>
        <row r="963">
          <cell r="A963" t="str">
            <v>В-22935/КЛ.Транш - 1_В-21082023/Ц</v>
          </cell>
          <cell r="B963" t="str">
            <v>Король Маргарита Игоревна</v>
          </cell>
          <cell r="F963">
            <v>145703.48000000001</v>
          </cell>
          <cell r="G963">
            <v>139117.32</v>
          </cell>
          <cell r="J963">
            <v>6586.16</v>
          </cell>
        </row>
        <row r="964">
          <cell r="A964" t="str">
            <v>В-22935/КЛ.Транш - 2</v>
          </cell>
          <cell r="B964" t="str">
            <v>Король Маргарита Игоревна</v>
          </cell>
        </row>
        <row r="965">
          <cell r="A965" t="str">
            <v>В-22935/КЛ.Транш - 2_В-21082023/Ц</v>
          </cell>
          <cell r="B965" t="str">
            <v>Король Маргарита Игоревна</v>
          </cell>
          <cell r="F965">
            <v>61474.86</v>
          </cell>
          <cell r="G965">
            <v>60562.28</v>
          </cell>
          <cell r="J965">
            <v>912.58</v>
          </cell>
        </row>
        <row r="966">
          <cell r="A966" t="str">
            <v>В-22979/КЛ.Транш - 1</v>
          </cell>
          <cell r="B966" t="str">
            <v>Цирамуа Наталия Наполеоновна</v>
          </cell>
        </row>
        <row r="967">
          <cell r="A967" t="str">
            <v>В-23229/АЗ</v>
          </cell>
          <cell r="B967" t="str">
            <v>Горбачев Иван Эдуардович</v>
          </cell>
        </row>
        <row r="968">
          <cell r="A968" t="str">
            <v>В-23229/АЗ_В-21082023/Ц</v>
          </cell>
          <cell r="B968" t="str">
            <v>Горбачев Иван Эдуардович</v>
          </cell>
          <cell r="F968">
            <v>140379.41</v>
          </cell>
          <cell r="G968">
            <v>136410.43</v>
          </cell>
          <cell r="J968">
            <v>3968.98</v>
          </cell>
        </row>
        <row r="969">
          <cell r="A969" t="str">
            <v>В-23362/КЛ.Транш - 1</v>
          </cell>
          <cell r="B969" t="str">
            <v>Виноградов Алексей Валерьевич</v>
          </cell>
        </row>
        <row r="970">
          <cell r="A970" t="str">
            <v>В-23362/КЛ.Транш - 2</v>
          </cell>
          <cell r="B970" t="str">
            <v>Виноградов Алексей Валерьевич</v>
          </cell>
        </row>
        <row r="971">
          <cell r="A971" t="str">
            <v>В-23370/КЛ.Транш - 1</v>
          </cell>
          <cell r="B971" t="str">
            <v>Алешкевич Алексей Викторович</v>
          </cell>
        </row>
        <row r="972">
          <cell r="A972" t="str">
            <v>В-23370/КЛ.Транш - 2</v>
          </cell>
          <cell r="B972" t="str">
            <v>Алешкевич Алексей Викторович</v>
          </cell>
        </row>
        <row r="973">
          <cell r="A973" t="str">
            <v>В-23370/КЛ.Транш - 2_В-21082023/Ц</v>
          </cell>
          <cell r="B973" t="str">
            <v>Алешкевич Алексей Викторович</v>
          </cell>
          <cell r="F973">
            <v>83014.039999999994</v>
          </cell>
          <cell r="G973">
            <v>79648.36</v>
          </cell>
          <cell r="J973">
            <v>3631.09</v>
          </cell>
        </row>
        <row r="974">
          <cell r="A974" t="str">
            <v>В-23383/КЛ.Транш - 1</v>
          </cell>
          <cell r="B974" t="str">
            <v>Водолазкин Александр Юрьевич</v>
          </cell>
        </row>
        <row r="975">
          <cell r="A975" t="str">
            <v>В-23509/КЛ.Транш - 1</v>
          </cell>
          <cell r="B975" t="str">
            <v>Бекетов Алексей Алексеевич</v>
          </cell>
        </row>
        <row r="976">
          <cell r="A976" t="str">
            <v>В-23509/КЛ.Транш - 2</v>
          </cell>
          <cell r="B976" t="str">
            <v>Бекетов Алексей Алексеевич</v>
          </cell>
        </row>
        <row r="977">
          <cell r="A977" t="str">
            <v>В-23555/КЛ.Транш - 1</v>
          </cell>
          <cell r="B977" t="str">
            <v>Зотов Дмитрий Анатольевич</v>
          </cell>
        </row>
        <row r="978">
          <cell r="A978" t="str">
            <v>В-23555/КЛ.Транш - 2</v>
          </cell>
          <cell r="B978" t="str">
            <v>Зотов Дмитрий Анатольевич</v>
          </cell>
        </row>
        <row r="979">
          <cell r="A979" t="str">
            <v>В-23555/КЛ.Транш - 2_В-21082023/Ц</v>
          </cell>
          <cell r="B979" t="str">
            <v>Зотов Дмитрий Анатольевич</v>
          </cell>
          <cell r="F979">
            <v>112080.36</v>
          </cell>
          <cell r="G979">
            <v>107148.59</v>
          </cell>
          <cell r="J979">
            <v>4931.7700000000004</v>
          </cell>
        </row>
        <row r="980">
          <cell r="A980" t="str">
            <v>В-23901/КЛ.Транш - 1</v>
          </cell>
          <cell r="B980" t="str">
            <v>Султанова Анна Валерьевна</v>
          </cell>
        </row>
        <row r="981">
          <cell r="A981" t="str">
            <v>В-23901/КЛ.Транш - 1_В-21082023/Ц</v>
          </cell>
          <cell r="B981" t="str">
            <v>Султанова Анна Валерьевна</v>
          </cell>
          <cell r="F981">
            <v>306121.43</v>
          </cell>
          <cell r="G981">
            <v>290823.33</v>
          </cell>
          <cell r="J981">
            <v>15298.1</v>
          </cell>
        </row>
        <row r="982">
          <cell r="A982" t="str">
            <v>В-23919/КЛ.Транш - 1</v>
          </cell>
          <cell r="B982" t="str">
            <v>Локшина Ольга Владимировна</v>
          </cell>
        </row>
        <row r="983">
          <cell r="A983" t="str">
            <v>В-23923/КЛ.Транш - 1</v>
          </cell>
          <cell r="B983" t="str">
            <v>Самошин Дмитрий Сергеевич</v>
          </cell>
        </row>
        <row r="984">
          <cell r="A984" t="str">
            <v>В-23979/КЛ.Транш - 1</v>
          </cell>
          <cell r="B984" t="str">
            <v>Сывороткин Сергей Валентинович</v>
          </cell>
        </row>
        <row r="985">
          <cell r="A985" t="str">
            <v>В-24071/КЛ.Транш - 1</v>
          </cell>
          <cell r="B985" t="str">
            <v>Воробьев Андрей Владимирович</v>
          </cell>
        </row>
        <row r="986">
          <cell r="A986" t="str">
            <v>В-24151/КЛ.Транш - 1</v>
          </cell>
          <cell r="B986" t="str">
            <v>Юн Вадим Вячеславович</v>
          </cell>
        </row>
        <row r="987">
          <cell r="A987" t="str">
            <v>В-24350/КЛ_В-20211230/Ц</v>
          </cell>
          <cell r="B987" t="str">
            <v>Мусаев Заурбек Хадживелиевич</v>
          </cell>
          <cell r="F987">
            <v>-726750</v>
          </cell>
          <cell r="G987">
            <v>-726750</v>
          </cell>
        </row>
        <row r="988">
          <cell r="A988" t="str">
            <v>В-24374/КЛ.Транш - 1</v>
          </cell>
          <cell r="B988" t="str">
            <v>Амбросиенко Павел Сергеевич</v>
          </cell>
        </row>
        <row r="989">
          <cell r="A989" t="str">
            <v>В-24554/КЛ.Транш - 1</v>
          </cell>
          <cell r="B989" t="str">
            <v>Росляков Олег Николаевич</v>
          </cell>
        </row>
        <row r="990">
          <cell r="A990" t="str">
            <v>В-24580/КЛ.Транш - 1</v>
          </cell>
          <cell r="B990" t="str">
            <v>Смирнов Игорь Александрович</v>
          </cell>
        </row>
        <row r="991">
          <cell r="A991" t="str">
            <v>В-24610/КЛ.Транш - 1</v>
          </cell>
          <cell r="B991" t="str">
            <v>Ибрагимов Асхаб Ибрагимович</v>
          </cell>
        </row>
        <row r="992">
          <cell r="A992" t="str">
            <v>В-24618/АЗ</v>
          </cell>
          <cell r="B992" t="str">
            <v>Кандаков Хайдарали Махмадрузиевич</v>
          </cell>
        </row>
        <row r="993">
          <cell r="A993" t="str">
            <v>В-24687/КЛ.Транш - 1</v>
          </cell>
          <cell r="B993" t="str">
            <v>Паронян Егор Каренович</v>
          </cell>
        </row>
        <row r="994">
          <cell r="A994" t="str">
            <v>В-24956/КЛ.Транш - 1</v>
          </cell>
          <cell r="B994" t="str">
            <v>Васильева Ирина Александровна</v>
          </cell>
        </row>
        <row r="995">
          <cell r="A995" t="str">
            <v>В-25093/КЛ.Транш - 1</v>
          </cell>
          <cell r="B995" t="str">
            <v>Никульченков Сергей Анатольевич</v>
          </cell>
        </row>
        <row r="996">
          <cell r="A996" t="str">
            <v>В-25093/КЛ.Транш - 1_В-21082023/Ц</v>
          </cell>
          <cell r="B996" t="str">
            <v>Никульченков Сергей Анатольевич</v>
          </cell>
          <cell r="F996">
            <v>232552.54</v>
          </cell>
          <cell r="G996">
            <v>117198.48</v>
          </cell>
          <cell r="J996">
            <v>115354.06</v>
          </cell>
        </row>
        <row r="997">
          <cell r="A997" t="str">
            <v>В-25131/КЛ_В-20211230/Ц</v>
          </cell>
          <cell r="B997" t="str">
            <v>Айрапетян Нарек Гайкович</v>
          </cell>
          <cell r="F997">
            <v>-355725</v>
          </cell>
          <cell r="G997">
            <v>-159260.13</v>
          </cell>
          <cell r="J997">
            <v>-196464.87</v>
          </cell>
        </row>
        <row r="998">
          <cell r="A998" t="str">
            <v>В-25132/КЛ.Транш - 1</v>
          </cell>
          <cell r="B998" t="str">
            <v>Абдурашитов Озодбек Мавланжанович</v>
          </cell>
        </row>
        <row r="999">
          <cell r="A999" t="str">
            <v>В-25132/КЛ.Транш - 2</v>
          </cell>
          <cell r="B999" t="str">
            <v>Абдурашитов Озодбек Мавланжанович</v>
          </cell>
        </row>
        <row r="1000">
          <cell r="A1000" t="str">
            <v>В-25306/КЛ.Транш - 1</v>
          </cell>
          <cell r="B1000" t="str">
            <v>Сидоренко Надежда Алексеевна</v>
          </cell>
        </row>
        <row r="1001">
          <cell r="A1001" t="str">
            <v>В-25407/КЛ.Транш - 1</v>
          </cell>
          <cell r="B1001" t="str">
            <v>Загребельный Юрий Николаевич</v>
          </cell>
        </row>
        <row r="1002">
          <cell r="A1002" t="str">
            <v>В-25425/КЛ.Транш - 1</v>
          </cell>
          <cell r="B1002" t="str">
            <v>Саркисов Никита Витальевич</v>
          </cell>
        </row>
        <row r="1003">
          <cell r="A1003" t="str">
            <v>В-25494/АЗ</v>
          </cell>
          <cell r="B1003" t="str">
            <v>Кандаков Хайдарали Махмадрузиевич</v>
          </cell>
        </row>
        <row r="1004">
          <cell r="A1004" t="str">
            <v>В-25509/КЛ.Транш - 1</v>
          </cell>
          <cell r="B1004" t="str">
            <v>Елисеев Вячеслав Викторович</v>
          </cell>
        </row>
        <row r="1005">
          <cell r="A1005" t="str">
            <v>В-25530/КЛ.Транш - 1</v>
          </cell>
          <cell r="B1005" t="str">
            <v>Гридяева Лариса Павловна</v>
          </cell>
        </row>
        <row r="1006">
          <cell r="A1006" t="str">
            <v>В-25548/КЛ.Транш - 1</v>
          </cell>
          <cell r="B1006" t="str">
            <v>Блинов Сергей Владимирович</v>
          </cell>
        </row>
        <row r="1007">
          <cell r="A1007" t="str">
            <v>В-25548/КЛ.Транш - 1_В-21082023/Ц</v>
          </cell>
          <cell r="B1007" t="str">
            <v>Блинов Сергей Владимирович</v>
          </cell>
          <cell r="F1007">
            <v>184105.85</v>
          </cell>
          <cell r="G1007">
            <v>179387.71</v>
          </cell>
          <cell r="J1007">
            <v>4718.1400000000003</v>
          </cell>
        </row>
        <row r="1008">
          <cell r="A1008" t="str">
            <v>В-25573/КЛ.Транш - 1</v>
          </cell>
          <cell r="B1008" t="str">
            <v>Кудряшов Савва Романович</v>
          </cell>
        </row>
        <row r="1009">
          <cell r="A1009" t="str">
            <v>В-25573/КЛ.Транш - 2</v>
          </cell>
          <cell r="B1009" t="str">
            <v>Кудряшов Савва Романович</v>
          </cell>
        </row>
        <row r="1010">
          <cell r="A1010" t="str">
            <v>В-25627/КЛ.Транш - 1</v>
          </cell>
          <cell r="B1010" t="str">
            <v>Мусаев Натиг Байрам Оглы</v>
          </cell>
        </row>
        <row r="1011">
          <cell r="A1011" t="str">
            <v>В-25627/КЛ.Транш - 1_В-21082023/Ц</v>
          </cell>
          <cell r="B1011" t="str">
            <v>Мусаев Натиг Байрам Оглы</v>
          </cell>
          <cell r="F1011">
            <v>611053.97</v>
          </cell>
          <cell r="G1011">
            <v>599555.64</v>
          </cell>
          <cell r="J1011">
            <v>11498.33</v>
          </cell>
        </row>
        <row r="1012">
          <cell r="A1012" t="str">
            <v>В-25671/АЗ</v>
          </cell>
          <cell r="B1012" t="str">
            <v>Нагаева Елена Александровна</v>
          </cell>
        </row>
        <row r="1013">
          <cell r="A1013" t="str">
            <v>В-25764/КЛ.Транш - 1</v>
          </cell>
          <cell r="B1013" t="str">
            <v>Соколова Екатерина Николаевна</v>
          </cell>
        </row>
        <row r="1014">
          <cell r="A1014" t="str">
            <v>В-25807/АЗ</v>
          </cell>
          <cell r="B1014" t="str">
            <v>Платонов Николай Владимирович</v>
          </cell>
        </row>
        <row r="1015">
          <cell r="A1015" t="str">
            <v>В-25810/АЗ</v>
          </cell>
          <cell r="B1015" t="str">
            <v>Попов Михаил Александрович</v>
          </cell>
        </row>
        <row r="1016">
          <cell r="A1016" t="str">
            <v>В-25824/КЛ.Транш - 1</v>
          </cell>
          <cell r="B1016" t="str">
            <v>Яковлев Борис Викторович</v>
          </cell>
        </row>
        <row r="1017">
          <cell r="A1017" t="str">
            <v>В-25852/КЛ.Транш - 1</v>
          </cell>
          <cell r="B1017" t="str">
            <v>Пешков Владимир Сергеевич</v>
          </cell>
        </row>
        <row r="1018">
          <cell r="A1018" t="str">
            <v>В-25922/КЛ.Транш - 1</v>
          </cell>
          <cell r="B1018" t="str">
            <v>Белоусов Валерий Владиславович</v>
          </cell>
        </row>
        <row r="1019">
          <cell r="A1019" t="str">
            <v>В-25922/КЛ.Транш - 1_В-21082023/Ц</v>
          </cell>
          <cell r="B1019" t="str">
            <v>Белоусов Валерий Владиславович</v>
          </cell>
          <cell r="F1019">
            <v>91715.09</v>
          </cell>
          <cell r="G1019">
            <v>90843.98</v>
          </cell>
          <cell r="J1019">
            <v>871.11</v>
          </cell>
        </row>
        <row r="1020">
          <cell r="A1020" t="str">
            <v>В-25922/КЛ.Транш - 2</v>
          </cell>
          <cell r="B1020" t="str">
            <v>Белоусов Валерий Владиславович</v>
          </cell>
        </row>
        <row r="1021">
          <cell r="A1021" t="str">
            <v>В-25922/КЛ.Транш - 2_В-21082023/Ц</v>
          </cell>
          <cell r="B1021" t="str">
            <v>Белоусов Валерий Владиславович</v>
          </cell>
          <cell r="F1021">
            <v>133158.26999999999</v>
          </cell>
          <cell r="G1021">
            <v>129967.83</v>
          </cell>
          <cell r="J1021">
            <v>3190.44</v>
          </cell>
        </row>
        <row r="1022">
          <cell r="A1022" t="str">
            <v>В-25981/АЗ</v>
          </cell>
          <cell r="B1022" t="str">
            <v>Горбачев Денис Леонидович</v>
          </cell>
        </row>
        <row r="1023">
          <cell r="A1023" t="str">
            <v>В-26069/АЗ</v>
          </cell>
          <cell r="B1023" t="str">
            <v>Веселовская Галина Васильевна</v>
          </cell>
        </row>
        <row r="1024">
          <cell r="A1024" t="str">
            <v>В-26114/КЛ.Транш - 1</v>
          </cell>
          <cell r="B1024" t="str">
            <v>Рахимов Фарход Каримович</v>
          </cell>
        </row>
        <row r="1025">
          <cell r="A1025" t="str">
            <v>В-26125/АЗ</v>
          </cell>
          <cell r="B1025" t="str">
            <v>Осмаев Абдул-Латиф Исламович</v>
          </cell>
        </row>
        <row r="1026">
          <cell r="A1026" t="str">
            <v>В-26172/АЗ</v>
          </cell>
          <cell r="B1026" t="str">
            <v>Осмаев Джабраил Исламович</v>
          </cell>
        </row>
        <row r="1027">
          <cell r="A1027" t="str">
            <v>В-26197/КЛ.Транш - 1</v>
          </cell>
          <cell r="B1027" t="str">
            <v>Бакиров Теймур Бахрам оглы</v>
          </cell>
        </row>
        <row r="1028">
          <cell r="A1028" t="str">
            <v>В-26197/КЛ.Транш - 2</v>
          </cell>
          <cell r="B1028" t="str">
            <v>Бакиров Теймур Бахрам оглы</v>
          </cell>
        </row>
        <row r="1029">
          <cell r="A1029" t="str">
            <v>В-26409/КЛ.Транш - 1</v>
          </cell>
          <cell r="B1029" t="str">
            <v>Кожухова Наталья Евгеньевна</v>
          </cell>
        </row>
        <row r="1030">
          <cell r="A1030" t="str">
            <v>В-26422/КЛ.Транш - 1</v>
          </cell>
          <cell r="B1030" t="str">
            <v>Ахмедов Магомедрасул Камаладинович</v>
          </cell>
        </row>
        <row r="1031">
          <cell r="A1031" t="str">
            <v>В-26432/АЗ</v>
          </cell>
          <cell r="B1031" t="str">
            <v>Тарасов Дмитрий Алексеевич</v>
          </cell>
        </row>
        <row r="1032">
          <cell r="A1032" t="str">
            <v>В-26432/АЗ_В-21082023/Ц</v>
          </cell>
          <cell r="B1032" t="str">
            <v>Тарасов Дмитрий Алексеевич</v>
          </cell>
          <cell r="F1032">
            <v>42974.82</v>
          </cell>
          <cell r="G1032">
            <v>41606.92</v>
          </cell>
          <cell r="J1032">
            <v>1367.9</v>
          </cell>
        </row>
        <row r="1033">
          <cell r="A1033" t="str">
            <v>В-26517/КЛ.Транш - 1</v>
          </cell>
          <cell r="B1033" t="str">
            <v>Загорулько Алексей Сергеевич</v>
          </cell>
        </row>
        <row r="1034">
          <cell r="A1034" t="str">
            <v>В-26664/КЛ.Транш - 1</v>
          </cell>
          <cell r="B1034" t="str">
            <v>Лемкин Николай Иванович</v>
          </cell>
        </row>
        <row r="1035">
          <cell r="A1035" t="str">
            <v>В-26733/КЛ.Транш - 1</v>
          </cell>
          <cell r="B1035" t="str">
            <v>Бурма Мария Георгиевна</v>
          </cell>
        </row>
        <row r="1036">
          <cell r="A1036" t="str">
            <v>В-26733/КЛ.Транш - 1_В-21082023/Ц</v>
          </cell>
          <cell r="B1036" t="str">
            <v>Бурма Мария Георгиевна</v>
          </cell>
          <cell r="F1036">
            <v>193826.59</v>
          </cell>
          <cell r="G1036">
            <v>188156.13</v>
          </cell>
          <cell r="J1036">
            <v>5670.46</v>
          </cell>
        </row>
        <row r="1037">
          <cell r="A1037" t="str">
            <v>В-26743/КЛ.Транш - 1</v>
          </cell>
          <cell r="B1037" t="str">
            <v>Ерофеева Марина Игоревна</v>
          </cell>
        </row>
        <row r="1038">
          <cell r="A1038" t="str">
            <v>В-26827/КЛ.Транш - 1</v>
          </cell>
          <cell r="B1038" t="str">
            <v>Сапожников Станислав Михайлович</v>
          </cell>
        </row>
        <row r="1039">
          <cell r="A1039" t="str">
            <v>В-26928/КЛ.Транш - 1</v>
          </cell>
          <cell r="B1039" t="str">
            <v>Труханкин Анатолий Васильевич</v>
          </cell>
        </row>
        <row r="1040">
          <cell r="A1040" t="str">
            <v>В-26950/КЛ.Транш - 1</v>
          </cell>
          <cell r="B1040" t="str">
            <v>Макаренко Екатерина Васильевна</v>
          </cell>
        </row>
        <row r="1041">
          <cell r="A1041" t="str">
            <v>В-27038/АЗ</v>
          </cell>
          <cell r="B1041" t="str">
            <v>Кандаков Хайдарали Махмадрузиевич</v>
          </cell>
        </row>
        <row r="1042">
          <cell r="A1042" t="str">
            <v>В-27065/АЗ</v>
          </cell>
          <cell r="B1042" t="str">
            <v>Мордвинцева Елена Александровна</v>
          </cell>
        </row>
        <row r="1043">
          <cell r="A1043" t="str">
            <v>В-27250/КЛ.Транш - 1</v>
          </cell>
          <cell r="B1043" t="str">
            <v>Сайфуллин Рауль Чулпанович</v>
          </cell>
        </row>
        <row r="1044">
          <cell r="A1044" t="str">
            <v>В-27250/КЛ.Транш - 2</v>
          </cell>
          <cell r="B1044" t="str">
            <v>Сайфуллин Рауль Чулпанович</v>
          </cell>
        </row>
        <row r="1045">
          <cell r="A1045" t="str">
            <v>В-27260/АЗ</v>
          </cell>
          <cell r="B1045" t="str">
            <v>Белик Галина Александровна</v>
          </cell>
        </row>
        <row r="1046">
          <cell r="A1046" t="str">
            <v>В-27315/КЛ.Транш - 1</v>
          </cell>
          <cell r="B1046" t="str">
            <v>Годуйко Николай Николаевич</v>
          </cell>
        </row>
        <row r="1047">
          <cell r="A1047" t="str">
            <v>В-27646/КЛ.Транш - 1</v>
          </cell>
          <cell r="B1047" t="str">
            <v>Конуркин Сергей Сергеевич</v>
          </cell>
        </row>
        <row r="1048">
          <cell r="A1048" t="str">
            <v>В-27646/КЛ.Транш - 1_В-21082023/Ц</v>
          </cell>
          <cell r="B1048" t="str">
            <v>Конуркин Сергей Сергеевич</v>
          </cell>
          <cell r="F1048">
            <v>317507.76</v>
          </cell>
          <cell r="G1048">
            <v>303727.68</v>
          </cell>
          <cell r="J1048">
            <v>13780.08</v>
          </cell>
        </row>
        <row r="1049">
          <cell r="A1049" t="str">
            <v>В-27661/КЛ.Транш - 2</v>
          </cell>
          <cell r="B1049" t="str">
            <v>Романова Анна Григорьевна</v>
          </cell>
        </row>
        <row r="1050">
          <cell r="A1050" t="str">
            <v>В-27788/КЛ.Транш - 1</v>
          </cell>
          <cell r="B1050" t="str">
            <v>Смолин Виктор Иванович</v>
          </cell>
        </row>
        <row r="1051">
          <cell r="A1051" t="str">
            <v>В-27914/КЛ.Транш - 1</v>
          </cell>
          <cell r="B1051" t="str">
            <v>Чепрасова Галина Александровна</v>
          </cell>
        </row>
        <row r="1052">
          <cell r="A1052" t="str">
            <v>В-27929/КЛ.Транш - 1</v>
          </cell>
          <cell r="B1052" t="str">
            <v>Шаламова Татьяна Андреевна</v>
          </cell>
        </row>
        <row r="1053">
          <cell r="A1053" t="str">
            <v>В-27929/КЛ.Транш - 1_В-21082023/Ц</v>
          </cell>
          <cell r="B1053" t="str">
            <v>Шаламова Татьяна Андреевна</v>
          </cell>
          <cell r="F1053">
            <v>121769.7</v>
          </cell>
          <cell r="G1053">
            <v>118446.7</v>
          </cell>
          <cell r="J1053">
            <v>3323</v>
          </cell>
        </row>
        <row r="1054">
          <cell r="A1054" t="str">
            <v>В-28062/КЛ.Транш - 1</v>
          </cell>
          <cell r="B1054" t="str">
            <v>Бондаренко Светлана Евгеньевна</v>
          </cell>
        </row>
        <row r="1055">
          <cell r="A1055" t="str">
            <v>В-28235/АЗ</v>
          </cell>
          <cell r="B1055" t="str">
            <v>Юсупов Альберт Гиннатуллаевич</v>
          </cell>
        </row>
        <row r="1056">
          <cell r="A1056" t="str">
            <v>В-28235/АЗ_В-21082023/Ц</v>
          </cell>
          <cell r="B1056" t="str">
            <v>Юсупов Альберт Гиннатуллаевич</v>
          </cell>
          <cell r="F1056">
            <v>144423.54</v>
          </cell>
          <cell r="G1056">
            <v>142321.85999999999</v>
          </cell>
          <cell r="J1056">
            <v>2101.6799999999998</v>
          </cell>
        </row>
        <row r="1057">
          <cell r="A1057" t="str">
            <v>В-28358/КЛ.Транш - 1</v>
          </cell>
          <cell r="B1057" t="str">
            <v>Егиазарян Геворг Рубикович</v>
          </cell>
        </row>
        <row r="1058">
          <cell r="A1058" t="str">
            <v>В-28376/КЛ.Транш - 1</v>
          </cell>
          <cell r="B1058" t="str">
            <v>Симонова Дарья Павловна</v>
          </cell>
        </row>
        <row r="1059">
          <cell r="A1059" t="str">
            <v>В-28436/АЗ</v>
          </cell>
          <cell r="B1059" t="str">
            <v>Левченков Георгий Михайлович</v>
          </cell>
        </row>
        <row r="1060">
          <cell r="A1060" t="str">
            <v>В-28538/КЛ.Транш - 1</v>
          </cell>
          <cell r="B1060" t="str">
            <v>Ирицян Армен Дживанович</v>
          </cell>
        </row>
        <row r="1061">
          <cell r="A1061" t="str">
            <v>В-28539/КЛ.Транш - 1</v>
          </cell>
          <cell r="B1061" t="str">
            <v>Ульбашева Елена Владимировна</v>
          </cell>
        </row>
        <row r="1062">
          <cell r="A1062" t="str">
            <v>В-28539/КЛ.Транш - 1_В-21082023/Ц</v>
          </cell>
          <cell r="B1062" t="str">
            <v>Ульбашева Елена Владимировна</v>
          </cell>
          <cell r="F1062">
            <v>180505.18</v>
          </cell>
          <cell r="G1062">
            <v>172752.61</v>
          </cell>
          <cell r="J1062">
            <v>7752.57</v>
          </cell>
        </row>
        <row r="1063">
          <cell r="A1063" t="str">
            <v>В-28549/АЗ</v>
          </cell>
          <cell r="B1063" t="str">
            <v>Егупов Дмитрий Сергеевич</v>
          </cell>
        </row>
        <row r="1064">
          <cell r="A1064" t="str">
            <v>В-28587/КЛ.Транш - 1</v>
          </cell>
          <cell r="B1064" t="str">
            <v>Видяков Денис Сергеевич</v>
          </cell>
        </row>
        <row r="1065">
          <cell r="A1065" t="str">
            <v>В-28598/КЛ.Транш - 1</v>
          </cell>
          <cell r="B1065" t="str">
            <v>Кожинов Дмитрий Сергеевич</v>
          </cell>
        </row>
        <row r="1066">
          <cell r="A1066" t="str">
            <v>В-28906/КЛ.Транш - 1</v>
          </cell>
          <cell r="B1066" t="str">
            <v>Соколов Константин Иванович</v>
          </cell>
        </row>
        <row r="1067">
          <cell r="A1067" t="str">
            <v>В-28906/КЛ.Транш - 1_В-21082023/Ц</v>
          </cell>
          <cell r="B1067" t="str">
            <v>Соколов Константин Иванович</v>
          </cell>
          <cell r="F1067">
            <v>97719.82</v>
          </cell>
          <cell r="G1067">
            <v>93566.98</v>
          </cell>
          <cell r="J1067">
            <v>4152.84</v>
          </cell>
        </row>
        <row r="1068">
          <cell r="A1068" t="str">
            <v>В-28961/КЛ.Транш - 1</v>
          </cell>
          <cell r="B1068" t="str">
            <v>Гагарин Юрий Александрович</v>
          </cell>
        </row>
        <row r="1069">
          <cell r="A1069" t="str">
            <v>В-28968/АЗ</v>
          </cell>
          <cell r="B1069" t="str">
            <v>Егупов Дмитрий Сергеевич</v>
          </cell>
        </row>
        <row r="1070">
          <cell r="A1070" t="str">
            <v>Итого</v>
          </cell>
          <cell r="C1070" t="str">
            <v>803 740</v>
          </cell>
          <cell r="E1070">
            <v>409396498.52999997</v>
          </cell>
          <cell r="F1070">
            <v>430013060.13</v>
          </cell>
          <cell r="G1070">
            <v>160454429.5</v>
          </cell>
          <cell r="H1070">
            <v>140520195.19</v>
          </cell>
          <cell r="I1070">
            <v>94514287.920000002</v>
          </cell>
          <cell r="J1070">
            <v>95182752.920000002</v>
          </cell>
          <cell r="K1070">
            <v>170853073.11000001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85"/>
  <sheetViews>
    <sheetView tabSelected="1" zoomScale="75" zoomScaleNormal="75" workbookViewId="0">
      <selection activeCell="B15" sqref="B15"/>
    </sheetView>
  </sheetViews>
  <sheetFormatPr defaultRowHeight="15" x14ac:dyDescent="0.25"/>
  <cols>
    <col min="1" max="1" width="37.140625" bestFit="1" customWidth="1"/>
    <col min="2" max="3" width="45.7109375" bestFit="1" customWidth="1"/>
    <col min="4" max="4" width="25.85546875" bestFit="1" customWidth="1"/>
    <col min="5" max="5" width="28.140625" bestFit="1" customWidth="1"/>
    <col min="6" max="6" width="25.42578125" bestFit="1" customWidth="1"/>
    <col min="7" max="7" width="32.140625" bestFit="1" customWidth="1"/>
    <col min="8" max="8" width="25.140625" bestFit="1" customWidth="1"/>
    <col min="9" max="9" width="14.85546875" bestFit="1" customWidth="1"/>
    <col min="10" max="10" width="38.5703125" bestFit="1" customWidth="1"/>
    <col min="11" max="11" width="17.28515625" customWidth="1"/>
    <col min="12" max="12" width="25.7109375" bestFit="1" customWidth="1"/>
    <col min="13" max="14" width="25.42578125" customWidth="1"/>
    <col min="15" max="15" width="15.140625" customWidth="1"/>
    <col min="16" max="16" width="12.42578125" bestFit="1" customWidth="1"/>
    <col min="19" max="19" width="11.140625" bestFit="1" customWidth="1"/>
    <col min="20" max="20" width="13.7109375" customWidth="1"/>
    <col min="21" max="21" width="10.85546875" customWidth="1"/>
    <col min="22" max="22" width="12.140625" customWidth="1"/>
    <col min="23" max="23" width="12.5703125" customWidth="1"/>
    <col min="24" max="24" width="12.140625" customWidth="1"/>
    <col min="25" max="25" width="10.7109375" bestFit="1" customWidth="1"/>
    <col min="26" max="26" width="10.140625" bestFit="1" customWidth="1"/>
  </cols>
  <sheetData>
    <row r="1" spans="1:17" ht="24" thickBot="1" x14ac:dyDescent="0.3">
      <c r="A1" s="178" t="s">
        <v>81</v>
      </c>
      <c r="B1" s="179"/>
      <c r="C1" s="179"/>
      <c r="D1" s="179"/>
      <c r="E1" s="179"/>
      <c r="F1" s="180"/>
    </row>
    <row r="2" spans="1:17" ht="36.75" customHeight="1" thickBot="1" x14ac:dyDescent="0.3">
      <c r="A2" s="91" t="s">
        <v>5</v>
      </c>
      <c r="B2" s="67" t="str">
        <f>VLOOKUP(B3,[1]Лист1!$A:$B,2,0)</f>
        <v>Гилаев Флюс Фаусович</v>
      </c>
      <c r="C2" s="91" t="s">
        <v>206</v>
      </c>
      <c r="D2" s="107" t="str">
        <f>IFERROR(IF(VLOOKUP(B2,[1]Списание!$A:$A,1,0)&gt;0,"Есть документ списания❗"),"Списаний не было Вроде…..")</f>
        <v>Списаний не было Вроде…..</v>
      </c>
      <c r="E2" s="107" t="str">
        <f>IF(G22="РучРас","% расчитаны в ручную!","")</f>
        <v/>
      </c>
      <c r="F2" s="19"/>
      <c r="G2" s="91" t="s">
        <v>241</v>
      </c>
      <c r="H2" s="65" t="str">
        <f ca="1">IF(обработка!L7&lt;обработка!M7,"Обошлось","Задвоение платежей")</f>
        <v>Обошлось</v>
      </c>
      <c r="J2" s="91" t="s">
        <v>44</v>
      </c>
      <c r="K2" s="62">
        <f>B6</f>
        <v>284090.90000000002</v>
      </c>
      <c r="L2" s="62" t="str">
        <f>IFERROR(IF(TEXT(K2,"# #")=1,"рубль",IF(TRUNC(LEFT(RIGHT(TEXT(INT(K2),"# #"),2),1))=1,"рублей",IF(TRUNC(RIGHT(TEXT(INT(K2),"# #"),1))=1,"рубль ",IF(OR(TRUNC(RIGHT(TEXT(INT(K2),"# #"),1))=2,TRUNC(RIGHT(TEXT(INT(K2),"# #"),1))=3,TRUNC(RIGHT(TEXT(INT(K2),"# #"),1))=4),"рубля ","рублей ")))),"")</f>
        <v xml:space="preserve">рублей </v>
      </c>
      <c r="M2" s="62" t="str">
        <f>TEXT(K2,"# ##,00")&amp;" "&amp;L2</f>
        <v xml:space="preserve">284 090,90 рублей </v>
      </c>
      <c r="N2" s="74">
        <f>обработка!B12+1</f>
        <v>44678</v>
      </c>
    </row>
    <row r="3" spans="1:17" ht="19.5" thickBot="1" x14ac:dyDescent="0.3">
      <c r="A3" s="91" t="s">
        <v>6</v>
      </c>
      <c r="B3" s="67" t="s">
        <v>243</v>
      </c>
      <c r="F3" s="19"/>
      <c r="G3" s="91" t="s">
        <v>242</v>
      </c>
      <c r="H3" s="65" t="str">
        <f>IF(B18+1&gt;обработка!N7,"Все четко","Возможно")</f>
        <v>Возможно</v>
      </c>
      <c r="J3" s="91" t="s">
        <v>94</v>
      </c>
      <c r="K3" s="62">
        <f>B13</f>
        <v>56328.52</v>
      </c>
      <c r="L3" s="62" t="str">
        <f t="shared" ref="L3:L10" si="0">IFERROR(IF(TEXT(K3,"# #")=1,"рубль",IF(TRUNC(LEFT(RIGHT(TEXT(INT(K3),"# #"),2),1))=1,"рублей",IF(TRUNC(RIGHT(TEXT(INT(K3),"# #"),1))=1,"рубль ",IF(OR(TRUNC(RIGHT(TEXT(INT(K3),"# #"),1))=2,TRUNC(RIGHT(TEXT(INT(K3),"# #"),1))=3,TRUNC(RIGHT(TEXT(INT(K3),"# #"),1))=4),"рубля ","рублей ")))),"")</f>
        <v xml:space="preserve">рублей </v>
      </c>
      <c r="M3" s="62" t="str">
        <f t="shared" ref="M3:M8" si="1">TEXT(K3,"# ##,00")&amp;" "&amp;L3</f>
        <v xml:space="preserve">56 328,52 рублей </v>
      </c>
      <c r="N3" s="74">
        <f>обработка!D12+1</f>
        <v>44708</v>
      </c>
    </row>
    <row r="4" spans="1:17" ht="36.75" thickBot="1" x14ac:dyDescent="0.3">
      <c r="A4" s="91" t="s">
        <v>7</v>
      </c>
      <c r="B4" s="108">
        <f>VLOOKUP(B3,[1]Лист1!$A:$C,3,0)</f>
        <v>44336</v>
      </c>
      <c r="C4" s="167" t="s">
        <v>34</v>
      </c>
      <c r="D4" s="168"/>
      <c r="E4" s="168"/>
      <c r="F4" s="169"/>
      <c r="J4" s="91" t="s">
        <v>95</v>
      </c>
      <c r="K4" s="62">
        <f>B14</f>
        <v>117913</v>
      </c>
      <c r="L4" s="62" t="str">
        <f t="shared" si="0"/>
        <v>рублей</v>
      </c>
      <c r="M4" s="62" t="str">
        <f t="shared" si="1"/>
        <v>117 913,00 рублей</v>
      </c>
    </row>
    <row r="5" spans="1:17" ht="19.5" thickBot="1" x14ac:dyDescent="0.3">
      <c r="A5" s="91" t="s">
        <v>27</v>
      </c>
      <c r="B5" s="106">
        <f>VLOOKUP(B3,[1]Лист1!$A:$E,5,0)</f>
        <v>24</v>
      </c>
      <c r="C5" s="110" t="s">
        <v>51</v>
      </c>
      <c r="D5" s="107">
        <v>1.5</v>
      </c>
      <c r="F5" s="19"/>
      <c r="J5" s="91" t="s">
        <v>96</v>
      </c>
      <c r="K5" s="62">
        <f>B15</f>
        <v>5165.7299999999996</v>
      </c>
      <c r="L5" s="62" t="str">
        <f t="shared" si="0"/>
        <v xml:space="preserve">рублей </v>
      </c>
      <c r="M5" s="62" t="str">
        <f t="shared" si="1"/>
        <v xml:space="preserve">5 165,73 рублей </v>
      </c>
    </row>
    <row r="6" spans="1:17" ht="36.75" thickBot="1" x14ac:dyDescent="0.3">
      <c r="A6" s="92" t="s">
        <v>28</v>
      </c>
      <c r="B6" s="65">
        <f>VLOOKUP(B3,[1]Лист1!$A:$H,8,0)</f>
        <v>284090.90000000002</v>
      </c>
      <c r="C6" s="110" t="s">
        <v>37</v>
      </c>
      <c r="D6" s="60">
        <f>IFERROR(K7*D5,"Ops somewhere mistake!")</f>
        <v>341643.57000000007</v>
      </c>
      <c r="E6" s="61" t="str">
        <f>IFERROR(IF(TEXT(D6,"# #")=1,"рубль",IF(TRUNC(LEFT(RIGHT(TEXT(D6,"# #"),2),1))=1,"рублей",IF(TRUNC(RIGHT(TEXT(D6,"# #"),1))=1,"рубль ",IF(OR(TRUNC(RIGHT(TEXT(D6,"# #"),1))=2,TRUNC(RIGHT(TEXT(D6,"# #"),1))=3,TRUNC(RIGHT(TEXT(D6,"# #"),1))=4),"рубля ","рублей ")))),"Ops somewhere mistake!")</f>
        <v xml:space="preserve">рубля </v>
      </c>
      <c r="F6" s="60" t="str">
        <f>TEXT(D6,"# ##,00")&amp;" "&amp;E6</f>
        <v xml:space="preserve">341 643,57 рубля </v>
      </c>
      <c r="J6" s="91" t="s">
        <v>97</v>
      </c>
      <c r="K6" s="62">
        <f>K3+K4+K5</f>
        <v>179407.25</v>
      </c>
      <c r="L6" s="62" t="str">
        <f t="shared" si="0"/>
        <v xml:space="preserve">рублей </v>
      </c>
      <c r="M6" s="62" t="str">
        <f t="shared" si="1"/>
        <v xml:space="preserve">179 407,25 рублей </v>
      </c>
    </row>
    <row r="7" spans="1:17" ht="19.5" thickBot="1" x14ac:dyDescent="0.3">
      <c r="A7" s="91" t="s">
        <v>8</v>
      </c>
      <c r="B7" s="109">
        <f>VLOOKUP(B3,[1]Лист1!$A:$D,4,0)/100</f>
        <v>0.5</v>
      </c>
      <c r="C7" s="110" t="s">
        <v>35</v>
      </c>
      <c r="D7" s="60">
        <f>IF(K8&lt;=D6,K8,D6)</f>
        <v>270101.22241917811</v>
      </c>
      <c r="E7" s="61" t="str">
        <f>IFERROR(IF(TEXT(D7,"# #")=1,"рубль",IF(TRUNC(LEFT(RIGHT(TEXT(D7,"# #"),2),1))=1,"рублей",IF(TRUNC(RIGHT(TEXT(D7,"# #"),1))=1,"рубль ",IF(OR(TRUNC(RIGHT(TEXT(D7,"# #"),1))=2,TRUNC(RIGHT(TEXT(D7,"# #"),1))=3,TRUNC(RIGHT(TEXT(D7,"# #"),1))=4),"рубля ","рублей ")))),"Ops somewhere mistake!")</f>
        <v xml:space="preserve">рубль </v>
      </c>
      <c r="F7" s="60" t="str">
        <f t="shared" ref="F7:F8" si="2">TEXT(D7,"# ##,00")&amp;" "&amp;E7</f>
        <v xml:space="preserve">270 101,22 рубль </v>
      </c>
      <c r="J7" s="91" t="s">
        <v>40</v>
      </c>
      <c r="K7" s="62">
        <f>K2-K3</f>
        <v>227762.38000000003</v>
      </c>
      <c r="L7" s="62" t="str">
        <f t="shared" si="0"/>
        <v xml:space="preserve">рубля </v>
      </c>
      <c r="M7" s="62" t="str">
        <f t="shared" si="1"/>
        <v xml:space="preserve">227 762,38 рубля </v>
      </c>
    </row>
    <row r="8" spans="1:17" ht="19.5" thickBot="1" x14ac:dyDescent="0.3">
      <c r="A8" s="93" t="s">
        <v>9</v>
      </c>
      <c r="B8" s="112">
        <f>VLOOKUP(B3,[1]Лист1!$A:$G,7,0)/100</f>
        <v>5.4000000000000001E-4</v>
      </c>
      <c r="C8" s="111" t="s">
        <v>36</v>
      </c>
      <c r="D8" s="62">
        <f>IFERROR(IF(D7+B23&lt;=D6,B23,D6-D7),"Ops somewhere mistake!")</f>
        <v>71542.347580821952</v>
      </c>
      <c r="E8" s="63" t="str">
        <f>IFERROR(IF(TEXT(D8,"# #")=1,"рубль",IF(TRUNC(LEFT(RIGHT(TEXT(D8,"# #"),2),1))=1,"рублей",IF(TRUNC(RIGHT(TEXT(D8,"# #"),1))=1,"рубль ",IF(OR(TRUNC(RIGHT(TEXT(D8,"# #"),1))=2,TRUNC(RIGHT(TEXT(D8,"# #"),1))=3,TRUNC(RIGHT(TEXT(D8,"# #"),1))=4),"рубля ","рублей ")))),"Ops somewhere mistake!")</f>
        <v xml:space="preserve">рубля </v>
      </c>
      <c r="F8" s="62" t="str">
        <f t="shared" si="2"/>
        <v xml:space="preserve">71 542,35 рубля </v>
      </c>
      <c r="J8" s="91" t="s">
        <v>99</v>
      </c>
      <c r="K8" s="68">
        <f>IF(C83="",B22,C83)</f>
        <v>270101.22241917811</v>
      </c>
      <c r="L8" s="62" t="str">
        <f t="shared" si="0"/>
        <v xml:space="preserve">рубль </v>
      </c>
      <c r="M8" s="62" t="str">
        <f t="shared" si="1"/>
        <v xml:space="preserve">270 101,22 рубль </v>
      </c>
    </row>
    <row r="9" spans="1:17" ht="19.5" thickBot="1" x14ac:dyDescent="0.3">
      <c r="C9" s="7"/>
      <c r="J9" s="91" t="s">
        <v>98</v>
      </c>
      <c r="K9" s="60">
        <f>SUM(C18:F18)</f>
        <v>0</v>
      </c>
      <c r="L9" s="62" t="str">
        <f t="shared" si="0"/>
        <v/>
      </c>
      <c r="M9" s="62" t="str">
        <f>IF(K9&gt;0,TEXT(K9,"# ##,00")&amp;" "&amp;L9,"")</f>
        <v/>
      </c>
      <c r="N9" s="1" t="str">
        <f>C$18&amp;" "&amp;IFERROR(IF(TRUNC(LEFT(RIGHT(TEXT(C$18,"# #"),2),1))=1,"рублей",IF(TRUNC(RIGHT(TEXT(C$18,"# #"),1))=1,"рубль ",IF(OR(TRUNC(RIGHT(TEXT(C$18,"# #"),1))=2,TRUNC(RIGHT(TEXT(C$18,"# #"),1))=3,TRUNC(RIGHT(TEXT(C$18,"# #"),1))=4),"рубля ","рублей "))),"")</f>
        <v xml:space="preserve"> </v>
      </c>
      <c r="O9" s="1" t="str">
        <f t="shared" ref="O9:Q9" si="3">D$18&amp;" "&amp;IFERROR(IF(TRUNC(LEFT(RIGHT(TEXT(D$18,"# #"),2),1))=1,"рублей",IF(TRUNC(RIGHT(TEXT(D$18,"# #"),1))=1,"рубль ",IF(OR(TRUNC(RIGHT(TEXT(D$18,"# #"),1))=2,TRUNC(RIGHT(TEXT(D$18,"# #"),1))=3,TRUNC(RIGHT(TEXT(D$18,"# #"),1))=4),"рубля ","рублей "))),"")</f>
        <v xml:space="preserve"> </v>
      </c>
      <c r="P9" s="1" t="str">
        <f t="shared" si="3"/>
        <v xml:space="preserve"> </v>
      </c>
      <c r="Q9" s="1" t="str">
        <f t="shared" si="3"/>
        <v xml:space="preserve"> </v>
      </c>
    </row>
    <row r="10" spans="1:17" ht="27" thickBot="1" x14ac:dyDescent="0.45">
      <c r="A10" s="181" t="s">
        <v>82</v>
      </c>
      <c r="B10" s="182"/>
      <c r="C10" s="182"/>
      <c r="D10" s="182"/>
      <c r="E10" s="182"/>
      <c r="F10" s="183"/>
      <c r="J10" s="91" t="s">
        <v>100</v>
      </c>
      <c r="K10" s="68">
        <f>IF(C83="",B22-K9,C83)</f>
        <v>270101.22241917811</v>
      </c>
      <c r="L10" s="62" t="str">
        <f t="shared" si="0"/>
        <v xml:space="preserve">рубль </v>
      </c>
      <c r="M10" s="62" t="str">
        <f>IF(K10&gt;0,TEXT(K10,"# ##,00")&amp;" "&amp;L10,"")</f>
        <v xml:space="preserve">270 101,22 рубль </v>
      </c>
    </row>
    <row r="11" spans="1:17" ht="19.5" thickBot="1" x14ac:dyDescent="0.3">
      <c r="A11" s="92" t="s">
        <v>2</v>
      </c>
      <c r="B11" s="64">
        <v>45464</v>
      </c>
      <c r="J11" s="123" t="s">
        <v>103</v>
      </c>
      <c r="K11" s="134">
        <f>MAX(обработка!B3:B10)/100</f>
        <v>0.55000000000000004</v>
      </c>
    </row>
    <row r="12" spans="1:17" ht="24" thickBot="1" x14ac:dyDescent="0.4">
      <c r="A12" s="113" t="s">
        <v>32</v>
      </c>
      <c r="B12" s="114">
        <v>44790</v>
      </c>
      <c r="C12" s="165" t="s">
        <v>50</v>
      </c>
      <c r="D12" s="166"/>
      <c r="E12" s="166"/>
      <c r="F12" s="166"/>
      <c r="G12" s="129" t="s">
        <v>86</v>
      </c>
      <c r="H12" s="130" t="s">
        <v>165</v>
      </c>
    </row>
    <row r="13" spans="1:17" ht="30" customHeight="1" thickBot="1" x14ac:dyDescent="0.3">
      <c r="A13" s="117" t="s">
        <v>4</v>
      </c>
      <c r="B13" s="118">
        <f>IF(G13="",IF(F13&gt;0,F13,обработка!N4-G13))</f>
        <v>56328.52</v>
      </c>
      <c r="C13" s="122" t="s">
        <v>85</v>
      </c>
      <c r="D13" s="119"/>
      <c r="E13" s="119"/>
      <c r="F13" s="126"/>
      <c r="G13" s="131"/>
      <c r="H13" s="118">
        <f>IFERROR(B13-обработка!B15,"")</f>
        <v>0</v>
      </c>
      <c r="J13" s="124" t="s">
        <v>101</v>
      </c>
      <c r="K13" t="str">
        <f>SUBSTITUTE(B3," ","")</f>
        <v>В-18164/КЛ.Транш-1_В-21082023/Ц</v>
      </c>
      <c r="L13" t="str">
        <f>IFERROR(IF(SEARCH("Транш",K13)," ("&amp;MID(K13,12,7)&amp;" от "&amp;TEXT(B4,"ДД.ММ.ГГГГ")&amp;" г.)"),"")</f>
        <v xml:space="preserve"> (Транш-1 от 20.05.2021 г.)</v>
      </c>
      <c r="M13" t="str">
        <f>LEFT(K13,10)&amp;" от "&amp;TEXT(B4,"ДД.ММ.ГГГГ")&amp;" года"&amp;L13</f>
        <v>В-18164/КЛ от 20.05.2021 года (Транш-1 от 20.05.2021 г.)</v>
      </c>
    </row>
    <row r="14" spans="1:17" ht="19.5" thickBot="1" x14ac:dyDescent="0.3">
      <c r="A14" s="92" t="s">
        <v>23</v>
      </c>
      <c r="B14" s="66">
        <f>IF(G14="",IF(F14&gt;0,F14,обработка!N5-G14))</f>
        <v>117913</v>
      </c>
      <c r="C14" s="95" t="s">
        <v>85</v>
      </c>
      <c r="D14" s="70"/>
      <c r="E14" s="70"/>
      <c r="F14" s="127"/>
      <c r="G14" s="131"/>
      <c r="H14" s="118">
        <f>IFERROR(B14-обработка!B16,"")</f>
        <v>0</v>
      </c>
      <c r="J14" s="125" t="s">
        <v>104</v>
      </c>
      <c r="K14" t="str">
        <f>IFERROR(IF(SEARCH("АЗ",B3),"потребительского займа"),"микрозайма с лимитом кредитования")</f>
        <v>микрозайма с лимитом кредитования</v>
      </c>
      <c r="L14" t="str">
        <f>IFERROR(IF(SEARCH("АЗ",B3),"2.1"),"7.1")</f>
        <v>7.1</v>
      </c>
    </row>
    <row r="15" spans="1:17" ht="19.5" thickBot="1" x14ac:dyDescent="0.3">
      <c r="A15" s="94" t="s">
        <v>24</v>
      </c>
      <c r="B15" s="120">
        <f>IF(G15="",IF(F15&gt;0,F15,обработка!N6-G15))</f>
        <v>5165.7299999999996</v>
      </c>
      <c r="C15" s="96" t="s">
        <v>85</v>
      </c>
      <c r="D15" s="121"/>
      <c r="E15" s="121"/>
      <c r="F15" s="128"/>
      <c r="G15" s="132"/>
      <c r="H15" s="118">
        <f>IFERROR(B15-обработка!B17,"")</f>
        <v>0</v>
      </c>
      <c r="J15" s="6"/>
    </row>
    <row r="16" spans="1:17" ht="36.75" thickBot="1" x14ac:dyDescent="0.3">
      <c r="A16" s="115" t="s">
        <v>25</v>
      </c>
      <c r="B16" s="116">
        <f>SUM(B13:B15)</f>
        <v>179407.25</v>
      </c>
      <c r="C16" s="184" t="s">
        <v>79</v>
      </c>
      <c r="D16" s="185"/>
      <c r="E16" s="185"/>
      <c r="F16" s="186"/>
      <c r="J16" s="6"/>
    </row>
    <row r="17" spans="1:10" ht="54" x14ac:dyDescent="0.25">
      <c r="A17" s="92" t="s">
        <v>1</v>
      </c>
      <c r="B17" s="65">
        <f>IF(G17="РучРас",B6-B13,B6-B13)</f>
        <v>227762.38000000003</v>
      </c>
      <c r="C17" s="68" t="str">
        <f>IFERROR(IF(TEXT(C18,"# #")=1,"рубль",IF(TRUNC(LEFT(RIGHT(TEXT(C18,"# #"),2),1))=1,"рублей",IF(TRUNC(RIGHT(TEXT(C18,"# #"),1))=1,"рубль ",IF(OR(TRUNC(RIGHT(TEXT(C18,"# #"),1))=2,TRUNC(RIGHT(TEXT(C18,"# #"),1))=3,TRUNC(RIGHT(TEXT(C18,"# #"),1))=4),"рубля ","рублей ")))),"")</f>
        <v/>
      </c>
      <c r="D17" s="68" t="str">
        <f>IFERROR(IF(TEXT(D18,"# #")=1,"рубль",IF(TRUNC(LEFT(RIGHT(TEXT(D18,"# #"),2),1))=1,"рублей",IF(TRUNC(RIGHT(TEXT(D18,"# #"),1))=1,"рубль ",IF(OR(TRUNC(RIGHT(TEXT(D18,"# #"),1))=2,TRUNC(RIGHT(TEXT(D18,"# #"),1))=3,TRUNC(RIGHT(TEXT(D18,"# #"),1))=4),"рубля ","рублей ")))),"")</f>
        <v/>
      </c>
      <c r="E17" s="69" t="str">
        <f>IFERROR(IF(TEXT(E18,"# #")=1,"рубль",IF(TRUNC(LEFT(RIGHT(TEXT(E18,"# #"),2),1))=1,"рублей",IF(TRUNC(RIGHT(TEXT(E18,"# #"),1))=1,"рубль ",IF(OR(TRUNC(RIGHT(TEXT(E18,"# #"),1))=2,TRUNC(RIGHT(TEXT(E18,"# #"),1))=3,TRUNC(RIGHT(TEXT(E18,"# #"),1))=4),"рубля ","рублей ")))),"")</f>
        <v/>
      </c>
      <c r="F17" s="85"/>
      <c r="G17" s="92" t="s">
        <v>204</v>
      </c>
      <c r="J17" s="6"/>
    </row>
    <row r="18" spans="1:10" ht="36" x14ac:dyDescent="0.25">
      <c r="A18" s="92" t="s">
        <v>0</v>
      </c>
      <c r="B18" s="67">
        <f>обработка!B12</f>
        <v>44677</v>
      </c>
      <c r="C18" s="70"/>
      <c r="D18" s="70"/>
      <c r="E18" s="70"/>
      <c r="F18" s="86"/>
      <c r="J18" s="6"/>
    </row>
    <row r="19" spans="1:10" ht="36.75" thickBot="1" x14ac:dyDescent="0.3">
      <c r="A19" s="92" t="s">
        <v>3</v>
      </c>
      <c r="B19" s="67">
        <f>обработка!D12</f>
        <v>44707</v>
      </c>
      <c r="C19" s="71"/>
      <c r="D19" s="71"/>
      <c r="E19" s="71"/>
      <c r="F19" s="87"/>
    </row>
    <row r="20" spans="1:10" ht="36.75" thickBot="1" x14ac:dyDescent="0.3">
      <c r="A20" s="92" t="s">
        <v>10</v>
      </c>
      <c r="B20" s="72">
        <f>B11-N2+1</f>
        <v>787</v>
      </c>
      <c r="C20" s="167" t="s">
        <v>49</v>
      </c>
      <c r="D20" s="168"/>
      <c r="E20" s="168"/>
      <c r="F20" s="169"/>
    </row>
    <row r="21" spans="1:10" ht="36" x14ac:dyDescent="0.25">
      <c r="A21" s="92" t="s">
        <v>11</v>
      </c>
      <c r="B21" s="72">
        <f>B11-N3+1</f>
        <v>757</v>
      </c>
      <c r="C21" s="133">
        <v>55</v>
      </c>
      <c r="D21" s="133"/>
      <c r="E21" s="133"/>
      <c r="F21" s="133"/>
    </row>
    <row r="22" spans="1:10" ht="36" x14ac:dyDescent="0.25">
      <c r="A22" s="92" t="s">
        <v>212</v>
      </c>
      <c r="B22" s="68">
        <f>IF(G22="РучРас",F42,B17*K11/365*B20)</f>
        <v>270101.22241917811</v>
      </c>
      <c r="C22" s="71">
        <v>44638</v>
      </c>
      <c r="D22" s="71"/>
      <c r="E22" s="71"/>
      <c r="F22" s="133"/>
      <c r="G22" s="92" t="s">
        <v>204</v>
      </c>
    </row>
    <row r="23" spans="1:10" ht="18.75" thickBot="1" x14ac:dyDescent="0.3">
      <c r="A23" s="94" t="s">
        <v>76</v>
      </c>
      <c r="B23" s="88">
        <f>IF(G23="РучРас",F53,K7*B8*B21)</f>
        <v>93104.705696400022</v>
      </c>
      <c r="C23" s="88" t="str">
        <f>IF(TEXT(B23,"# #")=1,"рубль",IF(TRUNC(LEFT(RIGHT(TEXT(B23,"# #"),2),1))=1,"рублей",IF(TRUNC(RIGHT(TEXT(B23,"# #"),1))=1,"рубль ",IF(OR(TRUNC(RIGHT(TEXT(B23,"# #"),1))=2,TRUNC(RIGHT(TEXT(B23,"# #"),1))=3,TRUNC(RIGHT(TEXT(B23,"# #"),1))=4),"рубля ","рублей "))))</f>
        <v xml:space="preserve">рублей </v>
      </c>
      <c r="D23" s="88" t="str">
        <f>TEXT(B23,"# ##,00")&amp;" "&amp;C23</f>
        <v xml:space="preserve">93 104,71 рублей </v>
      </c>
      <c r="E23" s="89"/>
      <c r="F23" s="90"/>
      <c r="G23" s="92" t="s">
        <v>204</v>
      </c>
    </row>
    <row r="24" spans="1:10" ht="18.75" thickBot="1" x14ac:dyDescent="0.3">
      <c r="A24" s="75"/>
      <c r="B24" s="76"/>
      <c r="C24" s="76"/>
      <c r="D24" s="76"/>
    </row>
    <row r="25" spans="1:10" ht="24" thickBot="1" x14ac:dyDescent="0.4">
      <c r="A25" s="158" t="s">
        <v>80</v>
      </c>
      <c r="B25" s="159"/>
      <c r="C25" s="159"/>
      <c r="D25" s="159"/>
      <c r="E25" s="159"/>
      <c r="F25" s="170" t="str">
        <f>"Разница долга Расчет - 1С: "&amp;"дата"</f>
        <v>Разница долга Расчет - 1С: дата</v>
      </c>
      <c r="G25" s="171"/>
    </row>
    <row r="26" spans="1:10" ht="18" x14ac:dyDescent="0.25">
      <c r="A26" s="97" t="s">
        <v>12</v>
      </c>
      <c r="B26" s="78">
        <v>240838.72</v>
      </c>
      <c r="C26" s="77">
        <f>B23+K10+K7-0.01</f>
        <v>590968.29811557813</v>
      </c>
      <c r="D26" s="72" t="str">
        <f t="shared" ref="D26:D28" si="4">IF(TEXT(C26,"# #")=1,"рубль",IF(TRUNC(LEFT(RIGHT(TEXT(C26,"# #"),2),1))=1,"рублей",IF(TRUNC(RIGHT(TEXT(C26,"# #"),1))=1,"рубль ",IF(OR(TRUNC(RIGHT(TEXT(C26,"# #"),1))=2,TRUNC(RIGHT(TEXT(C26,"# #"),1))=3,TRUNC(RIGHT(TEXT(C26,"# #"),1))=4),"рубля ","рублей "))))</f>
        <v xml:space="preserve">рублей </v>
      </c>
      <c r="E26" s="69" t="str">
        <f t="shared" ref="E26:E28" si="5">TEXT(C26,"# ##,00")&amp;" "&amp;D26</f>
        <v xml:space="preserve">590 968,30 рублей </v>
      </c>
      <c r="F26" s="92" t="s">
        <v>52</v>
      </c>
      <c r="G26" s="77">
        <f>B17-VLOOKUP(B3,'[2]РП (расш)'!$A:$G,7,0)</f>
        <v>0</v>
      </c>
    </row>
    <row r="27" spans="1:10" ht="18" x14ac:dyDescent="0.25">
      <c r="A27" s="97" t="s">
        <v>30</v>
      </c>
      <c r="B27" s="77">
        <f>IF(B26&lt;=20000,MAX(B26*0.04,400),
  IF(B26&lt;=100000,800+(B26-20000)*0.03,
  IF(B26&lt;=200000,3200+(B26-100000)*0.02,
  IF(B26&lt;=1000000,5200+(B26-200000)*0.01,
   MIN(13200+(B26-1000000)*0.005,60000)))))</f>
        <v>5608.3872000000001</v>
      </c>
      <c r="C27" s="77">
        <f>IF(C26&lt;=20000,MAX(C26*0.04,400),
  IF(C26&lt;=100000,800+(C26-20000)*0.03,
  IF(C26&lt;=200000,3200+(C26-100000)*0.02,
  IF(C26&lt;=1000000,5200+(C26-200000)*0.01,
   MIN(13200+(C26-1000000)*0.005,60000)))))</f>
        <v>9109.6829811557818</v>
      </c>
      <c r="D27" s="72" t="str">
        <f t="shared" si="4"/>
        <v>рублей</v>
      </c>
      <c r="E27" s="69" t="str">
        <f t="shared" si="5"/>
        <v>9 109,68 рублей</v>
      </c>
      <c r="F27" s="92" t="s">
        <v>53</v>
      </c>
      <c r="G27" s="77">
        <f>B22-VLOOKUP(B3,'[2]РП (расш)'!$A:$J,10,0)</f>
        <v>343.20241917809471</v>
      </c>
    </row>
    <row r="28" spans="1:10" ht="36.75" thickBot="1" x14ac:dyDescent="0.3">
      <c r="A28" s="97" t="s">
        <v>39</v>
      </c>
      <c r="B28" s="77">
        <f>B27+6000</f>
        <v>11608.387200000001</v>
      </c>
      <c r="C28" s="77">
        <f>C27+6000</f>
        <v>15109.682981155782</v>
      </c>
      <c r="D28" s="72" t="str">
        <f t="shared" si="4"/>
        <v>рублей</v>
      </c>
      <c r="E28" s="69" t="str">
        <f t="shared" si="5"/>
        <v>15 109,68 рублей</v>
      </c>
      <c r="F28" s="94" t="s">
        <v>56</v>
      </c>
      <c r="G28" s="77">
        <f>B23-VLOOKUP(B3,'[2]РП (расш)'!$A:$K,11,0)</f>
        <v>122.99569640001573</v>
      </c>
    </row>
    <row r="29" spans="1:10" ht="15.75" x14ac:dyDescent="0.25">
      <c r="A29" s="17"/>
      <c r="E29" s="3"/>
      <c r="G29" s="57"/>
      <c r="H29" s="3"/>
    </row>
    <row r="30" spans="1:10" ht="16.5" thickBot="1" x14ac:dyDescent="0.3">
      <c r="A30" s="16"/>
      <c r="G30" s="3"/>
    </row>
    <row r="31" spans="1:10" ht="19.5" thickBot="1" x14ac:dyDescent="0.35">
      <c r="A31" s="187" t="s">
        <v>68</v>
      </c>
      <c r="B31" s="188"/>
      <c r="C31" s="188"/>
      <c r="D31" s="188"/>
      <c r="E31" s="188"/>
      <c r="F31" s="189"/>
    </row>
    <row r="32" spans="1:10" ht="31.5" x14ac:dyDescent="0.25">
      <c r="A32" s="98" t="s">
        <v>59</v>
      </c>
      <c r="B32" s="99" t="s">
        <v>60</v>
      </c>
      <c r="C32" s="99" t="s">
        <v>61</v>
      </c>
      <c r="D32" s="99" t="s">
        <v>62</v>
      </c>
      <c r="E32" s="99" t="s">
        <v>63</v>
      </c>
      <c r="F32" s="100" t="s">
        <v>64</v>
      </c>
    </row>
    <row r="33" spans="1:11" x14ac:dyDescent="0.25">
      <c r="A33" s="27">
        <v>44765</v>
      </c>
      <c r="B33" s="11">
        <v>45441</v>
      </c>
      <c r="C33" s="12">
        <f>IF(B33="","",B33-A33+1)</f>
        <v>677</v>
      </c>
      <c r="D33" s="13">
        <v>195543.37</v>
      </c>
      <c r="E33" s="14">
        <v>0.67</v>
      </c>
      <c r="F33" s="28">
        <f t="shared" ref="F33:F41" si="6">IF(B33="",0,D33*E33/365*C33-0.01)</f>
        <v>243004.1467076712</v>
      </c>
    </row>
    <row r="34" spans="1:11" ht="16.5" thickBot="1" x14ac:dyDescent="0.3">
      <c r="A34" s="38"/>
      <c r="B34" s="39"/>
      <c r="C34" s="40"/>
      <c r="D34" s="40"/>
      <c r="E34" s="41"/>
      <c r="F34" s="42">
        <f>SUM(F25:F33)</f>
        <v>243004.1467076712</v>
      </c>
    </row>
    <row r="35" spans="1:11" ht="31.5" x14ac:dyDescent="0.25">
      <c r="A35" s="98" t="s">
        <v>59</v>
      </c>
      <c r="B35" s="99" t="s">
        <v>60</v>
      </c>
      <c r="C35" s="99" t="s">
        <v>61</v>
      </c>
      <c r="D35" s="99" t="s">
        <v>62</v>
      </c>
      <c r="E35" s="99" t="s">
        <v>63</v>
      </c>
      <c r="F35" s="100" t="s">
        <v>64</v>
      </c>
    </row>
    <row r="36" spans="1:11" x14ac:dyDescent="0.25">
      <c r="A36" s="27">
        <v>44797</v>
      </c>
      <c r="B36" s="11">
        <v>44808</v>
      </c>
      <c r="C36" s="12">
        <f t="shared" ref="C36:C41" si="7">IF(B36="","",B36-A36+1)</f>
        <v>12</v>
      </c>
      <c r="D36" s="13">
        <v>119518.09</v>
      </c>
      <c r="E36" s="14">
        <v>0.3</v>
      </c>
      <c r="F36" s="28">
        <f t="shared" si="6"/>
        <v>1178.7985589041095</v>
      </c>
    </row>
    <row r="37" spans="1:11" x14ac:dyDescent="0.25">
      <c r="A37" s="27">
        <v>44809</v>
      </c>
      <c r="B37" s="11">
        <v>44860</v>
      </c>
      <c r="C37" s="12">
        <f t="shared" si="7"/>
        <v>52</v>
      </c>
      <c r="D37" s="13">
        <v>107558.42</v>
      </c>
      <c r="E37" s="14">
        <v>0.3</v>
      </c>
      <c r="F37" s="28">
        <f t="shared" si="6"/>
        <v>4597.0074027397259</v>
      </c>
      <c r="H37" s="3"/>
      <c r="I37" s="3"/>
    </row>
    <row r="38" spans="1:11" x14ac:dyDescent="0.25">
      <c r="A38" s="27">
        <v>44861</v>
      </c>
      <c r="B38" s="11">
        <v>45337</v>
      </c>
      <c r="C38" s="12">
        <f t="shared" si="7"/>
        <v>477</v>
      </c>
      <c r="D38" s="13">
        <v>98003.53</v>
      </c>
      <c r="E38" s="14">
        <v>0.3</v>
      </c>
      <c r="F38" s="28">
        <f t="shared" si="6"/>
        <v>38422.743816438349</v>
      </c>
      <c r="H38" s="3"/>
      <c r="I38" s="3"/>
      <c r="J38" s="3"/>
      <c r="K38" s="3"/>
    </row>
    <row r="39" spans="1:11" x14ac:dyDescent="0.25">
      <c r="A39" s="27">
        <v>45337</v>
      </c>
      <c r="B39" s="11">
        <v>45397</v>
      </c>
      <c r="C39" s="12">
        <f t="shared" si="7"/>
        <v>61</v>
      </c>
      <c r="D39" s="13">
        <v>95000</v>
      </c>
      <c r="E39" s="14">
        <v>0.3</v>
      </c>
      <c r="F39" s="28">
        <f t="shared" si="6"/>
        <v>4763.0036986301366</v>
      </c>
      <c r="H39" s="3"/>
      <c r="I39" s="3"/>
      <c r="J39" s="3"/>
      <c r="K39" s="3"/>
    </row>
    <row r="40" spans="1:11" x14ac:dyDescent="0.25">
      <c r="A40" s="27"/>
      <c r="B40" s="11"/>
      <c r="C40" s="12" t="str">
        <f t="shared" si="7"/>
        <v/>
      </c>
      <c r="D40" s="13"/>
      <c r="E40" s="14"/>
      <c r="F40" s="28">
        <f t="shared" si="6"/>
        <v>0</v>
      </c>
      <c r="H40" s="3"/>
      <c r="I40" s="3"/>
      <c r="J40" s="3"/>
      <c r="K40" s="3"/>
    </row>
    <row r="41" spans="1:11" x14ac:dyDescent="0.25">
      <c r="A41" s="27"/>
      <c r="B41" s="11"/>
      <c r="C41" s="12" t="str">
        <f t="shared" si="7"/>
        <v/>
      </c>
      <c r="D41" s="13"/>
      <c r="E41" s="14"/>
      <c r="F41" s="28">
        <f t="shared" si="6"/>
        <v>0</v>
      </c>
      <c r="H41" s="3"/>
      <c r="I41" s="3"/>
      <c r="J41" s="3"/>
      <c r="K41" s="3"/>
    </row>
    <row r="42" spans="1:11" ht="16.5" thickBot="1" x14ac:dyDescent="0.3">
      <c r="A42" s="172" t="s">
        <v>80</v>
      </c>
      <c r="B42" s="173"/>
      <c r="C42" s="173"/>
      <c r="D42" s="173"/>
      <c r="E42" s="174"/>
      <c r="F42" s="42">
        <f>SUM(F36:F41)</f>
        <v>48961.553476712317</v>
      </c>
      <c r="H42" s="3"/>
      <c r="I42" s="3"/>
      <c r="J42" s="3"/>
      <c r="K42" s="3"/>
    </row>
    <row r="43" spans="1:11" ht="31.5" x14ac:dyDescent="0.25">
      <c r="A43" s="101" t="s">
        <v>65</v>
      </c>
      <c r="B43" s="102" t="s">
        <v>66</v>
      </c>
      <c r="C43" s="102" t="s">
        <v>66</v>
      </c>
      <c r="D43" s="102" t="s">
        <v>62</v>
      </c>
      <c r="E43" s="102" t="s">
        <v>63</v>
      </c>
      <c r="F43" s="103" t="s">
        <v>64</v>
      </c>
      <c r="H43" s="3"/>
      <c r="I43" s="3"/>
      <c r="J43" s="3"/>
      <c r="K43" s="3"/>
    </row>
    <row r="44" spans="1:11" x14ac:dyDescent="0.25">
      <c r="A44" s="29">
        <v>44796</v>
      </c>
      <c r="B44" s="8">
        <v>45441</v>
      </c>
      <c r="C44" s="9">
        <f>IF(B44="","",B44-A44+1)</f>
        <v>646</v>
      </c>
      <c r="D44" s="10">
        <v>195543.37</v>
      </c>
      <c r="E44" s="15">
        <f>$B$8</f>
        <v>5.4000000000000001E-4</v>
      </c>
      <c r="F44" s="30">
        <f t="shared" ref="F44:F52" si="8">IF(B44="",0,D44*E44*C44+0.01)</f>
        <v>68213.359190799994</v>
      </c>
      <c r="H44" s="3"/>
      <c r="I44" s="3"/>
      <c r="J44" s="3"/>
      <c r="K44" s="3"/>
    </row>
    <row r="45" spans="1:11" ht="16.5" thickBot="1" x14ac:dyDescent="0.3">
      <c r="A45" s="43"/>
      <c r="B45" s="44"/>
      <c r="C45" s="45"/>
      <c r="D45" s="45"/>
      <c r="E45" s="52"/>
      <c r="F45" s="46">
        <f>F44</f>
        <v>68213.359190799994</v>
      </c>
      <c r="H45" s="3"/>
      <c r="I45" s="3"/>
      <c r="J45" s="3"/>
      <c r="K45" s="3"/>
    </row>
    <row r="46" spans="1:11" ht="31.5" x14ac:dyDescent="0.25">
      <c r="A46" s="101" t="s">
        <v>65</v>
      </c>
      <c r="B46" s="102" t="s">
        <v>66</v>
      </c>
      <c r="C46" s="102" t="s">
        <v>66</v>
      </c>
      <c r="D46" s="102" t="s">
        <v>62</v>
      </c>
      <c r="E46" s="102" t="s">
        <v>63</v>
      </c>
      <c r="F46" s="103" t="s">
        <v>64</v>
      </c>
      <c r="H46" s="3"/>
      <c r="I46" s="3"/>
      <c r="J46" s="3"/>
      <c r="K46" s="3"/>
    </row>
    <row r="47" spans="1:11" x14ac:dyDescent="0.25">
      <c r="A47" s="29">
        <v>44828</v>
      </c>
      <c r="B47" s="8">
        <v>44860</v>
      </c>
      <c r="C47" s="9">
        <f t="shared" ref="C47:C52" si="9">IF(B47="","",B47-A47+1)</f>
        <v>33</v>
      </c>
      <c r="D47" s="10">
        <v>107558.42</v>
      </c>
      <c r="E47" s="15">
        <f t="shared" ref="E47:E52" si="10">$B$8</f>
        <v>5.4000000000000001E-4</v>
      </c>
      <c r="F47" s="30">
        <f t="shared" si="8"/>
        <v>1916.7010444</v>
      </c>
      <c r="H47" s="3"/>
      <c r="I47" s="3"/>
      <c r="J47" s="3"/>
      <c r="K47" s="3"/>
    </row>
    <row r="48" spans="1:11" x14ac:dyDescent="0.25">
      <c r="A48" s="29">
        <f>B47+1</f>
        <v>44861</v>
      </c>
      <c r="B48" s="8">
        <v>45337</v>
      </c>
      <c r="C48" s="9">
        <f t="shared" si="9"/>
        <v>477</v>
      </c>
      <c r="D48" s="10">
        <v>98003.53</v>
      </c>
      <c r="E48" s="15">
        <f t="shared" si="10"/>
        <v>5.4000000000000001E-4</v>
      </c>
      <c r="F48" s="30">
        <f t="shared" si="8"/>
        <v>25243.759257400001</v>
      </c>
      <c r="H48" s="3"/>
      <c r="I48" s="3"/>
      <c r="J48" s="3"/>
      <c r="K48" s="3"/>
    </row>
    <row r="49" spans="1:11" x14ac:dyDescent="0.25">
      <c r="A49" s="29">
        <f>B48+1</f>
        <v>45338</v>
      </c>
      <c r="B49" s="8"/>
      <c r="C49" s="9" t="str">
        <f t="shared" si="9"/>
        <v/>
      </c>
      <c r="D49" s="10">
        <v>0</v>
      </c>
      <c r="E49" s="15">
        <f t="shared" si="10"/>
        <v>5.4000000000000001E-4</v>
      </c>
      <c r="F49" s="30">
        <f t="shared" si="8"/>
        <v>0</v>
      </c>
      <c r="H49" s="3"/>
      <c r="I49" s="3"/>
      <c r="J49" s="3"/>
      <c r="K49" s="3"/>
    </row>
    <row r="50" spans="1:11" x14ac:dyDescent="0.25">
      <c r="A50" s="29"/>
      <c r="B50" s="8"/>
      <c r="C50" s="9" t="str">
        <f t="shared" si="9"/>
        <v/>
      </c>
      <c r="D50" s="10">
        <v>0</v>
      </c>
      <c r="E50" s="15">
        <f t="shared" si="10"/>
        <v>5.4000000000000001E-4</v>
      </c>
      <c r="F50" s="30">
        <f t="shared" si="8"/>
        <v>0</v>
      </c>
      <c r="H50" s="3"/>
      <c r="I50" s="3"/>
      <c r="J50" s="3"/>
      <c r="K50" s="3"/>
    </row>
    <row r="51" spans="1:11" x14ac:dyDescent="0.25">
      <c r="A51" s="29"/>
      <c r="B51" s="8"/>
      <c r="C51" s="9" t="str">
        <f t="shared" si="9"/>
        <v/>
      </c>
      <c r="D51" s="10">
        <v>0</v>
      </c>
      <c r="E51" s="15">
        <f t="shared" si="10"/>
        <v>5.4000000000000001E-4</v>
      </c>
      <c r="F51" s="30">
        <f t="shared" si="8"/>
        <v>0</v>
      </c>
      <c r="H51" s="3"/>
      <c r="I51" s="3"/>
      <c r="J51" s="3"/>
      <c r="K51" s="3"/>
    </row>
    <row r="52" spans="1:11" x14ac:dyDescent="0.25">
      <c r="A52" s="29"/>
      <c r="B52" s="8"/>
      <c r="C52" s="9" t="str">
        <f t="shared" si="9"/>
        <v/>
      </c>
      <c r="D52" s="10"/>
      <c r="E52" s="15">
        <f t="shared" si="10"/>
        <v>5.4000000000000001E-4</v>
      </c>
      <c r="F52" s="30">
        <f t="shared" si="8"/>
        <v>0</v>
      </c>
      <c r="H52" s="3"/>
      <c r="I52" s="3"/>
      <c r="J52" s="3"/>
      <c r="K52" s="3"/>
    </row>
    <row r="53" spans="1:11" ht="15.75" customHeight="1" thickBot="1" x14ac:dyDescent="0.3">
      <c r="A53" s="175" t="s">
        <v>80</v>
      </c>
      <c r="B53" s="176"/>
      <c r="C53" s="176"/>
      <c r="D53" s="176"/>
      <c r="E53" s="177"/>
      <c r="F53" s="46">
        <f>SUM(F47:F52)</f>
        <v>27160.460301800002</v>
      </c>
      <c r="H53" s="3"/>
      <c r="I53" s="3"/>
      <c r="J53" s="3"/>
      <c r="K53" s="3"/>
    </row>
    <row r="54" spans="1:11" ht="15.75" thickBot="1" x14ac:dyDescent="0.3">
      <c r="H54" s="3"/>
      <c r="I54" s="3"/>
      <c r="J54" s="3"/>
      <c r="K54" s="3"/>
    </row>
    <row r="55" spans="1:11" ht="19.5" thickBot="1" x14ac:dyDescent="0.35">
      <c r="H55" s="163" t="s">
        <v>67</v>
      </c>
      <c r="I55" s="164"/>
      <c r="J55" s="3"/>
      <c r="K55" s="3"/>
    </row>
    <row r="56" spans="1:11" ht="19.5" thickBot="1" x14ac:dyDescent="0.35">
      <c r="A56" s="160" t="s">
        <v>83</v>
      </c>
      <c r="B56" s="161"/>
      <c r="C56" s="161"/>
      <c r="D56" s="161"/>
      <c r="E56" s="161"/>
      <c r="F56" s="162"/>
      <c r="H56" s="33" t="s">
        <v>52</v>
      </c>
      <c r="I56" s="34">
        <v>1382886.78</v>
      </c>
    </row>
    <row r="57" spans="1:11" ht="31.5" x14ac:dyDescent="0.25">
      <c r="A57" s="98" t="s">
        <v>59</v>
      </c>
      <c r="B57" s="99" t="s">
        <v>60</v>
      </c>
      <c r="C57" s="99" t="s">
        <v>61</v>
      </c>
      <c r="D57" s="99" t="s">
        <v>62</v>
      </c>
      <c r="E57" s="99" t="s">
        <v>63</v>
      </c>
      <c r="F57" s="100" t="s">
        <v>64</v>
      </c>
      <c r="H57" s="2" t="s">
        <v>54</v>
      </c>
      <c r="I57" s="25">
        <v>187542.18</v>
      </c>
    </row>
    <row r="58" spans="1:11" x14ac:dyDescent="0.25">
      <c r="A58" s="27">
        <v>44715</v>
      </c>
      <c r="B58" s="11">
        <v>45259</v>
      </c>
      <c r="C58" s="12">
        <f>IF(B58="","",B58-A58+1)</f>
        <v>545</v>
      </c>
      <c r="D58" s="13">
        <v>1382886.78</v>
      </c>
      <c r="E58" s="14">
        <v>0.5</v>
      </c>
      <c r="F58" s="28">
        <f t="shared" ref="F58:F65" si="11">IF(B58="",0,D58*E58/365*C58-0.01)</f>
        <v>1032429.1613698631</v>
      </c>
      <c r="H58" s="2" t="s">
        <v>55</v>
      </c>
      <c r="I58" s="25">
        <v>1032429.1613698631</v>
      </c>
    </row>
    <row r="59" spans="1:11" x14ac:dyDescent="0.25">
      <c r="A59" s="27">
        <f>B58+1</f>
        <v>45260</v>
      </c>
      <c r="B59" s="11"/>
      <c r="C59" s="12" t="str">
        <f t="shared" ref="C59:C65" si="12">IF(B59="","",B59-A59+1)</f>
        <v/>
      </c>
      <c r="D59" s="13"/>
      <c r="E59" s="14">
        <v>0.5</v>
      </c>
      <c r="F59" s="28">
        <f t="shared" si="11"/>
        <v>0</v>
      </c>
      <c r="H59" s="2" t="s">
        <v>56</v>
      </c>
      <c r="I59" s="25">
        <v>100000</v>
      </c>
    </row>
    <row r="60" spans="1:11" x14ac:dyDescent="0.25">
      <c r="A60" s="27">
        <f t="shared" ref="A60:A61" si="13">B59+1</f>
        <v>1</v>
      </c>
      <c r="B60" s="11"/>
      <c r="C60" s="12" t="str">
        <f t="shared" si="12"/>
        <v/>
      </c>
      <c r="D60" s="13">
        <v>0</v>
      </c>
      <c r="E60" s="14">
        <v>0.5</v>
      </c>
      <c r="F60" s="28">
        <f t="shared" si="11"/>
        <v>0</v>
      </c>
      <c r="H60" s="2" t="s">
        <v>57</v>
      </c>
      <c r="I60" s="25">
        <v>22552.14</v>
      </c>
    </row>
    <row r="61" spans="1:11" ht="18.75" x14ac:dyDescent="0.3">
      <c r="A61" s="27">
        <f t="shared" si="13"/>
        <v>1</v>
      </c>
      <c r="B61" s="11"/>
      <c r="C61" s="12" t="str">
        <f t="shared" si="12"/>
        <v/>
      </c>
      <c r="D61" s="13">
        <v>0</v>
      </c>
      <c r="E61" s="14">
        <v>0.5</v>
      </c>
      <c r="F61" s="28">
        <f t="shared" si="11"/>
        <v>0</v>
      </c>
      <c r="H61" s="31" t="s">
        <v>58</v>
      </c>
      <c r="I61" s="32">
        <f>SUM(I56:I60)</f>
        <v>2725410.2613698631</v>
      </c>
    </row>
    <row r="62" spans="1:11" x14ac:dyDescent="0.25">
      <c r="A62" s="27"/>
      <c r="B62" s="11"/>
      <c r="C62" s="12" t="str">
        <f t="shared" si="12"/>
        <v/>
      </c>
      <c r="D62" s="13">
        <v>0</v>
      </c>
      <c r="E62" s="14">
        <v>0.5</v>
      </c>
      <c r="F62" s="28">
        <f t="shared" si="11"/>
        <v>0</v>
      </c>
    </row>
    <row r="63" spans="1:11" x14ac:dyDescent="0.25">
      <c r="A63" s="27"/>
      <c r="B63" s="11"/>
      <c r="C63" s="12" t="str">
        <f t="shared" si="12"/>
        <v/>
      </c>
      <c r="D63" s="13">
        <v>0</v>
      </c>
      <c r="E63" s="14">
        <v>0.5</v>
      </c>
      <c r="F63" s="28">
        <f t="shared" si="11"/>
        <v>0</v>
      </c>
    </row>
    <row r="64" spans="1:11" x14ac:dyDescent="0.25">
      <c r="A64" s="27"/>
      <c r="B64" s="11"/>
      <c r="C64" s="12" t="str">
        <f t="shared" si="12"/>
        <v/>
      </c>
      <c r="D64" s="13">
        <v>0</v>
      </c>
      <c r="E64" s="14">
        <v>0.5</v>
      </c>
      <c r="F64" s="28">
        <f t="shared" si="11"/>
        <v>0</v>
      </c>
    </row>
    <row r="65" spans="1:6" x14ac:dyDescent="0.25">
      <c r="A65" s="27"/>
      <c r="B65" s="11"/>
      <c r="C65" s="12" t="str">
        <f t="shared" si="12"/>
        <v/>
      </c>
      <c r="D65" s="13">
        <v>0</v>
      </c>
      <c r="E65" s="14">
        <v>0.5</v>
      </c>
      <c r="F65" s="28">
        <f t="shared" si="11"/>
        <v>0</v>
      </c>
    </row>
    <row r="66" spans="1:6" ht="15.75" x14ac:dyDescent="0.25">
      <c r="A66" s="47"/>
      <c r="B66" s="48"/>
      <c r="C66" s="49"/>
      <c r="D66" s="49"/>
      <c r="E66" s="50"/>
      <c r="F66" s="51">
        <f>SUM(F58:F65)</f>
        <v>1032429.1613698631</v>
      </c>
    </row>
    <row r="67" spans="1:6" ht="31.5" x14ac:dyDescent="0.25">
      <c r="A67" s="35" t="s">
        <v>65</v>
      </c>
      <c r="B67" s="36" t="s">
        <v>66</v>
      </c>
      <c r="C67" s="36" t="s">
        <v>66</v>
      </c>
      <c r="D67" s="36" t="s">
        <v>62</v>
      </c>
      <c r="E67" s="36" t="s">
        <v>63</v>
      </c>
      <c r="F67" s="37" t="s">
        <v>64</v>
      </c>
    </row>
    <row r="68" spans="1:6" x14ac:dyDescent="0.25">
      <c r="A68" s="29">
        <v>44715</v>
      </c>
      <c r="B68" s="8"/>
      <c r="C68" s="9" t="str">
        <f>IF(B68="","",B68-A68+1)</f>
        <v/>
      </c>
      <c r="D68" s="10"/>
      <c r="E68" s="79">
        <v>0.5</v>
      </c>
      <c r="F68" s="30">
        <f t="shared" ref="F68:F75" si="14">IF(B68="",0,D68*E68/365*C68-0.01)</f>
        <v>0</v>
      </c>
    </row>
    <row r="69" spans="1:6" x14ac:dyDescent="0.25">
      <c r="A69" s="29">
        <f>B68+1</f>
        <v>1</v>
      </c>
      <c r="B69" s="8"/>
      <c r="C69" s="9" t="str">
        <f t="shared" ref="C69:C75" si="15">IF(B69="","",B69-A69+1)</f>
        <v/>
      </c>
      <c r="D69" s="10"/>
      <c r="E69" s="79">
        <v>0.5</v>
      </c>
      <c r="F69" s="30">
        <f t="shared" si="14"/>
        <v>0</v>
      </c>
    </row>
    <row r="70" spans="1:6" x14ac:dyDescent="0.25">
      <c r="A70" s="29">
        <f t="shared" ref="A70:A71" si="16">B69+1</f>
        <v>1</v>
      </c>
      <c r="B70" s="8"/>
      <c r="C70" s="9" t="str">
        <f t="shared" si="15"/>
        <v/>
      </c>
      <c r="D70" s="10">
        <v>0</v>
      </c>
      <c r="E70" s="79">
        <v>0.5</v>
      </c>
      <c r="F70" s="30">
        <f t="shared" si="14"/>
        <v>0</v>
      </c>
    </row>
    <row r="71" spans="1:6" x14ac:dyDescent="0.25">
      <c r="A71" s="29">
        <f t="shared" si="16"/>
        <v>1</v>
      </c>
      <c r="B71" s="8"/>
      <c r="C71" s="9" t="str">
        <f t="shared" si="15"/>
        <v/>
      </c>
      <c r="D71" s="10">
        <v>0</v>
      </c>
      <c r="E71" s="79">
        <v>0.01</v>
      </c>
      <c r="F71" s="30">
        <f t="shared" si="14"/>
        <v>0</v>
      </c>
    </row>
    <row r="72" spans="1:6" x14ac:dyDescent="0.25">
      <c r="A72" s="29">
        <v>44715</v>
      </c>
      <c r="B72" s="8">
        <v>45259</v>
      </c>
      <c r="C72" s="9">
        <f t="shared" si="15"/>
        <v>545</v>
      </c>
      <c r="D72" s="10">
        <v>1382886.78</v>
      </c>
      <c r="E72" s="79">
        <v>0.01</v>
      </c>
      <c r="F72" s="30">
        <f>IF(B72="",0,D72*E72*C72-0.01)</f>
        <v>7536732.9410000006</v>
      </c>
    </row>
    <row r="73" spans="1:6" x14ac:dyDescent="0.25">
      <c r="A73" s="29"/>
      <c r="B73" s="8"/>
      <c r="C73" s="9" t="str">
        <f t="shared" si="15"/>
        <v/>
      </c>
      <c r="D73" s="10">
        <v>0</v>
      </c>
      <c r="E73" s="79">
        <v>0.5</v>
      </c>
      <c r="F73" s="30">
        <f t="shared" si="14"/>
        <v>0</v>
      </c>
    </row>
    <row r="74" spans="1:6" x14ac:dyDescent="0.25">
      <c r="A74" s="29"/>
      <c r="B74" s="8"/>
      <c r="C74" s="9" t="str">
        <f t="shared" si="15"/>
        <v/>
      </c>
      <c r="D74" s="10">
        <v>0</v>
      </c>
      <c r="E74" s="79">
        <v>0.5</v>
      </c>
      <c r="F74" s="30">
        <f t="shared" si="14"/>
        <v>0</v>
      </c>
    </row>
    <row r="75" spans="1:6" x14ac:dyDescent="0.25">
      <c r="A75" s="29"/>
      <c r="B75" s="8"/>
      <c r="C75" s="9" t="str">
        <f t="shared" si="15"/>
        <v/>
      </c>
      <c r="D75" s="10">
        <v>0</v>
      </c>
      <c r="E75" s="79">
        <v>0.5</v>
      </c>
      <c r="F75" s="30">
        <f t="shared" si="14"/>
        <v>0</v>
      </c>
    </row>
    <row r="76" spans="1:6" ht="15.75" x14ac:dyDescent="0.25">
      <c r="A76" s="80"/>
      <c r="B76" s="81"/>
      <c r="C76" s="82"/>
      <c r="D76" s="82"/>
      <c r="E76" s="83"/>
      <c r="F76" s="84">
        <f>SUM(F68:F75)</f>
        <v>7536732.9410000006</v>
      </c>
    </row>
    <row r="77" spans="1:6" ht="15.75" thickBot="1" x14ac:dyDescent="0.3"/>
    <row r="78" spans="1:6" ht="24" thickBot="1" x14ac:dyDescent="0.4">
      <c r="A78" s="158" t="s">
        <v>84</v>
      </c>
      <c r="B78" s="159"/>
      <c r="C78" s="159"/>
      <c r="D78" s="159"/>
      <c r="E78" s="159"/>
    </row>
    <row r="79" spans="1:6" ht="15.75" x14ac:dyDescent="0.25">
      <c r="A79" s="26"/>
      <c r="B79" s="104" t="s">
        <v>71</v>
      </c>
      <c r="C79" s="104" t="s">
        <v>72</v>
      </c>
      <c r="D79" s="104" t="s">
        <v>58</v>
      </c>
      <c r="E79" s="104" t="s">
        <v>74</v>
      </c>
    </row>
    <row r="80" spans="1:6" ht="15.75" x14ac:dyDescent="0.25">
      <c r="A80" s="104" t="s">
        <v>53</v>
      </c>
      <c r="B80" s="54">
        <v>17343.45</v>
      </c>
      <c r="C80" s="54">
        <v>28710.85</v>
      </c>
      <c r="D80" s="55">
        <f>B80+C80</f>
        <v>46054.3</v>
      </c>
      <c r="E80" s="56">
        <f>B83-E83</f>
        <v>-258714.0524191781</v>
      </c>
    </row>
    <row r="81" spans="1:5" ht="15.75" x14ac:dyDescent="0.25">
      <c r="A81" s="104" t="s">
        <v>69</v>
      </c>
      <c r="B81" s="54">
        <v>19512.36</v>
      </c>
      <c r="C81" s="54">
        <v>13681.08</v>
      </c>
      <c r="D81" s="55">
        <f>B81+C81</f>
        <v>33193.440000000002</v>
      </c>
      <c r="E81" s="56">
        <f>E84-B84</f>
        <v>-96611.595696400022</v>
      </c>
    </row>
    <row r="82" spans="1:5" ht="25.5" x14ac:dyDescent="0.25">
      <c r="A82" s="2"/>
      <c r="B82" s="105" t="str">
        <f>"На дату последнего оплачено платежа "&amp;TEXT(B18,"ДД.ММ.ГГГГ")&amp;" / "&amp;TEXT(B19,"ДД.ММ.ГГГГ")</f>
        <v>На дату последнего оплачено платежа 26.04.2022 / 26.05.2022</v>
      </c>
      <c r="C82" s="104" t="str">
        <f>"на дату расчета (1С) "&amp;TEXT(B11,"ДД.ММ.ГГГГ")</f>
        <v>на дату расчета (1С) 21.06.2024</v>
      </c>
      <c r="D82" s="104" t="s">
        <v>70</v>
      </c>
      <c r="E82" s="104" t="s">
        <v>73</v>
      </c>
    </row>
    <row r="83" spans="1:5" ht="15.75" x14ac:dyDescent="0.25">
      <c r="A83" s="104" t="s">
        <v>53</v>
      </c>
      <c r="B83" s="54">
        <v>11387.17</v>
      </c>
      <c r="C83" s="55"/>
      <c r="D83" s="53">
        <f>C83-(B22-SUM(C18:F18))</f>
        <v>-270101.22241917811</v>
      </c>
      <c r="E83" s="32">
        <f>C83-D83</f>
        <v>270101.22241917811</v>
      </c>
    </row>
    <row r="84" spans="1:5" ht="15.75" x14ac:dyDescent="0.25">
      <c r="A84" s="104" t="s">
        <v>69</v>
      </c>
      <c r="B84" s="54">
        <v>3506.89</v>
      </c>
      <c r="C84" s="55"/>
      <c r="D84" s="53">
        <f>B23</f>
        <v>93104.705696400022</v>
      </c>
      <c r="E84" s="32">
        <f>C84-D84</f>
        <v>-93104.705696400022</v>
      </c>
    </row>
    <row r="85" spans="1:5" ht="15.75" x14ac:dyDescent="0.25">
      <c r="A85" s="135" t="s">
        <v>167</v>
      </c>
    </row>
  </sheetData>
  <mergeCells count="14">
    <mergeCell ref="A1:F1"/>
    <mergeCell ref="A10:F10"/>
    <mergeCell ref="C16:F16"/>
    <mergeCell ref="C4:F4"/>
    <mergeCell ref="A31:F31"/>
    <mergeCell ref="A78:E78"/>
    <mergeCell ref="A56:F56"/>
    <mergeCell ref="H55:I55"/>
    <mergeCell ref="C12:F12"/>
    <mergeCell ref="C20:F20"/>
    <mergeCell ref="A25:E25"/>
    <mergeCell ref="F25:G25"/>
    <mergeCell ref="A42:E42"/>
    <mergeCell ref="A53:E53"/>
  </mergeCells>
  <conditionalFormatting sqref="E2">
    <cfRule type="expression" dxfId="0" priority="1">
      <formula>IF($E$2&lt;&gt;"",1)</formula>
    </cfRule>
  </conditionalFormatting>
  <dataValidations count="1">
    <dataValidation type="list" allowBlank="1" showInputMessage="1" showErrorMessage="1" sqref="D5" xr:uid="{B9EA952C-9120-42BD-A477-DAD33E0B8B52}">
      <mc:AlternateContent xmlns:x12ac="http://schemas.microsoft.com/office/spreadsheetml/2011/1/ac" xmlns:mc="http://schemas.openxmlformats.org/markup-compatibility/2006">
        <mc:Choice Requires="x12ac">
          <x12ac:list>"1,25","1,5",2</x12ac:list>
        </mc:Choice>
        <mc:Fallback>
          <formula1>"1,25,1,5,2"</formula1>
        </mc:Fallback>
      </mc:AlternateContent>
    </dataValidation>
  </dataValidations>
  <pageMargins left="0.7" right="0.7" top="0.75" bottom="0.75" header="0.3" footer="0.3"/>
  <pageSetup paperSize="9" orientation="portrait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CCED3-6A2A-4BBA-8642-63D56FB6FD75}">
          <x14:formula1>
            <xm:f>xforms!$C$1:$C$2</xm:f>
          </x14:formula1>
          <xm:sqref>G22:G23 G17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6CC66-58FF-4346-A75B-364349CA234D}">
  <sheetPr codeName="Лист3"/>
  <dimension ref="A1:M167"/>
  <sheetViews>
    <sheetView workbookViewId="0">
      <selection activeCell="A16" sqref="A16"/>
    </sheetView>
  </sheetViews>
  <sheetFormatPr defaultRowHeight="15" x14ac:dyDescent="0.25"/>
  <cols>
    <col min="1" max="1" width="87" bestFit="1" customWidth="1"/>
    <col min="2" max="2" width="33.140625" bestFit="1" customWidth="1"/>
    <col min="3" max="3" width="33" bestFit="1" customWidth="1"/>
    <col min="4" max="4" width="77" bestFit="1" customWidth="1"/>
    <col min="5" max="5" width="14.28515625" bestFit="1" customWidth="1"/>
  </cols>
  <sheetData>
    <row r="1" spans="1:1" x14ac:dyDescent="0.25">
      <c r="A1" t="s">
        <v>109</v>
      </c>
    </row>
    <row r="4" spans="1:1" x14ac:dyDescent="0.25">
      <c r="A4" t="s">
        <v>168</v>
      </c>
    </row>
    <row r="5" spans="1:1" x14ac:dyDescent="0.25">
      <c r="A5" t="s">
        <v>110</v>
      </c>
    </row>
    <row r="6" spans="1:1" x14ac:dyDescent="0.25">
      <c r="A6" t="s">
        <v>111</v>
      </c>
    </row>
    <row r="7" spans="1:1" x14ac:dyDescent="0.25">
      <c r="A7" t="s">
        <v>112</v>
      </c>
    </row>
    <row r="8" spans="1:1" x14ac:dyDescent="0.25">
      <c r="A8" t="s">
        <v>113</v>
      </c>
    </row>
    <row r="9" spans="1:1" x14ac:dyDescent="0.25">
      <c r="A9" t="s">
        <v>114</v>
      </c>
    </row>
    <row r="10" spans="1:1" x14ac:dyDescent="0.25">
      <c r="A10" t="s">
        <v>115</v>
      </c>
    </row>
    <row r="11" spans="1:1" x14ac:dyDescent="0.25">
      <c r="A11" t="s">
        <v>116</v>
      </c>
    </row>
    <row r="12" spans="1:1" x14ac:dyDescent="0.25">
      <c r="A12" t="s">
        <v>117</v>
      </c>
    </row>
    <row r="13" spans="1:1" x14ac:dyDescent="0.25">
      <c r="A13" t="s">
        <v>118</v>
      </c>
    </row>
    <row r="14" spans="1:1" x14ac:dyDescent="0.25">
      <c r="A14" t="s">
        <v>119</v>
      </c>
    </row>
    <row r="15" spans="1:1" x14ac:dyDescent="0.25">
      <c r="A15" t="s">
        <v>120</v>
      </c>
    </row>
    <row r="16" spans="1:1" x14ac:dyDescent="0.25">
      <c r="A16" t="s">
        <v>121</v>
      </c>
    </row>
    <row r="17" spans="1:5" x14ac:dyDescent="0.25">
      <c r="A17" t="s">
        <v>122</v>
      </c>
    </row>
    <row r="18" spans="1:5" x14ac:dyDescent="0.25">
      <c r="A18" t="s">
        <v>123</v>
      </c>
    </row>
    <row r="19" spans="1:5" x14ac:dyDescent="0.25">
      <c r="A19" t="s">
        <v>124</v>
      </c>
    </row>
    <row r="20" spans="1:5" x14ac:dyDescent="0.25">
      <c r="A20" t="s">
        <v>125</v>
      </c>
      <c r="B20" t="s">
        <v>126</v>
      </c>
      <c r="C20" t="s">
        <v>93</v>
      </c>
      <c r="D20" t="s">
        <v>87</v>
      </c>
      <c r="E20" t="s">
        <v>127</v>
      </c>
    </row>
    <row r="21" spans="1:5" x14ac:dyDescent="0.25">
      <c r="A21">
        <v>17439</v>
      </c>
      <c r="B21" t="s">
        <v>244</v>
      </c>
      <c r="C21" t="s">
        <v>245</v>
      </c>
      <c r="D21" s="4">
        <v>44336</v>
      </c>
    </row>
    <row r="22" spans="1:5" x14ac:dyDescent="0.25">
      <c r="A22">
        <v>13876</v>
      </c>
      <c r="B22" t="s">
        <v>246</v>
      </c>
      <c r="C22" t="s">
        <v>245</v>
      </c>
      <c r="D22" s="4">
        <v>44336</v>
      </c>
      <c r="E22" s="4">
        <v>45159</v>
      </c>
    </row>
    <row r="23" spans="1:5" x14ac:dyDescent="0.25">
      <c r="A23">
        <v>13875</v>
      </c>
      <c r="B23" t="s">
        <v>247</v>
      </c>
      <c r="C23" t="s">
        <v>245</v>
      </c>
      <c r="D23" s="4">
        <v>44336</v>
      </c>
      <c r="E23" s="4"/>
    </row>
    <row r="24" spans="1:5" x14ac:dyDescent="0.25">
      <c r="A24" t="s">
        <v>228</v>
      </c>
      <c r="D24" s="4"/>
      <c r="E24" s="4"/>
    </row>
    <row r="25" spans="1:5" x14ac:dyDescent="0.25">
      <c r="A25" t="s">
        <v>229</v>
      </c>
      <c r="D25" s="4"/>
      <c r="E25" s="4"/>
    </row>
    <row r="26" spans="1:5" x14ac:dyDescent="0.25">
      <c r="A26" t="s">
        <v>248</v>
      </c>
      <c r="D26" s="4"/>
      <c r="E26" s="4"/>
    </row>
    <row r="27" spans="1:5" x14ac:dyDescent="0.25">
      <c r="A27" t="s">
        <v>128</v>
      </c>
      <c r="D27" s="4"/>
      <c r="E27" s="4"/>
    </row>
    <row r="28" spans="1:5" x14ac:dyDescent="0.25">
      <c r="A28" t="s">
        <v>249</v>
      </c>
      <c r="D28" s="4"/>
      <c r="E28" s="4"/>
    </row>
    <row r="29" spans="1:5" x14ac:dyDescent="0.25">
      <c r="A29" t="s">
        <v>230</v>
      </c>
      <c r="D29" s="4"/>
      <c r="E29" s="4"/>
    </row>
    <row r="30" spans="1:5" x14ac:dyDescent="0.25">
      <c r="A30" t="s">
        <v>250</v>
      </c>
      <c r="D30" s="4"/>
      <c r="E30" s="4"/>
    </row>
    <row r="31" spans="1:5" x14ac:dyDescent="0.25">
      <c r="A31" t="s">
        <v>129</v>
      </c>
      <c r="D31" s="4"/>
      <c r="E31" s="4"/>
    </row>
    <row r="32" spans="1:5" x14ac:dyDescent="0.25">
      <c r="A32" t="s">
        <v>251</v>
      </c>
      <c r="D32" s="4"/>
      <c r="E32" s="4"/>
    </row>
    <row r="33" spans="1:5" x14ac:dyDescent="0.25">
      <c r="A33" t="s">
        <v>252</v>
      </c>
      <c r="D33" s="4"/>
      <c r="E33" s="4"/>
    </row>
    <row r="34" spans="1:5" x14ac:dyDescent="0.25">
      <c r="A34" t="s">
        <v>253</v>
      </c>
      <c r="D34" s="4"/>
      <c r="E34" s="4"/>
    </row>
    <row r="35" spans="1:5" x14ac:dyDescent="0.25">
      <c r="A35" t="s">
        <v>254</v>
      </c>
      <c r="D35" s="4"/>
      <c r="E35" s="4"/>
    </row>
    <row r="36" spans="1:5" x14ac:dyDescent="0.25">
      <c r="A36" t="s">
        <v>130</v>
      </c>
      <c r="D36" s="4"/>
      <c r="E36" s="4"/>
    </row>
    <row r="37" spans="1:5" x14ac:dyDescent="0.25">
      <c r="A37" t="s">
        <v>131</v>
      </c>
      <c r="D37" s="4"/>
      <c r="E37" s="4"/>
    </row>
    <row r="38" spans="1:5" x14ac:dyDescent="0.25">
      <c r="A38" t="s">
        <v>255</v>
      </c>
      <c r="D38" s="4"/>
      <c r="E38" s="4"/>
    </row>
    <row r="39" spans="1:5" x14ac:dyDescent="0.25">
      <c r="A39" t="s">
        <v>256</v>
      </c>
      <c r="D39" s="4"/>
      <c r="E39" s="4"/>
    </row>
    <row r="40" spans="1:5" x14ac:dyDescent="0.25">
      <c r="A40" t="s">
        <v>132</v>
      </c>
      <c r="D40" s="4"/>
      <c r="E40" s="4"/>
    </row>
    <row r="41" spans="1:5" x14ac:dyDescent="0.25">
      <c r="A41" t="s">
        <v>133</v>
      </c>
    </row>
    <row r="42" spans="1:5" x14ac:dyDescent="0.25">
      <c r="A42" t="s">
        <v>257</v>
      </c>
    </row>
    <row r="43" spans="1:5" x14ac:dyDescent="0.25">
      <c r="A43" t="s">
        <v>258</v>
      </c>
    </row>
    <row r="44" spans="1:5" x14ac:dyDescent="0.25">
      <c r="A44" t="s">
        <v>134</v>
      </c>
    </row>
    <row r="45" spans="1:5" x14ac:dyDescent="0.25">
      <c r="A45" t="s">
        <v>135</v>
      </c>
    </row>
    <row r="46" spans="1:5" x14ac:dyDescent="0.25">
      <c r="A46" t="s">
        <v>136</v>
      </c>
    </row>
    <row r="47" spans="1:5" x14ac:dyDescent="0.25">
      <c r="A47" t="s">
        <v>137</v>
      </c>
    </row>
    <row r="48" spans="1:5" x14ac:dyDescent="0.25">
      <c r="A48" t="s">
        <v>220</v>
      </c>
    </row>
    <row r="49" spans="1:8" x14ac:dyDescent="0.25">
      <c r="A49" t="s">
        <v>231</v>
      </c>
    </row>
    <row r="50" spans="1:8" x14ac:dyDescent="0.25">
      <c r="A50" t="s">
        <v>259</v>
      </c>
    </row>
    <row r="52" spans="1:8" x14ac:dyDescent="0.25">
      <c r="A52" t="s">
        <v>232</v>
      </c>
    </row>
    <row r="53" spans="1:8" x14ac:dyDescent="0.25">
      <c r="A53" t="s">
        <v>138</v>
      </c>
    </row>
    <row r="54" spans="1:8" x14ac:dyDescent="0.25">
      <c r="A54" t="s">
        <v>233</v>
      </c>
    </row>
    <row r="55" spans="1:8" x14ac:dyDescent="0.25">
      <c r="A55" t="s">
        <v>234</v>
      </c>
    </row>
    <row r="56" spans="1:8" x14ac:dyDescent="0.25">
      <c r="A56" t="s">
        <v>235</v>
      </c>
    </row>
    <row r="58" spans="1:8" x14ac:dyDescent="0.25">
      <c r="A58" t="s">
        <v>236</v>
      </c>
    </row>
    <row r="59" spans="1:8" x14ac:dyDescent="0.25">
      <c r="A59" s="4" t="s">
        <v>221</v>
      </c>
      <c r="B59" s="4"/>
      <c r="H59" s="4"/>
    </row>
    <row r="60" spans="1:8" x14ac:dyDescent="0.25">
      <c r="A60" t="s">
        <v>87</v>
      </c>
      <c r="B60" s="4" t="s">
        <v>222</v>
      </c>
      <c r="C60" t="s">
        <v>223</v>
      </c>
      <c r="D60" t="s">
        <v>224</v>
      </c>
      <c r="E60" t="s">
        <v>225</v>
      </c>
      <c r="H60" s="4"/>
    </row>
    <row r="61" spans="1:8" x14ac:dyDescent="0.25">
      <c r="A61" s="4">
        <v>44365</v>
      </c>
      <c r="B61" s="4">
        <v>44365</v>
      </c>
      <c r="C61">
        <v>8108</v>
      </c>
      <c r="D61" t="s">
        <v>260</v>
      </c>
      <c r="E61" t="s">
        <v>226</v>
      </c>
      <c r="H61" s="4"/>
    </row>
    <row r="62" spans="1:8" x14ac:dyDescent="0.25">
      <c r="A62" s="4">
        <v>44587</v>
      </c>
      <c r="B62" s="4">
        <v>44586</v>
      </c>
      <c r="C62">
        <v>10521</v>
      </c>
      <c r="D62" t="s">
        <v>261</v>
      </c>
      <c r="E62" t="s">
        <v>226</v>
      </c>
      <c r="H62" s="4"/>
    </row>
    <row r="63" spans="1:8" x14ac:dyDescent="0.25">
      <c r="A63" s="4">
        <v>44638</v>
      </c>
      <c r="B63" s="4">
        <v>44638</v>
      </c>
      <c r="C63">
        <v>11177</v>
      </c>
      <c r="D63" t="s">
        <v>262</v>
      </c>
      <c r="E63" t="s">
        <v>226</v>
      </c>
      <c r="H63" s="4"/>
    </row>
    <row r="64" spans="1:8" x14ac:dyDescent="0.25">
      <c r="A64" t="s">
        <v>227</v>
      </c>
      <c r="B64" s="4"/>
      <c r="H64" s="4"/>
    </row>
    <row r="65" spans="1:13" x14ac:dyDescent="0.25">
      <c r="A65" t="s">
        <v>263</v>
      </c>
      <c r="B65" s="4"/>
      <c r="H65" s="4"/>
    </row>
    <row r="66" spans="1:13" x14ac:dyDescent="0.25">
      <c r="A66" t="s">
        <v>264</v>
      </c>
      <c r="B66" s="4"/>
      <c r="H66" s="4"/>
    </row>
    <row r="67" spans="1:13" x14ac:dyDescent="0.25">
      <c r="A67" s="4" t="s">
        <v>139</v>
      </c>
      <c r="B67" s="4" t="s">
        <v>140</v>
      </c>
      <c r="H67" s="4" t="s">
        <v>141</v>
      </c>
    </row>
    <row r="68" spans="1:13" x14ac:dyDescent="0.25">
      <c r="A68" s="4"/>
      <c r="B68" s="4" t="s">
        <v>142</v>
      </c>
      <c r="C68" t="s">
        <v>143</v>
      </c>
      <c r="D68" t="s">
        <v>144</v>
      </c>
      <c r="E68" t="s">
        <v>90</v>
      </c>
      <c r="F68" t="s">
        <v>91</v>
      </c>
      <c r="G68" t="s">
        <v>145</v>
      </c>
      <c r="H68" s="4" t="s">
        <v>142</v>
      </c>
      <c r="I68" t="s">
        <v>143</v>
      </c>
      <c r="J68" t="s">
        <v>144</v>
      </c>
      <c r="K68" t="s">
        <v>90</v>
      </c>
      <c r="L68" t="s">
        <v>91</v>
      </c>
      <c r="M68" t="s">
        <v>145</v>
      </c>
    </row>
    <row r="69" spans="1:13" x14ac:dyDescent="0.25">
      <c r="A69" t="s">
        <v>146</v>
      </c>
      <c r="B69" s="4">
        <v>44373</v>
      </c>
      <c r="C69" t="s">
        <v>265</v>
      </c>
      <c r="D69" t="s">
        <v>266</v>
      </c>
      <c r="E69" t="s">
        <v>267</v>
      </c>
      <c r="F69">
        <v>0</v>
      </c>
      <c r="G69" t="s">
        <v>268</v>
      </c>
      <c r="H69" s="4">
        <v>44373</v>
      </c>
      <c r="I69" t="s">
        <v>265</v>
      </c>
      <c r="J69" t="s">
        <v>266</v>
      </c>
      <c r="K69" t="s">
        <v>267</v>
      </c>
      <c r="L69">
        <v>0</v>
      </c>
      <c r="M69" t="s">
        <v>268</v>
      </c>
    </row>
    <row r="70" spans="1:13" x14ac:dyDescent="0.25">
      <c r="A70" t="s">
        <v>146</v>
      </c>
      <c r="B70" s="4">
        <v>44403</v>
      </c>
      <c r="C70" t="s">
        <v>269</v>
      </c>
      <c r="D70" t="s">
        <v>270</v>
      </c>
      <c r="E70" t="s">
        <v>271</v>
      </c>
      <c r="F70">
        <v>0</v>
      </c>
      <c r="G70" t="s">
        <v>272</v>
      </c>
      <c r="H70" s="4">
        <v>44403</v>
      </c>
      <c r="I70" t="s">
        <v>269</v>
      </c>
      <c r="J70" t="s">
        <v>270</v>
      </c>
      <c r="K70" t="s">
        <v>271</v>
      </c>
      <c r="L70">
        <v>0</v>
      </c>
      <c r="M70" t="s">
        <v>272</v>
      </c>
    </row>
    <row r="71" spans="1:13" x14ac:dyDescent="0.25">
      <c r="A71" s="4" t="s">
        <v>146</v>
      </c>
      <c r="B71" s="4">
        <v>44434</v>
      </c>
      <c r="C71" t="s">
        <v>269</v>
      </c>
      <c r="D71" t="s">
        <v>273</v>
      </c>
      <c r="E71" t="s">
        <v>274</v>
      </c>
      <c r="F71">
        <v>0</v>
      </c>
      <c r="G71" t="s">
        <v>275</v>
      </c>
      <c r="H71" s="4">
        <v>44434</v>
      </c>
      <c r="I71" t="s">
        <v>269</v>
      </c>
      <c r="J71" t="s">
        <v>273</v>
      </c>
      <c r="K71" t="s">
        <v>274</v>
      </c>
      <c r="L71">
        <v>0</v>
      </c>
      <c r="M71" t="s">
        <v>275</v>
      </c>
    </row>
    <row r="72" spans="1:13" x14ac:dyDescent="0.25">
      <c r="A72" s="4" t="s">
        <v>146</v>
      </c>
      <c r="B72" s="4">
        <v>44465</v>
      </c>
      <c r="C72" t="s">
        <v>269</v>
      </c>
      <c r="D72" t="s">
        <v>276</v>
      </c>
      <c r="E72" t="s">
        <v>277</v>
      </c>
      <c r="F72">
        <v>0</v>
      </c>
      <c r="G72" t="s">
        <v>278</v>
      </c>
      <c r="H72" s="4">
        <v>44465</v>
      </c>
      <c r="I72" t="s">
        <v>269</v>
      </c>
      <c r="J72" t="s">
        <v>276</v>
      </c>
      <c r="K72" t="s">
        <v>277</v>
      </c>
      <c r="L72">
        <v>0</v>
      </c>
      <c r="M72" t="s">
        <v>278</v>
      </c>
    </row>
    <row r="73" spans="1:13" x14ac:dyDescent="0.25">
      <c r="A73" s="4" t="s">
        <v>146</v>
      </c>
      <c r="B73" s="4">
        <v>44495</v>
      </c>
      <c r="C73" t="s">
        <v>269</v>
      </c>
      <c r="D73" t="s">
        <v>279</v>
      </c>
      <c r="E73" t="s">
        <v>280</v>
      </c>
      <c r="F73">
        <v>0</v>
      </c>
      <c r="G73" t="s">
        <v>281</v>
      </c>
      <c r="H73" s="4">
        <v>44495</v>
      </c>
      <c r="I73" t="s">
        <v>269</v>
      </c>
      <c r="J73" t="s">
        <v>279</v>
      </c>
      <c r="K73" t="s">
        <v>280</v>
      </c>
      <c r="L73">
        <v>0</v>
      </c>
      <c r="M73" t="s">
        <v>281</v>
      </c>
    </row>
    <row r="74" spans="1:13" x14ac:dyDescent="0.25">
      <c r="A74" s="4" t="s">
        <v>146</v>
      </c>
      <c r="B74" s="4">
        <v>44526</v>
      </c>
      <c r="C74" t="s">
        <v>269</v>
      </c>
      <c r="D74" t="s">
        <v>282</v>
      </c>
      <c r="E74" t="s">
        <v>283</v>
      </c>
      <c r="F74">
        <v>0</v>
      </c>
      <c r="G74" t="s">
        <v>284</v>
      </c>
      <c r="H74" s="4">
        <v>44526</v>
      </c>
      <c r="I74" t="s">
        <v>269</v>
      </c>
      <c r="J74" t="s">
        <v>282</v>
      </c>
      <c r="K74" t="s">
        <v>283</v>
      </c>
      <c r="L74">
        <v>0</v>
      </c>
      <c r="M74" t="s">
        <v>284</v>
      </c>
    </row>
    <row r="75" spans="1:13" x14ac:dyDescent="0.25">
      <c r="A75" s="4" t="s">
        <v>146</v>
      </c>
      <c r="B75" s="4">
        <v>44556</v>
      </c>
      <c r="C75" t="s">
        <v>269</v>
      </c>
      <c r="D75" t="s">
        <v>285</v>
      </c>
      <c r="E75" t="s">
        <v>286</v>
      </c>
      <c r="F75">
        <v>0</v>
      </c>
      <c r="G75" t="s">
        <v>287</v>
      </c>
      <c r="H75" s="4">
        <v>44556</v>
      </c>
      <c r="I75" t="s">
        <v>269</v>
      </c>
      <c r="J75" t="s">
        <v>285</v>
      </c>
      <c r="K75" t="s">
        <v>286</v>
      </c>
      <c r="L75">
        <v>0</v>
      </c>
      <c r="M75" t="s">
        <v>287</v>
      </c>
    </row>
    <row r="76" spans="1:13" x14ac:dyDescent="0.25">
      <c r="A76" s="4" t="s">
        <v>146</v>
      </c>
      <c r="B76" s="4">
        <v>44587</v>
      </c>
      <c r="C76" t="s">
        <v>288</v>
      </c>
      <c r="D76">
        <v>0</v>
      </c>
      <c r="E76" t="s">
        <v>288</v>
      </c>
      <c r="F76">
        <v>0</v>
      </c>
      <c r="G76" t="s">
        <v>287</v>
      </c>
      <c r="H76" s="4">
        <v>44587</v>
      </c>
      <c r="I76" t="s">
        <v>288</v>
      </c>
      <c r="J76">
        <v>0</v>
      </c>
      <c r="K76" t="s">
        <v>288</v>
      </c>
      <c r="L76">
        <v>0</v>
      </c>
      <c r="M76" t="s">
        <v>287</v>
      </c>
    </row>
    <row r="77" spans="1:13" x14ac:dyDescent="0.25">
      <c r="A77" s="4" t="s">
        <v>147</v>
      </c>
      <c r="B77" s="4">
        <v>44618</v>
      </c>
      <c r="C77" t="s">
        <v>289</v>
      </c>
      <c r="D77">
        <v>7.97</v>
      </c>
      <c r="E77" t="s">
        <v>288</v>
      </c>
      <c r="F77" t="s">
        <v>148</v>
      </c>
      <c r="G77" t="s">
        <v>290</v>
      </c>
      <c r="H77" s="4">
        <v>44638</v>
      </c>
      <c r="I77" t="s">
        <v>291</v>
      </c>
      <c r="J77">
        <v>7.97</v>
      </c>
      <c r="K77" t="s">
        <v>292</v>
      </c>
      <c r="L77" t="s">
        <v>293</v>
      </c>
      <c r="M77" t="s">
        <v>290</v>
      </c>
    </row>
    <row r="78" spans="1:13" x14ac:dyDescent="0.25">
      <c r="A78" s="4" t="s">
        <v>147</v>
      </c>
      <c r="B78" s="4">
        <v>44646</v>
      </c>
      <c r="C78" t="s">
        <v>294</v>
      </c>
      <c r="D78">
        <v>0</v>
      </c>
      <c r="E78" t="s">
        <v>294</v>
      </c>
      <c r="F78" t="s">
        <v>148</v>
      </c>
      <c r="G78" t="s">
        <v>290</v>
      </c>
      <c r="H78" s="4">
        <v>44666</v>
      </c>
      <c r="I78" t="s">
        <v>295</v>
      </c>
      <c r="J78">
        <v>0</v>
      </c>
      <c r="K78" t="s">
        <v>294</v>
      </c>
      <c r="L78" t="s">
        <v>296</v>
      </c>
      <c r="M78" t="s">
        <v>290</v>
      </c>
    </row>
    <row r="79" spans="1:13" x14ac:dyDescent="0.25">
      <c r="A79" s="4" t="s">
        <v>147</v>
      </c>
      <c r="B79" s="4">
        <v>44677</v>
      </c>
      <c r="C79" t="s">
        <v>297</v>
      </c>
      <c r="D79">
        <v>0</v>
      </c>
      <c r="E79" t="s">
        <v>297</v>
      </c>
      <c r="F79" t="s">
        <v>148</v>
      </c>
      <c r="G79" t="s">
        <v>290</v>
      </c>
      <c r="H79" s="4">
        <v>44679</v>
      </c>
      <c r="I79" t="s">
        <v>298</v>
      </c>
      <c r="J79">
        <v>0</v>
      </c>
      <c r="K79" t="s">
        <v>297</v>
      </c>
      <c r="L79">
        <v>245.98</v>
      </c>
      <c r="M79" t="s">
        <v>290</v>
      </c>
    </row>
    <row r="80" spans="1:13" x14ac:dyDescent="0.25">
      <c r="A80" s="4" t="s">
        <v>149</v>
      </c>
      <c r="B80" s="4">
        <v>44707</v>
      </c>
      <c r="C80" t="s">
        <v>299</v>
      </c>
      <c r="D80">
        <v>0</v>
      </c>
      <c r="E80" t="s">
        <v>299</v>
      </c>
      <c r="F80" t="s">
        <v>148</v>
      </c>
      <c r="G80" t="s">
        <v>290</v>
      </c>
      <c r="H80" s="4"/>
      <c r="I80">
        <v>0</v>
      </c>
      <c r="J80">
        <v>0</v>
      </c>
      <c r="K80">
        <v>0</v>
      </c>
      <c r="L80">
        <v>0</v>
      </c>
      <c r="M80" t="s">
        <v>290</v>
      </c>
    </row>
    <row r="81" spans="1:13" x14ac:dyDescent="0.25">
      <c r="A81" s="4" t="s">
        <v>149</v>
      </c>
      <c r="B81" s="4">
        <v>44738</v>
      </c>
      <c r="C81" t="s">
        <v>300</v>
      </c>
      <c r="D81" t="s">
        <v>301</v>
      </c>
      <c r="E81" t="s">
        <v>297</v>
      </c>
      <c r="F81" t="s">
        <v>148</v>
      </c>
      <c r="G81" t="s">
        <v>302</v>
      </c>
      <c r="H81" s="4"/>
      <c r="I81">
        <v>0</v>
      </c>
      <c r="J81">
        <v>0</v>
      </c>
      <c r="K81">
        <v>0</v>
      </c>
      <c r="L81">
        <v>0</v>
      </c>
      <c r="M81" t="s">
        <v>290</v>
      </c>
    </row>
    <row r="82" spans="1:13" x14ac:dyDescent="0.25">
      <c r="A82" s="4" t="s">
        <v>149</v>
      </c>
      <c r="B82" s="4">
        <v>44768</v>
      </c>
      <c r="C82" t="s">
        <v>300</v>
      </c>
      <c r="D82" t="s">
        <v>303</v>
      </c>
      <c r="E82" t="s">
        <v>304</v>
      </c>
      <c r="F82" t="s">
        <v>148</v>
      </c>
      <c r="G82" t="s">
        <v>305</v>
      </c>
      <c r="H82" s="4"/>
      <c r="I82">
        <v>0</v>
      </c>
      <c r="J82">
        <v>0</v>
      </c>
      <c r="K82">
        <v>0</v>
      </c>
      <c r="L82">
        <v>0</v>
      </c>
      <c r="M82" t="s">
        <v>290</v>
      </c>
    </row>
    <row r="83" spans="1:13" x14ac:dyDescent="0.25">
      <c r="A83" s="4" t="s">
        <v>149</v>
      </c>
      <c r="B83" s="4">
        <v>44799</v>
      </c>
      <c r="C83" t="s">
        <v>300</v>
      </c>
      <c r="D83" t="s">
        <v>306</v>
      </c>
      <c r="E83" t="s">
        <v>307</v>
      </c>
      <c r="F83" t="s">
        <v>148</v>
      </c>
      <c r="G83" t="s">
        <v>308</v>
      </c>
      <c r="H83" s="4"/>
      <c r="I83">
        <v>0</v>
      </c>
      <c r="J83">
        <v>0</v>
      </c>
      <c r="K83">
        <v>0</v>
      </c>
      <c r="L83">
        <v>0</v>
      </c>
      <c r="M83" t="s">
        <v>290</v>
      </c>
    </row>
    <row r="84" spans="1:13" x14ac:dyDescent="0.25">
      <c r="A84" s="4" t="s">
        <v>149</v>
      </c>
      <c r="B84" s="4">
        <v>44830</v>
      </c>
      <c r="C84" t="s">
        <v>300</v>
      </c>
      <c r="D84" t="s">
        <v>309</v>
      </c>
      <c r="E84" t="s">
        <v>310</v>
      </c>
      <c r="F84" t="s">
        <v>148</v>
      </c>
      <c r="G84" t="s">
        <v>311</v>
      </c>
      <c r="H84" s="4"/>
      <c r="I84">
        <v>0</v>
      </c>
      <c r="J84">
        <v>0</v>
      </c>
      <c r="K84">
        <v>0</v>
      </c>
      <c r="L84">
        <v>0</v>
      </c>
      <c r="M84" t="s">
        <v>290</v>
      </c>
    </row>
    <row r="85" spans="1:13" x14ac:dyDescent="0.25">
      <c r="A85" s="4" t="s">
        <v>149</v>
      </c>
      <c r="B85" s="4">
        <v>44860</v>
      </c>
      <c r="C85" t="s">
        <v>300</v>
      </c>
      <c r="D85" t="s">
        <v>312</v>
      </c>
      <c r="E85" t="s">
        <v>313</v>
      </c>
      <c r="F85" t="s">
        <v>148</v>
      </c>
      <c r="G85" t="s">
        <v>314</v>
      </c>
      <c r="H85" s="4"/>
      <c r="I85">
        <v>0</v>
      </c>
      <c r="J85">
        <v>0</v>
      </c>
      <c r="K85">
        <v>0</v>
      </c>
      <c r="L85">
        <v>0</v>
      </c>
      <c r="M85" t="s">
        <v>290</v>
      </c>
    </row>
    <row r="86" spans="1:13" x14ac:dyDescent="0.25">
      <c r="A86" s="4" t="s">
        <v>149</v>
      </c>
      <c r="B86" s="4">
        <v>44891</v>
      </c>
      <c r="C86" t="s">
        <v>300</v>
      </c>
      <c r="D86" t="s">
        <v>315</v>
      </c>
      <c r="E86" t="s">
        <v>316</v>
      </c>
      <c r="F86" t="s">
        <v>148</v>
      </c>
      <c r="G86" t="s">
        <v>317</v>
      </c>
      <c r="H86" s="4"/>
      <c r="I86">
        <v>0</v>
      </c>
      <c r="J86">
        <v>0</v>
      </c>
      <c r="K86">
        <v>0</v>
      </c>
      <c r="L86">
        <v>0</v>
      </c>
      <c r="M86" t="s">
        <v>290</v>
      </c>
    </row>
    <row r="87" spans="1:13" x14ac:dyDescent="0.25">
      <c r="A87" s="4" t="s">
        <v>149</v>
      </c>
      <c r="B87" s="4">
        <v>44921</v>
      </c>
      <c r="C87" t="s">
        <v>300</v>
      </c>
      <c r="D87" t="s">
        <v>318</v>
      </c>
      <c r="E87" t="s">
        <v>319</v>
      </c>
      <c r="F87" t="s">
        <v>148</v>
      </c>
      <c r="G87" t="s">
        <v>320</v>
      </c>
      <c r="H87" s="4"/>
      <c r="I87">
        <v>0</v>
      </c>
      <c r="J87">
        <v>0</v>
      </c>
      <c r="K87">
        <v>0</v>
      </c>
      <c r="L87">
        <v>0</v>
      </c>
      <c r="M87" t="s">
        <v>290</v>
      </c>
    </row>
    <row r="88" spans="1:13" x14ac:dyDescent="0.25">
      <c r="A88" s="4" t="s">
        <v>149</v>
      </c>
      <c r="B88" s="4">
        <v>44952</v>
      </c>
      <c r="C88" t="s">
        <v>300</v>
      </c>
      <c r="D88" t="s">
        <v>321</v>
      </c>
      <c r="E88" t="s">
        <v>322</v>
      </c>
      <c r="F88" t="s">
        <v>148</v>
      </c>
      <c r="G88" t="s">
        <v>323</v>
      </c>
      <c r="H88" s="4"/>
      <c r="I88">
        <v>0</v>
      </c>
      <c r="J88">
        <v>0</v>
      </c>
      <c r="K88">
        <v>0</v>
      </c>
      <c r="L88">
        <v>0</v>
      </c>
      <c r="M88" t="s">
        <v>290</v>
      </c>
    </row>
    <row r="89" spans="1:13" x14ac:dyDescent="0.25">
      <c r="A89" s="4" t="s">
        <v>149</v>
      </c>
      <c r="B89" s="4">
        <v>44983</v>
      </c>
      <c r="C89" t="s">
        <v>300</v>
      </c>
      <c r="D89" t="s">
        <v>324</v>
      </c>
      <c r="E89" t="s">
        <v>325</v>
      </c>
      <c r="F89" t="s">
        <v>148</v>
      </c>
      <c r="G89" t="s">
        <v>326</v>
      </c>
      <c r="H89" s="4"/>
      <c r="I89">
        <v>0</v>
      </c>
      <c r="J89">
        <v>0</v>
      </c>
      <c r="K89">
        <v>0</v>
      </c>
      <c r="L89">
        <v>0</v>
      </c>
      <c r="M89" t="s">
        <v>290</v>
      </c>
    </row>
    <row r="90" spans="1:13" x14ac:dyDescent="0.25">
      <c r="A90" t="s">
        <v>149</v>
      </c>
      <c r="B90" s="4">
        <v>45011</v>
      </c>
      <c r="C90" t="s">
        <v>300</v>
      </c>
      <c r="D90" t="s">
        <v>327</v>
      </c>
      <c r="E90" t="s">
        <v>328</v>
      </c>
      <c r="F90" t="s">
        <v>148</v>
      </c>
      <c r="G90" t="s">
        <v>329</v>
      </c>
      <c r="H90" s="4"/>
      <c r="I90">
        <v>0</v>
      </c>
      <c r="J90">
        <v>0</v>
      </c>
      <c r="K90">
        <v>0</v>
      </c>
      <c r="L90">
        <v>0</v>
      </c>
      <c r="M90" t="s">
        <v>290</v>
      </c>
    </row>
    <row r="91" spans="1:13" x14ac:dyDescent="0.25">
      <c r="A91" s="4" t="s">
        <v>149</v>
      </c>
      <c r="B91" s="4">
        <v>45042</v>
      </c>
      <c r="C91" t="s">
        <v>300</v>
      </c>
      <c r="D91" t="s">
        <v>330</v>
      </c>
      <c r="E91" t="s">
        <v>331</v>
      </c>
      <c r="F91" t="s">
        <v>148</v>
      </c>
      <c r="G91" t="s">
        <v>332</v>
      </c>
      <c r="H91" s="4"/>
      <c r="I91">
        <v>0</v>
      </c>
      <c r="J91">
        <v>0</v>
      </c>
      <c r="K91">
        <v>0</v>
      </c>
      <c r="L91">
        <v>0</v>
      </c>
      <c r="M91" t="s">
        <v>290</v>
      </c>
    </row>
    <row r="92" spans="1:13" x14ac:dyDescent="0.25">
      <c r="A92" s="4" t="s">
        <v>149</v>
      </c>
      <c r="B92" s="4">
        <v>45072</v>
      </c>
      <c r="C92" t="s">
        <v>333</v>
      </c>
      <c r="D92" t="s">
        <v>332</v>
      </c>
      <c r="E92" t="s">
        <v>334</v>
      </c>
      <c r="F92" t="s">
        <v>148</v>
      </c>
      <c r="G92">
        <v>0</v>
      </c>
      <c r="H92" s="4"/>
      <c r="I92">
        <v>0</v>
      </c>
      <c r="J92">
        <v>0</v>
      </c>
      <c r="K92">
        <v>0</v>
      </c>
      <c r="L92">
        <v>0</v>
      </c>
      <c r="M92" t="s">
        <v>290</v>
      </c>
    </row>
    <row r="93" spans="1:13" x14ac:dyDescent="0.25">
      <c r="A93" s="4" t="s">
        <v>150</v>
      </c>
      <c r="B93" s="4"/>
      <c r="H93" s="4"/>
    </row>
    <row r="94" spans="1:13" x14ac:dyDescent="0.25">
      <c r="A94" s="4" t="s">
        <v>87</v>
      </c>
      <c r="B94" s="4" t="s">
        <v>88</v>
      </c>
      <c r="C94" t="s">
        <v>89</v>
      </c>
      <c r="D94" t="s">
        <v>90</v>
      </c>
      <c r="E94" t="s">
        <v>91</v>
      </c>
      <c r="H94" s="4"/>
    </row>
    <row r="95" spans="1:13" x14ac:dyDescent="0.25">
      <c r="A95" s="4">
        <v>44373</v>
      </c>
      <c r="B95" s="4" t="s">
        <v>265</v>
      </c>
      <c r="C95" t="s">
        <v>266</v>
      </c>
      <c r="D95" t="s">
        <v>267</v>
      </c>
      <c r="E95">
        <v>0</v>
      </c>
      <c r="H95" s="4"/>
    </row>
    <row r="96" spans="1:13" x14ac:dyDescent="0.25">
      <c r="A96" s="4">
        <v>44403</v>
      </c>
      <c r="B96" s="4" t="s">
        <v>269</v>
      </c>
      <c r="C96" t="s">
        <v>270</v>
      </c>
      <c r="D96" t="s">
        <v>271</v>
      </c>
      <c r="E96">
        <v>0</v>
      </c>
      <c r="H96" s="4"/>
    </row>
    <row r="97" spans="1:8" x14ac:dyDescent="0.25">
      <c r="A97" s="4">
        <v>44434</v>
      </c>
      <c r="B97" s="4" t="s">
        <v>269</v>
      </c>
      <c r="C97" t="s">
        <v>273</v>
      </c>
      <c r="D97" t="s">
        <v>274</v>
      </c>
      <c r="E97">
        <v>0</v>
      </c>
      <c r="H97" s="4"/>
    </row>
    <row r="98" spans="1:8" x14ac:dyDescent="0.25">
      <c r="A98" s="4">
        <v>44465</v>
      </c>
      <c r="B98" s="4" t="s">
        <v>269</v>
      </c>
      <c r="C98" t="s">
        <v>276</v>
      </c>
      <c r="D98" t="s">
        <v>277</v>
      </c>
      <c r="E98">
        <v>0</v>
      </c>
      <c r="H98" s="4"/>
    </row>
    <row r="99" spans="1:8" x14ac:dyDescent="0.25">
      <c r="A99" s="4">
        <v>44495</v>
      </c>
      <c r="B99" s="4" t="s">
        <v>269</v>
      </c>
      <c r="C99" t="s">
        <v>279</v>
      </c>
      <c r="D99" t="s">
        <v>280</v>
      </c>
      <c r="E99">
        <v>0</v>
      </c>
      <c r="H99" s="4"/>
    </row>
    <row r="100" spans="1:8" x14ac:dyDescent="0.25">
      <c r="A100" s="4">
        <v>44526</v>
      </c>
      <c r="B100" s="4" t="s">
        <v>269</v>
      </c>
      <c r="C100" t="s">
        <v>282</v>
      </c>
      <c r="D100" t="s">
        <v>283</v>
      </c>
      <c r="E100">
        <v>0</v>
      </c>
      <c r="H100" s="4"/>
    </row>
    <row r="101" spans="1:8" x14ac:dyDescent="0.25">
      <c r="A101" s="4">
        <v>44556</v>
      </c>
      <c r="B101" s="4" t="s">
        <v>269</v>
      </c>
      <c r="C101" t="s">
        <v>285</v>
      </c>
      <c r="D101" t="s">
        <v>286</v>
      </c>
      <c r="E101">
        <v>0</v>
      </c>
      <c r="H101" s="4"/>
    </row>
    <row r="102" spans="1:8" x14ac:dyDescent="0.25">
      <c r="A102" s="4">
        <v>44587</v>
      </c>
      <c r="B102" s="4" t="s">
        <v>288</v>
      </c>
      <c r="C102">
        <v>0</v>
      </c>
      <c r="D102" t="s">
        <v>288</v>
      </c>
      <c r="E102">
        <v>0</v>
      </c>
      <c r="H102" s="4"/>
    </row>
    <row r="103" spans="1:8" x14ac:dyDescent="0.25">
      <c r="A103" s="4">
        <v>44618</v>
      </c>
      <c r="B103" s="4">
        <v>7.56</v>
      </c>
      <c r="C103">
        <v>0</v>
      </c>
      <c r="D103">
        <v>7.56</v>
      </c>
      <c r="E103">
        <v>0</v>
      </c>
      <c r="H103" s="4"/>
    </row>
    <row r="104" spans="1:8" x14ac:dyDescent="0.25">
      <c r="A104" s="4">
        <v>44638</v>
      </c>
      <c r="B104" s="4" t="s">
        <v>335</v>
      </c>
      <c r="C104">
        <v>7.97</v>
      </c>
      <c r="D104" t="s">
        <v>336</v>
      </c>
      <c r="E104">
        <v>0</v>
      </c>
      <c r="H104" s="4"/>
    </row>
    <row r="105" spans="1:8" x14ac:dyDescent="0.25">
      <c r="A105" s="4">
        <v>44646</v>
      </c>
      <c r="B105" s="4">
        <v>100</v>
      </c>
      <c r="C105">
        <v>0</v>
      </c>
      <c r="D105">
        <v>100</v>
      </c>
      <c r="E105">
        <v>0</v>
      </c>
    </row>
    <row r="106" spans="1:8" x14ac:dyDescent="0.25">
      <c r="A106" s="4">
        <v>44666</v>
      </c>
      <c r="B106" s="4" t="s">
        <v>337</v>
      </c>
      <c r="C106">
        <v>0</v>
      </c>
      <c r="D106" t="s">
        <v>338</v>
      </c>
      <c r="E106" t="s">
        <v>339</v>
      </c>
    </row>
    <row r="107" spans="1:8" x14ac:dyDescent="0.25">
      <c r="A107" s="4">
        <v>44679</v>
      </c>
      <c r="B107" s="4" t="s">
        <v>340</v>
      </c>
      <c r="C107">
        <v>0</v>
      </c>
      <c r="D107" t="s">
        <v>297</v>
      </c>
      <c r="E107" t="s">
        <v>341</v>
      </c>
    </row>
    <row r="108" spans="1:8" x14ac:dyDescent="0.25">
      <c r="A108" s="4" t="s">
        <v>92</v>
      </c>
      <c r="B108" s="4" t="s">
        <v>342</v>
      </c>
      <c r="C108" t="s">
        <v>343</v>
      </c>
      <c r="D108" t="s">
        <v>344</v>
      </c>
      <c r="E108" t="s">
        <v>345</v>
      </c>
    </row>
    <row r="109" spans="1:8" x14ac:dyDescent="0.25">
      <c r="A109" s="4" t="s">
        <v>151</v>
      </c>
      <c r="B109" s="4"/>
    </row>
    <row r="110" spans="1:8" x14ac:dyDescent="0.25">
      <c r="A110" s="4" t="s">
        <v>152</v>
      </c>
      <c r="B110" s="4"/>
    </row>
    <row r="111" spans="1:8" x14ac:dyDescent="0.25">
      <c r="A111" s="4"/>
      <c r="B111" s="4"/>
    </row>
    <row r="112" spans="1:8" x14ac:dyDescent="0.25">
      <c r="A112" s="4"/>
      <c r="B112" s="4"/>
    </row>
    <row r="113" spans="1:2" x14ac:dyDescent="0.25">
      <c r="A113" s="4"/>
      <c r="B113" s="4"/>
    </row>
    <row r="114" spans="1:2" x14ac:dyDescent="0.25">
      <c r="A114" s="4"/>
      <c r="B114" s="4"/>
    </row>
    <row r="115" spans="1:2" x14ac:dyDescent="0.25">
      <c r="A115" s="4"/>
      <c r="B115" s="4"/>
    </row>
    <row r="116" spans="1:2" x14ac:dyDescent="0.25">
      <c r="A116" s="4"/>
      <c r="B116" s="4"/>
    </row>
    <row r="117" spans="1:2" x14ac:dyDescent="0.25">
      <c r="A117" s="4"/>
      <c r="B117" s="4"/>
    </row>
    <row r="118" spans="1:2" x14ac:dyDescent="0.25">
      <c r="A118" s="4"/>
      <c r="B118" s="4"/>
    </row>
    <row r="119" spans="1:2" x14ac:dyDescent="0.25">
      <c r="A119" s="4"/>
      <c r="B119" s="4"/>
    </row>
    <row r="120" spans="1:2" x14ac:dyDescent="0.25">
      <c r="A120" s="4"/>
      <c r="B120" s="4"/>
    </row>
    <row r="121" spans="1:2" x14ac:dyDescent="0.25">
      <c r="A121" s="4"/>
      <c r="B121" s="4"/>
    </row>
    <row r="122" spans="1:2" x14ac:dyDescent="0.25">
      <c r="A122" s="4"/>
      <c r="B122" s="4"/>
    </row>
    <row r="123" spans="1:2" x14ac:dyDescent="0.25">
      <c r="A123" s="4"/>
      <c r="B123" s="4"/>
    </row>
    <row r="124" spans="1:2" x14ac:dyDescent="0.25">
      <c r="A124" s="4"/>
      <c r="B124" s="4"/>
    </row>
    <row r="125" spans="1:2" x14ac:dyDescent="0.25">
      <c r="A125" s="4"/>
      <c r="B125" s="4"/>
    </row>
    <row r="126" spans="1:2" x14ac:dyDescent="0.25">
      <c r="A126" s="4"/>
      <c r="B126" s="4"/>
    </row>
    <row r="127" spans="1:2" x14ac:dyDescent="0.25">
      <c r="A127" s="4"/>
      <c r="B127" s="4"/>
    </row>
    <row r="128" spans="1:2" x14ac:dyDescent="0.25">
      <c r="A128" s="4"/>
      <c r="B128" s="4"/>
    </row>
    <row r="129" spans="1:2" x14ac:dyDescent="0.25">
      <c r="A129" s="4"/>
      <c r="B129" s="4"/>
    </row>
    <row r="130" spans="1:2" x14ac:dyDescent="0.25">
      <c r="A130" s="4"/>
      <c r="B130" s="4"/>
    </row>
    <row r="131" spans="1:2" x14ac:dyDescent="0.25">
      <c r="A131" s="4"/>
    </row>
    <row r="132" spans="1:2" x14ac:dyDescent="0.25">
      <c r="A132" s="4"/>
    </row>
    <row r="133" spans="1:2" x14ac:dyDescent="0.25">
      <c r="A133" s="4"/>
    </row>
    <row r="134" spans="1:2" x14ac:dyDescent="0.25">
      <c r="A134" s="4"/>
    </row>
    <row r="135" spans="1:2" x14ac:dyDescent="0.25">
      <c r="A135" s="4"/>
    </row>
    <row r="136" spans="1:2" x14ac:dyDescent="0.25">
      <c r="A136" s="4"/>
    </row>
    <row r="137" spans="1:2" x14ac:dyDescent="0.25">
      <c r="A137" s="4"/>
    </row>
    <row r="138" spans="1:2" x14ac:dyDescent="0.25">
      <c r="A138" s="4"/>
    </row>
    <row r="139" spans="1:2" x14ac:dyDescent="0.25">
      <c r="A139" s="4"/>
    </row>
    <row r="140" spans="1:2" x14ac:dyDescent="0.25">
      <c r="A140" s="4"/>
    </row>
    <row r="141" spans="1:2" x14ac:dyDescent="0.25">
      <c r="A141" s="4"/>
    </row>
    <row r="142" spans="1:2" x14ac:dyDescent="0.25">
      <c r="A142" s="4"/>
    </row>
    <row r="143" spans="1:2" x14ac:dyDescent="0.25">
      <c r="A143" s="4"/>
    </row>
    <row r="144" spans="1:2" x14ac:dyDescent="0.25">
      <c r="A144" s="4"/>
    </row>
    <row r="145" spans="1:1" x14ac:dyDescent="0.25">
      <c r="A145" s="4"/>
    </row>
    <row r="146" spans="1:1" x14ac:dyDescent="0.25">
      <c r="A146" s="4"/>
    </row>
    <row r="147" spans="1:1" x14ac:dyDescent="0.25">
      <c r="A147" s="4"/>
    </row>
    <row r="148" spans="1:1" x14ac:dyDescent="0.25">
      <c r="A148" s="4"/>
    </row>
    <row r="149" spans="1:1" x14ac:dyDescent="0.25">
      <c r="A149" s="4"/>
    </row>
    <row r="150" spans="1:1" x14ac:dyDescent="0.25">
      <c r="A150" s="4"/>
    </row>
    <row r="151" spans="1:1" x14ac:dyDescent="0.25">
      <c r="A151" s="4"/>
    </row>
    <row r="152" spans="1:1" x14ac:dyDescent="0.25">
      <c r="A152" s="4"/>
    </row>
    <row r="153" spans="1:1" x14ac:dyDescent="0.25">
      <c r="A153" s="4"/>
    </row>
    <row r="154" spans="1:1" x14ac:dyDescent="0.25">
      <c r="A154" s="4"/>
    </row>
    <row r="155" spans="1:1" x14ac:dyDescent="0.25">
      <c r="A155" s="4"/>
    </row>
    <row r="156" spans="1:1" x14ac:dyDescent="0.25">
      <c r="A156" s="4"/>
    </row>
    <row r="157" spans="1:1" x14ac:dyDescent="0.25">
      <c r="A157" s="4"/>
    </row>
    <row r="158" spans="1:1" x14ac:dyDescent="0.25">
      <c r="A158" s="4"/>
    </row>
    <row r="159" spans="1:1" x14ac:dyDescent="0.25">
      <c r="A159" s="4"/>
    </row>
    <row r="160" spans="1:1" x14ac:dyDescent="0.25">
      <c r="A160" s="4"/>
    </row>
    <row r="161" spans="1:1" x14ac:dyDescent="0.25">
      <c r="A161" s="4"/>
    </row>
    <row r="162" spans="1:1" x14ac:dyDescent="0.25">
      <c r="A162" s="4"/>
    </row>
    <row r="163" spans="1:1" x14ac:dyDescent="0.25">
      <c r="A163" s="4"/>
    </row>
    <row r="164" spans="1:1" x14ac:dyDescent="0.25">
      <c r="A164" s="4"/>
    </row>
    <row r="165" spans="1:1" x14ac:dyDescent="0.25">
      <c r="A165" s="4"/>
    </row>
    <row r="166" spans="1:1" x14ac:dyDescent="0.25">
      <c r="A166" s="4"/>
    </row>
    <row r="167" spans="1:1" x14ac:dyDescent="0.25">
      <c r="A16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424FA-728E-41B1-8E19-3A23204EF404}">
  <sheetPr codeName="Лист8"/>
  <dimension ref="A1:M143"/>
  <sheetViews>
    <sheetView topLeftCell="A43" workbookViewId="0">
      <selection activeCell="A52" sqref="A1:XFD1048576"/>
    </sheetView>
  </sheetViews>
  <sheetFormatPr defaultRowHeight="15" x14ac:dyDescent="0.25"/>
  <cols>
    <col min="1" max="1" width="89.140625" bestFit="1" customWidth="1"/>
  </cols>
  <sheetData>
    <row r="1" spans="1:1" x14ac:dyDescent="0.25">
      <c r="A1" t="s">
        <v>109</v>
      </c>
    </row>
    <row r="4" spans="1:1" x14ac:dyDescent="0.25">
      <c r="A4" t="s">
        <v>168</v>
      </c>
    </row>
    <row r="5" spans="1:1" x14ac:dyDescent="0.25">
      <c r="A5" t="s">
        <v>110</v>
      </c>
    </row>
    <row r="6" spans="1:1" x14ac:dyDescent="0.25">
      <c r="A6" t="s">
        <v>111</v>
      </c>
    </row>
    <row r="7" spans="1:1" x14ac:dyDescent="0.25">
      <c r="A7" t="s">
        <v>112</v>
      </c>
    </row>
    <row r="8" spans="1:1" x14ac:dyDescent="0.25">
      <c r="A8" t="s">
        <v>113</v>
      </c>
    </row>
    <row r="9" spans="1:1" x14ac:dyDescent="0.25">
      <c r="A9" t="s">
        <v>114</v>
      </c>
    </row>
    <row r="10" spans="1:1" x14ac:dyDescent="0.25">
      <c r="A10" t="s">
        <v>115</v>
      </c>
    </row>
    <row r="11" spans="1:1" x14ac:dyDescent="0.25">
      <c r="A11" t="s">
        <v>116</v>
      </c>
    </row>
    <row r="12" spans="1:1" x14ac:dyDescent="0.25">
      <c r="A12" t="s">
        <v>117</v>
      </c>
    </row>
    <row r="13" spans="1:1" x14ac:dyDescent="0.25">
      <c r="A13" t="s">
        <v>118</v>
      </c>
    </row>
    <row r="14" spans="1:1" x14ac:dyDescent="0.25">
      <c r="A14" t="s">
        <v>119</v>
      </c>
    </row>
    <row r="15" spans="1:1" x14ac:dyDescent="0.25">
      <c r="A15" t="s">
        <v>120</v>
      </c>
    </row>
    <row r="16" spans="1:1" x14ac:dyDescent="0.25">
      <c r="A16" t="s">
        <v>121</v>
      </c>
    </row>
    <row r="17" spans="1:5" x14ac:dyDescent="0.25">
      <c r="A17" t="s">
        <v>122</v>
      </c>
    </row>
    <row r="18" spans="1:5" x14ac:dyDescent="0.25">
      <c r="A18" t="s">
        <v>123</v>
      </c>
    </row>
    <row r="19" spans="1:5" x14ac:dyDescent="0.25">
      <c r="A19" t="s">
        <v>124</v>
      </c>
    </row>
    <row r="20" spans="1:5" x14ac:dyDescent="0.25">
      <c r="A20" t="s">
        <v>125</v>
      </c>
      <c r="B20" t="s">
        <v>126</v>
      </c>
      <c r="C20" t="s">
        <v>93</v>
      </c>
      <c r="D20" t="s">
        <v>87</v>
      </c>
      <c r="E20" t="s">
        <v>127</v>
      </c>
    </row>
    <row r="21" spans="1:5" x14ac:dyDescent="0.25">
      <c r="A21">
        <v>17439</v>
      </c>
      <c r="B21" t="s">
        <v>244</v>
      </c>
      <c r="C21" t="s">
        <v>245</v>
      </c>
      <c r="D21" s="4">
        <v>44336</v>
      </c>
    </row>
    <row r="22" spans="1:5" x14ac:dyDescent="0.25">
      <c r="A22">
        <v>13876</v>
      </c>
      <c r="B22" t="s">
        <v>246</v>
      </c>
      <c r="C22" t="s">
        <v>245</v>
      </c>
      <c r="D22" s="4">
        <v>44336</v>
      </c>
      <c r="E22" s="4">
        <v>45159</v>
      </c>
    </row>
    <row r="23" spans="1:5" x14ac:dyDescent="0.25">
      <c r="A23">
        <v>13875</v>
      </c>
      <c r="B23" t="s">
        <v>247</v>
      </c>
      <c r="C23" t="s">
        <v>245</v>
      </c>
      <c r="D23" s="4">
        <v>44336</v>
      </c>
    </row>
    <row r="24" spans="1:5" x14ac:dyDescent="0.25">
      <c r="A24" t="s">
        <v>228</v>
      </c>
    </row>
    <row r="25" spans="1:5" x14ac:dyDescent="0.25">
      <c r="A25" t="s">
        <v>229</v>
      </c>
    </row>
    <row r="26" spans="1:5" x14ac:dyDescent="0.25">
      <c r="A26" t="s">
        <v>248</v>
      </c>
    </row>
    <row r="27" spans="1:5" x14ac:dyDescent="0.25">
      <c r="A27" t="s">
        <v>128</v>
      </c>
    </row>
    <row r="28" spans="1:5" x14ac:dyDescent="0.25">
      <c r="A28" t="s">
        <v>249</v>
      </c>
    </row>
    <row r="29" spans="1:5" x14ac:dyDescent="0.25">
      <c r="A29" t="s">
        <v>230</v>
      </c>
    </row>
    <row r="30" spans="1:5" x14ac:dyDescent="0.25">
      <c r="A30" t="s">
        <v>250</v>
      </c>
    </row>
    <row r="31" spans="1:5" x14ac:dyDescent="0.25">
      <c r="A31" t="s">
        <v>129</v>
      </c>
    </row>
    <row r="32" spans="1:5" x14ac:dyDescent="0.25">
      <c r="A32" t="s">
        <v>251</v>
      </c>
    </row>
    <row r="33" spans="1:1" x14ac:dyDescent="0.25">
      <c r="A33" t="s">
        <v>252</v>
      </c>
    </row>
    <row r="34" spans="1:1" x14ac:dyDescent="0.25">
      <c r="A34" t="s">
        <v>253</v>
      </c>
    </row>
    <row r="35" spans="1:1" x14ac:dyDescent="0.25">
      <c r="A35" t="s">
        <v>254</v>
      </c>
    </row>
    <row r="36" spans="1:1" x14ac:dyDescent="0.25">
      <c r="A36" t="s">
        <v>130</v>
      </c>
    </row>
    <row r="37" spans="1:1" x14ac:dyDescent="0.25">
      <c r="A37" t="s">
        <v>131</v>
      </c>
    </row>
    <row r="38" spans="1:1" x14ac:dyDescent="0.25">
      <c r="A38" t="s">
        <v>255</v>
      </c>
    </row>
    <row r="39" spans="1:1" x14ac:dyDescent="0.25">
      <c r="A39" t="s">
        <v>256</v>
      </c>
    </row>
    <row r="40" spans="1:1" x14ac:dyDescent="0.25">
      <c r="A40" t="s">
        <v>132</v>
      </c>
    </row>
    <row r="41" spans="1:1" x14ac:dyDescent="0.25">
      <c r="A41" t="s">
        <v>133</v>
      </c>
    </row>
    <row r="42" spans="1:1" x14ac:dyDescent="0.25">
      <c r="A42" t="s">
        <v>257</v>
      </c>
    </row>
    <row r="43" spans="1:1" x14ac:dyDescent="0.25">
      <c r="A43" t="s">
        <v>258</v>
      </c>
    </row>
    <row r="44" spans="1:1" x14ac:dyDescent="0.25">
      <c r="A44" t="s">
        <v>134</v>
      </c>
    </row>
    <row r="45" spans="1:1" x14ac:dyDescent="0.25">
      <c r="A45" t="s">
        <v>135</v>
      </c>
    </row>
    <row r="46" spans="1:1" x14ac:dyDescent="0.25">
      <c r="A46" t="s">
        <v>136</v>
      </c>
    </row>
    <row r="47" spans="1:1" x14ac:dyDescent="0.25">
      <c r="A47" t="s">
        <v>137</v>
      </c>
    </row>
    <row r="48" spans="1:1" x14ac:dyDescent="0.25">
      <c r="A48" t="s">
        <v>220</v>
      </c>
    </row>
    <row r="49" spans="1:5" x14ac:dyDescent="0.25">
      <c r="A49" t="s">
        <v>231</v>
      </c>
    </row>
    <row r="50" spans="1:5" x14ac:dyDescent="0.25">
      <c r="A50" t="s">
        <v>259</v>
      </c>
    </row>
    <row r="52" spans="1:5" x14ac:dyDescent="0.25">
      <c r="A52" t="s">
        <v>232</v>
      </c>
    </row>
    <row r="53" spans="1:5" x14ac:dyDescent="0.25">
      <c r="A53" t="s">
        <v>138</v>
      </c>
    </row>
    <row r="54" spans="1:5" x14ac:dyDescent="0.25">
      <c r="A54" t="s">
        <v>233</v>
      </c>
    </row>
    <row r="55" spans="1:5" x14ac:dyDescent="0.25">
      <c r="A55" t="s">
        <v>234</v>
      </c>
    </row>
    <row r="56" spans="1:5" x14ac:dyDescent="0.25">
      <c r="A56" t="s">
        <v>235</v>
      </c>
    </row>
    <row r="58" spans="1:5" x14ac:dyDescent="0.25">
      <c r="A58" t="s">
        <v>236</v>
      </c>
    </row>
    <row r="59" spans="1:5" x14ac:dyDescent="0.25">
      <c r="A59" s="4" t="s">
        <v>221</v>
      </c>
      <c r="B59" s="4"/>
    </row>
    <row r="60" spans="1:5" x14ac:dyDescent="0.25">
      <c r="A60" t="s">
        <v>87</v>
      </c>
      <c r="B60" t="s">
        <v>222</v>
      </c>
      <c r="C60" t="s">
        <v>223</v>
      </c>
      <c r="D60" t="s">
        <v>224</v>
      </c>
      <c r="E60" t="s">
        <v>225</v>
      </c>
    </row>
    <row r="61" spans="1:5" x14ac:dyDescent="0.25">
      <c r="A61" s="4">
        <v>44365</v>
      </c>
      <c r="B61" s="4">
        <v>44365</v>
      </c>
      <c r="C61">
        <v>8108</v>
      </c>
      <c r="D61" t="s">
        <v>260</v>
      </c>
      <c r="E61" t="s">
        <v>226</v>
      </c>
    </row>
    <row r="62" spans="1:5" x14ac:dyDescent="0.25">
      <c r="A62" s="4">
        <v>44587</v>
      </c>
      <c r="B62" s="4">
        <v>44586</v>
      </c>
      <c r="C62">
        <v>10521</v>
      </c>
      <c r="D62" t="s">
        <v>261</v>
      </c>
      <c r="E62" t="s">
        <v>226</v>
      </c>
    </row>
    <row r="63" spans="1:5" x14ac:dyDescent="0.25">
      <c r="A63" s="4">
        <v>44638</v>
      </c>
      <c r="B63" s="4">
        <v>44638</v>
      </c>
      <c r="C63">
        <v>11177</v>
      </c>
      <c r="D63" t="s">
        <v>262</v>
      </c>
      <c r="E63" t="s">
        <v>226</v>
      </c>
    </row>
    <row r="64" spans="1:5" x14ac:dyDescent="0.25">
      <c r="A64" t="s">
        <v>227</v>
      </c>
    </row>
    <row r="65" spans="1:13" x14ac:dyDescent="0.25">
      <c r="A65" t="s">
        <v>263</v>
      </c>
      <c r="B65" s="4"/>
      <c r="H65" s="4"/>
    </row>
    <row r="66" spans="1:13" x14ac:dyDescent="0.25">
      <c r="A66" t="s">
        <v>264</v>
      </c>
      <c r="B66" s="4"/>
      <c r="H66" s="4"/>
    </row>
    <row r="67" spans="1:13" x14ac:dyDescent="0.25">
      <c r="A67" t="s">
        <v>139</v>
      </c>
      <c r="B67" s="4" t="s">
        <v>140</v>
      </c>
      <c r="H67" s="4" t="s">
        <v>141</v>
      </c>
    </row>
    <row r="68" spans="1:13" x14ac:dyDescent="0.25">
      <c r="B68" s="4" t="s">
        <v>142</v>
      </c>
      <c r="C68" t="s">
        <v>143</v>
      </c>
      <c r="D68" t="s">
        <v>144</v>
      </c>
      <c r="E68" t="s">
        <v>90</v>
      </c>
      <c r="F68" t="s">
        <v>91</v>
      </c>
      <c r="G68" t="s">
        <v>145</v>
      </c>
      <c r="H68" s="4" t="s">
        <v>142</v>
      </c>
      <c r="I68" t="s">
        <v>143</v>
      </c>
      <c r="J68" t="s">
        <v>144</v>
      </c>
      <c r="K68" t="s">
        <v>90</v>
      </c>
      <c r="L68" t="s">
        <v>91</v>
      </c>
      <c r="M68" t="s">
        <v>145</v>
      </c>
    </row>
    <row r="69" spans="1:13" x14ac:dyDescent="0.25">
      <c r="A69" t="s">
        <v>146</v>
      </c>
      <c r="B69" s="4">
        <v>44373</v>
      </c>
      <c r="C69" t="s">
        <v>265</v>
      </c>
      <c r="D69" t="s">
        <v>266</v>
      </c>
      <c r="E69" t="s">
        <v>267</v>
      </c>
      <c r="F69">
        <v>0</v>
      </c>
      <c r="G69" t="s">
        <v>268</v>
      </c>
      <c r="H69" s="4">
        <v>44373</v>
      </c>
      <c r="I69" t="s">
        <v>265</v>
      </c>
      <c r="J69" t="s">
        <v>266</v>
      </c>
      <c r="K69" t="s">
        <v>267</v>
      </c>
      <c r="L69">
        <v>0</v>
      </c>
      <c r="M69" t="s">
        <v>268</v>
      </c>
    </row>
    <row r="70" spans="1:13" x14ac:dyDescent="0.25">
      <c r="A70" t="s">
        <v>146</v>
      </c>
      <c r="B70" s="4">
        <v>44403</v>
      </c>
      <c r="C70" t="s">
        <v>269</v>
      </c>
      <c r="D70" t="s">
        <v>270</v>
      </c>
      <c r="E70" t="s">
        <v>271</v>
      </c>
      <c r="F70">
        <v>0</v>
      </c>
      <c r="G70" t="s">
        <v>272</v>
      </c>
      <c r="H70" s="4">
        <v>44403</v>
      </c>
      <c r="I70" t="s">
        <v>269</v>
      </c>
      <c r="J70" t="s">
        <v>270</v>
      </c>
      <c r="K70" t="s">
        <v>271</v>
      </c>
      <c r="L70">
        <v>0</v>
      </c>
      <c r="M70" t="s">
        <v>272</v>
      </c>
    </row>
    <row r="71" spans="1:13" x14ac:dyDescent="0.25">
      <c r="A71" t="s">
        <v>146</v>
      </c>
      <c r="B71" s="4">
        <v>44434</v>
      </c>
      <c r="C71" t="s">
        <v>269</v>
      </c>
      <c r="D71" t="s">
        <v>273</v>
      </c>
      <c r="E71" t="s">
        <v>274</v>
      </c>
      <c r="F71">
        <v>0</v>
      </c>
      <c r="G71" t="s">
        <v>275</v>
      </c>
      <c r="H71" s="4">
        <v>44434</v>
      </c>
      <c r="I71" t="s">
        <v>269</v>
      </c>
      <c r="J71" t="s">
        <v>273</v>
      </c>
      <c r="K71" t="s">
        <v>274</v>
      </c>
      <c r="L71">
        <v>0</v>
      </c>
      <c r="M71" t="s">
        <v>275</v>
      </c>
    </row>
    <row r="72" spans="1:13" x14ac:dyDescent="0.25">
      <c r="A72" t="s">
        <v>146</v>
      </c>
      <c r="B72" s="4">
        <v>44465</v>
      </c>
      <c r="C72" t="s">
        <v>269</v>
      </c>
      <c r="D72" t="s">
        <v>276</v>
      </c>
      <c r="E72" t="s">
        <v>277</v>
      </c>
      <c r="F72">
        <v>0</v>
      </c>
      <c r="G72" t="s">
        <v>278</v>
      </c>
      <c r="H72" s="4">
        <v>44465</v>
      </c>
      <c r="I72" t="s">
        <v>269</v>
      </c>
      <c r="J72" t="s">
        <v>276</v>
      </c>
      <c r="K72" t="s">
        <v>277</v>
      </c>
      <c r="L72">
        <v>0</v>
      </c>
      <c r="M72" t="s">
        <v>278</v>
      </c>
    </row>
    <row r="73" spans="1:13" x14ac:dyDescent="0.25">
      <c r="A73" t="s">
        <v>146</v>
      </c>
      <c r="B73" s="4">
        <v>44495</v>
      </c>
      <c r="C73" t="s">
        <v>269</v>
      </c>
      <c r="D73" t="s">
        <v>279</v>
      </c>
      <c r="E73" t="s">
        <v>280</v>
      </c>
      <c r="F73">
        <v>0</v>
      </c>
      <c r="G73" t="s">
        <v>281</v>
      </c>
      <c r="H73" s="4">
        <v>44495</v>
      </c>
      <c r="I73" t="s">
        <v>269</v>
      </c>
      <c r="J73" t="s">
        <v>279</v>
      </c>
      <c r="K73" t="s">
        <v>280</v>
      </c>
      <c r="L73">
        <v>0</v>
      </c>
      <c r="M73" t="s">
        <v>281</v>
      </c>
    </row>
    <row r="74" spans="1:13" x14ac:dyDescent="0.25">
      <c r="A74" t="s">
        <v>146</v>
      </c>
      <c r="B74" s="4">
        <v>44526</v>
      </c>
      <c r="C74" t="s">
        <v>269</v>
      </c>
      <c r="D74" t="s">
        <v>282</v>
      </c>
      <c r="E74" t="s">
        <v>283</v>
      </c>
      <c r="F74">
        <v>0</v>
      </c>
      <c r="G74" t="s">
        <v>284</v>
      </c>
      <c r="H74" s="4">
        <v>44526</v>
      </c>
      <c r="I74" t="s">
        <v>269</v>
      </c>
      <c r="J74" t="s">
        <v>282</v>
      </c>
      <c r="K74" t="s">
        <v>283</v>
      </c>
      <c r="L74">
        <v>0</v>
      </c>
      <c r="M74" t="s">
        <v>284</v>
      </c>
    </row>
    <row r="75" spans="1:13" x14ac:dyDescent="0.25">
      <c r="A75" t="s">
        <v>146</v>
      </c>
      <c r="B75" s="4">
        <v>44556</v>
      </c>
      <c r="C75" t="s">
        <v>269</v>
      </c>
      <c r="D75" t="s">
        <v>285</v>
      </c>
      <c r="E75" t="s">
        <v>286</v>
      </c>
      <c r="F75">
        <v>0</v>
      </c>
      <c r="G75" t="s">
        <v>287</v>
      </c>
      <c r="H75" s="4">
        <v>44556</v>
      </c>
      <c r="I75" t="s">
        <v>269</v>
      </c>
      <c r="J75" t="s">
        <v>285</v>
      </c>
      <c r="K75" t="s">
        <v>286</v>
      </c>
      <c r="L75">
        <v>0</v>
      </c>
      <c r="M75" t="s">
        <v>287</v>
      </c>
    </row>
    <row r="76" spans="1:13" x14ac:dyDescent="0.25">
      <c r="A76" t="s">
        <v>146</v>
      </c>
      <c r="B76" s="4">
        <v>44587</v>
      </c>
      <c r="C76" t="s">
        <v>288</v>
      </c>
      <c r="D76">
        <v>0</v>
      </c>
      <c r="E76" t="s">
        <v>288</v>
      </c>
      <c r="F76">
        <v>0</v>
      </c>
      <c r="G76" t="s">
        <v>287</v>
      </c>
      <c r="H76" s="4">
        <v>44587</v>
      </c>
      <c r="I76" t="s">
        <v>288</v>
      </c>
      <c r="J76">
        <v>0</v>
      </c>
      <c r="K76" t="s">
        <v>288</v>
      </c>
      <c r="L76">
        <v>0</v>
      </c>
      <c r="M76" t="s">
        <v>287</v>
      </c>
    </row>
    <row r="77" spans="1:13" x14ac:dyDescent="0.25">
      <c r="A77" t="s">
        <v>147</v>
      </c>
      <c r="B77" s="4">
        <v>44618</v>
      </c>
      <c r="C77" t="s">
        <v>289</v>
      </c>
      <c r="D77">
        <v>7.97</v>
      </c>
      <c r="E77" t="s">
        <v>288</v>
      </c>
      <c r="F77" t="s">
        <v>148</v>
      </c>
      <c r="G77" t="s">
        <v>290</v>
      </c>
      <c r="H77" s="4">
        <v>44638</v>
      </c>
      <c r="I77" t="s">
        <v>291</v>
      </c>
      <c r="J77">
        <v>7.97</v>
      </c>
      <c r="K77" t="s">
        <v>292</v>
      </c>
      <c r="L77" t="s">
        <v>293</v>
      </c>
      <c r="M77" t="s">
        <v>290</v>
      </c>
    </row>
    <row r="78" spans="1:13" x14ac:dyDescent="0.25">
      <c r="A78" t="s">
        <v>147</v>
      </c>
      <c r="B78" s="4">
        <v>44646</v>
      </c>
      <c r="C78" t="s">
        <v>294</v>
      </c>
      <c r="D78">
        <v>0</v>
      </c>
      <c r="E78" t="s">
        <v>294</v>
      </c>
      <c r="F78" t="s">
        <v>148</v>
      </c>
      <c r="G78" t="s">
        <v>290</v>
      </c>
      <c r="H78" s="4">
        <v>44666</v>
      </c>
      <c r="I78" t="s">
        <v>295</v>
      </c>
      <c r="J78">
        <v>0</v>
      </c>
      <c r="K78" t="s">
        <v>294</v>
      </c>
      <c r="L78" t="s">
        <v>296</v>
      </c>
      <c r="M78" t="s">
        <v>290</v>
      </c>
    </row>
    <row r="79" spans="1:13" x14ac:dyDescent="0.25">
      <c r="A79" t="s">
        <v>147</v>
      </c>
      <c r="B79" s="4">
        <v>44677</v>
      </c>
      <c r="C79" t="s">
        <v>297</v>
      </c>
      <c r="D79">
        <v>0</v>
      </c>
      <c r="E79" t="s">
        <v>297</v>
      </c>
      <c r="F79" t="s">
        <v>148</v>
      </c>
      <c r="G79" t="s">
        <v>290</v>
      </c>
      <c r="H79" s="4">
        <v>44679</v>
      </c>
      <c r="I79" t="s">
        <v>298</v>
      </c>
      <c r="J79">
        <v>0</v>
      </c>
      <c r="K79" t="s">
        <v>297</v>
      </c>
      <c r="L79">
        <v>245.98</v>
      </c>
      <c r="M79" t="s">
        <v>290</v>
      </c>
    </row>
    <row r="80" spans="1:13" x14ac:dyDescent="0.25">
      <c r="A80" t="s">
        <v>149</v>
      </c>
      <c r="B80" s="4">
        <v>44707</v>
      </c>
      <c r="C80" t="s">
        <v>299</v>
      </c>
      <c r="D80">
        <v>0</v>
      </c>
      <c r="E80" t="s">
        <v>299</v>
      </c>
      <c r="F80" t="s">
        <v>148</v>
      </c>
      <c r="G80" t="s">
        <v>290</v>
      </c>
      <c r="H80" s="4"/>
      <c r="I80">
        <v>0</v>
      </c>
      <c r="J80">
        <v>0</v>
      </c>
      <c r="K80">
        <v>0</v>
      </c>
      <c r="L80">
        <v>0</v>
      </c>
      <c r="M80" t="s">
        <v>290</v>
      </c>
    </row>
    <row r="81" spans="1:13" x14ac:dyDescent="0.25">
      <c r="A81" t="s">
        <v>149</v>
      </c>
      <c r="B81" s="4">
        <v>44738</v>
      </c>
      <c r="C81" t="s">
        <v>300</v>
      </c>
      <c r="D81" t="s">
        <v>301</v>
      </c>
      <c r="E81" t="s">
        <v>297</v>
      </c>
      <c r="F81" t="s">
        <v>148</v>
      </c>
      <c r="G81" t="s">
        <v>302</v>
      </c>
      <c r="H81" s="4"/>
      <c r="I81">
        <v>0</v>
      </c>
      <c r="J81">
        <v>0</v>
      </c>
      <c r="K81">
        <v>0</v>
      </c>
      <c r="L81">
        <v>0</v>
      </c>
      <c r="M81" t="s">
        <v>290</v>
      </c>
    </row>
    <row r="82" spans="1:13" x14ac:dyDescent="0.25">
      <c r="A82" t="s">
        <v>149</v>
      </c>
      <c r="B82" s="4">
        <v>44768</v>
      </c>
      <c r="C82" t="s">
        <v>300</v>
      </c>
      <c r="D82" t="s">
        <v>303</v>
      </c>
      <c r="E82" t="s">
        <v>304</v>
      </c>
      <c r="F82" t="s">
        <v>148</v>
      </c>
      <c r="G82" t="s">
        <v>305</v>
      </c>
      <c r="H82" s="4"/>
      <c r="I82">
        <v>0</v>
      </c>
      <c r="J82">
        <v>0</v>
      </c>
      <c r="K82">
        <v>0</v>
      </c>
      <c r="L82">
        <v>0</v>
      </c>
      <c r="M82" t="s">
        <v>290</v>
      </c>
    </row>
    <row r="83" spans="1:13" x14ac:dyDescent="0.25">
      <c r="A83" t="s">
        <v>149</v>
      </c>
      <c r="B83" s="4">
        <v>44799</v>
      </c>
      <c r="C83" t="s">
        <v>300</v>
      </c>
      <c r="D83" t="s">
        <v>306</v>
      </c>
      <c r="E83" t="s">
        <v>307</v>
      </c>
      <c r="F83" t="s">
        <v>148</v>
      </c>
      <c r="G83" t="s">
        <v>308</v>
      </c>
      <c r="H83" s="4"/>
      <c r="I83">
        <v>0</v>
      </c>
      <c r="J83">
        <v>0</v>
      </c>
      <c r="K83">
        <v>0</v>
      </c>
      <c r="L83">
        <v>0</v>
      </c>
      <c r="M83" t="s">
        <v>290</v>
      </c>
    </row>
    <row r="84" spans="1:13" x14ac:dyDescent="0.25">
      <c r="A84" t="s">
        <v>149</v>
      </c>
      <c r="B84" s="4">
        <v>44830</v>
      </c>
      <c r="C84" t="s">
        <v>300</v>
      </c>
      <c r="D84" t="s">
        <v>309</v>
      </c>
      <c r="E84" t="s">
        <v>310</v>
      </c>
      <c r="F84" t="s">
        <v>148</v>
      </c>
      <c r="G84" t="s">
        <v>311</v>
      </c>
      <c r="H84" s="4"/>
      <c r="I84">
        <v>0</v>
      </c>
      <c r="J84">
        <v>0</v>
      </c>
      <c r="K84">
        <v>0</v>
      </c>
      <c r="L84">
        <v>0</v>
      </c>
      <c r="M84" t="s">
        <v>290</v>
      </c>
    </row>
    <row r="85" spans="1:13" x14ac:dyDescent="0.25">
      <c r="A85" t="s">
        <v>149</v>
      </c>
      <c r="B85" s="4">
        <v>44860</v>
      </c>
      <c r="C85" t="s">
        <v>300</v>
      </c>
      <c r="D85" t="s">
        <v>312</v>
      </c>
      <c r="E85" t="s">
        <v>313</v>
      </c>
      <c r="F85" t="s">
        <v>148</v>
      </c>
      <c r="G85" t="s">
        <v>314</v>
      </c>
      <c r="H85" s="4"/>
      <c r="I85">
        <v>0</v>
      </c>
      <c r="J85">
        <v>0</v>
      </c>
      <c r="K85">
        <v>0</v>
      </c>
      <c r="L85">
        <v>0</v>
      </c>
      <c r="M85" t="s">
        <v>290</v>
      </c>
    </row>
    <row r="86" spans="1:13" x14ac:dyDescent="0.25">
      <c r="A86" t="s">
        <v>149</v>
      </c>
      <c r="B86" s="4">
        <v>44891</v>
      </c>
      <c r="C86" t="s">
        <v>300</v>
      </c>
      <c r="D86" t="s">
        <v>315</v>
      </c>
      <c r="E86" t="s">
        <v>316</v>
      </c>
      <c r="F86" t="s">
        <v>148</v>
      </c>
      <c r="G86" t="s">
        <v>317</v>
      </c>
      <c r="H86" s="4"/>
      <c r="I86">
        <v>0</v>
      </c>
      <c r="J86">
        <v>0</v>
      </c>
      <c r="K86">
        <v>0</v>
      </c>
      <c r="L86">
        <v>0</v>
      </c>
      <c r="M86" t="s">
        <v>290</v>
      </c>
    </row>
    <row r="87" spans="1:13" x14ac:dyDescent="0.25">
      <c r="A87" t="s">
        <v>149</v>
      </c>
      <c r="B87" s="4">
        <v>44921</v>
      </c>
      <c r="C87" t="s">
        <v>300</v>
      </c>
      <c r="D87" t="s">
        <v>318</v>
      </c>
      <c r="E87" t="s">
        <v>319</v>
      </c>
      <c r="F87" t="s">
        <v>148</v>
      </c>
      <c r="G87" t="s">
        <v>320</v>
      </c>
      <c r="H87" s="4"/>
      <c r="I87">
        <v>0</v>
      </c>
      <c r="J87">
        <v>0</v>
      </c>
      <c r="K87">
        <v>0</v>
      </c>
      <c r="L87">
        <v>0</v>
      </c>
      <c r="M87" t="s">
        <v>290</v>
      </c>
    </row>
    <row r="88" spans="1:13" x14ac:dyDescent="0.25">
      <c r="A88" t="s">
        <v>149</v>
      </c>
      <c r="B88" s="4">
        <v>44952</v>
      </c>
      <c r="C88" t="s">
        <v>300</v>
      </c>
      <c r="D88" t="s">
        <v>321</v>
      </c>
      <c r="E88" t="s">
        <v>322</v>
      </c>
      <c r="F88" t="s">
        <v>148</v>
      </c>
      <c r="G88" t="s">
        <v>323</v>
      </c>
      <c r="H88" s="4"/>
      <c r="I88">
        <v>0</v>
      </c>
      <c r="J88">
        <v>0</v>
      </c>
      <c r="K88">
        <v>0</v>
      </c>
      <c r="L88">
        <v>0</v>
      </c>
      <c r="M88" t="s">
        <v>290</v>
      </c>
    </row>
    <row r="89" spans="1:13" x14ac:dyDescent="0.25">
      <c r="A89" t="s">
        <v>149</v>
      </c>
      <c r="B89" s="4">
        <v>44983</v>
      </c>
      <c r="C89" t="s">
        <v>300</v>
      </c>
      <c r="D89" t="s">
        <v>324</v>
      </c>
      <c r="E89" t="s">
        <v>325</v>
      </c>
      <c r="F89" t="s">
        <v>148</v>
      </c>
      <c r="G89" t="s">
        <v>326</v>
      </c>
      <c r="H89" s="4"/>
      <c r="I89">
        <v>0</v>
      </c>
      <c r="J89">
        <v>0</v>
      </c>
      <c r="K89">
        <v>0</v>
      </c>
      <c r="L89">
        <v>0</v>
      </c>
      <c r="M89" t="s">
        <v>290</v>
      </c>
    </row>
    <row r="90" spans="1:13" x14ac:dyDescent="0.25">
      <c r="A90" t="s">
        <v>149</v>
      </c>
      <c r="B90" s="4">
        <v>45011</v>
      </c>
      <c r="C90" t="s">
        <v>300</v>
      </c>
      <c r="D90" t="s">
        <v>327</v>
      </c>
      <c r="E90" t="s">
        <v>328</v>
      </c>
      <c r="F90" t="s">
        <v>148</v>
      </c>
      <c r="G90" t="s">
        <v>329</v>
      </c>
      <c r="I90">
        <v>0</v>
      </c>
      <c r="J90">
        <v>0</v>
      </c>
      <c r="K90">
        <v>0</v>
      </c>
      <c r="L90">
        <v>0</v>
      </c>
      <c r="M90" t="s">
        <v>290</v>
      </c>
    </row>
    <row r="91" spans="1:13" x14ac:dyDescent="0.25">
      <c r="A91" t="s">
        <v>149</v>
      </c>
      <c r="B91" s="4">
        <v>45042</v>
      </c>
      <c r="C91" t="s">
        <v>300</v>
      </c>
      <c r="D91" t="s">
        <v>330</v>
      </c>
      <c r="E91" t="s">
        <v>331</v>
      </c>
      <c r="F91" t="s">
        <v>148</v>
      </c>
      <c r="G91" t="s">
        <v>332</v>
      </c>
      <c r="I91">
        <v>0</v>
      </c>
      <c r="J91">
        <v>0</v>
      </c>
      <c r="K91">
        <v>0</v>
      </c>
      <c r="L91">
        <v>0</v>
      </c>
      <c r="M91" t="s">
        <v>290</v>
      </c>
    </row>
    <row r="92" spans="1:13" x14ac:dyDescent="0.25">
      <c r="A92" t="s">
        <v>149</v>
      </c>
      <c r="B92" s="4">
        <v>45072</v>
      </c>
      <c r="C92" t="s">
        <v>333</v>
      </c>
      <c r="D92" t="s">
        <v>332</v>
      </c>
      <c r="E92" t="s">
        <v>334</v>
      </c>
      <c r="F92" t="s">
        <v>148</v>
      </c>
      <c r="G92">
        <v>0</v>
      </c>
      <c r="I92">
        <v>0</v>
      </c>
      <c r="J92">
        <v>0</v>
      </c>
      <c r="K92">
        <v>0</v>
      </c>
      <c r="L92">
        <v>0</v>
      </c>
      <c r="M92" t="s">
        <v>290</v>
      </c>
    </row>
    <row r="93" spans="1:13" x14ac:dyDescent="0.25">
      <c r="A93" t="s">
        <v>150</v>
      </c>
      <c r="B93" s="4"/>
    </row>
    <row r="94" spans="1:13" x14ac:dyDescent="0.25">
      <c r="A94" t="s">
        <v>87</v>
      </c>
      <c r="B94" s="4" t="s">
        <v>88</v>
      </c>
      <c r="C94" t="s">
        <v>89</v>
      </c>
      <c r="D94" t="s">
        <v>90</v>
      </c>
      <c r="E94" t="s">
        <v>91</v>
      </c>
    </row>
    <row r="95" spans="1:13" x14ac:dyDescent="0.25">
      <c r="A95" s="4">
        <v>44373</v>
      </c>
      <c r="B95" s="4" t="s">
        <v>265</v>
      </c>
      <c r="C95" t="s">
        <v>266</v>
      </c>
      <c r="D95" t="s">
        <v>267</v>
      </c>
      <c r="E95">
        <v>0</v>
      </c>
    </row>
    <row r="96" spans="1:13" x14ac:dyDescent="0.25">
      <c r="A96" s="4">
        <v>44403</v>
      </c>
      <c r="B96" s="4" t="s">
        <v>269</v>
      </c>
      <c r="C96" t="s">
        <v>270</v>
      </c>
      <c r="D96" t="s">
        <v>271</v>
      </c>
      <c r="E96">
        <v>0</v>
      </c>
    </row>
    <row r="97" spans="1:5" x14ac:dyDescent="0.25">
      <c r="A97" s="4">
        <v>44434</v>
      </c>
      <c r="B97" s="4" t="s">
        <v>269</v>
      </c>
      <c r="C97" t="s">
        <v>273</v>
      </c>
      <c r="D97" t="s">
        <v>274</v>
      </c>
      <c r="E97">
        <v>0</v>
      </c>
    </row>
    <row r="98" spans="1:5" x14ac:dyDescent="0.25">
      <c r="A98" s="4">
        <v>44465</v>
      </c>
      <c r="B98" s="4" t="s">
        <v>269</v>
      </c>
      <c r="C98" t="s">
        <v>276</v>
      </c>
      <c r="D98" t="s">
        <v>277</v>
      </c>
      <c r="E98">
        <v>0</v>
      </c>
    </row>
    <row r="99" spans="1:5" x14ac:dyDescent="0.25">
      <c r="A99" s="4">
        <v>44495</v>
      </c>
      <c r="B99" s="4" t="s">
        <v>269</v>
      </c>
      <c r="C99" t="s">
        <v>279</v>
      </c>
      <c r="D99" t="s">
        <v>280</v>
      </c>
      <c r="E99">
        <v>0</v>
      </c>
    </row>
    <row r="100" spans="1:5" x14ac:dyDescent="0.25">
      <c r="A100" s="4">
        <v>44526</v>
      </c>
      <c r="B100" s="4" t="s">
        <v>269</v>
      </c>
      <c r="C100" t="s">
        <v>282</v>
      </c>
      <c r="D100" t="s">
        <v>283</v>
      </c>
      <c r="E100">
        <v>0</v>
      </c>
    </row>
    <row r="101" spans="1:5" x14ac:dyDescent="0.25">
      <c r="A101" s="4">
        <v>44556</v>
      </c>
      <c r="B101" s="4" t="s">
        <v>269</v>
      </c>
      <c r="C101" t="s">
        <v>285</v>
      </c>
      <c r="D101" t="s">
        <v>286</v>
      </c>
      <c r="E101">
        <v>0</v>
      </c>
    </row>
    <row r="102" spans="1:5" x14ac:dyDescent="0.25">
      <c r="A102" s="4">
        <v>44587</v>
      </c>
      <c r="B102" s="4" t="s">
        <v>288</v>
      </c>
      <c r="C102">
        <v>0</v>
      </c>
      <c r="D102" t="s">
        <v>288</v>
      </c>
      <c r="E102">
        <v>0</v>
      </c>
    </row>
    <row r="103" spans="1:5" x14ac:dyDescent="0.25">
      <c r="A103" s="4">
        <v>44618</v>
      </c>
      <c r="B103" s="4">
        <v>7.56</v>
      </c>
      <c r="C103">
        <v>0</v>
      </c>
      <c r="D103">
        <v>7.56</v>
      </c>
      <c r="E103">
        <v>0</v>
      </c>
    </row>
    <row r="104" spans="1:5" x14ac:dyDescent="0.25">
      <c r="A104" s="4">
        <v>44638</v>
      </c>
      <c r="B104" s="4" t="s">
        <v>335</v>
      </c>
      <c r="C104">
        <v>7.97</v>
      </c>
      <c r="D104" t="s">
        <v>336</v>
      </c>
      <c r="E104">
        <v>0</v>
      </c>
    </row>
    <row r="105" spans="1:5" x14ac:dyDescent="0.25">
      <c r="A105" s="4">
        <v>44646</v>
      </c>
      <c r="B105" s="4">
        <v>100</v>
      </c>
      <c r="C105">
        <v>0</v>
      </c>
      <c r="D105">
        <v>100</v>
      </c>
      <c r="E105">
        <v>0</v>
      </c>
    </row>
    <row r="106" spans="1:5" x14ac:dyDescent="0.25">
      <c r="A106" s="4">
        <v>44666</v>
      </c>
      <c r="B106" s="4" t="s">
        <v>337</v>
      </c>
      <c r="C106">
        <v>0</v>
      </c>
      <c r="D106" t="s">
        <v>338</v>
      </c>
      <c r="E106" t="s">
        <v>339</v>
      </c>
    </row>
    <row r="107" spans="1:5" x14ac:dyDescent="0.25">
      <c r="A107" s="4">
        <v>44679</v>
      </c>
      <c r="B107" s="4" t="s">
        <v>340</v>
      </c>
      <c r="C107">
        <v>0</v>
      </c>
      <c r="D107" t="s">
        <v>297</v>
      </c>
      <c r="E107" t="s">
        <v>341</v>
      </c>
    </row>
    <row r="108" spans="1:5" x14ac:dyDescent="0.25">
      <c r="A108" t="s">
        <v>92</v>
      </c>
      <c r="B108" s="4" t="s">
        <v>342</v>
      </c>
      <c r="C108" t="s">
        <v>343</v>
      </c>
      <c r="D108" t="s">
        <v>344</v>
      </c>
      <c r="E108" t="s">
        <v>345</v>
      </c>
    </row>
    <row r="109" spans="1:5" x14ac:dyDescent="0.25">
      <c r="A109" t="s">
        <v>151</v>
      </c>
      <c r="B109" s="4"/>
    </row>
    <row r="110" spans="1:5" x14ac:dyDescent="0.25">
      <c r="A110" t="s">
        <v>152</v>
      </c>
      <c r="B110" s="4"/>
    </row>
    <row r="111" spans="1:5" x14ac:dyDescent="0.25">
      <c r="B111" s="4"/>
    </row>
    <row r="114" spans="1:1" x14ac:dyDescent="0.25">
      <c r="A114" s="4"/>
    </row>
    <row r="115" spans="1:1" x14ac:dyDescent="0.25">
      <c r="A115" s="4"/>
    </row>
    <row r="116" spans="1:1" x14ac:dyDescent="0.25">
      <c r="A116" s="4"/>
    </row>
    <row r="117" spans="1:1" x14ac:dyDescent="0.25">
      <c r="A117" s="4"/>
    </row>
    <row r="118" spans="1:1" x14ac:dyDescent="0.25">
      <c r="A118" s="4"/>
    </row>
    <row r="119" spans="1:1" x14ac:dyDescent="0.25">
      <c r="A119" s="4"/>
    </row>
    <row r="120" spans="1:1" x14ac:dyDescent="0.25">
      <c r="A120" s="4"/>
    </row>
    <row r="121" spans="1:1" x14ac:dyDescent="0.25">
      <c r="A121" s="4"/>
    </row>
    <row r="122" spans="1:1" x14ac:dyDescent="0.25">
      <c r="A122" s="4"/>
    </row>
    <row r="123" spans="1:1" x14ac:dyDescent="0.25">
      <c r="A123" s="4"/>
    </row>
    <row r="124" spans="1:1" x14ac:dyDescent="0.25">
      <c r="A124" s="4"/>
    </row>
    <row r="125" spans="1:1" x14ac:dyDescent="0.25">
      <c r="A125" s="4"/>
    </row>
    <row r="126" spans="1:1" x14ac:dyDescent="0.25">
      <c r="A126" s="4"/>
    </row>
    <row r="127" spans="1:1" x14ac:dyDescent="0.25">
      <c r="A127" s="4"/>
    </row>
    <row r="128" spans="1:1" x14ac:dyDescent="0.25">
      <c r="A128" s="4"/>
    </row>
    <row r="129" spans="1:1" x14ac:dyDescent="0.25">
      <c r="A129" s="4"/>
    </row>
    <row r="130" spans="1:1" x14ac:dyDescent="0.25">
      <c r="A130" s="4"/>
    </row>
    <row r="131" spans="1:1" x14ac:dyDescent="0.25">
      <c r="A131" s="4"/>
    </row>
    <row r="132" spans="1:1" x14ac:dyDescent="0.25">
      <c r="A132" s="4"/>
    </row>
    <row r="133" spans="1:1" x14ac:dyDescent="0.25">
      <c r="A133" s="4"/>
    </row>
    <row r="134" spans="1:1" x14ac:dyDescent="0.25">
      <c r="A134" s="4"/>
    </row>
    <row r="135" spans="1:1" x14ac:dyDescent="0.25">
      <c r="A135" s="4"/>
    </row>
    <row r="136" spans="1:1" x14ac:dyDescent="0.25">
      <c r="A136" s="4"/>
    </row>
    <row r="137" spans="1:1" x14ac:dyDescent="0.25">
      <c r="A137" s="4"/>
    </row>
    <row r="138" spans="1:1" x14ac:dyDescent="0.25">
      <c r="A138" s="4"/>
    </row>
    <row r="139" spans="1:1" x14ac:dyDescent="0.25">
      <c r="A139" s="4"/>
    </row>
    <row r="140" spans="1:1" x14ac:dyDescent="0.25">
      <c r="A140" s="4"/>
    </row>
    <row r="141" spans="1:1" x14ac:dyDescent="0.25">
      <c r="A141" s="4"/>
    </row>
    <row r="142" spans="1:1" x14ac:dyDescent="0.25">
      <c r="A142" s="4"/>
    </row>
    <row r="143" spans="1:1" x14ac:dyDescent="0.25">
      <c r="A143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88A53-F269-4B75-8792-02343A60D1B2}">
  <sheetPr codeName="Лист9"/>
  <dimension ref="A21:H95"/>
  <sheetViews>
    <sheetView workbookViewId="0">
      <selection activeCell="A19" sqref="A19"/>
    </sheetView>
  </sheetViews>
  <sheetFormatPr defaultRowHeight="15" x14ac:dyDescent="0.25"/>
  <cols>
    <col min="1" max="1" width="89.140625" bestFit="1" customWidth="1"/>
  </cols>
  <sheetData>
    <row r="21" spans="4:5" x14ac:dyDescent="0.25">
      <c r="D21" s="4"/>
    </row>
    <row r="22" spans="4:5" x14ac:dyDescent="0.25">
      <c r="D22" s="4"/>
      <c r="E22" s="4"/>
    </row>
    <row r="23" spans="4:5" x14ac:dyDescent="0.25">
      <c r="D23" s="4"/>
    </row>
    <row r="59" spans="1:2" x14ac:dyDescent="0.25">
      <c r="A59" s="4"/>
      <c r="B59" s="4"/>
    </row>
    <row r="61" spans="1:2" x14ac:dyDescent="0.25">
      <c r="B61" s="4"/>
    </row>
    <row r="62" spans="1:2" x14ac:dyDescent="0.25">
      <c r="B62" s="4"/>
    </row>
    <row r="63" spans="1:2" x14ac:dyDescent="0.25">
      <c r="B63" s="4"/>
    </row>
    <row r="64" spans="1:2" x14ac:dyDescent="0.25">
      <c r="B64" s="4"/>
    </row>
    <row r="65" spans="2:8" x14ac:dyDescent="0.25">
      <c r="B65" s="4"/>
    </row>
    <row r="66" spans="2:8" x14ac:dyDescent="0.25">
      <c r="B66" s="4"/>
    </row>
    <row r="67" spans="2:8" x14ac:dyDescent="0.25">
      <c r="B67" s="4"/>
      <c r="H67" s="4"/>
    </row>
    <row r="68" spans="2:8" x14ac:dyDescent="0.25">
      <c r="B68" s="4"/>
      <c r="H68" s="4"/>
    </row>
    <row r="69" spans="2:8" x14ac:dyDescent="0.25">
      <c r="B69" s="4"/>
      <c r="H69" s="4"/>
    </row>
    <row r="70" spans="2:8" x14ac:dyDescent="0.25">
      <c r="B70" s="4"/>
      <c r="H70" s="4"/>
    </row>
    <row r="71" spans="2:8" x14ac:dyDescent="0.25">
      <c r="B71" s="4"/>
      <c r="H71" s="4"/>
    </row>
    <row r="72" spans="2:8" x14ac:dyDescent="0.25">
      <c r="B72" s="4"/>
    </row>
    <row r="73" spans="2:8" x14ac:dyDescent="0.25">
      <c r="B73" s="4"/>
    </row>
    <row r="74" spans="2:8" x14ac:dyDescent="0.25">
      <c r="B74" s="4"/>
    </row>
    <row r="75" spans="2:8" x14ac:dyDescent="0.25">
      <c r="B75" s="4"/>
    </row>
    <row r="76" spans="2:8" x14ac:dyDescent="0.25">
      <c r="B76" s="4"/>
    </row>
    <row r="77" spans="2:8" x14ac:dyDescent="0.25">
      <c r="B77" s="4"/>
    </row>
    <row r="78" spans="2:8" x14ac:dyDescent="0.25">
      <c r="B78" s="4"/>
    </row>
    <row r="79" spans="2:8" x14ac:dyDescent="0.25">
      <c r="B79" s="4"/>
    </row>
    <row r="80" spans="2:8" x14ac:dyDescent="0.25">
      <c r="B80" s="4"/>
    </row>
    <row r="81" spans="1:2" x14ac:dyDescent="0.25">
      <c r="B81" s="4"/>
    </row>
    <row r="82" spans="1:2" x14ac:dyDescent="0.25">
      <c r="B82" s="4"/>
    </row>
    <row r="83" spans="1:2" x14ac:dyDescent="0.25">
      <c r="B83" s="4"/>
    </row>
    <row r="84" spans="1:2" x14ac:dyDescent="0.25">
      <c r="B84" s="4"/>
    </row>
    <row r="85" spans="1:2" x14ac:dyDescent="0.25">
      <c r="B85" s="4"/>
    </row>
    <row r="86" spans="1:2" x14ac:dyDescent="0.25">
      <c r="B86" s="4"/>
    </row>
    <row r="87" spans="1:2" x14ac:dyDescent="0.25">
      <c r="B87" s="4"/>
    </row>
    <row r="88" spans="1:2" x14ac:dyDescent="0.25">
      <c r="B88" s="4"/>
    </row>
    <row r="91" spans="1:2" x14ac:dyDescent="0.25">
      <c r="A91" s="4"/>
    </row>
    <row r="92" spans="1:2" x14ac:dyDescent="0.25">
      <c r="A92" s="4"/>
    </row>
    <row r="93" spans="1:2" x14ac:dyDescent="0.25">
      <c r="A93" s="4"/>
    </row>
    <row r="94" spans="1:2" x14ac:dyDescent="0.25">
      <c r="A94" s="4"/>
    </row>
    <row r="95" spans="1:2" x14ac:dyDescent="0.25">
      <c r="A95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DF55-4D4E-493F-AF9C-E116E45EA014}">
  <sheetPr codeName="Лист6"/>
  <dimension ref="A1:N17"/>
  <sheetViews>
    <sheetView workbookViewId="0">
      <selection activeCell="C4" sqref="C4"/>
    </sheetView>
  </sheetViews>
  <sheetFormatPr defaultRowHeight="15" x14ac:dyDescent="0.25"/>
  <cols>
    <col min="1" max="2" width="10.140625" bestFit="1" customWidth="1"/>
    <col min="3" max="3" width="16.7109375" bestFit="1" customWidth="1"/>
    <col min="4" max="5" width="12.42578125" bestFit="1" customWidth="1"/>
    <col min="6" max="6" width="19" bestFit="1" customWidth="1"/>
    <col min="8" max="8" width="20.85546875" bestFit="1" customWidth="1"/>
    <col min="11" max="11" width="9.42578125" bestFit="1" customWidth="1"/>
    <col min="12" max="12" width="12.85546875" style="58" bestFit="1" customWidth="1"/>
    <col min="13" max="13" width="12.28515625" style="58" bestFit="1" customWidth="1"/>
    <col min="14" max="14" width="14.5703125" bestFit="1" customWidth="1"/>
  </cols>
  <sheetData>
    <row r="1" spans="1:14" ht="15.75" thickBot="1" x14ac:dyDescent="0.3">
      <c r="A1" s="190" t="s">
        <v>153</v>
      </c>
      <c r="B1" s="191"/>
      <c r="C1" s="191"/>
      <c r="D1" s="192"/>
      <c r="F1" t="s">
        <v>129</v>
      </c>
      <c r="G1">
        <f>IFERROR(MATCH("Процентная ставка:",РК!A:A,0),"")</f>
        <v>31</v>
      </c>
      <c r="H1" t="s">
        <v>146</v>
      </c>
      <c r="I1">
        <f>COUNTIF(РК!A:A,обработка!H1)</f>
        <v>8</v>
      </c>
      <c r="K1" s="193" t="s">
        <v>159</v>
      </c>
      <c r="L1" s="193"/>
      <c r="M1" s="193"/>
      <c r="N1" s="193"/>
    </row>
    <row r="2" spans="1:14" x14ac:dyDescent="0.25">
      <c r="A2" s="33" t="s">
        <v>154</v>
      </c>
      <c r="B2" s="33" t="s">
        <v>155</v>
      </c>
      <c r="C2" s="33" t="s">
        <v>156</v>
      </c>
      <c r="D2" s="33">
        <f>IFERROR(SMALL(B2:B15,1),"")</f>
        <v>50</v>
      </c>
      <c r="F2" t="s">
        <v>166</v>
      </c>
      <c r="G2">
        <f>IFERROR(MATCH("ССЫЛКА НА ОПЛАТУ*",РК!A:A,0),"")</f>
        <v>36</v>
      </c>
      <c r="H2" t="s">
        <v>147</v>
      </c>
      <c r="I2">
        <f>COUNTIF(РК!A:A,обработка!H2)</f>
        <v>3</v>
      </c>
      <c r="L2" s="155" t="s">
        <v>237</v>
      </c>
      <c r="M2" s="155" t="s">
        <v>238</v>
      </c>
      <c r="N2" t="s">
        <v>239</v>
      </c>
    </row>
    <row r="3" spans="1:14" x14ac:dyDescent="0.25">
      <c r="A3" s="2" t="str">
        <f>IFERROR(IF(MATCH("Процентная ставка:",РК!A:A,0)+ROW(AB1)&lt;$G$2,LEFT(INDEX(РК!A:A,MATCH("Процентная ставка:",РК!A:A,0)+ROW(AB1)),10),""),"")</f>
        <v>19.03.2022</v>
      </c>
      <c r="B3" s="2">
        <f>IFERROR(IF(MATCH("Процентная ставка:",РК!A:A,0)+ROW(AB1)&lt;$G$2,SUM(MID(RIGHT(INDEX(РК!A:A,MATCH("Процентная ставка:",РК!A:A,0)+ROW(AB1)),3),1,2)),""),"")</f>
        <v>55</v>
      </c>
      <c r="C3" s="2" t="s">
        <v>157</v>
      </c>
      <c r="D3" s="2" t="s">
        <v>158</v>
      </c>
      <c r="H3" t="s">
        <v>161</v>
      </c>
      <c r="I3" t="str">
        <f>IFERROR(MATCH(H3,РК!A:A,0),"")</f>
        <v/>
      </c>
      <c r="K3" t="s">
        <v>164</v>
      </c>
      <c r="L3" s="58">
        <f>IFERROR(SUBSTITUTE(INDEX(до!B:B,MATCH("Итого:",до!A:A,0)),CHAR(160),""),"")+0</f>
        <v>179407.25</v>
      </c>
      <c r="M3" s="58">
        <f>IFERROR(IFERROR(SUBSTITUTE(INDEX(после!B:B,MATCH("Итого:",после!A:A,0)),CHAR(160),""),"")+0,0)</f>
        <v>0</v>
      </c>
      <c r="N3" s="59">
        <f>L3+M3</f>
        <v>179407.25</v>
      </c>
    </row>
    <row r="4" spans="1:14" x14ac:dyDescent="0.25">
      <c r="A4" s="2" t="str">
        <f>IFERROR(IF(MATCH("Процентная ставка:",РК!A:A,0)+ROW(AB2)&lt;$G$2,LEFT(INDEX(РК!A:A,MATCH("Процентная ставка:",РК!A:A,0)+ROW(AB2)),10),""),"")</f>
        <v>27.01.2022</v>
      </c>
      <c r="B4" s="2">
        <f>IFERROR(IF(MATCH("Процентная ставка:",РК!A:A,0)+ROW(AB2)&lt;$G$2,SUM(MID(RIGHT(INDEX(РК!A:A,MATCH("Процентная ставка:",РК!A:A,0)+ROW(AB2)),3),1,2)),""),"")</f>
        <v>50</v>
      </c>
      <c r="C4" s="157">
        <f>IFERROR(IF(B3&gt;B4,A3,"")-1,"")</f>
        <v>44638</v>
      </c>
      <c r="D4" s="2">
        <f>IF(B3&gt;B4,B3,"")</f>
        <v>55</v>
      </c>
      <c r="H4" t="s">
        <v>149</v>
      </c>
      <c r="I4">
        <f>IFERROR(MATCH("Просрочен",РК!A:A,0),"")</f>
        <v>80</v>
      </c>
      <c r="K4" t="s">
        <v>52</v>
      </c>
      <c r="L4" s="58">
        <f>IFERROR(SUBSTITUTE(INDEX(до!C:C,MATCH("Итого:",до!A:A,0)),CHAR(160),""),"")+0</f>
        <v>56328.52</v>
      </c>
      <c r="M4" s="58">
        <f>IFERROR(IFERROR(SUBSTITUTE(INDEX(после!C:C,MATCH("Итого:",после!A:A,0)),CHAR(160),""),"")+0,0)</f>
        <v>0</v>
      </c>
      <c r="N4" s="59">
        <f t="shared" ref="N4:N6" si="0">L4+M4</f>
        <v>56328.52</v>
      </c>
    </row>
    <row r="5" spans="1:14" x14ac:dyDescent="0.25">
      <c r="A5" s="2" t="str">
        <f>IFERROR(IF(MATCH("Процентная ставка:",РК!A:A,0)+ROW(AB3)&lt;$G$2,LEFT(INDEX(РК!A:A,MATCH("Процентная ставка:",РК!A:A,0)+ROW(AB3)),10),""),"")</f>
        <v>19.06.2021</v>
      </c>
      <c r="B5" s="2">
        <f>IFERROR(IF(MATCH("Процентная ставка:",РК!A:A,0)+ROW(AB3)&lt;$G$2,SUM(MID(RIGHT(INDEX(РК!A:A,MATCH("Процентная ставка:",РК!A:A,0)+ROW(AB3)),3),1,2)),""),"")</f>
        <v>50</v>
      </c>
      <c r="C5" s="2" t="str">
        <f t="shared" ref="C5:C10" si="1">IFERROR(IF(B4&gt;B5,A4,"")-1,"")</f>
        <v/>
      </c>
      <c r="D5" s="2" t="str">
        <f t="shared" ref="D5:D10" si="2">IF(B4&gt;B5,B4,"")</f>
        <v/>
      </c>
      <c r="K5" t="s">
        <v>53</v>
      </c>
      <c r="L5" s="58">
        <f>IFERROR(SUBSTITUTE(INDEX(до!D:D,MATCH("Итого:",до!A:A,0)),CHAR(160),""),"")+0</f>
        <v>117913</v>
      </c>
      <c r="M5" s="58">
        <f>IFERROR(IFERROR(SUBSTITUTE(INDEX(после!D:D,MATCH("Итого:",после!A:A,0)),CHAR(160),""),"")+0,0)</f>
        <v>0</v>
      </c>
      <c r="N5" s="59">
        <f t="shared" si="0"/>
        <v>117913</v>
      </c>
    </row>
    <row r="6" spans="1:14" x14ac:dyDescent="0.25">
      <c r="A6" s="2" t="str">
        <f>IFERROR(IF(MATCH("Процентная ставка:",РК!A:A,0)+ROW(AB4)&lt;$G$2,LEFT(INDEX(РК!A:A,MATCH("Процентная ставка:",РК!A:A,0)+ROW(AB4)),10),""),"")</f>
        <v>20.05.2021</v>
      </c>
      <c r="B6" s="2">
        <f>IFERROR(IF(MATCH("Процентная ставка:",РК!A:A,0)+ROW(AB4)&lt;$G$2,SUM(MID(RIGHT(INDEX(РК!A:A,MATCH("Процентная ставка:",РК!A:A,0)+ROW(AB4)),3),1,2)),""),"")</f>
        <v>50</v>
      </c>
      <c r="C6" s="2" t="str">
        <f t="shared" si="1"/>
        <v/>
      </c>
      <c r="D6" s="2" t="str">
        <f t="shared" si="2"/>
        <v/>
      </c>
      <c r="K6" t="s">
        <v>69</v>
      </c>
      <c r="L6" s="58">
        <f>IFERROR(SUBSTITUTE(INDEX(до!E:E,MATCH("Итого:",до!A:A,0)),CHAR(160),""),"")+0</f>
        <v>5165.7299999999996</v>
      </c>
      <c r="M6" s="58">
        <f>IFERROR(IFERROR(SUBSTITUTE(INDEX(после!E:E,MATCH("Итого:",после!A:A,0)),CHAR(160),""),"")+0,0)</f>
        <v>0</v>
      </c>
      <c r="N6" s="59">
        <f t="shared" si="0"/>
        <v>5165.7299999999996</v>
      </c>
    </row>
    <row r="7" spans="1:14" x14ac:dyDescent="0.25">
      <c r="A7" s="2" t="str">
        <f>IFERROR(IF(MATCH("Процентная ставка:",РК!A:A,0)+ROW(AB5)&lt;$G$2,LEFT(INDEX(РК!A:A,MATCH("Процентная ставка:",РК!A:A,0)+ROW(AB5)),10),""),"")</f>
        <v/>
      </c>
      <c r="B7" s="2" t="str">
        <f>IFERROR(IF(MATCH("Процентная ставка:",РК!A:A,0)+ROW(AB5)&lt;$G$2,SUM(MID(RIGHT(INDEX(РК!A:A,MATCH("Процентная ставка:",РК!A:A,0)+ROW(AB5)),3),1,2)),""),"")</f>
        <v/>
      </c>
      <c r="C7" s="2" t="str">
        <f t="shared" si="1"/>
        <v/>
      </c>
      <c r="D7" s="2" t="str">
        <f t="shared" si="2"/>
        <v/>
      </c>
      <c r="K7" t="s">
        <v>240</v>
      </c>
      <c r="L7" s="156">
        <f ca="1">OFFSET(INDEX(до!B:B,MATCH("Итого:",до!A:A,0)),-1,-1)</f>
        <v>44679</v>
      </c>
      <c r="M7" s="156" t="str">
        <f ca="1">IFERROR(OFFSET(INDEX(после!A:A,MATCH("ПЛАТЕЖИ",после!A:A,0)),2,0),"")</f>
        <v/>
      </c>
      <c r="N7" s="59">
        <f>SUM(N3:N6)</f>
        <v>358814.5</v>
      </c>
    </row>
    <row r="8" spans="1:14" x14ac:dyDescent="0.25">
      <c r="A8" s="2" t="str">
        <f>IFERROR(IF(MATCH("Процентная ставка:",РК!A:A,0)+ROW(AB6)&lt;$G$2,LEFT(INDEX(РК!A:A,MATCH("Процентная ставка:",РК!A:A,0)+ROW(AB6)),10),""),"")</f>
        <v/>
      </c>
      <c r="B8" s="2" t="str">
        <f>IFERROR(IF(MATCH("Процентная ставка:",РК!A:A,0)+ROW(AB6)&lt;$G$2,SUM(MID(RIGHT(INDEX(РК!A:A,MATCH("Процентная ставка:",РК!A:A,0)+ROW(AB6)),3),1,2)),""),"")</f>
        <v/>
      </c>
      <c r="C8" s="2" t="str">
        <f t="shared" si="1"/>
        <v/>
      </c>
      <c r="D8" s="2" t="str">
        <f t="shared" si="2"/>
        <v/>
      </c>
    </row>
    <row r="9" spans="1:14" x14ac:dyDescent="0.25">
      <c r="A9" s="2" t="str">
        <f>IFERROR(IF(MATCH("Процентная ставка:",РК!A:A,0)+ROW(AB7)&lt;$G$2,LEFT(INDEX(РК!A:A,MATCH("Процентная ставка:",РК!A:A,0)+ROW(AB7)),10),""),"")</f>
        <v/>
      </c>
      <c r="B9" s="2" t="str">
        <f>IFERROR(IF(MATCH("Процентная ставка:",РК!A:A,0)+ROW(AB7)&lt;$G$2,SUM(MID(RIGHT(INDEX(РК!A:A,MATCH("Процентная ставка:",РК!A:A,0)+ROW(AB7)),3),1,2)),""),"")</f>
        <v/>
      </c>
      <c r="C9" s="2" t="str">
        <f t="shared" si="1"/>
        <v/>
      </c>
      <c r="D9" s="2" t="str">
        <f t="shared" si="2"/>
        <v/>
      </c>
    </row>
    <row r="10" spans="1:14" x14ac:dyDescent="0.25">
      <c r="A10" s="2" t="str">
        <f>IFERROR(IF(MATCH("Процентная ставка:",РК!A:A,0)+ROW(AB8)&lt;$G$2,LEFT(INDEX(РК!A:A,MATCH("Процентная ставка:",РК!A:A,0)+ROW(AB8)),10),""),"")</f>
        <v/>
      </c>
      <c r="B10" s="2" t="str">
        <f>IFERROR(IF(MATCH("Процентная ставка:",РК!A:A,0)+ROW(AB8)&lt;$G$2,SUM(MID(RIGHT(INDEX(РК!A:A,MATCH("Процентная ставка:",РК!A:A,0)+ROW(AB8)),3),1,2)),""),"")</f>
        <v/>
      </c>
      <c r="C10" s="2" t="str">
        <f t="shared" si="1"/>
        <v/>
      </c>
      <c r="D10" s="2" t="str">
        <f t="shared" si="2"/>
        <v/>
      </c>
    </row>
    <row r="11" spans="1:14" x14ac:dyDescent="0.25">
      <c r="A11" s="193" t="s">
        <v>159</v>
      </c>
      <c r="B11" s="193"/>
      <c r="C11" s="193"/>
      <c r="D11" s="193"/>
    </row>
    <row r="12" spans="1:14" x14ac:dyDescent="0.25">
      <c r="A12" t="s">
        <v>160</v>
      </c>
      <c r="B12" s="153">
        <f t="array" ref="B12">MAX(INDEX(РК!B:B,MAX(IF(РК!A:A="Оплачен",ROW(РК!A:A)))),INDEX(РК!B:B,MAX(IF(РК!A:A="Просрочен Оплачен",ROW(РК!A:A)))))</f>
        <v>44677</v>
      </c>
      <c r="C12" t="s">
        <v>162</v>
      </c>
      <c r="D12" s="4">
        <f>IFERROR(INDEX(РК!B:B,SMALL(I3:I4,1),1),"")</f>
        <v>44707</v>
      </c>
      <c r="F12" s="153"/>
    </row>
    <row r="13" spans="1:14" x14ac:dyDescent="0.25">
      <c r="A13" s="194" t="s">
        <v>163</v>
      </c>
      <c r="B13" s="194"/>
    </row>
    <row r="14" spans="1:14" x14ac:dyDescent="0.25">
      <c r="A14" t="s">
        <v>164</v>
      </c>
      <c r="B14" t="str">
        <f>IFERROR(SUBSTITUTE(INDEX(РК!B:B,MATCH("Итого:",РК!A:A,0)),CHAR(160),""),"")</f>
        <v>179407,25</v>
      </c>
    </row>
    <row r="15" spans="1:14" x14ac:dyDescent="0.25">
      <c r="A15" t="s">
        <v>52</v>
      </c>
      <c r="B15" t="str">
        <f>IFERROR(SUBSTITUTE(INDEX(РК!C:C,MATCH("Итого:",РК!A:A,0)),CHAR(160),""),"")</f>
        <v>56328,52</v>
      </c>
    </row>
    <row r="16" spans="1:14" x14ac:dyDescent="0.25">
      <c r="A16" t="s">
        <v>53</v>
      </c>
      <c r="B16" t="str">
        <f>IFERROR(SUBSTITUTE(INDEX(РК!D:D,MATCH("Итого:",РК!A:A,0)),CHAR(160),""),"")</f>
        <v>117913</v>
      </c>
    </row>
    <row r="17" spans="1:2" x14ac:dyDescent="0.25">
      <c r="A17" t="s">
        <v>69</v>
      </c>
      <c r="B17" t="str">
        <f>IFERROR(SUBSTITUTE(INDEX(РК!E:E,MATCH("Итого:",РК!A:A,0)),CHAR(160),""),"")</f>
        <v>5165,73</v>
      </c>
    </row>
  </sheetData>
  <mergeCells count="4">
    <mergeCell ref="A1:D1"/>
    <mergeCell ref="A11:D11"/>
    <mergeCell ref="A13:B13"/>
    <mergeCell ref="K1: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0105C-14D1-409E-98C6-962A82946A50}">
  <sheetPr codeName="Лист2"/>
  <dimension ref="A1:AI2"/>
  <sheetViews>
    <sheetView topLeftCell="L1" zoomScale="66" zoomScaleNormal="66" workbookViewId="0">
      <selection activeCell="AH2" sqref="AH2"/>
    </sheetView>
  </sheetViews>
  <sheetFormatPr defaultRowHeight="15" x14ac:dyDescent="0.25"/>
  <cols>
    <col min="1" max="1" width="29.85546875" bestFit="1" customWidth="1"/>
    <col min="2" max="2" width="54.85546875" bestFit="1" customWidth="1"/>
    <col min="3" max="3" width="9.28515625" bestFit="1" customWidth="1"/>
    <col min="4" max="4" width="7.28515625" bestFit="1" customWidth="1"/>
    <col min="5" max="5" width="7.28515625" customWidth="1"/>
    <col min="6" max="6" width="11.85546875" bestFit="1" customWidth="1"/>
    <col min="7" max="7" width="8" bestFit="1" customWidth="1"/>
    <col min="8" max="8" width="11.42578125" bestFit="1" customWidth="1"/>
    <col min="9" max="10" width="17.85546875" bestFit="1" customWidth="1"/>
    <col min="11" max="11" width="17.85546875" customWidth="1"/>
    <col min="12" max="12" width="17.85546875" bestFit="1" customWidth="1"/>
    <col min="13" max="13" width="14.28515625" bestFit="1" customWidth="1"/>
    <col min="14" max="14" width="17.85546875" bestFit="1" customWidth="1"/>
    <col min="15" max="17" width="17.85546875" customWidth="1"/>
    <col min="18" max="18" width="17.85546875" bestFit="1" customWidth="1"/>
    <col min="19" max="19" width="17.85546875" customWidth="1"/>
    <col min="20" max="21" width="11.42578125" bestFit="1" customWidth="1"/>
    <col min="22" max="23" width="8.5703125" bestFit="1" customWidth="1"/>
    <col min="24" max="24" width="17.85546875" bestFit="1" customWidth="1"/>
    <col min="25" max="25" width="17.85546875" customWidth="1"/>
    <col min="26" max="26" width="15.42578125" bestFit="1" customWidth="1"/>
    <col min="27" max="27" width="18.7109375" bestFit="1" customWidth="1"/>
    <col min="28" max="28" width="17.85546875" bestFit="1" customWidth="1"/>
    <col min="29" max="29" width="14.28515625" bestFit="1" customWidth="1"/>
    <col min="30" max="30" width="19.42578125" bestFit="1" customWidth="1"/>
    <col min="31" max="31" width="7.42578125" bestFit="1" customWidth="1"/>
    <col min="32" max="32" width="11.42578125" bestFit="1" customWidth="1"/>
    <col min="33" max="33" width="15.7109375" bestFit="1" customWidth="1"/>
    <col min="34" max="34" width="24.140625" bestFit="1" customWidth="1"/>
    <col min="35" max="35" width="31.28515625" customWidth="1"/>
  </cols>
  <sheetData>
    <row r="1" spans="1:35" s="5" customFormat="1" ht="75.75" thickBot="1" x14ac:dyDescent="0.3">
      <c r="A1" s="20" t="s">
        <v>5</v>
      </c>
      <c r="B1" s="21" t="s">
        <v>13</v>
      </c>
      <c r="C1" s="21" t="s">
        <v>14</v>
      </c>
      <c r="D1" s="21" t="s">
        <v>8</v>
      </c>
      <c r="E1" s="21" t="s">
        <v>103</v>
      </c>
      <c r="F1" s="21" t="s">
        <v>27</v>
      </c>
      <c r="G1" s="21" t="s">
        <v>9</v>
      </c>
      <c r="H1" s="21" t="s">
        <v>15</v>
      </c>
      <c r="I1" s="21" t="s">
        <v>29</v>
      </c>
      <c r="J1" s="21" t="s">
        <v>4</v>
      </c>
      <c r="K1" s="21" t="s">
        <v>45</v>
      </c>
      <c r="L1" s="21" t="s">
        <v>23</v>
      </c>
      <c r="M1" s="21" t="s">
        <v>24</v>
      </c>
      <c r="N1" s="21" t="s">
        <v>16</v>
      </c>
      <c r="O1" s="21" t="s">
        <v>40</v>
      </c>
      <c r="P1" s="21" t="s">
        <v>41</v>
      </c>
      <c r="Q1" s="21" t="s">
        <v>42</v>
      </c>
      <c r="R1" s="21" t="s">
        <v>17</v>
      </c>
      <c r="S1" s="21" t="s">
        <v>44</v>
      </c>
      <c r="T1" s="21" t="s">
        <v>2</v>
      </c>
      <c r="U1" s="21" t="s">
        <v>18</v>
      </c>
      <c r="V1" s="21" t="s">
        <v>19</v>
      </c>
      <c r="W1" s="21" t="s">
        <v>20</v>
      </c>
      <c r="X1" s="21" t="s">
        <v>77</v>
      </c>
      <c r="Y1" s="21" t="s">
        <v>78</v>
      </c>
      <c r="Z1" s="21" t="s">
        <v>21</v>
      </c>
      <c r="AA1" s="21" t="s">
        <v>22</v>
      </c>
      <c r="AB1" s="21" t="s">
        <v>26</v>
      </c>
      <c r="AC1" s="21" t="s">
        <v>24</v>
      </c>
      <c r="AD1" s="21" t="s">
        <v>25</v>
      </c>
      <c r="AE1" s="21" t="s">
        <v>27</v>
      </c>
      <c r="AF1" s="21" t="s">
        <v>31</v>
      </c>
      <c r="AG1" s="21" t="s">
        <v>33</v>
      </c>
      <c r="AH1" s="21" t="s">
        <v>47</v>
      </c>
      <c r="AI1" s="22" t="s">
        <v>46</v>
      </c>
    </row>
    <row r="2" spans="1:35" s="5" customFormat="1" ht="90.75" thickBot="1" x14ac:dyDescent="0.3">
      <c r="A2" s="136" t="str">
        <f>расчет!$B$2</f>
        <v>Гилаев Флюс Фаусович</v>
      </c>
      <c r="B2" s="23" t="str">
        <f>расчет!$M$13</f>
        <v>В-18164/КЛ от 20.05.2021 года (Транш-1 от 20.05.2021 г.)</v>
      </c>
      <c r="C2" s="137">
        <f>расчет!$B$4</f>
        <v>44336</v>
      </c>
      <c r="D2" s="138" t="str">
        <f>расчет!$B$7*100&amp;"%"</f>
        <v>50%</v>
      </c>
      <c r="E2" s="139">
        <f>расчет!$K$11*100</f>
        <v>55.000000000000007</v>
      </c>
      <c r="F2" s="23" t="str">
        <f>расчет!$B$5&amp;" "&amp;IF(AND(MOD(расчет!$B$5,100)&gt;=11,MOD(расчет!$B$5,100)&lt;=14),"месяцев",VLOOKUP(MOD(расчет!$B$5,10),{0,"месяцев";1,"месяц";2,"месяца";5,"месяцев"},2))</f>
        <v>24 месяца</v>
      </c>
      <c r="G2" s="140">
        <f>расчет!$B$8</f>
        <v>5.4000000000000001E-4</v>
      </c>
      <c r="H2" s="141">
        <f>расчет!$N$2</f>
        <v>44678</v>
      </c>
      <c r="I2" s="139" t="str">
        <f>расчет!$M$6</f>
        <v xml:space="preserve">179 407,25 рублей </v>
      </c>
      <c r="J2" s="142" t="str">
        <f>расчет!$M$3</f>
        <v xml:space="preserve">56 328,52 рублей </v>
      </c>
      <c r="K2" s="142">
        <f>расчет!$K$3</f>
        <v>56328.52</v>
      </c>
      <c r="L2" s="139" t="str">
        <f>расчет!$M$4</f>
        <v>117 913,00 рублей</v>
      </c>
      <c r="M2" s="139" t="str">
        <f>расчет!$M$5</f>
        <v xml:space="preserve">5 165,73 рублей </v>
      </c>
      <c r="N2" s="139" t="str">
        <f>расчет!$M$7</f>
        <v xml:space="preserve">227 762,38 рубля </v>
      </c>
      <c r="O2" s="142">
        <f>расчет!$K$7</f>
        <v>227762.38000000003</v>
      </c>
      <c r="P2" s="142">
        <f>расчет!$K$8</f>
        <v>270101.22241917811</v>
      </c>
      <c r="Q2" s="142">
        <f>расчет!$B$23</f>
        <v>93104.705696400022</v>
      </c>
      <c r="R2" s="139" t="str">
        <f>расчет!$M$2</f>
        <v xml:space="preserve">284 090,90 рублей </v>
      </c>
      <c r="S2" s="142">
        <f>расчет!$B$6</f>
        <v>284090.90000000002</v>
      </c>
      <c r="T2" s="141">
        <f>расчет!$B$11</f>
        <v>45464</v>
      </c>
      <c r="U2" s="141">
        <f>расчет!$N$3</f>
        <v>44708</v>
      </c>
      <c r="V2" s="143">
        <f>расчет!$B$20</f>
        <v>787</v>
      </c>
      <c r="W2" s="23">
        <f>расчет!$B$21</f>
        <v>757</v>
      </c>
      <c r="X2" s="139" t="str">
        <f>расчет!$M$8</f>
        <v xml:space="preserve">270 101,22 рубль </v>
      </c>
      <c r="Y2" s="139" t="str">
        <f>расчет!$M$10</f>
        <v xml:space="preserve">270 101,22 рубль </v>
      </c>
      <c r="Z2" s="139" t="str">
        <f>расчет!$D$23</f>
        <v xml:space="preserve">93 104,71 рублей </v>
      </c>
      <c r="AA2" s="139" t="str">
        <f>расчет!$E$26</f>
        <v xml:space="preserve">590 968,30 рублей </v>
      </c>
      <c r="AB2" s="139" t="str">
        <f>расчет!$M$4</f>
        <v>117 913,00 рублей</v>
      </c>
      <c r="AC2" s="139" t="str">
        <f>расчет!$M$5</f>
        <v xml:space="preserve">5 165,73 рублей </v>
      </c>
      <c r="AD2" s="139" t="str">
        <f>расчет!$M$6</f>
        <v xml:space="preserve">179 407,25 рублей </v>
      </c>
      <c r="AE2" s="143">
        <f>расчет!$B$5</f>
        <v>24</v>
      </c>
      <c r="AF2" s="141">
        <f>расчет!$B$12</f>
        <v>44790</v>
      </c>
      <c r="AG2" s="139" t="str">
        <f>расчет!$E$27</f>
        <v>9 109,68 рублей</v>
      </c>
      <c r="AH2" s="23" t="str">
        <f>IF(расчет!C21="","",IF(расчет!C21&lt;&gt;"","В соответствии с соглашением  сторон от "&amp;TEXT(расчет!C22,"ДД.ММ.ГГГГ")&amp;" г. процентная ставка годовых с "&amp;TEXT(расчет!C22+1,"ДД.ММ.ГГГГ")&amp;" г. составляет "&amp;расчет!C21&amp;"%.","")&amp;IF(расчет!D21&lt;&gt;""," В соответствии с соглашением  сторон от "&amp;TEXT(расчет!D22,"ДД.ММ.ГГГГ")&amp;" г. процентная ставка годовых с "&amp;TEXT(расчет!D22+1,"ДД.ММ.ГГГГ")&amp;" г. составляет "&amp;расчет!D21&amp;"%.","")&amp;IF(расчет!E21&lt;&gt;""," В соответствии с соглашением  сторон от "&amp;TEXT(расчет!E22,"ДД.ММ.ГГГГ")&amp;" г. процентная ставка годовых с "&amp;TEXT(расчет!E22+1,"ДД.ММ.ГГГГ")&amp;" г. составляет "&amp;расчет!E21&amp;"%.",""))</f>
        <v>В соответствии с соглашением  сторон от 18.03.2022 г. процентная ставка годовых с 19.03.2022 г. составляет 55%.</v>
      </c>
      <c r="AI2" s="24" t="str">
        <f>IF(расчет!K9&lt;&gt;0,"Однако, частично задолженность по процентам за пользование суммой займа погашена:"&amp;CHAR(10)&amp;"- "&amp;TEXT(расчет!C19,"ДД.ММ.ГГГГ")&amp;" г. – внесено "&amp;TEXT(расчет!C18,"# ##,00")&amp;" "&amp;расчет!C17&amp;IF(расчет!D18&lt;&gt;"",CHAR(10)&amp;"- "&amp;TEXT(расчет!D19,"ДД.ММ.ГГГГ")&amp;" г. – внесено "&amp;TEXT(расчет!D18,"# ##,00")&amp;" "&amp;расчет!D17,"")&amp;IF(расчет!E18&lt;&gt;"",CHAR(10)&amp;"- "&amp;TEXT(расчет!E19,"ДД.ММ.ГГГГ")&amp;" г. – внесено "&amp;TEXT(расчет!E18,"# ##,00")&amp;" "&amp;расчет!E17,"")&amp;CHAR(10)&amp;CHAR(11)&amp;"Таким образом, итоговая сумма задолженности составляет: "&amp;CHAR(10)&amp;CHAR(9)&amp;CHAR(9)&amp;CHAR(9)&amp;CHAR(32)&amp;CHAR(32)&amp;TEXT(расчет!B22,"# ##,00")&amp;" - "&amp;TEXT(расчет!K9,"# ##,00")&amp;" = "&amp;слияние!Y2&amp;".","")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32C9A-4793-49BC-820A-3C6ED5AFADA0}">
  <sheetPr codeName="Лист7" filterMode="1"/>
  <dimension ref="A1:M33"/>
  <sheetViews>
    <sheetView topLeftCell="A13" workbookViewId="0">
      <selection activeCell="D28" sqref="D28"/>
    </sheetView>
  </sheetViews>
  <sheetFormatPr defaultRowHeight="15" x14ac:dyDescent="0.25"/>
  <cols>
    <col min="1" max="1" width="28.5703125" style="5" bestFit="1" customWidth="1"/>
    <col min="2" max="2" width="48.7109375" style="5" customWidth="1"/>
    <col min="3" max="3" width="9" style="5" bestFit="1" customWidth="1"/>
    <col min="4" max="4" width="26.42578125" style="5" customWidth="1"/>
    <col min="5" max="5" width="9.140625" style="5"/>
    <col min="6" max="6" width="20.5703125" style="5" customWidth="1"/>
    <col min="7" max="7" width="9.140625" style="5"/>
    <col min="8" max="8" width="17.5703125" style="5" customWidth="1"/>
    <col min="9" max="10" width="9.140625" style="5"/>
    <col min="11" max="11" width="15.5703125" style="5" bestFit="1" customWidth="1"/>
    <col min="12" max="12" width="45.85546875" style="5" customWidth="1"/>
    <col min="13" max="16384" width="9.140625" style="5"/>
  </cols>
  <sheetData>
    <row r="1" spans="1:2" ht="18.75" x14ac:dyDescent="0.3">
      <c r="A1" s="151" t="s">
        <v>201</v>
      </c>
      <c r="B1" s="152" t="s">
        <v>202</v>
      </c>
    </row>
    <row r="2" spans="1:2" ht="30" x14ac:dyDescent="0.25">
      <c r="A2" s="144" t="s">
        <v>169</v>
      </c>
      <c r="B2" s="145">
        <f>расчет!B11</f>
        <v>45464</v>
      </c>
    </row>
    <row r="3" spans="1:2" ht="30" x14ac:dyDescent="0.25">
      <c r="A3" s="144" t="s">
        <v>170</v>
      </c>
      <c r="B3" s="145" t="str">
        <f>расчет!K14</f>
        <v>микрозайма с лимитом кредитования</v>
      </c>
    </row>
    <row r="4" spans="1:2" ht="30" x14ac:dyDescent="0.25">
      <c r="A4" s="144" t="s">
        <v>171</v>
      </c>
      <c r="B4" s="146" t="str">
        <f>расчет!$M$13</f>
        <v>В-18164/КЛ от 20.05.2021 года (Транш-1 от 20.05.2021 г.)</v>
      </c>
    </row>
    <row r="5" spans="1:2" x14ac:dyDescent="0.25">
      <c r="A5" s="144" t="s">
        <v>172</v>
      </c>
      <c r="B5" s="145" t="str">
        <f>расчет!$B$2</f>
        <v>Гилаев Флюс Фаусович</v>
      </c>
    </row>
    <row r="6" spans="1:2" x14ac:dyDescent="0.25">
      <c r="A6" s="144" t="s">
        <v>173</v>
      </c>
      <c r="B6" s="145" t="str">
        <f>расчет!M2</f>
        <v xml:space="preserve">284 090,90 рублей </v>
      </c>
    </row>
    <row r="7" spans="1:2" ht="30" x14ac:dyDescent="0.25">
      <c r="A7" s="144" t="s">
        <v>174</v>
      </c>
      <c r="B7" s="146">
        <f>расчет!$B$7*100</f>
        <v>50</v>
      </c>
    </row>
    <row r="8" spans="1:2" x14ac:dyDescent="0.25">
      <c r="A8" s="144" t="s">
        <v>176</v>
      </c>
      <c r="B8" s="146" t="str">
        <f>расчет!$B$5&amp;" "&amp;IF(AND(MOD(расчет!$B$5,100)&gt;=11,MOD(расчет!$B$5,100)&lt;=14),"месяцев",VLOOKUP(MOD(расчет!$B$5,10),{0,"месяцев";1,"месяц";2,"месяца";5,"месяцев"},2))</f>
        <v>24 месяца</v>
      </c>
    </row>
    <row r="9" spans="1:2" ht="30" x14ac:dyDescent="0.25">
      <c r="A9" s="144" t="s">
        <v>175</v>
      </c>
      <c r="B9" s="145">
        <f>расчет!B12</f>
        <v>44790</v>
      </c>
    </row>
    <row r="10" spans="1:2" x14ac:dyDescent="0.25">
      <c r="A10" s="144" t="s">
        <v>177</v>
      </c>
      <c r="B10" s="147" t="str">
        <f>TRIM(расчет!$M$6)</f>
        <v>179 407,25 рублей</v>
      </c>
    </row>
    <row r="11" spans="1:2" x14ac:dyDescent="0.25">
      <c r="A11" s="144" t="s">
        <v>178</v>
      </c>
      <c r="B11" s="148" t="str">
        <f>TRIM(расчет!$M$3)</f>
        <v>56 328,52 рублей</v>
      </c>
    </row>
    <row r="12" spans="1:2" x14ac:dyDescent="0.25">
      <c r="A12" s="144" t="s">
        <v>179</v>
      </c>
      <c r="B12" s="147" t="str">
        <f>TRIM(расчет!$M$4)</f>
        <v>117 913,00 рублей</v>
      </c>
    </row>
    <row r="13" spans="1:2" x14ac:dyDescent="0.25">
      <c r="A13" s="144" t="s">
        <v>180</v>
      </c>
      <c r="B13" s="147" t="str">
        <f>TRIM(расчет!$M$5)</f>
        <v>5 165,73 рублей</v>
      </c>
    </row>
    <row r="14" spans="1:2" ht="30" x14ac:dyDescent="0.25">
      <c r="A14" s="144" t="s">
        <v>181</v>
      </c>
      <c r="B14" s="148" t="str">
        <f>TEXT(расчет!$B$6,"# #,00")</f>
        <v>284 090,90</v>
      </c>
    </row>
    <row r="15" spans="1:2" x14ac:dyDescent="0.25">
      <c r="A15" s="144" t="s">
        <v>182</v>
      </c>
      <c r="B15" s="148" t="str">
        <f>TEXT(расчет!$K$3,"# ##,##")</f>
        <v>56 328,52</v>
      </c>
    </row>
    <row r="16" spans="1:2" ht="30" x14ac:dyDescent="0.25">
      <c r="A16" s="144" t="s">
        <v>183</v>
      </c>
      <c r="B16" s="147" t="str">
        <f>TRIM(расчет!$M$7)</f>
        <v>227 762,38 рубля</v>
      </c>
    </row>
    <row r="17" spans="1:13" x14ac:dyDescent="0.25">
      <c r="A17" s="144" t="s">
        <v>184</v>
      </c>
      <c r="B17" s="147" t="str">
        <f>расчет!L14</f>
        <v>7.1</v>
      </c>
    </row>
    <row r="18" spans="1:13" ht="45" x14ac:dyDescent="0.25">
      <c r="A18" s="144" t="s">
        <v>185</v>
      </c>
      <c r="B18" s="146" t="str">
        <f>IF(M18&lt;&gt;"Ок","",IF(расчет!C21="","",IF(расчет!C21&lt;&gt;"","В соответствии с соглашением  сторон от "&amp;TEXT(расчет!C22,"ДД.ММ.ГГГГ")&amp;" г. процентная ставка годовых с "&amp;TEXT(расчет!C22+1,"ДД.ММ.ГГГГ")&amp;" г. составляет "&amp;расчет!C21&amp;"%.","")&amp;IF(расчет!D21&lt;&gt;""," В соответствии с соглашением  сторон от "&amp;TEXT(расчет!D22,"ДД.ММ.ГГГГ")&amp;" г. процентная ставка годовых с "&amp;TEXT(расчет!D22+1,"ДД.ММ.ГГГГ")&amp;" г. составляет "&amp;расчет!D21&amp;"%.","")&amp;IF(расчет!E21&lt;&gt;""," В соответствии с соглашением  сторон от "&amp;TEXT(расчет!E22,"ДД.ММ.ГГГГ")&amp;" г. процентная ставка годовых с "&amp;TEXT(расчет!E22+1,"ДД.ММ.ГГГГ")&amp;" г. составляет "&amp;расчет!E21&amp;"%.","")))</f>
        <v>В соответствии с соглашением  сторон от 18.03.2022 г. процентная ставка годовых с 19.03.2022 г. составляет 55%.</v>
      </c>
      <c r="M18" s="5" t="s">
        <v>211</v>
      </c>
    </row>
    <row r="19" spans="1:13" ht="30" x14ac:dyDescent="0.25">
      <c r="A19" s="144" t="s">
        <v>188</v>
      </c>
      <c r="B19" s="146">
        <f>расчет!$K$11*100</f>
        <v>55.000000000000007</v>
      </c>
    </row>
    <row r="20" spans="1:13" x14ac:dyDescent="0.25">
      <c r="A20" s="144" t="s">
        <v>189</v>
      </c>
      <c r="B20" s="146">
        <f>расчет!B20</f>
        <v>787</v>
      </c>
    </row>
    <row r="21" spans="1:13" ht="30" x14ac:dyDescent="0.25">
      <c r="A21" s="144" t="s">
        <v>186</v>
      </c>
      <c r="B21" s="147" t="str">
        <f>TRIM(расчет!$M$8)</f>
        <v>270 101,22 рубль</v>
      </c>
    </row>
    <row r="22" spans="1:13" ht="45" x14ac:dyDescent="0.25">
      <c r="A22" s="144" t="s">
        <v>187</v>
      </c>
      <c r="B22" s="145">
        <f>расчет!$N$2</f>
        <v>44678</v>
      </c>
    </row>
    <row r="23" spans="1:13" ht="30" x14ac:dyDescent="0.25">
      <c r="A23" s="144" t="s">
        <v>190</v>
      </c>
      <c r="B23" s="148" t="str">
        <f>TEXT(расчет!$K$7,"# #,##")</f>
        <v>227 762,38</v>
      </c>
    </row>
    <row r="24" spans="1:13" x14ac:dyDescent="0.25">
      <c r="A24" s="144" t="s">
        <v>197</v>
      </c>
      <c r="B24" s="147" t="str">
        <f>TRIM(расчет!$M$10)</f>
        <v>270 101,22 рубль</v>
      </c>
    </row>
    <row r="25" spans="1:13" ht="60" x14ac:dyDescent="0.25">
      <c r="A25" s="144" t="s">
        <v>200</v>
      </c>
      <c r="B25" s="146" t="str">
        <f>IF(M25&lt;&gt;"Ок","",IF(расчет!K9&lt;&gt;0,"Однако, частично задолженность по процентам за пользование суммой займа погашена:"&amp;CHAR(10)&amp;"- "&amp;TEXT(расчет!C19,"ДД.ММ.ГГГГ")&amp;" г. – внесено "&amp;TEXT(расчет!C18,"# ##,00")&amp;" "&amp;расчет!C17&amp;IF(расчет!D18&lt;&gt;"",CHAR(10)&amp;"- "&amp;TEXT(расчет!D19,"ДД.ММ.ГГГГ")&amp;" г. – внесено "&amp;TEXT(расчет!D18,"# ##,00")&amp;" "&amp;расчет!D17,"")&amp;IF(расчет!E18&lt;&gt;"",CHAR(10)&amp;"- "&amp;TEXT(расчет!E19,"ДД.ММ.ГГГГ")&amp;" г. – внесено "&amp;TEXT(расчет!E18,"# ##,00")&amp;" "&amp;расчет!E17,"")&amp;CHAR(10)&amp;CHAR(11)&amp;"Таким образом, итоговая сумма задолженности составляет: "&amp;CHAR(10)&amp;CHAR(9)&amp;CHAR(9)&amp;CHAR(9)&amp;CHAR(32)&amp;CHAR(32)&amp;TEXT(расчет!B22,"# ##,00")&amp;" - "&amp;TEXT(расчет!K9,"# ##,00")&amp;" = "&amp;слияние!Y2&amp;".",""))</f>
        <v/>
      </c>
      <c r="C25" s="144" t="s">
        <v>207</v>
      </c>
      <c r="D25" s="5" t="str">
        <f>IF(расчет!K9&lt;&gt;0,"Однако, частично задолженность по процентам за пользование суммой займа погашена:","")</f>
        <v/>
      </c>
      <c r="E25" s="144" t="s">
        <v>208</v>
      </c>
      <c r="F25" s="154" t="str">
        <f>IF(D25&lt;&gt;"","- "&amp;TEXT(расчет!C19,"ДД.ММ.ГГГГ")&amp;" г. – внесено "&amp;TEXT(расчет!C18,"# ##,00")&amp;" "&amp;расчет!C17,"")</f>
        <v/>
      </c>
      <c r="G25" s="144"/>
      <c r="H25" s="5" t="str">
        <f>IF(расчет!D18&lt;&gt;"",CHAR(10)&amp;"- "&amp;TEXT(расчет!D19,"ДД.ММ.ГГГГ")&amp;" г. – внесено "&amp;TEXT(расчет!D18,"# ##,00")&amp;" "&amp;расчет!D17,"")</f>
        <v/>
      </c>
      <c r="I25" s="144" t="s">
        <v>209</v>
      </c>
      <c r="J25" s="5" t="str">
        <f>IF(расчет!E18&lt;&gt;"",CHAR(10)&amp;"- "&amp;TEXT(расчет!E19,"ДД.ММ.ГГГГ")&amp;" г. – внесено "&amp;TEXT(расчет!E18,"# ##,00")&amp;" "&amp;расчет!E17,"")</f>
        <v/>
      </c>
      <c r="K25" s="144" t="s">
        <v>210</v>
      </c>
      <c r="L25" s="5" t="str">
        <f>IF(D25&lt;&gt;"","Таким образом, итоговая сумма задолженности составляет: "&amp;CHAR(10)&amp;CHAR(9)&amp;CHAR(9)&amp;CHAR(9)&amp;CHAR(32)&amp;CHAR(32)&amp;TEXT(расчет!B22,"# ##,00")&amp;" - "&amp;TEXT(расчет!K9,"# ##,00")&amp;" = "&amp;слияние!Y2&amp;".","")</f>
        <v/>
      </c>
      <c r="M25" s="5" t="s">
        <v>211</v>
      </c>
    </row>
    <row r="26" spans="1:13" x14ac:dyDescent="0.25">
      <c r="A26" s="144" t="s">
        <v>191</v>
      </c>
      <c r="B26" s="146">
        <f>расчет!$B$8*100</f>
        <v>5.3999999999999999E-2</v>
      </c>
    </row>
    <row r="27" spans="1:13" ht="30" x14ac:dyDescent="0.25">
      <c r="A27" s="144" t="s">
        <v>193</v>
      </c>
      <c r="B27" s="146">
        <f>расчет!$B$21</f>
        <v>757</v>
      </c>
    </row>
    <row r="28" spans="1:13" ht="30" x14ac:dyDescent="0.25">
      <c r="A28" s="144" t="s">
        <v>192</v>
      </c>
      <c r="B28" s="147" t="str">
        <f>TRIM(расчет!$D$23)</f>
        <v>93 104,71 рублей</v>
      </c>
    </row>
    <row r="29" spans="1:13" ht="60" x14ac:dyDescent="0.25">
      <c r="A29" s="144" t="s">
        <v>194</v>
      </c>
      <c r="B29" s="145">
        <f>расчет!$N$3</f>
        <v>44708</v>
      </c>
    </row>
    <row r="30" spans="1:13" x14ac:dyDescent="0.25">
      <c r="A30" s="144" t="s">
        <v>198</v>
      </c>
      <c r="B30" s="148" t="str">
        <f>TEXT(расчет!$K$10,"# #,##")</f>
        <v>270 101,22</v>
      </c>
    </row>
    <row r="31" spans="1:13" x14ac:dyDescent="0.25">
      <c r="A31" s="144" t="s">
        <v>195</v>
      </c>
      <c r="B31" s="148" t="str">
        <f>TEXT(расчет!$B$23,"# #,##")</f>
        <v>93 104,71</v>
      </c>
    </row>
    <row r="32" spans="1:13" ht="30" x14ac:dyDescent="0.25">
      <c r="A32" s="144" t="s">
        <v>196</v>
      </c>
      <c r="B32" s="147" t="str">
        <f>TRIM(расчет!$E$26)</f>
        <v>590 968,30 рублей</v>
      </c>
    </row>
    <row r="33" spans="1:2" ht="30.75" thickBot="1" x14ac:dyDescent="0.3">
      <c r="A33" s="149" t="s">
        <v>199</v>
      </c>
      <c r="B33" s="150" t="str">
        <f>TRIM(расчет!$E$27)</f>
        <v>9 109,68 рублей</v>
      </c>
    </row>
  </sheetData>
  <autoFilter ref="A1:B33" xr:uid="{27032C9A-4793-49BC-820A-3C6ED5AFADA0}">
    <filterColumn colId="0">
      <customFilters>
        <customFilter val="**"/>
      </customFilters>
    </filterColumn>
  </autoFilter>
  <dataValidations count="1">
    <dataValidation type="list" allowBlank="1" showInputMessage="1" showErrorMessage="1" sqref="M25 M18" xr:uid="{D2790113-38A6-460F-990A-7F973302ADDB}">
      <formula1>"В разработке,Ок"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B8DEE-C882-47A1-8B38-387F13DA589E}">
  <sheetPr codeName="Лист10"/>
  <dimension ref="A1:C7"/>
  <sheetViews>
    <sheetView workbookViewId="0">
      <selection activeCell="A5" sqref="A5"/>
    </sheetView>
  </sheetViews>
  <sheetFormatPr defaultRowHeight="15" x14ac:dyDescent="0.25"/>
  <cols>
    <col min="1" max="1" width="14.5703125" bestFit="1" customWidth="1"/>
    <col min="3" max="3" width="17.7109375" bestFit="1" customWidth="1"/>
  </cols>
  <sheetData>
    <row r="1" spans="1:3" x14ac:dyDescent="0.25">
      <c r="A1" s="144"/>
      <c r="C1" s="144" t="s">
        <v>214</v>
      </c>
    </row>
    <row r="2" spans="1:3" x14ac:dyDescent="0.25">
      <c r="A2" t="s">
        <v>219</v>
      </c>
    </row>
    <row r="3" spans="1:3" x14ac:dyDescent="0.25">
      <c r="A3" t="s">
        <v>215</v>
      </c>
    </row>
    <row r="4" spans="1:3" x14ac:dyDescent="0.25">
      <c r="A4" t="s">
        <v>216</v>
      </c>
    </row>
    <row r="5" spans="1:3" x14ac:dyDescent="0.25">
      <c r="A5" t="s">
        <v>217</v>
      </c>
    </row>
    <row r="6" spans="1:3" x14ac:dyDescent="0.25">
      <c r="A6" t="s">
        <v>213</v>
      </c>
    </row>
    <row r="7" spans="1:3" x14ac:dyDescent="0.25">
      <c r="A7" t="s">
        <v>218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523E6-2A1A-4DB4-B094-78370BA0E5B6}">
  <sheetPr codeName="Лист4"/>
  <dimension ref="A1:S546"/>
  <sheetViews>
    <sheetView workbookViewId="0">
      <selection activeCell="S22" sqref="S22"/>
    </sheetView>
  </sheetViews>
  <sheetFormatPr defaultRowHeight="15" x14ac:dyDescent="0.25"/>
  <cols>
    <col min="1" max="1" width="12.85546875" style="58" bestFit="1" customWidth="1"/>
    <col min="2" max="2" width="11.42578125" bestFit="1" customWidth="1"/>
    <col min="3" max="3" width="14.5703125" bestFit="1" customWidth="1"/>
    <col min="4" max="4" width="15.5703125" bestFit="1" customWidth="1"/>
    <col min="5" max="5" width="11.42578125" bestFit="1" customWidth="1"/>
    <col min="7" max="7" width="10.28515625" bestFit="1" customWidth="1"/>
    <col min="8" max="8" width="11.42578125" bestFit="1" customWidth="1"/>
    <col min="10" max="10" width="10.85546875" bestFit="1" customWidth="1"/>
    <col min="11" max="11" width="14.5703125" bestFit="1" customWidth="1"/>
    <col min="19" max="19" width="10.140625" style="4" bestFit="1" customWidth="1"/>
  </cols>
  <sheetData>
    <row r="1" spans="2:5" x14ac:dyDescent="0.25">
      <c r="B1" s="4"/>
      <c r="C1" s="59"/>
      <c r="D1" s="59"/>
      <c r="E1" s="4"/>
    </row>
    <row r="2" spans="2:5" x14ac:dyDescent="0.25">
      <c r="B2" s="4"/>
      <c r="C2" s="59"/>
      <c r="D2" s="59"/>
      <c r="E2" s="4"/>
    </row>
    <row r="3" spans="2:5" x14ac:dyDescent="0.25">
      <c r="B3" s="4"/>
      <c r="C3" s="59"/>
      <c r="D3" s="59"/>
      <c r="E3" s="4"/>
    </row>
    <row r="4" spans="2:5" x14ac:dyDescent="0.25">
      <c r="B4" s="4"/>
      <c r="C4" s="59"/>
      <c r="D4" s="59"/>
      <c r="E4" s="4"/>
    </row>
    <row r="5" spans="2:5" x14ac:dyDescent="0.25">
      <c r="B5" s="4"/>
      <c r="C5" s="59"/>
      <c r="D5" s="59"/>
      <c r="E5" s="4"/>
    </row>
    <row r="6" spans="2:5" x14ac:dyDescent="0.25">
      <c r="B6" s="4"/>
      <c r="C6" s="59"/>
      <c r="D6" s="59"/>
      <c r="E6" s="4"/>
    </row>
    <row r="7" spans="2:5" x14ac:dyDescent="0.25">
      <c r="B7" s="4"/>
      <c r="C7" s="59"/>
      <c r="D7" s="59"/>
      <c r="E7" s="4"/>
    </row>
    <row r="8" spans="2:5" x14ac:dyDescent="0.25">
      <c r="B8" s="4"/>
      <c r="C8" s="59"/>
      <c r="D8" s="59"/>
      <c r="E8" s="4"/>
    </row>
    <row r="9" spans="2:5" x14ac:dyDescent="0.25">
      <c r="B9" s="4"/>
      <c r="C9" s="59"/>
      <c r="D9" s="59"/>
      <c r="E9" s="4"/>
    </row>
    <row r="10" spans="2:5" x14ac:dyDescent="0.25">
      <c r="B10" s="4"/>
      <c r="C10" s="59"/>
      <c r="D10" s="59"/>
      <c r="E10" s="4"/>
    </row>
    <row r="11" spans="2:5" x14ac:dyDescent="0.25">
      <c r="B11" s="4"/>
      <c r="C11" s="59"/>
      <c r="D11" s="59"/>
      <c r="E11" s="4"/>
    </row>
    <row r="12" spans="2:5" x14ac:dyDescent="0.25">
      <c r="B12" s="4"/>
      <c r="C12" s="59"/>
      <c r="D12" s="59"/>
      <c r="E12" s="4"/>
    </row>
    <row r="13" spans="2:5" x14ac:dyDescent="0.25">
      <c r="B13" s="4"/>
      <c r="C13" s="59"/>
      <c r="D13" s="59"/>
      <c r="E13" s="4"/>
    </row>
    <row r="14" spans="2:5" x14ac:dyDescent="0.25">
      <c r="B14" s="4"/>
      <c r="C14" s="59"/>
      <c r="D14" s="59"/>
      <c r="E14" s="4"/>
    </row>
    <row r="15" spans="2:5" x14ac:dyDescent="0.25">
      <c r="B15" s="4"/>
      <c r="C15" s="59"/>
      <c r="D15" s="59"/>
      <c r="E15" s="4"/>
    </row>
    <row r="16" spans="2:5" x14ac:dyDescent="0.25">
      <c r="B16" s="4"/>
      <c r="C16" s="59"/>
      <c r="D16" s="59"/>
      <c r="E16" s="4"/>
    </row>
    <row r="17" spans="2:5" x14ac:dyDescent="0.25">
      <c r="B17" s="4"/>
      <c r="C17" s="59"/>
      <c r="D17" s="59"/>
      <c r="E17" s="4"/>
    </row>
    <row r="18" spans="2:5" x14ac:dyDescent="0.25">
      <c r="B18" s="4"/>
      <c r="C18" s="59"/>
      <c r="D18" s="59"/>
      <c r="E18" s="4"/>
    </row>
    <row r="19" spans="2:5" x14ac:dyDescent="0.25">
      <c r="B19" s="4"/>
      <c r="C19" s="59"/>
      <c r="D19" s="59"/>
      <c r="E19" s="4"/>
    </row>
    <row r="20" spans="2:5" x14ac:dyDescent="0.25">
      <c r="B20" s="4"/>
      <c r="C20" s="59"/>
      <c r="D20" s="59"/>
      <c r="E20" s="4"/>
    </row>
    <row r="21" spans="2:5" x14ac:dyDescent="0.25">
      <c r="B21" s="4"/>
      <c r="C21" s="59"/>
      <c r="D21" s="59"/>
      <c r="E21" s="4"/>
    </row>
    <row r="22" spans="2:5" x14ac:dyDescent="0.25">
      <c r="B22" s="4"/>
      <c r="C22" s="59"/>
      <c r="D22" s="59"/>
      <c r="E22" s="4"/>
    </row>
    <row r="23" spans="2:5" x14ac:dyDescent="0.25">
      <c r="B23" s="4"/>
      <c r="C23" s="59"/>
      <c r="D23" s="59"/>
      <c r="E23" s="4"/>
    </row>
    <row r="24" spans="2:5" x14ac:dyDescent="0.25">
      <c r="B24" s="4"/>
      <c r="C24" s="59"/>
      <c r="D24" s="59"/>
      <c r="E24" s="4"/>
    </row>
    <row r="25" spans="2:5" x14ac:dyDescent="0.25">
      <c r="B25" s="4"/>
      <c r="C25" s="59"/>
      <c r="D25" s="59"/>
      <c r="E25" s="4"/>
    </row>
    <row r="26" spans="2:5" x14ac:dyDescent="0.25">
      <c r="B26" s="4"/>
      <c r="C26" s="59"/>
      <c r="D26" s="59"/>
      <c r="E26" s="4"/>
    </row>
    <row r="27" spans="2:5" x14ac:dyDescent="0.25">
      <c r="B27" s="4"/>
      <c r="C27" s="59"/>
      <c r="D27" s="59"/>
      <c r="E27" s="4"/>
    </row>
    <row r="28" spans="2:5" x14ac:dyDescent="0.25">
      <c r="B28" s="4"/>
      <c r="C28" s="59"/>
      <c r="D28" s="59"/>
      <c r="E28" s="4"/>
    </row>
    <row r="29" spans="2:5" x14ac:dyDescent="0.25">
      <c r="B29" s="4"/>
      <c r="C29" s="59"/>
      <c r="D29" s="59"/>
      <c r="E29" s="4"/>
    </row>
    <row r="30" spans="2:5" x14ac:dyDescent="0.25">
      <c r="B30" s="4"/>
      <c r="C30" s="59"/>
      <c r="D30" s="59"/>
      <c r="E30" s="4"/>
    </row>
    <row r="31" spans="2:5" x14ac:dyDescent="0.25">
      <c r="B31" s="4"/>
      <c r="C31" s="59"/>
      <c r="D31" s="59"/>
      <c r="E31" s="4"/>
    </row>
    <row r="32" spans="2:5" x14ac:dyDescent="0.25">
      <c r="B32" s="4"/>
      <c r="C32" s="59"/>
      <c r="D32" s="59"/>
      <c r="E32" s="4"/>
    </row>
    <row r="33" spans="2:5" x14ac:dyDescent="0.25">
      <c r="B33" s="4"/>
      <c r="C33" s="59"/>
      <c r="D33" s="59"/>
      <c r="E33" s="4"/>
    </row>
    <row r="34" spans="2:5" x14ac:dyDescent="0.25">
      <c r="B34" s="4"/>
      <c r="C34" s="59"/>
      <c r="D34" s="59"/>
      <c r="E34" s="4"/>
    </row>
    <row r="35" spans="2:5" x14ac:dyDescent="0.25">
      <c r="B35" s="4"/>
      <c r="C35" s="59"/>
      <c r="D35" s="59"/>
      <c r="E35" s="4"/>
    </row>
    <row r="36" spans="2:5" x14ac:dyDescent="0.25">
      <c r="B36" s="4"/>
      <c r="C36" s="59"/>
      <c r="D36" s="59"/>
      <c r="E36" s="4"/>
    </row>
    <row r="37" spans="2:5" x14ac:dyDescent="0.25">
      <c r="B37" s="4"/>
      <c r="C37" s="59"/>
      <c r="D37" s="59"/>
      <c r="E37" s="4"/>
    </row>
    <row r="38" spans="2:5" x14ac:dyDescent="0.25">
      <c r="B38" s="4"/>
      <c r="C38" s="59"/>
      <c r="D38" s="59"/>
      <c r="E38" s="4"/>
    </row>
    <row r="39" spans="2:5" x14ac:dyDescent="0.25">
      <c r="B39" s="4"/>
      <c r="C39" s="59"/>
      <c r="D39" s="59"/>
      <c r="E39" s="4"/>
    </row>
    <row r="40" spans="2:5" x14ac:dyDescent="0.25">
      <c r="B40" s="4"/>
      <c r="C40" s="59"/>
      <c r="D40" s="59"/>
      <c r="E40" s="4"/>
    </row>
    <row r="41" spans="2:5" x14ac:dyDescent="0.25">
      <c r="B41" s="4"/>
      <c r="C41" s="59"/>
      <c r="D41" s="59"/>
      <c r="E41" s="4"/>
    </row>
    <row r="42" spans="2:5" x14ac:dyDescent="0.25">
      <c r="B42" s="4"/>
      <c r="C42" s="59"/>
      <c r="D42" s="59"/>
      <c r="E42" s="4"/>
    </row>
    <row r="43" spans="2:5" x14ac:dyDescent="0.25">
      <c r="B43" s="4"/>
      <c r="C43" s="59"/>
      <c r="D43" s="59"/>
      <c r="E43" s="4"/>
    </row>
    <row r="44" spans="2:5" x14ac:dyDescent="0.25">
      <c r="B44" s="4"/>
      <c r="C44" s="59"/>
      <c r="D44" s="59"/>
      <c r="E44" s="4"/>
    </row>
    <row r="45" spans="2:5" x14ac:dyDescent="0.25">
      <c r="B45" s="4"/>
      <c r="C45" s="59"/>
      <c r="D45" s="59"/>
      <c r="E45" s="4"/>
    </row>
    <row r="46" spans="2:5" x14ac:dyDescent="0.25">
      <c r="B46" s="4"/>
      <c r="C46" s="59"/>
      <c r="D46" s="59"/>
      <c r="E46" s="4"/>
    </row>
    <row r="47" spans="2:5" x14ac:dyDescent="0.25">
      <c r="B47" s="4"/>
      <c r="C47" s="59"/>
      <c r="D47" s="59"/>
      <c r="E47" s="4"/>
    </row>
    <row r="48" spans="2:5" x14ac:dyDescent="0.25">
      <c r="B48" s="4"/>
      <c r="C48" s="59"/>
      <c r="D48" s="59"/>
      <c r="E48" s="4"/>
    </row>
    <row r="49" spans="2:5" x14ac:dyDescent="0.25">
      <c r="B49" s="4"/>
      <c r="C49" s="59"/>
      <c r="D49" s="59"/>
      <c r="E49" s="4"/>
    </row>
    <row r="50" spans="2:5" x14ac:dyDescent="0.25">
      <c r="B50" s="4"/>
      <c r="C50" s="59"/>
      <c r="D50" s="59"/>
      <c r="E50" s="4"/>
    </row>
    <row r="51" spans="2:5" x14ac:dyDescent="0.25">
      <c r="B51" s="4"/>
      <c r="C51" s="59"/>
      <c r="D51" s="59"/>
      <c r="E51" s="4"/>
    </row>
    <row r="52" spans="2:5" x14ac:dyDescent="0.25">
      <c r="B52" s="4"/>
      <c r="C52" s="59"/>
      <c r="D52" s="59"/>
      <c r="E52" s="4"/>
    </row>
    <row r="53" spans="2:5" x14ac:dyDescent="0.25">
      <c r="B53" s="4"/>
      <c r="C53" s="59"/>
      <c r="D53" s="59"/>
      <c r="E53" s="4"/>
    </row>
    <row r="54" spans="2:5" x14ac:dyDescent="0.25">
      <c r="B54" s="4"/>
      <c r="C54" s="59"/>
      <c r="D54" s="59"/>
      <c r="E54" s="4"/>
    </row>
    <row r="55" spans="2:5" x14ac:dyDescent="0.25">
      <c r="B55" s="4"/>
      <c r="C55" s="59"/>
      <c r="D55" s="59"/>
      <c r="E55" s="4"/>
    </row>
    <row r="56" spans="2:5" x14ac:dyDescent="0.25">
      <c r="B56" s="4"/>
      <c r="C56" s="59"/>
      <c r="D56" s="59"/>
      <c r="E56" s="4"/>
    </row>
    <row r="57" spans="2:5" x14ac:dyDescent="0.25">
      <c r="B57" s="4"/>
      <c r="C57" s="59"/>
      <c r="D57" s="59"/>
      <c r="E57" s="4"/>
    </row>
    <row r="58" spans="2:5" x14ac:dyDescent="0.25">
      <c r="B58" s="4"/>
      <c r="C58" s="59"/>
      <c r="D58" s="59"/>
      <c r="E58" s="4"/>
    </row>
    <row r="59" spans="2:5" x14ac:dyDescent="0.25">
      <c r="B59" s="4"/>
      <c r="C59" s="59"/>
      <c r="D59" s="59"/>
      <c r="E59" s="4"/>
    </row>
    <row r="60" spans="2:5" x14ac:dyDescent="0.25">
      <c r="B60" s="4"/>
      <c r="C60" s="59"/>
      <c r="D60" s="59"/>
      <c r="E60" s="4"/>
    </row>
    <row r="61" spans="2:5" x14ac:dyDescent="0.25">
      <c r="B61" s="4"/>
      <c r="C61" s="59"/>
      <c r="D61" s="59"/>
      <c r="E61" s="4"/>
    </row>
    <row r="62" spans="2:5" x14ac:dyDescent="0.25">
      <c r="B62" s="4"/>
      <c r="C62" s="59"/>
      <c r="D62" s="59"/>
      <c r="E62" s="4"/>
    </row>
    <row r="63" spans="2:5" x14ac:dyDescent="0.25">
      <c r="B63" s="4"/>
      <c r="C63" s="59"/>
      <c r="D63" s="59"/>
      <c r="E63" s="4"/>
    </row>
    <row r="64" spans="2:5" x14ac:dyDescent="0.25">
      <c r="B64" s="4"/>
      <c r="C64" s="59"/>
      <c r="D64" s="59"/>
      <c r="E64" s="4"/>
    </row>
    <row r="65" spans="2:5" x14ac:dyDescent="0.25">
      <c r="B65" s="4"/>
      <c r="C65" s="59"/>
      <c r="D65" s="59"/>
      <c r="E65" s="4"/>
    </row>
    <row r="66" spans="2:5" x14ac:dyDescent="0.25">
      <c r="B66" s="4"/>
      <c r="C66" s="59"/>
      <c r="D66" s="59"/>
      <c r="E66" s="4"/>
    </row>
    <row r="67" spans="2:5" x14ac:dyDescent="0.25">
      <c r="B67" s="4"/>
      <c r="C67" s="59"/>
      <c r="D67" s="59"/>
      <c r="E67" s="4"/>
    </row>
    <row r="68" spans="2:5" x14ac:dyDescent="0.25">
      <c r="B68" s="4"/>
      <c r="C68" s="59"/>
      <c r="D68" s="59"/>
      <c r="E68" s="4"/>
    </row>
    <row r="69" spans="2:5" x14ac:dyDescent="0.25">
      <c r="B69" s="4"/>
      <c r="C69" s="59"/>
      <c r="D69" s="59"/>
      <c r="E69" s="4"/>
    </row>
    <row r="70" spans="2:5" x14ac:dyDescent="0.25">
      <c r="B70" s="4"/>
      <c r="C70" s="59"/>
      <c r="D70" s="59"/>
      <c r="E70" s="4"/>
    </row>
    <row r="71" spans="2:5" x14ac:dyDescent="0.25">
      <c r="B71" s="4"/>
      <c r="C71" s="59"/>
      <c r="D71" s="59"/>
      <c r="E71" s="4"/>
    </row>
    <row r="72" spans="2:5" x14ac:dyDescent="0.25">
      <c r="B72" s="4"/>
      <c r="C72" s="59"/>
      <c r="D72" s="59"/>
      <c r="E72" s="4"/>
    </row>
    <row r="73" spans="2:5" x14ac:dyDescent="0.25">
      <c r="B73" s="4"/>
      <c r="C73" s="59"/>
      <c r="D73" s="59"/>
      <c r="E73" s="4"/>
    </row>
    <row r="74" spans="2:5" x14ac:dyDescent="0.25">
      <c r="B74" s="4"/>
      <c r="C74" s="59"/>
      <c r="D74" s="59"/>
      <c r="E74" s="4"/>
    </row>
    <row r="75" spans="2:5" x14ac:dyDescent="0.25">
      <c r="B75" s="4"/>
      <c r="C75" s="59"/>
      <c r="D75" s="59"/>
      <c r="E75" s="4"/>
    </row>
    <row r="76" spans="2:5" x14ac:dyDescent="0.25">
      <c r="B76" s="4"/>
      <c r="C76" s="59"/>
      <c r="D76" s="59"/>
      <c r="E76" s="4"/>
    </row>
    <row r="77" spans="2:5" x14ac:dyDescent="0.25">
      <c r="B77" s="4"/>
      <c r="C77" s="59"/>
      <c r="D77" s="59"/>
      <c r="E77" s="4"/>
    </row>
    <row r="78" spans="2:5" x14ac:dyDescent="0.25">
      <c r="B78" s="4"/>
      <c r="C78" s="59"/>
      <c r="D78" s="59"/>
      <c r="E78" s="4"/>
    </row>
    <row r="79" spans="2:5" x14ac:dyDescent="0.25">
      <c r="B79" s="4"/>
      <c r="C79" s="59"/>
      <c r="D79" s="59"/>
      <c r="E79" s="4"/>
    </row>
    <row r="80" spans="2:5" x14ac:dyDescent="0.25">
      <c r="B80" s="4"/>
      <c r="C80" s="59"/>
      <c r="D80" s="59"/>
      <c r="E80" s="4"/>
    </row>
    <row r="81" spans="2:5" x14ac:dyDescent="0.25">
      <c r="B81" s="4"/>
      <c r="C81" s="59"/>
      <c r="D81" s="59"/>
      <c r="E81" s="4"/>
    </row>
    <row r="82" spans="2:5" x14ac:dyDescent="0.25">
      <c r="B82" s="4"/>
      <c r="C82" s="59"/>
      <c r="D82" s="59"/>
      <c r="E82" s="4"/>
    </row>
    <row r="83" spans="2:5" x14ac:dyDescent="0.25">
      <c r="B83" s="4"/>
      <c r="C83" s="59"/>
      <c r="D83" s="59"/>
      <c r="E83" s="4"/>
    </row>
    <row r="84" spans="2:5" x14ac:dyDescent="0.25">
      <c r="B84" s="4"/>
      <c r="C84" s="59"/>
      <c r="D84" s="59"/>
      <c r="E84" s="4"/>
    </row>
    <row r="85" spans="2:5" x14ac:dyDescent="0.25">
      <c r="B85" s="4"/>
      <c r="C85" s="59"/>
      <c r="D85" s="59"/>
      <c r="E85" s="4"/>
    </row>
    <row r="86" spans="2:5" x14ac:dyDescent="0.25">
      <c r="B86" s="4"/>
      <c r="C86" s="59"/>
      <c r="D86" s="59"/>
      <c r="E86" s="4"/>
    </row>
    <row r="87" spans="2:5" x14ac:dyDescent="0.25">
      <c r="B87" s="4"/>
      <c r="C87" s="59"/>
      <c r="D87" s="59"/>
      <c r="E87" s="4"/>
    </row>
    <row r="88" spans="2:5" x14ac:dyDescent="0.25">
      <c r="B88" s="4"/>
      <c r="C88" s="59"/>
      <c r="D88" s="59"/>
      <c r="E88" s="4"/>
    </row>
    <row r="89" spans="2:5" x14ac:dyDescent="0.25">
      <c r="B89" s="4"/>
      <c r="C89" s="59"/>
      <c r="D89" s="59"/>
      <c r="E89" s="4"/>
    </row>
    <row r="90" spans="2:5" x14ac:dyDescent="0.25">
      <c r="B90" s="4"/>
      <c r="C90" s="59"/>
      <c r="D90" s="59"/>
      <c r="E90" s="4"/>
    </row>
    <row r="91" spans="2:5" x14ac:dyDescent="0.25">
      <c r="B91" s="4"/>
      <c r="C91" s="59"/>
      <c r="D91" s="59"/>
      <c r="E91" s="4"/>
    </row>
    <row r="92" spans="2:5" x14ac:dyDescent="0.25">
      <c r="B92" s="4"/>
      <c r="C92" s="59"/>
      <c r="D92" s="59"/>
      <c r="E92" s="4"/>
    </row>
    <row r="93" spans="2:5" x14ac:dyDescent="0.25">
      <c r="B93" s="4"/>
      <c r="C93" s="59"/>
      <c r="D93" s="59"/>
      <c r="E93" s="4"/>
    </row>
    <row r="94" spans="2:5" x14ac:dyDescent="0.25">
      <c r="B94" s="4"/>
      <c r="C94" s="59"/>
      <c r="D94" s="59"/>
      <c r="E94" s="4"/>
    </row>
    <row r="95" spans="2:5" x14ac:dyDescent="0.25">
      <c r="B95" s="4"/>
      <c r="C95" s="59"/>
      <c r="D95" s="59"/>
      <c r="E95" s="4"/>
    </row>
    <row r="96" spans="2:5" x14ac:dyDescent="0.25">
      <c r="B96" s="4"/>
      <c r="C96" s="59"/>
      <c r="D96" s="59"/>
      <c r="E96" s="4"/>
    </row>
    <row r="97" spans="2:5" x14ac:dyDescent="0.25">
      <c r="B97" s="4"/>
      <c r="C97" s="59"/>
      <c r="D97" s="59"/>
      <c r="E97" s="4"/>
    </row>
    <row r="98" spans="2:5" x14ac:dyDescent="0.25">
      <c r="B98" s="4"/>
      <c r="C98" s="59"/>
      <c r="D98" s="59"/>
      <c r="E98" s="4"/>
    </row>
    <row r="99" spans="2:5" x14ac:dyDescent="0.25">
      <c r="B99" s="4"/>
      <c r="C99" s="59"/>
      <c r="D99" s="59"/>
      <c r="E99" s="4"/>
    </row>
    <row r="100" spans="2:5" x14ac:dyDescent="0.25">
      <c r="B100" s="4"/>
      <c r="C100" s="59"/>
      <c r="D100" s="59"/>
      <c r="E100" s="4"/>
    </row>
    <row r="101" spans="2:5" x14ac:dyDescent="0.25">
      <c r="B101" s="4"/>
      <c r="C101" s="59"/>
      <c r="D101" s="59"/>
      <c r="E101" s="4"/>
    </row>
    <row r="102" spans="2:5" x14ac:dyDescent="0.25">
      <c r="B102" s="4"/>
      <c r="C102" s="59"/>
      <c r="D102" s="59"/>
      <c r="E102" s="4"/>
    </row>
    <row r="103" spans="2:5" x14ac:dyDescent="0.25">
      <c r="B103" s="4"/>
      <c r="C103" s="59"/>
      <c r="D103" s="59"/>
      <c r="E103" s="4"/>
    </row>
    <row r="104" spans="2:5" x14ac:dyDescent="0.25">
      <c r="B104" s="4"/>
      <c r="C104" s="59"/>
      <c r="D104" s="59"/>
      <c r="E104" s="4"/>
    </row>
    <row r="105" spans="2:5" x14ac:dyDescent="0.25">
      <c r="B105" s="4"/>
      <c r="C105" s="59"/>
      <c r="D105" s="59"/>
      <c r="E105" s="4"/>
    </row>
    <row r="106" spans="2:5" x14ac:dyDescent="0.25">
      <c r="B106" s="4"/>
      <c r="C106" s="59"/>
      <c r="D106" s="59"/>
      <c r="E106" s="4"/>
    </row>
    <row r="107" spans="2:5" x14ac:dyDescent="0.25">
      <c r="B107" s="4"/>
      <c r="C107" s="59"/>
      <c r="D107" s="59"/>
      <c r="E107" s="4"/>
    </row>
    <row r="108" spans="2:5" x14ac:dyDescent="0.25">
      <c r="B108" s="4"/>
      <c r="C108" s="59"/>
      <c r="D108" s="59"/>
      <c r="E108" s="4"/>
    </row>
    <row r="109" spans="2:5" x14ac:dyDescent="0.25">
      <c r="B109" s="4"/>
      <c r="C109" s="59"/>
      <c r="D109" s="59"/>
      <c r="E109" s="4"/>
    </row>
    <row r="110" spans="2:5" x14ac:dyDescent="0.25">
      <c r="B110" s="4"/>
      <c r="C110" s="59"/>
      <c r="D110" s="59"/>
      <c r="E110" s="4"/>
    </row>
    <row r="111" spans="2:5" x14ac:dyDescent="0.25">
      <c r="B111" s="4"/>
      <c r="C111" s="59"/>
      <c r="D111" s="59"/>
      <c r="E111" s="4"/>
    </row>
    <row r="112" spans="2:5" x14ac:dyDescent="0.25">
      <c r="B112" s="4"/>
      <c r="C112" s="59"/>
      <c r="D112" s="59"/>
      <c r="E112" s="4"/>
    </row>
    <row r="113" spans="2:5" x14ac:dyDescent="0.25">
      <c r="B113" s="4"/>
      <c r="C113" s="59"/>
      <c r="D113" s="59"/>
      <c r="E113" s="4"/>
    </row>
    <row r="114" spans="2:5" x14ac:dyDescent="0.25">
      <c r="B114" s="4"/>
      <c r="C114" s="59"/>
      <c r="D114" s="59"/>
      <c r="E114" s="4"/>
    </row>
    <row r="115" spans="2:5" x14ac:dyDescent="0.25">
      <c r="B115" s="4"/>
      <c r="C115" s="59"/>
      <c r="D115" s="59"/>
      <c r="E115" s="4"/>
    </row>
    <row r="116" spans="2:5" x14ac:dyDescent="0.25">
      <c r="B116" s="4"/>
      <c r="C116" s="59"/>
      <c r="D116" s="59"/>
      <c r="E116" s="4"/>
    </row>
    <row r="117" spans="2:5" x14ac:dyDescent="0.25">
      <c r="B117" s="4"/>
      <c r="C117" s="59"/>
      <c r="D117" s="59"/>
      <c r="E117" s="4"/>
    </row>
    <row r="118" spans="2:5" x14ac:dyDescent="0.25">
      <c r="B118" s="4"/>
      <c r="C118" s="59"/>
      <c r="D118" s="59"/>
      <c r="E118" s="4"/>
    </row>
    <row r="119" spans="2:5" x14ac:dyDescent="0.25">
      <c r="B119" s="4"/>
      <c r="C119" s="59"/>
      <c r="D119" s="59"/>
      <c r="E119" s="4"/>
    </row>
    <row r="120" spans="2:5" x14ac:dyDescent="0.25">
      <c r="B120" s="4"/>
      <c r="C120" s="59"/>
      <c r="D120" s="59"/>
      <c r="E120" s="4"/>
    </row>
    <row r="121" spans="2:5" x14ac:dyDescent="0.25">
      <c r="B121" s="4"/>
      <c r="C121" s="59"/>
      <c r="D121" s="59"/>
      <c r="E121" s="4"/>
    </row>
    <row r="122" spans="2:5" x14ac:dyDescent="0.25">
      <c r="B122" s="4"/>
      <c r="C122" s="59"/>
      <c r="D122" s="59"/>
      <c r="E122" s="4"/>
    </row>
    <row r="123" spans="2:5" x14ac:dyDescent="0.25">
      <c r="B123" s="4"/>
      <c r="C123" s="59"/>
      <c r="D123" s="59"/>
      <c r="E123" s="4"/>
    </row>
    <row r="124" spans="2:5" x14ac:dyDescent="0.25">
      <c r="B124" s="4"/>
      <c r="C124" s="59"/>
      <c r="D124" s="59"/>
      <c r="E124" s="4"/>
    </row>
    <row r="125" spans="2:5" x14ac:dyDescent="0.25">
      <c r="B125" s="4"/>
      <c r="C125" s="59"/>
      <c r="D125" s="59"/>
      <c r="E125" s="4"/>
    </row>
    <row r="126" spans="2:5" x14ac:dyDescent="0.25">
      <c r="B126" s="4"/>
      <c r="C126" s="59"/>
      <c r="D126" s="59"/>
      <c r="E126" s="4"/>
    </row>
    <row r="127" spans="2:5" x14ac:dyDescent="0.25">
      <c r="B127" s="4"/>
      <c r="C127" s="59"/>
      <c r="D127" s="59"/>
      <c r="E127" s="4"/>
    </row>
    <row r="128" spans="2:5" x14ac:dyDescent="0.25">
      <c r="B128" s="4"/>
      <c r="C128" s="59"/>
      <c r="D128" s="59"/>
      <c r="E128" s="4"/>
    </row>
    <row r="129" spans="2:5" x14ac:dyDescent="0.25">
      <c r="B129" s="4"/>
      <c r="C129" s="59"/>
      <c r="D129" s="59"/>
      <c r="E129" s="4"/>
    </row>
    <row r="130" spans="2:5" x14ac:dyDescent="0.25">
      <c r="B130" s="4"/>
      <c r="C130" s="59"/>
      <c r="D130" s="59"/>
      <c r="E130" s="4"/>
    </row>
    <row r="131" spans="2:5" x14ac:dyDescent="0.25">
      <c r="B131" s="4"/>
      <c r="C131" s="59"/>
      <c r="D131" s="59"/>
      <c r="E131" s="4"/>
    </row>
    <row r="132" spans="2:5" x14ac:dyDescent="0.25">
      <c r="B132" s="4"/>
      <c r="C132" s="59"/>
      <c r="D132" s="59"/>
      <c r="E132" s="4"/>
    </row>
    <row r="133" spans="2:5" x14ac:dyDescent="0.25">
      <c r="B133" s="4"/>
      <c r="C133" s="59"/>
      <c r="D133" s="59"/>
      <c r="E133" s="4"/>
    </row>
    <row r="134" spans="2:5" x14ac:dyDescent="0.25">
      <c r="B134" s="4"/>
      <c r="C134" s="59"/>
      <c r="D134" s="59"/>
      <c r="E134" s="4"/>
    </row>
    <row r="135" spans="2:5" x14ac:dyDescent="0.25">
      <c r="B135" s="4"/>
      <c r="C135" s="59"/>
      <c r="D135" s="59"/>
      <c r="E135" s="4"/>
    </row>
    <row r="136" spans="2:5" x14ac:dyDescent="0.25">
      <c r="B136" s="4"/>
      <c r="C136" s="59"/>
      <c r="D136" s="59"/>
      <c r="E136" s="4"/>
    </row>
    <row r="137" spans="2:5" x14ac:dyDescent="0.25">
      <c r="B137" s="4"/>
      <c r="C137" s="59"/>
      <c r="D137" s="59"/>
      <c r="E137" s="4"/>
    </row>
    <row r="138" spans="2:5" x14ac:dyDescent="0.25">
      <c r="B138" s="4"/>
      <c r="C138" s="59"/>
      <c r="D138" s="59"/>
      <c r="E138" s="4"/>
    </row>
    <row r="139" spans="2:5" x14ac:dyDescent="0.25">
      <c r="B139" s="4"/>
      <c r="C139" s="59"/>
      <c r="D139" s="59"/>
      <c r="E139" s="4"/>
    </row>
    <row r="140" spans="2:5" x14ac:dyDescent="0.25">
      <c r="B140" s="4"/>
      <c r="C140" s="59"/>
      <c r="D140" s="59"/>
      <c r="E140" s="4"/>
    </row>
    <row r="141" spans="2:5" x14ac:dyDescent="0.25">
      <c r="B141" s="4"/>
      <c r="C141" s="59"/>
      <c r="D141" s="59"/>
      <c r="E141" s="4"/>
    </row>
    <row r="142" spans="2:5" x14ac:dyDescent="0.25">
      <c r="B142" s="4"/>
      <c r="C142" s="59"/>
      <c r="D142" s="59"/>
      <c r="E142" s="4"/>
    </row>
    <row r="143" spans="2:5" x14ac:dyDescent="0.25">
      <c r="B143" s="4"/>
      <c r="C143" s="59"/>
      <c r="D143" s="59"/>
      <c r="E143" s="4"/>
    </row>
    <row r="144" spans="2:5" x14ac:dyDescent="0.25">
      <c r="B144" s="4"/>
      <c r="C144" s="59"/>
      <c r="D144" s="59"/>
      <c r="E144" s="4"/>
    </row>
    <row r="145" spans="2:5" x14ac:dyDescent="0.25">
      <c r="B145" s="4"/>
      <c r="C145" s="59"/>
      <c r="D145" s="59"/>
      <c r="E145" s="4"/>
    </row>
    <row r="146" spans="2:5" x14ac:dyDescent="0.25">
      <c r="B146" s="4"/>
      <c r="C146" s="59"/>
      <c r="D146" s="59"/>
      <c r="E146" s="4"/>
    </row>
    <row r="147" spans="2:5" x14ac:dyDescent="0.25">
      <c r="B147" s="4"/>
      <c r="C147" s="59"/>
      <c r="D147" s="59"/>
      <c r="E147" s="4"/>
    </row>
    <row r="148" spans="2:5" x14ac:dyDescent="0.25">
      <c r="B148" s="4"/>
      <c r="C148" s="59"/>
      <c r="D148" s="59"/>
      <c r="E148" s="4"/>
    </row>
    <row r="149" spans="2:5" x14ac:dyDescent="0.25">
      <c r="B149" s="4"/>
      <c r="C149" s="59"/>
      <c r="D149" s="59"/>
      <c r="E149" s="4"/>
    </row>
    <row r="150" spans="2:5" x14ac:dyDescent="0.25">
      <c r="B150" s="4"/>
      <c r="C150" s="59"/>
      <c r="D150" s="59"/>
      <c r="E150" s="4"/>
    </row>
    <row r="151" spans="2:5" x14ac:dyDescent="0.25">
      <c r="B151" s="4"/>
      <c r="C151" s="59"/>
      <c r="D151" s="59"/>
      <c r="E151" s="4"/>
    </row>
    <row r="152" spans="2:5" x14ac:dyDescent="0.25">
      <c r="B152" s="4"/>
      <c r="C152" s="59"/>
      <c r="D152" s="59"/>
      <c r="E152" s="4"/>
    </row>
    <row r="153" spans="2:5" x14ac:dyDescent="0.25">
      <c r="B153" s="4"/>
      <c r="C153" s="59"/>
      <c r="D153" s="59"/>
      <c r="E153" s="4"/>
    </row>
    <row r="154" spans="2:5" x14ac:dyDescent="0.25">
      <c r="B154" s="4"/>
      <c r="C154" s="59"/>
      <c r="D154" s="59"/>
      <c r="E154" s="4"/>
    </row>
    <row r="155" spans="2:5" x14ac:dyDescent="0.25">
      <c r="B155" s="4"/>
      <c r="C155" s="59"/>
      <c r="D155" s="59"/>
      <c r="E155" s="4"/>
    </row>
    <row r="156" spans="2:5" x14ac:dyDescent="0.25">
      <c r="B156" s="4"/>
      <c r="C156" s="59"/>
      <c r="D156" s="59"/>
      <c r="E156" s="4"/>
    </row>
    <row r="157" spans="2:5" x14ac:dyDescent="0.25">
      <c r="B157" s="4"/>
      <c r="C157" s="59"/>
      <c r="D157" s="59"/>
      <c r="E157" s="4"/>
    </row>
    <row r="158" spans="2:5" x14ac:dyDescent="0.25">
      <c r="B158" s="4"/>
      <c r="C158" s="59"/>
      <c r="D158" s="59"/>
      <c r="E158" s="4"/>
    </row>
    <row r="159" spans="2:5" x14ac:dyDescent="0.25">
      <c r="B159" s="4"/>
      <c r="C159" s="59"/>
      <c r="D159" s="59"/>
      <c r="E159" s="4"/>
    </row>
    <row r="160" spans="2:5" x14ac:dyDescent="0.25">
      <c r="B160" s="4"/>
      <c r="C160" s="59"/>
      <c r="D160" s="59"/>
      <c r="E160" s="4"/>
    </row>
    <row r="161" spans="2:5" x14ac:dyDescent="0.25">
      <c r="B161" s="4"/>
      <c r="C161" s="59"/>
      <c r="D161" s="59"/>
      <c r="E161" s="4"/>
    </row>
    <row r="162" spans="2:5" x14ac:dyDescent="0.25">
      <c r="B162" s="4"/>
      <c r="C162" s="59"/>
      <c r="D162" s="59"/>
      <c r="E162" s="4"/>
    </row>
    <row r="163" spans="2:5" x14ac:dyDescent="0.25">
      <c r="B163" s="4"/>
      <c r="C163" s="59"/>
      <c r="D163" s="59"/>
      <c r="E163" s="4"/>
    </row>
    <row r="164" spans="2:5" x14ac:dyDescent="0.25">
      <c r="B164" s="4"/>
      <c r="C164" s="59"/>
      <c r="D164" s="59"/>
      <c r="E164" s="4"/>
    </row>
    <row r="165" spans="2:5" x14ac:dyDescent="0.25">
      <c r="B165" s="4"/>
      <c r="C165" s="59"/>
      <c r="D165" s="59"/>
      <c r="E165" s="4"/>
    </row>
    <row r="166" spans="2:5" x14ac:dyDescent="0.25">
      <c r="B166" s="4"/>
      <c r="C166" s="59"/>
      <c r="D166" s="59"/>
      <c r="E166" s="4"/>
    </row>
    <row r="167" spans="2:5" x14ac:dyDescent="0.25">
      <c r="B167" s="4"/>
      <c r="C167" s="59"/>
      <c r="D167" s="59"/>
      <c r="E167" s="4"/>
    </row>
    <row r="168" spans="2:5" x14ac:dyDescent="0.25">
      <c r="B168" s="4"/>
      <c r="C168" s="59"/>
      <c r="D168" s="59"/>
      <c r="E168" s="4"/>
    </row>
    <row r="169" spans="2:5" x14ac:dyDescent="0.25">
      <c r="B169" s="4"/>
      <c r="C169" s="59"/>
      <c r="D169" s="59"/>
      <c r="E169" s="4"/>
    </row>
    <row r="170" spans="2:5" x14ac:dyDescent="0.25">
      <c r="B170" s="4"/>
      <c r="C170" s="59"/>
      <c r="D170" s="59"/>
      <c r="E170" s="4"/>
    </row>
    <row r="171" spans="2:5" x14ac:dyDescent="0.25">
      <c r="B171" s="4"/>
      <c r="C171" s="59"/>
      <c r="D171" s="59"/>
      <c r="E171" s="4"/>
    </row>
    <row r="172" spans="2:5" x14ac:dyDescent="0.25">
      <c r="B172" s="4"/>
      <c r="C172" s="59"/>
      <c r="D172" s="59"/>
      <c r="E172" s="4"/>
    </row>
    <row r="173" spans="2:5" x14ac:dyDescent="0.25">
      <c r="B173" s="4"/>
      <c r="C173" s="59"/>
      <c r="D173" s="59"/>
      <c r="E173" s="4"/>
    </row>
    <row r="174" spans="2:5" x14ac:dyDescent="0.25">
      <c r="B174" s="4"/>
      <c r="C174" s="59"/>
      <c r="D174" s="59"/>
      <c r="E174" s="4"/>
    </row>
    <row r="175" spans="2:5" x14ac:dyDescent="0.25">
      <c r="B175" s="4"/>
      <c r="C175" s="59"/>
      <c r="D175" s="59"/>
      <c r="E175" s="4"/>
    </row>
    <row r="176" spans="2:5" x14ac:dyDescent="0.25">
      <c r="B176" s="4"/>
      <c r="C176" s="59"/>
      <c r="D176" s="59"/>
      <c r="E176" s="4"/>
    </row>
    <row r="177" spans="2:5" x14ac:dyDescent="0.25">
      <c r="B177" s="4"/>
      <c r="C177" s="59"/>
      <c r="D177" s="59"/>
      <c r="E177" s="4"/>
    </row>
    <row r="178" spans="2:5" x14ac:dyDescent="0.25">
      <c r="B178" s="4"/>
      <c r="C178" s="59"/>
      <c r="D178" s="59"/>
      <c r="E178" s="4"/>
    </row>
    <row r="179" spans="2:5" x14ac:dyDescent="0.25">
      <c r="B179" s="4"/>
      <c r="C179" s="59"/>
      <c r="D179" s="59"/>
      <c r="E179" s="4"/>
    </row>
    <row r="180" spans="2:5" x14ac:dyDescent="0.25">
      <c r="B180" s="4"/>
      <c r="C180" s="59"/>
      <c r="D180" s="59"/>
      <c r="E180" s="4"/>
    </row>
    <row r="181" spans="2:5" x14ac:dyDescent="0.25">
      <c r="B181" s="4"/>
      <c r="C181" s="59"/>
      <c r="D181" s="59"/>
      <c r="E181" s="4"/>
    </row>
    <row r="182" spans="2:5" x14ac:dyDescent="0.25">
      <c r="B182" s="4"/>
      <c r="C182" s="59"/>
      <c r="D182" s="59"/>
      <c r="E182" s="4"/>
    </row>
    <row r="183" spans="2:5" x14ac:dyDescent="0.25">
      <c r="B183" s="4"/>
      <c r="C183" s="59"/>
      <c r="D183" s="59"/>
      <c r="E183" s="4"/>
    </row>
    <row r="184" spans="2:5" x14ac:dyDescent="0.25">
      <c r="B184" s="4"/>
      <c r="C184" s="59"/>
      <c r="D184" s="59"/>
      <c r="E184" s="4"/>
    </row>
    <row r="185" spans="2:5" x14ac:dyDescent="0.25">
      <c r="B185" s="4"/>
      <c r="C185" s="59"/>
      <c r="D185" s="59"/>
      <c r="E185" s="4"/>
    </row>
    <row r="186" spans="2:5" x14ac:dyDescent="0.25">
      <c r="B186" s="4"/>
      <c r="C186" s="59"/>
      <c r="D186" s="59"/>
      <c r="E186" s="4"/>
    </row>
    <row r="187" spans="2:5" x14ac:dyDescent="0.25">
      <c r="B187" s="4"/>
      <c r="C187" s="59"/>
      <c r="D187" s="59"/>
      <c r="E187" s="4"/>
    </row>
    <row r="188" spans="2:5" x14ac:dyDescent="0.25">
      <c r="B188" s="4"/>
      <c r="C188" s="59"/>
      <c r="D188" s="59"/>
      <c r="E188" s="4"/>
    </row>
    <row r="189" spans="2:5" x14ac:dyDescent="0.25">
      <c r="B189" s="4"/>
      <c r="C189" s="59"/>
      <c r="D189" s="59"/>
      <c r="E189" s="4"/>
    </row>
    <row r="190" spans="2:5" x14ac:dyDescent="0.25">
      <c r="B190" s="4"/>
      <c r="C190" s="59"/>
      <c r="D190" s="59"/>
      <c r="E190" s="4"/>
    </row>
    <row r="191" spans="2:5" x14ac:dyDescent="0.25">
      <c r="B191" s="4"/>
      <c r="C191" s="59"/>
      <c r="D191" s="59"/>
      <c r="E191" s="4"/>
    </row>
    <row r="192" spans="2:5" x14ac:dyDescent="0.25">
      <c r="B192" s="4"/>
      <c r="C192" s="59"/>
      <c r="D192" s="59"/>
      <c r="E192" s="4"/>
    </row>
    <row r="193" spans="2:5" x14ac:dyDescent="0.25">
      <c r="B193" s="4"/>
      <c r="C193" s="59"/>
      <c r="D193" s="59"/>
      <c r="E193" s="4"/>
    </row>
    <row r="194" spans="2:5" x14ac:dyDescent="0.25">
      <c r="B194" s="4"/>
      <c r="C194" s="59"/>
      <c r="D194" s="59"/>
      <c r="E194" s="4"/>
    </row>
    <row r="195" spans="2:5" x14ac:dyDescent="0.25">
      <c r="B195" s="4"/>
      <c r="C195" s="59"/>
      <c r="D195" s="59"/>
      <c r="E195" s="4"/>
    </row>
    <row r="196" spans="2:5" x14ac:dyDescent="0.25">
      <c r="B196" s="4"/>
      <c r="C196" s="59"/>
      <c r="D196" s="59"/>
      <c r="E196" s="4"/>
    </row>
    <row r="197" spans="2:5" x14ac:dyDescent="0.25">
      <c r="B197" s="4"/>
      <c r="C197" s="59"/>
      <c r="D197" s="59"/>
      <c r="E197" s="4"/>
    </row>
    <row r="198" spans="2:5" x14ac:dyDescent="0.25">
      <c r="B198" s="4"/>
      <c r="C198" s="59"/>
      <c r="D198" s="59"/>
      <c r="E198" s="4"/>
    </row>
    <row r="199" spans="2:5" x14ac:dyDescent="0.25">
      <c r="B199" s="4"/>
      <c r="C199" s="59"/>
      <c r="D199" s="59"/>
      <c r="E199" s="4"/>
    </row>
    <row r="200" spans="2:5" x14ac:dyDescent="0.25">
      <c r="B200" s="4"/>
      <c r="C200" s="59"/>
      <c r="D200" s="59"/>
      <c r="E200" s="4"/>
    </row>
    <row r="201" spans="2:5" x14ac:dyDescent="0.25">
      <c r="B201" s="4"/>
      <c r="C201" s="59"/>
      <c r="D201" s="59"/>
      <c r="E201" s="4"/>
    </row>
    <row r="202" spans="2:5" x14ac:dyDescent="0.25">
      <c r="B202" s="4"/>
      <c r="C202" s="59"/>
      <c r="D202" s="59"/>
      <c r="E202" s="4"/>
    </row>
    <row r="203" spans="2:5" x14ac:dyDescent="0.25">
      <c r="B203" s="4"/>
      <c r="C203" s="59"/>
      <c r="D203" s="59"/>
      <c r="E203" s="4"/>
    </row>
    <row r="204" spans="2:5" x14ac:dyDescent="0.25">
      <c r="B204" s="4"/>
      <c r="C204" s="59"/>
      <c r="D204" s="59"/>
      <c r="E204" s="4"/>
    </row>
    <row r="205" spans="2:5" x14ac:dyDescent="0.25">
      <c r="B205" s="4"/>
      <c r="C205" s="59"/>
      <c r="D205" s="59"/>
      <c r="E205" s="4"/>
    </row>
    <row r="206" spans="2:5" x14ac:dyDescent="0.25">
      <c r="B206" s="4"/>
      <c r="C206" s="59"/>
      <c r="D206" s="59"/>
      <c r="E206" s="4"/>
    </row>
    <row r="207" spans="2:5" x14ac:dyDescent="0.25">
      <c r="B207" s="4"/>
      <c r="C207" s="59"/>
      <c r="D207" s="59"/>
      <c r="E207" s="4"/>
    </row>
    <row r="208" spans="2:5" x14ac:dyDescent="0.25">
      <c r="B208" s="4"/>
      <c r="C208" s="59"/>
      <c r="D208" s="59"/>
      <c r="E208" s="4"/>
    </row>
    <row r="209" spans="2:5" x14ac:dyDescent="0.25">
      <c r="B209" s="4"/>
      <c r="C209" s="59"/>
      <c r="D209" s="59"/>
      <c r="E209" s="4"/>
    </row>
    <row r="210" spans="2:5" x14ac:dyDescent="0.25">
      <c r="B210" s="4"/>
      <c r="C210" s="59"/>
      <c r="D210" s="59"/>
      <c r="E210" s="4"/>
    </row>
    <row r="211" spans="2:5" x14ac:dyDescent="0.25">
      <c r="B211" s="4"/>
      <c r="C211" s="59"/>
      <c r="D211" s="59"/>
      <c r="E211" s="4"/>
    </row>
    <row r="212" spans="2:5" x14ac:dyDescent="0.25">
      <c r="B212" s="4"/>
      <c r="C212" s="59"/>
      <c r="D212" s="59"/>
      <c r="E212" s="4"/>
    </row>
    <row r="213" spans="2:5" x14ac:dyDescent="0.25">
      <c r="B213" s="4"/>
      <c r="C213" s="59"/>
      <c r="D213" s="59"/>
      <c r="E213" s="4"/>
    </row>
    <row r="214" spans="2:5" x14ac:dyDescent="0.25">
      <c r="B214" s="4"/>
      <c r="C214" s="59"/>
      <c r="D214" s="59"/>
      <c r="E214" s="4"/>
    </row>
    <row r="215" spans="2:5" x14ac:dyDescent="0.25">
      <c r="B215" s="4"/>
      <c r="C215" s="59"/>
      <c r="D215" s="59"/>
      <c r="E215" s="4"/>
    </row>
    <row r="216" spans="2:5" x14ac:dyDescent="0.25">
      <c r="B216" s="4"/>
      <c r="C216" s="59"/>
      <c r="D216" s="59"/>
      <c r="E216" s="4"/>
    </row>
    <row r="217" spans="2:5" x14ac:dyDescent="0.25">
      <c r="B217" s="4"/>
      <c r="C217" s="59"/>
      <c r="D217" s="59"/>
      <c r="E217" s="4"/>
    </row>
    <row r="218" spans="2:5" x14ac:dyDescent="0.25">
      <c r="B218" s="4"/>
      <c r="C218" s="59"/>
      <c r="D218" s="59"/>
      <c r="E218" s="4"/>
    </row>
    <row r="219" spans="2:5" x14ac:dyDescent="0.25">
      <c r="B219" s="4"/>
      <c r="C219" s="59"/>
      <c r="D219" s="59"/>
      <c r="E219" s="4"/>
    </row>
    <row r="220" spans="2:5" x14ac:dyDescent="0.25">
      <c r="B220" s="4"/>
      <c r="C220" s="59"/>
      <c r="D220" s="59"/>
      <c r="E220" s="4"/>
    </row>
    <row r="221" spans="2:5" x14ac:dyDescent="0.25">
      <c r="B221" s="4"/>
      <c r="C221" s="59"/>
      <c r="D221" s="59"/>
      <c r="E221" s="4"/>
    </row>
    <row r="222" spans="2:5" x14ac:dyDescent="0.25">
      <c r="B222" s="4"/>
      <c r="C222" s="59"/>
      <c r="D222" s="59"/>
      <c r="E222" s="4"/>
    </row>
    <row r="223" spans="2:5" x14ac:dyDescent="0.25">
      <c r="B223" s="4"/>
      <c r="C223" s="59"/>
      <c r="D223" s="59"/>
      <c r="E223" s="4"/>
    </row>
    <row r="224" spans="2:5" x14ac:dyDescent="0.25">
      <c r="B224" s="4"/>
      <c r="C224" s="59"/>
      <c r="D224" s="59"/>
      <c r="E224" s="4"/>
    </row>
    <row r="225" spans="2:5" x14ac:dyDescent="0.25">
      <c r="B225" s="4"/>
      <c r="C225" s="59"/>
      <c r="D225" s="59"/>
      <c r="E225" s="4"/>
    </row>
    <row r="226" spans="2:5" x14ac:dyDescent="0.25">
      <c r="B226" s="4"/>
      <c r="C226" s="59"/>
      <c r="D226" s="59"/>
      <c r="E226" s="4"/>
    </row>
    <row r="227" spans="2:5" x14ac:dyDescent="0.25">
      <c r="B227" s="4"/>
      <c r="C227" s="59"/>
      <c r="D227" s="59"/>
      <c r="E227" s="4"/>
    </row>
    <row r="228" spans="2:5" x14ac:dyDescent="0.25">
      <c r="B228" s="4"/>
      <c r="C228" s="59"/>
      <c r="D228" s="59"/>
      <c r="E228" s="4"/>
    </row>
    <row r="229" spans="2:5" x14ac:dyDescent="0.25">
      <c r="B229" s="4"/>
      <c r="C229" s="59"/>
      <c r="D229" s="59"/>
      <c r="E229" s="4"/>
    </row>
    <row r="230" spans="2:5" x14ac:dyDescent="0.25">
      <c r="B230" s="4"/>
      <c r="C230" s="59"/>
      <c r="D230" s="59"/>
      <c r="E230" s="4"/>
    </row>
    <row r="231" spans="2:5" x14ac:dyDescent="0.25">
      <c r="B231" s="4"/>
      <c r="C231" s="59"/>
      <c r="D231" s="59"/>
      <c r="E231" s="4"/>
    </row>
    <row r="232" spans="2:5" x14ac:dyDescent="0.25">
      <c r="B232" s="4"/>
      <c r="C232" s="59"/>
      <c r="D232" s="59"/>
      <c r="E232" s="4"/>
    </row>
    <row r="233" spans="2:5" x14ac:dyDescent="0.25">
      <c r="B233" s="4"/>
      <c r="C233" s="59"/>
      <c r="D233" s="59"/>
      <c r="E233" s="4"/>
    </row>
    <row r="234" spans="2:5" x14ac:dyDescent="0.25">
      <c r="B234" s="4"/>
      <c r="C234" s="59"/>
      <c r="D234" s="59"/>
      <c r="E234" s="4"/>
    </row>
    <row r="235" spans="2:5" x14ac:dyDescent="0.25">
      <c r="B235" s="4"/>
      <c r="C235" s="59"/>
      <c r="D235" s="59"/>
      <c r="E235" s="4"/>
    </row>
    <row r="236" spans="2:5" x14ac:dyDescent="0.25">
      <c r="B236" s="4"/>
      <c r="C236" s="59"/>
      <c r="D236" s="59"/>
      <c r="E236" s="4"/>
    </row>
    <row r="237" spans="2:5" x14ac:dyDescent="0.25">
      <c r="B237" s="4"/>
      <c r="C237" s="59"/>
      <c r="D237" s="59"/>
      <c r="E237" s="4"/>
    </row>
    <row r="238" spans="2:5" x14ac:dyDescent="0.25">
      <c r="B238" s="4"/>
      <c r="C238" s="59"/>
      <c r="D238" s="59"/>
      <c r="E238" s="4"/>
    </row>
    <row r="239" spans="2:5" x14ac:dyDescent="0.25">
      <c r="B239" s="4"/>
      <c r="C239" s="59"/>
      <c r="D239" s="59"/>
      <c r="E239" s="4"/>
    </row>
    <row r="240" spans="2:5" x14ac:dyDescent="0.25">
      <c r="B240" s="4"/>
      <c r="C240" s="59"/>
      <c r="D240" s="59"/>
      <c r="E240" s="4"/>
    </row>
    <row r="241" spans="2:5" x14ac:dyDescent="0.25">
      <c r="B241" s="4"/>
      <c r="C241" s="59"/>
      <c r="D241" s="59"/>
      <c r="E241" s="4"/>
    </row>
    <row r="242" spans="2:5" x14ac:dyDescent="0.25">
      <c r="B242" s="4"/>
      <c r="C242" s="59"/>
      <c r="D242" s="59"/>
      <c r="E242" s="4"/>
    </row>
    <row r="243" spans="2:5" x14ac:dyDescent="0.25">
      <c r="B243" s="4"/>
      <c r="C243" s="59"/>
      <c r="D243" s="59"/>
      <c r="E243" s="4"/>
    </row>
    <row r="244" spans="2:5" x14ac:dyDescent="0.25">
      <c r="B244" s="4"/>
      <c r="C244" s="59"/>
      <c r="D244" s="59"/>
      <c r="E244" s="4"/>
    </row>
    <row r="245" spans="2:5" x14ac:dyDescent="0.25">
      <c r="B245" s="4"/>
      <c r="C245" s="59"/>
      <c r="D245" s="59"/>
      <c r="E245" s="4"/>
    </row>
    <row r="246" spans="2:5" x14ac:dyDescent="0.25">
      <c r="B246" s="4"/>
      <c r="C246" s="59"/>
      <c r="D246" s="59"/>
      <c r="E246" s="4"/>
    </row>
    <row r="247" spans="2:5" x14ac:dyDescent="0.25">
      <c r="B247" s="4"/>
      <c r="C247" s="59"/>
      <c r="D247" s="59"/>
      <c r="E247" s="4"/>
    </row>
    <row r="248" spans="2:5" x14ac:dyDescent="0.25">
      <c r="B248" s="4"/>
      <c r="C248" s="59"/>
      <c r="D248" s="59"/>
      <c r="E248" s="4"/>
    </row>
    <row r="249" spans="2:5" x14ac:dyDescent="0.25">
      <c r="B249" s="4"/>
      <c r="C249" s="59"/>
      <c r="D249" s="59"/>
      <c r="E249" s="4"/>
    </row>
    <row r="250" spans="2:5" x14ac:dyDescent="0.25">
      <c r="B250" s="4"/>
      <c r="C250" s="59"/>
      <c r="D250" s="59"/>
      <c r="E250" s="4"/>
    </row>
    <row r="251" spans="2:5" x14ac:dyDescent="0.25">
      <c r="B251" s="4"/>
      <c r="C251" s="59"/>
      <c r="D251" s="59"/>
      <c r="E251" s="4"/>
    </row>
    <row r="252" spans="2:5" x14ac:dyDescent="0.25">
      <c r="B252" s="4"/>
      <c r="C252" s="59"/>
      <c r="D252" s="59"/>
      <c r="E252" s="4"/>
    </row>
    <row r="253" spans="2:5" x14ac:dyDescent="0.25">
      <c r="B253" s="4"/>
      <c r="C253" s="59"/>
      <c r="D253" s="59"/>
      <c r="E253" s="4"/>
    </row>
    <row r="254" spans="2:5" x14ac:dyDescent="0.25">
      <c r="B254" s="4"/>
      <c r="C254" s="59"/>
      <c r="D254" s="59"/>
      <c r="E254" s="4"/>
    </row>
    <row r="255" spans="2:5" x14ac:dyDescent="0.25">
      <c r="B255" s="4"/>
      <c r="C255" s="59"/>
      <c r="D255" s="59"/>
      <c r="E255" s="4"/>
    </row>
    <row r="256" spans="2:5" x14ac:dyDescent="0.25">
      <c r="B256" s="4"/>
      <c r="C256" s="59"/>
      <c r="D256" s="59"/>
      <c r="E256" s="4"/>
    </row>
    <row r="257" spans="2:5" x14ac:dyDescent="0.25">
      <c r="B257" s="4"/>
      <c r="C257" s="59"/>
      <c r="D257" s="59"/>
      <c r="E257" s="4"/>
    </row>
    <row r="258" spans="2:5" x14ac:dyDescent="0.25">
      <c r="B258" s="4"/>
      <c r="C258" s="59"/>
      <c r="D258" s="59"/>
      <c r="E258" s="4"/>
    </row>
    <row r="259" spans="2:5" x14ac:dyDescent="0.25">
      <c r="B259" s="4"/>
      <c r="C259" s="59"/>
      <c r="D259" s="59"/>
      <c r="E259" s="4"/>
    </row>
    <row r="260" spans="2:5" x14ac:dyDescent="0.25">
      <c r="B260" s="4"/>
      <c r="C260" s="59"/>
      <c r="D260" s="59"/>
      <c r="E260" s="4"/>
    </row>
    <row r="261" spans="2:5" x14ac:dyDescent="0.25">
      <c r="B261" s="4"/>
      <c r="C261" s="59"/>
      <c r="D261" s="59"/>
      <c r="E261" s="4"/>
    </row>
    <row r="262" spans="2:5" x14ac:dyDescent="0.25">
      <c r="B262" s="4"/>
      <c r="C262" s="59"/>
      <c r="D262" s="59"/>
      <c r="E262" s="4"/>
    </row>
    <row r="263" spans="2:5" x14ac:dyDescent="0.25">
      <c r="B263" s="4"/>
      <c r="C263" s="59"/>
      <c r="D263" s="59"/>
      <c r="E263" s="4"/>
    </row>
    <row r="264" spans="2:5" x14ac:dyDescent="0.25">
      <c r="B264" s="4"/>
      <c r="C264" s="59"/>
      <c r="D264" s="59"/>
      <c r="E264" s="4"/>
    </row>
    <row r="265" spans="2:5" x14ac:dyDescent="0.25">
      <c r="B265" s="4"/>
      <c r="C265" s="59"/>
      <c r="D265" s="59"/>
      <c r="E265" s="4"/>
    </row>
    <row r="266" spans="2:5" x14ac:dyDescent="0.25">
      <c r="B266" s="4"/>
      <c r="C266" s="59"/>
      <c r="D266" s="59"/>
      <c r="E266" s="4"/>
    </row>
    <row r="267" spans="2:5" x14ac:dyDescent="0.25">
      <c r="B267" s="4"/>
      <c r="C267" s="59"/>
      <c r="D267" s="59"/>
      <c r="E267" s="4"/>
    </row>
    <row r="268" spans="2:5" x14ac:dyDescent="0.25">
      <c r="B268" s="4"/>
      <c r="C268" s="59"/>
      <c r="D268" s="59"/>
      <c r="E268" s="4"/>
    </row>
    <row r="269" spans="2:5" x14ac:dyDescent="0.25">
      <c r="B269" s="4"/>
      <c r="C269" s="59"/>
      <c r="D269" s="59"/>
      <c r="E269" s="4"/>
    </row>
    <row r="270" spans="2:5" x14ac:dyDescent="0.25">
      <c r="B270" s="4"/>
      <c r="C270" s="59"/>
      <c r="D270" s="59"/>
      <c r="E270" s="4"/>
    </row>
    <row r="271" spans="2:5" x14ac:dyDescent="0.25">
      <c r="B271" s="4"/>
      <c r="C271" s="59"/>
      <c r="D271" s="59"/>
      <c r="E271" s="4"/>
    </row>
    <row r="272" spans="2:5" x14ac:dyDescent="0.25">
      <c r="B272" s="4"/>
      <c r="C272" s="59"/>
      <c r="D272" s="59"/>
      <c r="E272" s="4"/>
    </row>
    <row r="273" spans="2:5" x14ac:dyDescent="0.25">
      <c r="B273" s="4"/>
      <c r="C273" s="59"/>
      <c r="D273" s="59"/>
      <c r="E273" s="4"/>
    </row>
    <row r="274" spans="2:5" x14ac:dyDescent="0.25">
      <c r="B274" s="4"/>
      <c r="C274" s="59"/>
      <c r="D274" s="59"/>
      <c r="E274" s="4"/>
    </row>
    <row r="275" spans="2:5" x14ac:dyDescent="0.25">
      <c r="B275" s="4"/>
      <c r="C275" s="59"/>
      <c r="D275" s="59"/>
      <c r="E275" s="4"/>
    </row>
    <row r="276" spans="2:5" x14ac:dyDescent="0.25">
      <c r="B276" s="4"/>
      <c r="C276" s="59"/>
      <c r="D276" s="59"/>
      <c r="E276" s="4"/>
    </row>
    <row r="277" spans="2:5" x14ac:dyDescent="0.25">
      <c r="B277" s="4"/>
      <c r="C277" s="59"/>
      <c r="D277" s="59"/>
      <c r="E277" s="4"/>
    </row>
    <row r="278" spans="2:5" x14ac:dyDescent="0.25">
      <c r="B278" s="4"/>
      <c r="C278" s="59"/>
      <c r="D278" s="59"/>
      <c r="E278" s="4"/>
    </row>
    <row r="279" spans="2:5" x14ac:dyDescent="0.25">
      <c r="B279" s="4"/>
      <c r="C279" s="59"/>
      <c r="D279" s="59"/>
      <c r="E279" s="4"/>
    </row>
    <row r="280" spans="2:5" x14ac:dyDescent="0.25">
      <c r="B280" s="4"/>
      <c r="C280" s="59"/>
      <c r="D280" s="59"/>
      <c r="E280" s="4"/>
    </row>
    <row r="281" spans="2:5" x14ac:dyDescent="0.25">
      <c r="B281" s="4"/>
      <c r="C281" s="59"/>
      <c r="D281" s="59"/>
      <c r="E281" s="4"/>
    </row>
    <row r="282" spans="2:5" x14ac:dyDescent="0.25">
      <c r="B282" s="4"/>
      <c r="C282" s="59"/>
      <c r="D282" s="59"/>
      <c r="E282" s="4"/>
    </row>
    <row r="283" spans="2:5" x14ac:dyDescent="0.25">
      <c r="B283" s="4"/>
      <c r="C283" s="59"/>
      <c r="D283" s="59"/>
      <c r="E283" s="4"/>
    </row>
    <row r="284" spans="2:5" x14ac:dyDescent="0.25">
      <c r="B284" s="4"/>
      <c r="C284" s="59"/>
      <c r="D284" s="59"/>
      <c r="E284" s="4"/>
    </row>
    <row r="285" spans="2:5" x14ac:dyDescent="0.25">
      <c r="B285" s="4"/>
      <c r="C285" s="59"/>
      <c r="D285" s="59"/>
      <c r="E285" s="4"/>
    </row>
    <row r="286" spans="2:5" x14ac:dyDescent="0.25">
      <c r="B286" s="4"/>
      <c r="C286" s="59"/>
      <c r="D286" s="59"/>
      <c r="E286" s="4"/>
    </row>
    <row r="287" spans="2:5" x14ac:dyDescent="0.25">
      <c r="B287" s="4"/>
      <c r="C287" s="59"/>
      <c r="D287" s="59"/>
      <c r="E287" s="4"/>
    </row>
    <row r="288" spans="2:5" x14ac:dyDescent="0.25">
      <c r="B288" s="4"/>
      <c r="C288" s="59"/>
      <c r="D288" s="59"/>
      <c r="E288" s="4"/>
    </row>
    <row r="289" spans="2:5" x14ac:dyDescent="0.25">
      <c r="B289" s="4"/>
      <c r="C289" s="59"/>
      <c r="D289" s="59"/>
      <c r="E289" s="4"/>
    </row>
    <row r="290" spans="2:5" x14ac:dyDescent="0.25">
      <c r="B290" s="4"/>
      <c r="C290" s="59"/>
      <c r="D290" s="59"/>
      <c r="E290" s="4"/>
    </row>
    <row r="291" spans="2:5" x14ac:dyDescent="0.25">
      <c r="B291" s="4"/>
      <c r="C291" s="59"/>
      <c r="D291" s="59"/>
      <c r="E291" s="4"/>
    </row>
    <row r="292" spans="2:5" x14ac:dyDescent="0.25">
      <c r="B292" s="4"/>
      <c r="C292" s="59"/>
      <c r="D292" s="59"/>
      <c r="E292" s="4"/>
    </row>
    <row r="293" spans="2:5" x14ac:dyDescent="0.25">
      <c r="B293" s="4"/>
      <c r="C293" s="59"/>
      <c r="D293" s="59"/>
      <c r="E293" s="4"/>
    </row>
    <row r="294" spans="2:5" x14ac:dyDescent="0.25">
      <c r="B294" s="4"/>
      <c r="C294" s="59"/>
      <c r="D294" s="59"/>
      <c r="E294" s="4"/>
    </row>
    <row r="295" spans="2:5" x14ac:dyDescent="0.25">
      <c r="B295" s="4"/>
      <c r="C295" s="59"/>
      <c r="D295" s="59"/>
      <c r="E295" s="4"/>
    </row>
    <row r="296" spans="2:5" x14ac:dyDescent="0.25">
      <c r="B296" s="4"/>
      <c r="C296" s="59"/>
      <c r="D296" s="59"/>
      <c r="E296" s="4"/>
    </row>
    <row r="297" spans="2:5" x14ac:dyDescent="0.25">
      <c r="B297" s="4"/>
      <c r="C297" s="59"/>
      <c r="D297" s="59"/>
      <c r="E297" s="4"/>
    </row>
    <row r="298" spans="2:5" x14ac:dyDescent="0.25">
      <c r="B298" s="4"/>
      <c r="C298" s="59"/>
      <c r="D298" s="59"/>
      <c r="E298" s="4"/>
    </row>
    <row r="299" spans="2:5" x14ac:dyDescent="0.25">
      <c r="B299" s="4"/>
      <c r="C299" s="59"/>
      <c r="D299" s="59"/>
      <c r="E299" s="4"/>
    </row>
    <row r="300" spans="2:5" x14ac:dyDescent="0.25">
      <c r="B300" s="4"/>
      <c r="C300" s="59"/>
      <c r="D300" s="59"/>
      <c r="E300" s="4"/>
    </row>
    <row r="301" spans="2:5" x14ac:dyDescent="0.25">
      <c r="B301" s="4"/>
      <c r="C301" s="59"/>
      <c r="D301" s="59"/>
      <c r="E301" s="4"/>
    </row>
    <row r="302" spans="2:5" x14ac:dyDescent="0.25">
      <c r="B302" s="4"/>
      <c r="C302" s="59"/>
      <c r="D302" s="59"/>
      <c r="E302" s="4"/>
    </row>
    <row r="303" spans="2:5" x14ac:dyDescent="0.25">
      <c r="B303" s="4"/>
      <c r="C303" s="59"/>
      <c r="D303" s="59"/>
      <c r="E303" s="4"/>
    </row>
    <row r="304" spans="2:5" x14ac:dyDescent="0.25">
      <c r="B304" s="4"/>
      <c r="C304" s="59"/>
      <c r="D304" s="59"/>
      <c r="E304" s="4"/>
    </row>
    <row r="305" spans="2:5" x14ac:dyDescent="0.25">
      <c r="B305" s="4"/>
      <c r="C305" s="59"/>
      <c r="D305" s="59"/>
      <c r="E305" s="4"/>
    </row>
    <row r="306" spans="2:5" x14ac:dyDescent="0.25">
      <c r="B306" s="4"/>
      <c r="C306" s="59"/>
      <c r="D306" s="59"/>
      <c r="E306" s="4"/>
    </row>
    <row r="307" spans="2:5" x14ac:dyDescent="0.25">
      <c r="B307" s="4"/>
      <c r="C307" s="59"/>
      <c r="D307" s="59"/>
      <c r="E307" s="4"/>
    </row>
    <row r="308" spans="2:5" x14ac:dyDescent="0.25">
      <c r="B308" s="4"/>
      <c r="C308" s="59"/>
      <c r="D308" s="59"/>
      <c r="E308" s="4"/>
    </row>
    <row r="309" spans="2:5" x14ac:dyDescent="0.25">
      <c r="B309" s="4"/>
      <c r="C309" s="59"/>
      <c r="D309" s="59"/>
      <c r="E309" s="4"/>
    </row>
    <row r="310" spans="2:5" x14ac:dyDescent="0.25">
      <c r="B310" s="4"/>
      <c r="C310" s="59"/>
      <c r="D310" s="59"/>
      <c r="E310" s="4"/>
    </row>
    <row r="311" spans="2:5" x14ac:dyDescent="0.25">
      <c r="B311" s="4"/>
      <c r="C311" s="59"/>
      <c r="D311" s="59"/>
      <c r="E311" s="4"/>
    </row>
    <row r="312" spans="2:5" x14ac:dyDescent="0.25">
      <c r="B312" s="4"/>
      <c r="C312" s="59"/>
      <c r="D312" s="59"/>
      <c r="E312" s="4"/>
    </row>
    <row r="313" spans="2:5" x14ac:dyDescent="0.25">
      <c r="B313" s="4"/>
      <c r="C313" s="59"/>
      <c r="D313" s="59"/>
      <c r="E313" s="4"/>
    </row>
    <row r="314" spans="2:5" x14ac:dyDescent="0.25">
      <c r="B314" s="4"/>
      <c r="C314" s="59"/>
      <c r="D314" s="59"/>
      <c r="E314" s="4"/>
    </row>
    <row r="315" spans="2:5" x14ac:dyDescent="0.25">
      <c r="B315" s="4"/>
      <c r="C315" s="59"/>
      <c r="D315" s="59"/>
      <c r="E315" s="4"/>
    </row>
    <row r="316" spans="2:5" x14ac:dyDescent="0.25">
      <c r="B316" s="4"/>
      <c r="C316" s="59"/>
      <c r="D316" s="59"/>
      <c r="E316" s="4"/>
    </row>
    <row r="317" spans="2:5" x14ac:dyDescent="0.25">
      <c r="B317" s="4"/>
      <c r="C317" s="59"/>
      <c r="D317" s="59"/>
      <c r="E317" s="4"/>
    </row>
    <row r="318" spans="2:5" x14ac:dyDescent="0.25">
      <c r="B318" s="4"/>
      <c r="C318" s="59"/>
      <c r="D318" s="59"/>
      <c r="E318" s="4"/>
    </row>
    <row r="319" spans="2:5" x14ac:dyDescent="0.25">
      <c r="B319" s="4"/>
      <c r="C319" s="59"/>
      <c r="D319" s="59"/>
      <c r="E319" s="4"/>
    </row>
    <row r="320" spans="2:5" x14ac:dyDescent="0.25">
      <c r="B320" s="4"/>
      <c r="C320" s="59"/>
      <c r="D320" s="59"/>
      <c r="E320" s="4"/>
    </row>
    <row r="321" spans="2:5" x14ac:dyDescent="0.25">
      <c r="B321" s="4"/>
      <c r="C321" s="59"/>
      <c r="D321" s="59"/>
      <c r="E321" s="4"/>
    </row>
    <row r="322" spans="2:5" x14ac:dyDescent="0.25">
      <c r="B322" s="4"/>
      <c r="C322" s="59"/>
      <c r="D322" s="59"/>
      <c r="E322" s="4"/>
    </row>
    <row r="323" spans="2:5" x14ac:dyDescent="0.25">
      <c r="B323" s="4"/>
      <c r="C323" s="59"/>
      <c r="D323" s="59"/>
      <c r="E323" s="4"/>
    </row>
    <row r="324" spans="2:5" x14ac:dyDescent="0.25">
      <c r="B324" s="4"/>
      <c r="C324" s="59"/>
      <c r="D324" s="59"/>
      <c r="E324" s="4"/>
    </row>
    <row r="325" spans="2:5" x14ac:dyDescent="0.25">
      <c r="B325" s="4"/>
      <c r="C325" s="59"/>
      <c r="D325" s="59"/>
      <c r="E325" s="4"/>
    </row>
    <row r="326" spans="2:5" x14ac:dyDescent="0.25">
      <c r="B326" s="4"/>
      <c r="C326" s="59"/>
      <c r="D326" s="59"/>
      <c r="E326" s="4"/>
    </row>
    <row r="327" spans="2:5" x14ac:dyDescent="0.25">
      <c r="B327" s="4"/>
      <c r="C327" s="59"/>
      <c r="D327" s="59"/>
      <c r="E327" s="4"/>
    </row>
    <row r="328" spans="2:5" x14ac:dyDescent="0.25">
      <c r="B328" s="4"/>
      <c r="C328" s="59"/>
      <c r="D328" s="59"/>
      <c r="E328" s="4"/>
    </row>
    <row r="329" spans="2:5" x14ac:dyDescent="0.25">
      <c r="B329" s="4"/>
      <c r="C329" s="59"/>
      <c r="D329" s="59"/>
      <c r="E329" s="4"/>
    </row>
    <row r="330" spans="2:5" x14ac:dyDescent="0.25">
      <c r="B330" s="4"/>
      <c r="C330" s="59"/>
      <c r="D330" s="59"/>
      <c r="E330" s="4"/>
    </row>
    <row r="331" spans="2:5" x14ac:dyDescent="0.25">
      <c r="B331" s="4"/>
      <c r="C331" s="59"/>
      <c r="D331" s="59"/>
      <c r="E331" s="4"/>
    </row>
    <row r="332" spans="2:5" x14ac:dyDescent="0.25">
      <c r="B332" s="4"/>
      <c r="C332" s="59"/>
      <c r="D332" s="59"/>
      <c r="E332" s="4"/>
    </row>
    <row r="333" spans="2:5" x14ac:dyDescent="0.25">
      <c r="B333" s="4"/>
      <c r="C333" s="59"/>
      <c r="D333" s="59"/>
      <c r="E333" s="4"/>
    </row>
    <row r="334" spans="2:5" x14ac:dyDescent="0.25">
      <c r="B334" s="4"/>
      <c r="C334" s="59"/>
      <c r="D334" s="59"/>
      <c r="E334" s="4"/>
    </row>
    <row r="335" spans="2:5" x14ac:dyDescent="0.25">
      <c r="B335" s="4"/>
      <c r="C335" s="59"/>
      <c r="D335" s="59"/>
      <c r="E335" s="4"/>
    </row>
    <row r="336" spans="2:5" x14ac:dyDescent="0.25">
      <c r="B336" s="4"/>
      <c r="C336" s="59"/>
      <c r="D336" s="59"/>
      <c r="E336" s="4"/>
    </row>
    <row r="337" spans="2:5" x14ac:dyDescent="0.25">
      <c r="B337" s="4"/>
      <c r="C337" s="59"/>
      <c r="D337" s="59"/>
      <c r="E337" s="4"/>
    </row>
    <row r="338" spans="2:5" x14ac:dyDescent="0.25">
      <c r="B338" s="4"/>
      <c r="C338" s="59"/>
      <c r="D338" s="59"/>
      <c r="E338" s="4"/>
    </row>
    <row r="339" spans="2:5" x14ac:dyDescent="0.25">
      <c r="B339" s="4"/>
      <c r="C339" s="59"/>
      <c r="D339" s="59"/>
      <c r="E339" s="4"/>
    </row>
    <row r="340" spans="2:5" x14ac:dyDescent="0.25">
      <c r="B340" s="4"/>
      <c r="C340" s="59"/>
      <c r="D340" s="59"/>
      <c r="E340" s="4"/>
    </row>
    <row r="341" spans="2:5" x14ac:dyDescent="0.25">
      <c r="B341" s="4"/>
      <c r="C341" s="59"/>
      <c r="D341" s="59"/>
      <c r="E341" s="4"/>
    </row>
    <row r="342" spans="2:5" x14ac:dyDescent="0.25">
      <c r="B342" s="4"/>
      <c r="C342" s="59"/>
      <c r="D342" s="59"/>
      <c r="E342" s="4"/>
    </row>
    <row r="343" spans="2:5" x14ac:dyDescent="0.25">
      <c r="B343" s="4"/>
      <c r="C343" s="59"/>
      <c r="D343" s="59"/>
      <c r="E343" s="4"/>
    </row>
    <row r="344" spans="2:5" x14ac:dyDescent="0.25">
      <c r="B344" s="4"/>
      <c r="C344" s="59"/>
      <c r="D344" s="59"/>
      <c r="E344" s="4"/>
    </row>
    <row r="345" spans="2:5" x14ac:dyDescent="0.25">
      <c r="B345" s="4"/>
      <c r="C345" s="59"/>
      <c r="D345" s="59"/>
      <c r="E345" s="4"/>
    </row>
    <row r="346" spans="2:5" x14ac:dyDescent="0.25">
      <c r="B346" s="4"/>
      <c r="C346" s="59"/>
      <c r="D346" s="59"/>
      <c r="E346" s="4"/>
    </row>
    <row r="347" spans="2:5" x14ac:dyDescent="0.25">
      <c r="B347" s="4"/>
      <c r="C347" s="59"/>
      <c r="D347" s="59"/>
      <c r="E347" s="4"/>
    </row>
    <row r="348" spans="2:5" x14ac:dyDescent="0.25">
      <c r="B348" s="4"/>
      <c r="C348" s="59"/>
      <c r="D348" s="59"/>
      <c r="E348" s="4"/>
    </row>
    <row r="349" spans="2:5" x14ac:dyDescent="0.25">
      <c r="B349" s="4"/>
      <c r="C349" s="59"/>
      <c r="D349" s="59"/>
      <c r="E349" s="4"/>
    </row>
    <row r="350" spans="2:5" x14ac:dyDescent="0.25">
      <c r="B350" s="4"/>
      <c r="C350" s="59"/>
      <c r="D350" s="59"/>
      <c r="E350" s="4"/>
    </row>
    <row r="351" spans="2:5" x14ac:dyDescent="0.25">
      <c r="B351" s="4"/>
      <c r="C351" s="59"/>
      <c r="D351" s="59"/>
      <c r="E351" s="4"/>
    </row>
    <row r="352" spans="2:5" x14ac:dyDescent="0.25">
      <c r="B352" s="4"/>
      <c r="C352" s="59"/>
      <c r="D352" s="59"/>
      <c r="E352" s="4"/>
    </row>
    <row r="353" spans="2:5" x14ac:dyDescent="0.25">
      <c r="B353" s="4"/>
      <c r="C353" s="59"/>
      <c r="D353" s="59"/>
      <c r="E353" s="4"/>
    </row>
    <row r="354" spans="2:5" x14ac:dyDescent="0.25">
      <c r="B354" s="4"/>
      <c r="C354" s="59"/>
      <c r="D354" s="59"/>
      <c r="E354" s="4"/>
    </row>
    <row r="355" spans="2:5" x14ac:dyDescent="0.25">
      <c r="B355" s="4"/>
      <c r="C355" s="59"/>
      <c r="D355" s="59"/>
      <c r="E355" s="4"/>
    </row>
    <row r="356" spans="2:5" x14ac:dyDescent="0.25">
      <c r="B356" s="4"/>
      <c r="C356" s="59"/>
      <c r="D356" s="59"/>
      <c r="E356" s="4"/>
    </row>
    <row r="357" spans="2:5" x14ac:dyDescent="0.25">
      <c r="B357" s="4"/>
      <c r="C357" s="59"/>
      <c r="D357" s="59"/>
      <c r="E357" s="4"/>
    </row>
    <row r="358" spans="2:5" x14ac:dyDescent="0.25">
      <c r="B358" s="4"/>
      <c r="C358" s="59"/>
      <c r="D358" s="59"/>
      <c r="E358" s="4"/>
    </row>
    <row r="359" spans="2:5" x14ac:dyDescent="0.25">
      <c r="B359" s="4"/>
      <c r="C359" s="59"/>
      <c r="D359" s="59"/>
      <c r="E359" s="4"/>
    </row>
    <row r="360" spans="2:5" x14ac:dyDescent="0.25">
      <c r="B360" s="4"/>
      <c r="C360" s="59"/>
      <c r="D360" s="59"/>
      <c r="E360" s="4"/>
    </row>
    <row r="361" spans="2:5" x14ac:dyDescent="0.25">
      <c r="B361" s="4"/>
      <c r="C361" s="59"/>
      <c r="D361" s="59"/>
      <c r="E361" s="4"/>
    </row>
    <row r="362" spans="2:5" x14ac:dyDescent="0.25">
      <c r="B362" s="4"/>
      <c r="C362" s="59"/>
      <c r="D362" s="59"/>
      <c r="E362" s="4"/>
    </row>
    <row r="363" spans="2:5" x14ac:dyDescent="0.25">
      <c r="B363" s="4"/>
      <c r="C363" s="59"/>
      <c r="D363" s="59"/>
      <c r="E363" s="4"/>
    </row>
    <row r="364" spans="2:5" x14ac:dyDescent="0.25">
      <c r="B364" s="4"/>
      <c r="C364" s="59"/>
      <c r="D364" s="59"/>
      <c r="E364" s="4"/>
    </row>
    <row r="365" spans="2:5" x14ac:dyDescent="0.25">
      <c r="B365" s="4"/>
      <c r="C365" s="59"/>
      <c r="D365" s="59"/>
      <c r="E365" s="4"/>
    </row>
    <row r="366" spans="2:5" x14ac:dyDescent="0.25">
      <c r="B366" s="4"/>
      <c r="C366" s="59"/>
      <c r="D366" s="59"/>
      <c r="E366" s="4"/>
    </row>
    <row r="367" spans="2:5" x14ac:dyDescent="0.25">
      <c r="B367" s="4"/>
      <c r="C367" s="59"/>
      <c r="D367" s="59"/>
      <c r="E367" s="4"/>
    </row>
    <row r="368" spans="2:5" x14ac:dyDescent="0.25">
      <c r="B368" s="4"/>
      <c r="C368" s="59"/>
      <c r="D368" s="59"/>
      <c r="E368" s="4"/>
    </row>
    <row r="369" spans="2:5" x14ac:dyDescent="0.25">
      <c r="B369" s="4"/>
      <c r="C369" s="59"/>
      <c r="D369" s="59"/>
      <c r="E369" s="4"/>
    </row>
    <row r="370" spans="2:5" x14ac:dyDescent="0.25">
      <c r="B370" s="4"/>
      <c r="C370" s="59"/>
      <c r="D370" s="59"/>
      <c r="E370" s="4"/>
    </row>
    <row r="371" spans="2:5" x14ac:dyDescent="0.25">
      <c r="B371" s="4"/>
      <c r="C371" s="59"/>
      <c r="D371" s="59"/>
      <c r="E371" s="4"/>
    </row>
    <row r="372" spans="2:5" x14ac:dyDescent="0.25">
      <c r="B372" s="4"/>
      <c r="C372" s="59"/>
      <c r="D372" s="59"/>
      <c r="E372" s="4"/>
    </row>
    <row r="373" spans="2:5" x14ac:dyDescent="0.25">
      <c r="B373" s="4"/>
      <c r="C373" s="59"/>
      <c r="D373" s="59"/>
      <c r="E373" s="4"/>
    </row>
    <row r="374" spans="2:5" x14ac:dyDescent="0.25">
      <c r="B374" s="4"/>
      <c r="C374" s="59"/>
      <c r="D374" s="59"/>
      <c r="E374" s="4"/>
    </row>
    <row r="375" spans="2:5" x14ac:dyDescent="0.25">
      <c r="B375" s="4"/>
      <c r="C375" s="59"/>
      <c r="D375" s="59"/>
      <c r="E375" s="4"/>
    </row>
    <row r="376" spans="2:5" x14ac:dyDescent="0.25">
      <c r="B376" s="4"/>
      <c r="C376" s="59"/>
      <c r="D376" s="59"/>
      <c r="E376" s="4"/>
    </row>
    <row r="377" spans="2:5" x14ac:dyDescent="0.25">
      <c r="B377" s="4"/>
      <c r="C377" s="59"/>
      <c r="D377" s="59"/>
      <c r="E377" s="4"/>
    </row>
    <row r="378" spans="2:5" x14ac:dyDescent="0.25">
      <c r="B378" s="4"/>
      <c r="C378" s="59"/>
      <c r="D378" s="59"/>
      <c r="E378" s="4"/>
    </row>
    <row r="379" spans="2:5" x14ac:dyDescent="0.25">
      <c r="B379" s="4"/>
      <c r="C379" s="59"/>
      <c r="D379" s="59"/>
      <c r="E379" s="4"/>
    </row>
    <row r="380" spans="2:5" x14ac:dyDescent="0.25">
      <c r="B380" s="4"/>
      <c r="C380" s="59"/>
      <c r="D380" s="59"/>
      <c r="E380" s="4"/>
    </row>
    <row r="381" spans="2:5" x14ac:dyDescent="0.25">
      <c r="B381" s="4"/>
      <c r="C381" s="59"/>
      <c r="D381" s="59"/>
      <c r="E381" s="4"/>
    </row>
    <row r="382" spans="2:5" x14ac:dyDescent="0.25">
      <c r="B382" s="4"/>
      <c r="C382" s="59"/>
      <c r="D382" s="59"/>
      <c r="E382" s="4"/>
    </row>
    <row r="383" spans="2:5" x14ac:dyDescent="0.25">
      <c r="B383" s="4"/>
      <c r="C383" s="59"/>
      <c r="D383" s="59"/>
      <c r="E383" s="4"/>
    </row>
    <row r="384" spans="2:5" x14ac:dyDescent="0.25">
      <c r="B384" s="4"/>
      <c r="C384" s="59"/>
      <c r="D384" s="59"/>
      <c r="E384" s="4"/>
    </row>
    <row r="385" spans="2:5" x14ac:dyDescent="0.25">
      <c r="B385" s="4"/>
      <c r="C385" s="59"/>
      <c r="D385" s="59"/>
      <c r="E385" s="4"/>
    </row>
    <row r="386" spans="2:5" x14ac:dyDescent="0.25">
      <c r="B386" s="4"/>
      <c r="C386" s="59"/>
      <c r="D386" s="59"/>
      <c r="E386" s="4"/>
    </row>
    <row r="387" spans="2:5" x14ac:dyDescent="0.25">
      <c r="B387" s="4"/>
      <c r="C387" s="59"/>
      <c r="D387" s="59"/>
      <c r="E387" s="4"/>
    </row>
    <row r="388" spans="2:5" x14ac:dyDescent="0.25">
      <c r="B388" s="4"/>
      <c r="C388" s="59"/>
      <c r="D388" s="59"/>
      <c r="E388" s="4"/>
    </row>
    <row r="389" spans="2:5" x14ac:dyDescent="0.25">
      <c r="B389" s="4"/>
      <c r="C389" s="59"/>
      <c r="D389" s="59"/>
      <c r="E389" s="4"/>
    </row>
    <row r="390" spans="2:5" x14ac:dyDescent="0.25">
      <c r="B390" s="4"/>
      <c r="C390" s="59"/>
      <c r="D390" s="59"/>
      <c r="E390" s="4"/>
    </row>
    <row r="391" spans="2:5" x14ac:dyDescent="0.25">
      <c r="B391" s="4"/>
      <c r="C391" s="59"/>
      <c r="D391" s="59"/>
      <c r="E391" s="4"/>
    </row>
    <row r="392" spans="2:5" x14ac:dyDescent="0.25">
      <c r="B392" s="4"/>
      <c r="C392" s="59"/>
      <c r="D392" s="59"/>
      <c r="E392" s="4"/>
    </row>
    <row r="393" spans="2:5" x14ac:dyDescent="0.25">
      <c r="B393" s="4"/>
      <c r="C393" s="59"/>
      <c r="D393" s="59"/>
      <c r="E393" s="4"/>
    </row>
    <row r="394" spans="2:5" x14ac:dyDescent="0.25">
      <c r="B394" s="4"/>
      <c r="C394" s="59"/>
      <c r="D394" s="59"/>
      <c r="E394" s="4"/>
    </row>
    <row r="395" spans="2:5" x14ac:dyDescent="0.25">
      <c r="B395" s="4"/>
      <c r="C395" s="59"/>
      <c r="D395" s="59"/>
      <c r="E395" s="4"/>
    </row>
    <row r="396" spans="2:5" x14ac:dyDescent="0.25">
      <c r="B396" s="4"/>
      <c r="C396" s="59"/>
      <c r="D396" s="59"/>
      <c r="E396" s="4"/>
    </row>
    <row r="397" spans="2:5" x14ac:dyDescent="0.25">
      <c r="B397" s="4"/>
      <c r="C397" s="59"/>
      <c r="D397" s="59"/>
      <c r="E397" s="4"/>
    </row>
    <row r="398" spans="2:5" x14ac:dyDescent="0.25">
      <c r="B398" s="4"/>
      <c r="C398" s="59"/>
      <c r="D398" s="59"/>
      <c r="E398" s="4"/>
    </row>
    <row r="399" spans="2:5" x14ac:dyDescent="0.25">
      <c r="B399" s="4"/>
      <c r="C399" s="59"/>
      <c r="D399" s="59"/>
      <c r="E399" s="4"/>
    </row>
    <row r="400" spans="2:5" x14ac:dyDescent="0.25">
      <c r="B400" s="4"/>
      <c r="C400" s="59"/>
      <c r="D400" s="59"/>
      <c r="E400" s="4"/>
    </row>
    <row r="401" spans="2:5" x14ac:dyDescent="0.25">
      <c r="B401" s="4"/>
      <c r="C401" s="59"/>
      <c r="D401" s="59"/>
      <c r="E401" s="4"/>
    </row>
    <row r="402" spans="2:5" x14ac:dyDescent="0.25">
      <c r="B402" s="4"/>
      <c r="C402" s="59"/>
      <c r="D402" s="59"/>
      <c r="E402" s="4"/>
    </row>
    <row r="403" spans="2:5" x14ac:dyDescent="0.25">
      <c r="B403" s="4"/>
      <c r="C403" s="59"/>
      <c r="D403" s="59"/>
      <c r="E403" s="4"/>
    </row>
    <row r="404" spans="2:5" x14ac:dyDescent="0.25">
      <c r="B404" s="4"/>
      <c r="C404" s="59"/>
      <c r="D404" s="59"/>
      <c r="E404" s="4"/>
    </row>
    <row r="405" spans="2:5" x14ac:dyDescent="0.25">
      <c r="B405" s="4"/>
      <c r="C405" s="59"/>
      <c r="D405" s="59"/>
      <c r="E405" s="4"/>
    </row>
    <row r="406" spans="2:5" x14ac:dyDescent="0.25">
      <c r="B406" s="4"/>
      <c r="C406" s="59"/>
      <c r="D406" s="59"/>
      <c r="E406" s="4"/>
    </row>
    <row r="407" spans="2:5" x14ac:dyDescent="0.25">
      <c r="B407" s="4"/>
      <c r="C407" s="59"/>
      <c r="D407" s="59"/>
      <c r="E407" s="4"/>
    </row>
    <row r="408" spans="2:5" x14ac:dyDescent="0.25">
      <c r="B408" s="4"/>
      <c r="C408" s="59"/>
      <c r="D408" s="59"/>
      <c r="E408" s="4"/>
    </row>
    <row r="409" spans="2:5" x14ac:dyDescent="0.25">
      <c r="B409" s="4"/>
      <c r="C409" s="59"/>
      <c r="D409" s="59"/>
      <c r="E409" s="4"/>
    </row>
    <row r="410" spans="2:5" x14ac:dyDescent="0.25">
      <c r="B410" s="4"/>
      <c r="C410" s="59"/>
      <c r="D410" s="59"/>
      <c r="E410" s="4"/>
    </row>
    <row r="411" spans="2:5" x14ac:dyDescent="0.25">
      <c r="B411" s="4"/>
      <c r="C411" s="59"/>
      <c r="D411" s="59"/>
      <c r="E411" s="4"/>
    </row>
    <row r="412" spans="2:5" x14ac:dyDescent="0.25">
      <c r="B412" s="4"/>
      <c r="C412" s="59"/>
      <c r="D412" s="59"/>
      <c r="E412" s="4"/>
    </row>
    <row r="413" spans="2:5" x14ac:dyDescent="0.25">
      <c r="B413" s="4"/>
      <c r="C413" s="59"/>
      <c r="D413" s="59"/>
      <c r="E413" s="4"/>
    </row>
    <row r="414" spans="2:5" x14ac:dyDescent="0.25">
      <c r="B414" s="4"/>
      <c r="C414" s="59"/>
      <c r="D414" s="59"/>
      <c r="E414" s="4"/>
    </row>
    <row r="415" spans="2:5" x14ac:dyDescent="0.25">
      <c r="B415" s="4"/>
      <c r="C415" s="59"/>
      <c r="D415" s="59"/>
      <c r="E415" s="4"/>
    </row>
    <row r="416" spans="2:5" x14ac:dyDescent="0.25">
      <c r="B416" s="4"/>
      <c r="C416" s="59"/>
      <c r="D416" s="59"/>
      <c r="E416" s="4"/>
    </row>
    <row r="417" spans="2:5" x14ac:dyDescent="0.25">
      <c r="B417" s="4"/>
      <c r="C417" s="59"/>
      <c r="D417" s="59"/>
      <c r="E417" s="4"/>
    </row>
    <row r="418" spans="2:5" x14ac:dyDescent="0.25">
      <c r="B418" s="4"/>
      <c r="C418" s="59"/>
      <c r="D418" s="59"/>
      <c r="E418" s="4"/>
    </row>
    <row r="419" spans="2:5" x14ac:dyDescent="0.25">
      <c r="B419" s="4"/>
      <c r="C419" s="59"/>
      <c r="D419" s="59"/>
      <c r="E419" s="4"/>
    </row>
    <row r="420" spans="2:5" x14ac:dyDescent="0.25">
      <c r="B420" s="4"/>
      <c r="C420" s="59"/>
      <c r="D420" s="59"/>
      <c r="E420" s="4"/>
    </row>
    <row r="421" spans="2:5" x14ac:dyDescent="0.25">
      <c r="B421" s="4"/>
      <c r="C421" s="59"/>
      <c r="D421" s="59"/>
      <c r="E421" s="4"/>
    </row>
    <row r="422" spans="2:5" x14ac:dyDescent="0.25">
      <c r="B422" s="4"/>
      <c r="C422" s="59"/>
      <c r="D422" s="59"/>
      <c r="E422" s="4"/>
    </row>
    <row r="423" spans="2:5" x14ac:dyDescent="0.25">
      <c r="B423" s="4"/>
      <c r="C423" s="59"/>
      <c r="D423" s="59"/>
      <c r="E423" s="4"/>
    </row>
    <row r="424" spans="2:5" x14ac:dyDescent="0.25">
      <c r="B424" s="4"/>
      <c r="C424" s="59"/>
      <c r="D424" s="59"/>
      <c r="E424" s="4"/>
    </row>
    <row r="425" spans="2:5" x14ac:dyDescent="0.25">
      <c r="B425" s="4"/>
      <c r="C425" s="59"/>
      <c r="D425" s="59"/>
      <c r="E425" s="4"/>
    </row>
    <row r="426" spans="2:5" x14ac:dyDescent="0.25">
      <c r="B426" s="4"/>
      <c r="C426" s="59"/>
      <c r="D426" s="59"/>
      <c r="E426" s="4"/>
    </row>
    <row r="427" spans="2:5" x14ac:dyDescent="0.25">
      <c r="B427" s="4"/>
      <c r="C427" s="59"/>
      <c r="D427" s="59"/>
      <c r="E427" s="4"/>
    </row>
    <row r="428" spans="2:5" x14ac:dyDescent="0.25">
      <c r="B428" s="4"/>
      <c r="C428" s="59"/>
      <c r="D428" s="59"/>
      <c r="E428" s="4"/>
    </row>
    <row r="429" spans="2:5" x14ac:dyDescent="0.25">
      <c r="B429" s="4"/>
      <c r="C429" s="59"/>
      <c r="D429" s="59"/>
      <c r="E429" s="4"/>
    </row>
    <row r="430" spans="2:5" x14ac:dyDescent="0.25">
      <c r="B430" s="4"/>
      <c r="C430" s="59"/>
      <c r="D430" s="59"/>
      <c r="E430" s="4"/>
    </row>
    <row r="431" spans="2:5" x14ac:dyDescent="0.25">
      <c r="B431" s="4"/>
      <c r="C431" s="59"/>
      <c r="D431" s="59"/>
      <c r="E431" s="4"/>
    </row>
    <row r="432" spans="2:5" x14ac:dyDescent="0.25">
      <c r="B432" s="4"/>
      <c r="C432" s="59"/>
      <c r="D432" s="59"/>
      <c r="E432" s="4"/>
    </row>
    <row r="433" spans="2:5" x14ac:dyDescent="0.25">
      <c r="B433" s="4"/>
      <c r="C433" s="59"/>
      <c r="D433" s="59"/>
      <c r="E433" s="4"/>
    </row>
    <row r="434" spans="2:5" x14ac:dyDescent="0.25">
      <c r="B434" s="4"/>
      <c r="C434" s="59"/>
      <c r="D434" s="59"/>
      <c r="E434" s="4"/>
    </row>
    <row r="435" spans="2:5" x14ac:dyDescent="0.25">
      <c r="B435" s="4"/>
      <c r="C435" s="59"/>
      <c r="D435" s="59"/>
      <c r="E435" s="4"/>
    </row>
    <row r="436" spans="2:5" x14ac:dyDescent="0.25">
      <c r="B436" s="4"/>
      <c r="C436" s="59"/>
      <c r="D436" s="59"/>
      <c r="E436" s="4"/>
    </row>
    <row r="437" spans="2:5" x14ac:dyDescent="0.25">
      <c r="B437" s="4"/>
      <c r="C437" s="59"/>
      <c r="D437" s="59"/>
      <c r="E437" s="4"/>
    </row>
    <row r="438" spans="2:5" x14ac:dyDescent="0.25">
      <c r="B438" s="4"/>
      <c r="C438" s="59"/>
      <c r="D438" s="59"/>
      <c r="E438" s="4"/>
    </row>
    <row r="439" spans="2:5" x14ac:dyDescent="0.25">
      <c r="B439" s="4"/>
      <c r="C439" s="59"/>
      <c r="D439" s="59"/>
      <c r="E439" s="4"/>
    </row>
    <row r="440" spans="2:5" x14ac:dyDescent="0.25">
      <c r="B440" s="4"/>
      <c r="C440" s="59"/>
      <c r="D440" s="59"/>
      <c r="E440" s="4"/>
    </row>
    <row r="441" spans="2:5" x14ac:dyDescent="0.25">
      <c r="B441" s="4"/>
      <c r="C441" s="59"/>
      <c r="D441" s="59"/>
      <c r="E441" s="4"/>
    </row>
    <row r="442" spans="2:5" x14ac:dyDescent="0.25">
      <c r="B442" s="4"/>
      <c r="C442" s="59"/>
      <c r="D442" s="59"/>
      <c r="E442" s="4"/>
    </row>
    <row r="443" spans="2:5" x14ac:dyDescent="0.25">
      <c r="B443" s="4"/>
      <c r="C443" s="59"/>
      <c r="D443" s="59"/>
      <c r="E443" s="4"/>
    </row>
    <row r="444" spans="2:5" x14ac:dyDescent="0.25">
      <c r="B444" s="4"/>
      <c r="C444" s="59"/>
      <c r="D444" s="59"/>
      <c r="E444" s="4"/>
    </row>
    <row r="445" spans="2:5" x14ac:dyDescent="0.25">
      <c r="B445" s="4"/>
      <c r="C445" s="59"/>
      <c r="D445" s="59"/>
      <c r="E445" s="4"/>
    </row>
    <row r="446" spans="2:5" x14ac:dyDescent="0.25">
      <c r="B446" s="4"/>
      <c r="C446" s="59"/>
      <c r="D446" s="59"/>
      <c r="E446" s="4"/>
    </row>
    <row r="447" spans="2:5" x14ac:dyDescent="0.25">
      <c r="B447" s="4"/>
      <c r="C447" s="59"/>
      <c r="D447" s="59"/>
      <c r="E447" s="4"/>
    </row>
    <row r="448" spans="2:5" x14ac:dyDescent="0.25">
      <c r="B448" s="4"/>
      <c r="C448" s="59"/>
      <c r="D448" s="59"/>
      <c r="E448" s="4"/>
    </row>
    <row r="449" spans="2:5" x14ac:dyDescent="0.25">
      <c r="B449" s="4"/>
      <c r="C449" s="59"/>
      <c r="D449" s="59"/>
      <c r="E449" s="4"/>
    </row>
    <row r="450" spans="2:5" x14ac:dyDescent="0.25">
      <c r="B450" s="4"/>
      <c r="C450" s="59"/>
      <c r="D450" s="59"/>
      <c r="E450" s="4"/>
    </row>
    <row r="451" spans="2:5" x14ac:dyDescent="0.25">
      <c r="B451" s="4"/>
      <c r="C451" s="59"/>
      <c r="D451" s="59"/>
      <c r="E451" s="4"/>
    </row>
    <row r="452" spans="2:5" x14ac:dyDescent="0.25">
      <c r="B452" s="4"/>
      <c r="C452" s="59"/>
      <c r="D452" s="59"/>
      <c r="E452" s="4"/>
    </row>
    <row r="453" spans="2:5" x14ac:dyDescent="0.25">
      <c r="B453" s="4"/>
      <c r="C453" s="59"/>
      <c r="D453" s="59"/>
      <c r="E453" s="4"/>
    </row>
    <row r="454" spans="2:5" x14ac:dyDescent="0.25">
      <c r="B454" s="4"/>
      <c r="C454" s="59"/>
      <c r="D454" s="59"/>
      <c r="E454" s="4"/>
    </row>
    <row r="455" spans="2:5" x14ac:dyDescent="0.25">
      <c r="B455" s="4"/>
      <c r="C455" s="59"/>
      <c r="D455" s="59"/>
      <c r="E455" s="4"/>
    </row>
    <row r="456" spans="2:5" x14ac:dyDescent="0.25">
      <c r="B456" s="4"/>
      <c r="C456" s="59"/>
      <c r="D456" s="59"/>
      <c r="E456" s="4"/>
    </row>
    <row r="457" spans="2:5" x14ac:dyDescent="0.25">
      <c r="B457" s="4"/>
      <c r="C457" s="59"/>
      <c r="D457" s="59"/>
      <c r="E457" s="4"/>
    </row>
    <row r="458" spans="2:5" x14ac:dyDescent="0.25">
      <c r="B458" s="4"/>
      <c r="C458" s="59"/>
      <c r="D458" s="59"/>
      <c r="E458" s="4"/>
    </row>
    <row r="459" spans="2:5" x14ac:dyDescent="0.25">
      <c r="B459" s="4"/>
      <c r="C459" s="59"/>
      <c r="D459" s="59"/>
      <c r="E459" s="4"/>
    </row>
    <row r="460" spans="2:5" x14ac:dyDescent="0.25">
      <c r="B460" s="4"/>
      <c r="C460" s="59"/>
      <c r="D460" s="59"/>
      <c r="E460" s="4"/>
    </row>
    <row r="461" spans="2:5" x14ac:dyDescent="0.25">
      <c r="B461" s="4"/>
      <c r="C461" s="59"/>
      <c r="D461" s="59"/>
      <c r="E461" s="4"/>
    </row>
    <row r="462" spans="2:5" x14ac:dyDescent="0.25">
      <c r="B462" s="4"/>
      <c r="C462" s="59"/>
      <c r="D462" s="59"/>
      <c r="E462" s="4"/>
    </row>
    <row r="463" spans="2:5" x14ac:dyDescent="0.25">
      <c r="B463" s="4"/>
      <c r="C463" s="59"/>
      <c r="D463" s="59"/>
      <c r="E463" s="4"/>
    </row>
    <row r="464" spans="2:5" x14ac:dyDescent="0.25">
      <c r="B464" s="4"/>
      <c r="C464" s="59"/>
      <c r="D464" s="59"/>
      <c r="E464" s="4"/>
    </row>
    <row r="465" spans="2:5" x14ac:dyDescent="0.25">
      <c r="B465" s="4"/>
      <c r="C465" s="59"/>
      <c r="D465" s="59"/>
      <c r="E465" s="4"/>
    </row>
    <row r="466" spans="2:5" x14ac:dyDescent="0.25">
      <c r="B466" s="4"/>
      <c r="C466" s="59"/>
      <c r="D466" s="59"/>
      <c r="E466" s="4"/>
    </row>
    <row r="467" spans="2:5" x14ac:dyDescent="0.25">
      <c r="B467" s="4"/>
      <c r="C467" s="59"/>
      <c r="D467" s="59"/>
      <c r="E467" s="4"/>
    </row>
    <row r="468" spans="2:5" x14ac:dyDescent="0.25">
      <c r="B468" s="4"/>
      <c r="C468" s="59"/>
      <c r="D468" s="59"/>
      <c r="E468" s="4"/>
    </row>
    <row r="469" spans="2:5" x14ac:dyDescent="0.25">
      <c r="B469" s="4"/>
      <c r="C469" s="59"/>
      <c r="D469" s="59"/>
      <c r="E469" s="4"/>
    </row>
    <row r="470" spans="2:5" x14ac:dyDescent="0.25">
      <c r="B470" s="4"/>
      <c r="C470" s="59"/>
      <c r="D470" s="59"/>
      <c r="E470" s="4"/>
    </row>
    <row r="471" spans="2:5" x14ac:dyDescent="0.25">
      <c r="B471" s="4"/>
      <c r="C471" s="59"/>
      <c r="D471" s="59"/>
      <c r="E471" s="4"/>
    </row>
    <row r="472" spans="2:5" x14ac:dyDescent="0.25">
      <c r="B472" s="4"/>
      <c r="C472" s="59"/>
      <c r="D472" s="59"/>
      <c r="E472" s="4"/>
    </row>
    <row r="473" spans="2:5" x14ac:dyDescent="0.25">
      <c r="B473" s="4"/>
      <c r="C473" s="59"/>
      <c r="D473" s="59"/>
      <c r="E473" s="4"/>
    </row>
    <row r="474" spans="2:5" x14ac:dyDescent="0.25">
      <c r="B474" s="4"/>
      <c r="C474" s="59"/>
      <c r="D474" s="59"/>
      <c r="E474" s="4"/>
    </row>
    <row r="475" spans="2:5" x14ac:dyDescent="0.25">
      <c r="B475" s="4"/>
      <c r="C475" s="59"/>
      <c r="D475" s="59"/>
      <c r="E475" s="4"/>
    </row>
    <row r="476" spans="2:5" x14ac:dyDescent="0.25">
      <c r="B476" s="4"/>
      <c r="C476" s="59"/>
      <c r="D476" s="59"/>
      <c r="E476" s="4"/>
    </row>
    <row r="477" spans="2:5" x14ac:dyDescent="0.25">
      <c r="B477" s="4"/>
      <c r="C477" s="59"/>
      <c r="D477" s="59"/>
      <c r="E477" s="4"/>
    </row>
    <row r="478" spans="2:5" x14ac:dyDescent="0.25">
      <c r="B478" s="4"/>
      <c r="C478" s="59"/>
      <c r="D478" s="59"/>
      <c r="E478" s="4"/>
    </row>
    <row r="479" spans="2:5" x14ac:dyDescent="0.25">
      <c r="B479" s="4"/>
      <c r="C479" s="59"/>
      <c r="D479" s="59"/>
      <c r="E479" s="4"/>
    </row>
    <row r="480" spans="2:5" x14ac:dyDescent="0.25">
      <c r="B480" s="4"/>
      <c r="C480" s="59"/>
      <c r="D480" s="59"/>
      <c r="E480" s="4"/>
    </row>
    <row r="481" spans="2:5" x14ac:dyDescent="0.25">
      <c r="B481" s="4"/>
      <c r="C481" s="59"/>
      <c r="D481" s="59"/>
      <c r="E481" s="4"/>
    </row>
    <row r="482" spans="2:5" x14ac:dyDescent="0.25">
      <c r="B482" s="4"/>
      <c r="C482" s="59"/>
      <c r="D482" s="59"/>
      <c r="E482" s="4"/>
    </row>
    <row r="483" spans="2:5" x14ac:dyDescent="0.25">
      <c r="B483" s="4"/>
      <c r="C483" s="59"/>
      <c r="D483" s="59"/>
      <c r="E483" s="4"/>
    </row>
    <row r="484" spans="2:5" x14ac:dyDescent="0.25">
      <c r="B484" s="4"/>
      <c r="C484" s="59"/>
      <c r="D484" s="59"/>
      <c r="E484" s="4"/>
    </row>
    <row r="485" spans="2:5" x14ac:dyDescent="0.25">
      <c r="B485" s="4"/>
      <c r="C485" s="59"/>
      <c r="D485" s="59"/>
      <c r="E485" s="4"/>
    </row>
    <row r="486" spans="2:5" x14ac:dyDescent="0.25">
      <c r="B486" s="4"/>
      <c r="C486" s="59"/>
      <c r="D486" s="59"/>
      <c r="E486" s="4"/>
    </row>
    <row r="487" spans="2:5" x14ac:dyDescent="0.25">
      <c r="B487" s="4"/>
      <c r="C487" s="59"/>
      <c r="D487" s="59"/>
      <c r="E487" s="4"/>
    </row>
    <row r="488" spans="2:5" x14ac:dyDescent="0.25">
      <c r="B488" s="4"/>
      <c r="C488" s="59"/>
      <c r="D488" s="59"/>
      <c r="E488" s="4"/>
    </row>
    <row r="489" spans="2:5" x14ac:dyDescent="0.25">
      <c r="B489" s="4"/>
      <c r="C489" s="59"/>
      <c r="D489" s="59"/>
      <c r="E489" s="4"/>
    </row>
    <row r="490" spans="2:5" x14ac:dyDescent="0.25">
      <c r="B490" s="4"/>
      <c r="C490" s="59"/>
      <c r="D490" s="59"/>
      <c r="E490" s="4"/>
    </row>
    <row r="491" spans="2:5" x14ac:dyDescent="0.25">
      <c r="B491" s="4"/>
      <c r="C491" s="59"/>
      <c r="D491" s="59"/>
      <c r="E491" s="4"/>
    </row>
    <row r="492" spans="2:5" x14ac:dyDescent="0.25">
      <c r="B492" s="4"/>
      <c r="C492" s="59"/>
      <c r="D492" s="59"/>
      <c r="E492" s="4"/>
    </row>
    <row r="493" spans="2:5" x14ac:dyDescent="0.25">
      <c r="B493" s="4"/>
      <c r="C493" s="59"/>
      <c r="D493" s="59"/>
      <c r="E493" s="4"/>
    </row>
    <row r="494" spans="2:5" x14ac:dyDescent="0.25">
      <c r="B494" s="4"/>
      <c r="C494" s="59"/>
      <c r="D494" s="59"/>
      <c r="E494" s="4"/>
    </row>
    <row r="495" spans="2:5" x14ac:dyDescent="0.25">
      <c r="B495" s="4"/>
      <c r="C495" s="59"/>
      <c r="D495" s="59"/>
      <c r="E495" s="4"/>
    </row>
    <row r="496" spans="2:5" x14ac:dyDescent="0.25">
      <c r="B496" s="4"/>
      <c r="C496" s="59"/>
      <c r="D496" s="59"/>
      <c r="E496" s="4"/>
    </row>
    <row r="497" spans="2:5" x14ac:dyDescent="0.25">
      <c r="B497" s="4"/>
      <c r="C497" s="59"/>
      <c r="D497" s="59"/>
      <c r="E497" s="4"/>
    </row>
    <row r="498" spans="2:5" x14ac:dyDescent="0.25">
      <c r="B498" s="4"/>
      <c r="C498" s="59"/>
      <c r="D498" s="59"/>
      <c r="E498" s="4"/>
    </row>
    <row r="499" spans="2:5" x14ac:dyDescent="0.25">
      <c r="B499" s="4"/>
      <c r="C499" s="59"/>
      <c r="D499" s="59"/>
      <c r="E499" s="4"/>
    </row>
    <row r="500" spans="2:5" x14ac:dyDescent="0.25">
      <c r="B500" s="4"/>
      <c r="C500" s="59"/>
      <c r="D500" s="59"/>
      <c r="E500" s="4"/>
    </row>
    <row r="501" spans="2:5" x14ac:dyDescent="0.25">
      <c r="B501" s="4"/>
      <c r="C501" s="59"/>
      <c r="D501" s="59"/>
      <c r="E501" s="4"/>
    </row>
    <row r="502" spans="2:5" x14ac:dyDescent="0.25">
      <c r="B502" s="4"/>
      <c r="C502" s="59"/>
      <c r="D502" s="59"/>
      <c r="E502" s="4"/>
    </row>
    <row r="503" spans="2:5" x14ac:dyDescent="0.25">
      <c r="B503" s="4"/>
      <c r="C503" s="59"/>
      <c r="D503" s="59"/>
      <c r="E503" s="4"/>
    </row>
    <row r="504" spans="2:5" x14ac:dyDescent="0.25">
      <c r="B504" s="4"/>
      <c r="C504" s="59"/>
      <c r="D504" s="59"/>
      <c r="E504" s="4"/>
    </row>
    <row r="505" spans="2:5" x14ac:dyDescent="0.25">
      <c r="B505" s="4"/>
      <c r="C505" s="59"/>
      <c r="D505" s="59"/>
      <c r="E505" s="4"/>
    </row>
    <row r="506" spans="2:5" x14ac:dyDescent="0.25">
      <c r="B506" s="4"/>
      <c r="C506" s="59"/>
      <c r="D506" s="59"/>
      <c r="E506" s="4"/>
    </row>
    <row r="507" spans="2:5" x14ac:dyDescent="0.25">
      <c r="B507" s="4"/>
      <c r="C507" s="59"/>
      <c r="D507" s="59"/>
      <c r="E507" s="4"/>
    </row>
    <row r="508" spans="2:5" x14ac:dyDescent="0.25">
      <c r="B508" s="4"/>
      <c r="C508" s="59"/>
      <c r="D508" s="59"/>
      <c r="E508" s="4"/>
    </row>
    <row r="509" spans="2:5" x14ac:dyDescent="0.25">
      <c r="B509" s="4"/>
      <c r="C509" s="59"/>
      <c r="D509" s="59"/>
      <c r="E509" s="4"/>
    </row>
    <row r="510" spans="2:5" x14ac:dyDescent="0.25">
      <c r="B510" s="4"/>
      <c r="C510" s="59"/>
      <c r="D510" s="59"/>
      <c r="E510" s="4"/>
    </row>
    <row r="511" spans="2:5" x14ac:dyDescent="0.25">
      <c r="B511" s="4"/>
      <c r="C511" s="59"/>
      <c r="D511" s="59"/>
      <c r="E511" s="4"/>
    </row>
    <row r="512" spans="2:5" x14ac:dyDescent="0.25">
      <c r="B512" s="4"/>
      <c r="C512" s="59"/>
      <c r="D512" s="59"/>
      <c r="E512" s="4"/>
    </row>
    <row r="513" spans="2:5" x14ac:dyDescent="0.25">
      <c r="B513" s="4"/>
      <c r="C513" s="59"/>
      <c r="D513" s="59"/>
      <c r="E513" s="4"/>
    </row>
    <row r="514" spans="2:5" x14ac:dyDescent="0.25">
      <c r="B514" s="4"/>
      <c r="C514" s="59"/>
      <c r="D514" s="59"/>
      <c r="E514" s="4"/>
    </row>
    <row r="515" spans="2:5" x14ac:dyDescent="0.25">
      <c r="B515" s="4"/>
      <c r="C515" s="59"/>
      <c r="D515" s="59"/>
      <c r="E515" s="4"/>
    </row>
    <row r="516" spans="2:5" x14ac:dyDescent="0.25">
      <c r="B516" s="4"/>
      <c r="C516" s="59"/>
      <c r="D516" s="59"/>
      <c r="E516" s="4"/>
    </row>
    <row r="517" spans="2:5" x14ac:dyDescent="0.25">
      <c r="B517" s="4"/>
      <c r="C517" s="59"/>
      <c r="D517" s="59"/>
      <c r="E517" s="4"/>
    </row>
    <row r="518" spans="2:5" x14ac:dyDescent="0.25">
      <c r="B518" s="4"/>
      <c r="C518" s="59"/>
      <c r="D518" s="59"/>
      <c r="E518" s="4"/>
    </row>
    <row r="519" spans="2:5" x14ac:dyDescent="0.25">
      <c r="B519" s="4"/>
      <c r="C519" s="59"/>
      <c r="D519" s="59"/>
      <c r="E519" s="4"/>
    </row>
    <row r="520" spans="2:5" x14ac:dyDescent="0.25">
      <c r="B520" s="4"/>
      <c r="C520" s="59"/>
      <c r="D520" s="59"/>
      <c r="E520" s="4"/>
    </row>
    <row r="521" spans="2:5" x14ac:dyDescent="0.25">
      <c r="B521" s="4"/>
      <c r="C521" s="59"/>
      <c r="D521" s="59"/>
      <c r="E521" s="4"/>
    </row>
    <row r="522" spans="2:5" x14ac:dyDescent="0.25">
      <c r="B522" s="4"/>
      <c r="C522" s="59"/>
      <c r="D522" s="59"/>
      <c r="E522" s="4"/>
    </row>
    <row r="523" spans="2:5" x14ac:dyDescent="0.25">
      <c r="B523" s="4"/>
      <c r="C523" s="59"/>
      <c r="D523" s="59"/>
      <c r="E523" s="4"/>
    </row>
    <row r="524" spans="2:5" x14ac:dyDescent="0.25">
      <c r="B524" s="4"/>
      <c r="C524" s="59"/>
      <c r="D524" s="59"/>
      <c r="E524" s="4"/>
    </row>
    <row r="525" spans="2:5" x14ac:dyDescent="0.25">
      <c r="B525" s="4"/>
      <c r="C525" s="59"/>
      <c r="D525" s="59"/>
      <c r="E525" s="4"/>
    </row>
    <row r="526" spans="2:5" x14ac:dyDescent="0.25">
      <c r="B526" s="4"/>
      <c r="C526" s="59"/>
      <c r="D526" s="59"/>
      <c r="E526" s="4"/>
    </row>
    <row r="527" spans="2:5" x14ac:dyDescent="0.25">
      <c r="B527" s="4"/>
      <c r="C527" s="59"/>
      <c r="D527" s="59"/>
      <c r="E527" s="4"/>
    </row>
    <row r="528" spans="2:5" x14ac:dyDescent="0.25">
      <c r="B528" s="4"/>
      <c r="C528" s="59"/>
      <c r="D528" s="59"/>
      <c r="E528" s="4"/>
    </row>
    <row r="529" spans="2:5" x14ac:dyDescent="0.25">
      <c r="B529" s="4"/>
      <c r="C529" s="59"/>
      <c r="D529" s="59"/>
      <c r="E529" s="4"/>
    </row>
    <row r="530" spans="2:5" x14ac:dyDescent="0.25">
      <c r="B530" s="4"/>
      <c r="C530" s="59"/>
      <c r="D530" s="59"/>
      <c r="E530" s="4"/>
    </row>
    <row r="531" spans="2:5" x14ac:dyDescent="0.25">
      <c r="B531" s="4"/>
      <c r="C531" s="59"/>
      <c r="D531" s="59"/>
      <c r="E531" s="4"/>
    </row>
    <row r="532" spans="2:5" x14ac:dyDescent="0.25">
      <c r="B532" s="4"/>
      <c r="C532" s="59"/>
      <c r="D532" s="59"/>
      <c r="E532" s="4"/>
    </row>
    <row r="533" spans="2:5" x14ac:dyDescent="0.25">
      <c r="B533" s="4"/>
      <c r="C533" s="59"/>
      <c r="D533" s="59"/>
      <c r="E533" s="4"/>
    </row>
    <row r="534" spans="2:5" x14ac:dyDescent="0.25">
      <c r="B534" s="4"/>
      <c r="C534" s="59"/>
      <c r="D534" s="59"/>
      <c r="E534" s="4"/>
    </row>
    <row r="535" spans="2:5" x14ac:dyDescent="0.25">
      <c r="B535" s="4"/>
      <c r="C535" s="59"/>
      <c r="D535" s="59"/>
      <c r="E535" s="4"/>
    </row>
    <row r="536" spans="2:5" x14ac:dyDescent="0.25">
      <c r="B536" s="4"/>
      <c r="C536" s="59"/>
      <c r="D536" s="59"/>
      <c r="E536" s="4"/>
    </row>
    <row r="537" spans="2:5" x14ac:dyDescent="0.25">
      <c r="B537" s="4"/>
      <c r="C537" s="59"/>
      <c r="D537" s="59"/>
      <c r="E537" s="4"/>
    </row>
    <row r="538" spans="2:5" x14ac:dyDescent="0.25">
      <c r="B538" s="4"/>
      <c r="C538" s="59"/>
      <c r="D538" s="59"/>
      <c r="E538" s="4"/>
    </row>
    <row r="539" spans="2:5" x14ac:dyDescent="0.25">
      <c r="B539" s="4"/>
      <c r="C539" s="59"/>
      <c r="D539" s="59"/>
      <c r="E539" s="4"/>
    </row>
    <row r="540" spans="2:5" x14ac:dyDescent="0.25">
      <c r="B540" s="4"/>
      <c r="C540" s="59"/>
      <c r="D540" s="59"/>
      <c r="E540" s="4"/>
    </row>
    <row r="541" spans="2:5" x14ac:dyDescent="0.25">
      <c r="B541" s="4"/>
      <c r="C541" s="59"/>
      <c r="D541" s="59"/>
      <c r="E541" s="4"/>
    </row>
    <row r="542" spans="2:5" x14ac:dyDescent="0.25">
      <c r="B542" s="4"/>
      <c r="C542" s="59"/>
      <c r="D542" s="59"/>
      <c r="E542" s="4"/>
    </row>
    <row r="543" spans="2:5" x14ac:dyDescent="0.25">
      <c r="B543" s="4"/>
      <c r="C543" s="59"/>
      <c r="D543" s="59"/>
      <c r="E543" s="4"/>
    </row>
    <row r="544" spans="2:5" x14ac:dyDescent="0.25">
      <c r="B544" s="4"/>
      <c r="C544" s="59"/>
      <c r="D544" s="59"/>
      <c r="E544" s="4"/>
    </row>
    <row r="545" spans="2:5" x14ac:dyDescent="0.25">
      <c r="B545" s="4"/>
      <c r="C545" s="59"/>
      <c r="D545" s="59"/>
      <c r="E545" s="4"/>
    </row>
    <row r="546" spans="2:5" x14ac:dyDescent="0.25">
      <c r="D546" s="5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2C98B-0A6E-4E85-A6D9-D94E2D0857CE}">
  <sheetPr codeName="Лист5"/>
  <dimension ref="A1:C19"/>
  <sheetViews>
    <sheetView workbookViewId="0">
      <selection activeCell="L27" sqref="L27"/>
    </sheetView>
  </sheetViews>
  <sheetFormatPr defaultRowHeight="15" x14ac:dyDescent="0.25"/>
  <sheetData>
    <row r="1" spans="1:3" x14ac:dyDescent="0.25">
      <c r="A1" s="18" t="s">
        <v>38</v>
      </c>
      <c r="C1" t="s">
        <v>204</v>
      </c>
    </row>
    <row r="2" spans="1:3" x14ac:dyDescent="0.25">
      <c r="A2" s="18" t="s">
        <v>43</v>
      </c>
      <c r="C2" t="s">
        <v>205</v>
      </c>
    </row>
    <row r="3" spans="1:3" x14ac:dyDescent="0.25">
      <c r="A3" s="18" t="s">
        <v>48</v>
      </c>
    </row>
    <row r="4" spans="1:3" x14ac:dyDescent="0.25">
      <c r="A4">
        <f>IF(D22&lt;=20000,MAX(D22*0.04,400),
  IF(D22&lt;=100000,800+(D22-20000)*0.03,
  IF(D22&lt;=200000,3200+(D22-100000)*0.02,
  IF(D22&lt;=1000000,5200+(D22-200000)*0.01,
   MIN(13200+(D22-1000000)*0.005,60000)))))</f>
        <v>400</v>
      </c>
      <c r="B4" t="s">
        <v>75</v>
      </c>
    </row>
    <row r="8" spans="1:3" x14ac:dyDescent="0.25">
      <c r="A8" t="s">
        <v>102</v>
      </c>
    </row>
    <row r="11" spans="1:3" x14ac:dyDescent="0.25">
      <c r="A11" s="73">
        <v>5.4000000000000001E-4</v>
      </c>
    </row>
    <row r="12" spans="1:3" x14ac:dyDescent="0.25">
      <c r="A12" s="73">
        <v>0.01</v>
      </c>
    </row>
    <row r="15" spans="1:3" x14ac:dyDescent="0.25">
      <c r="A15" t="s">
        <v>107</v>
      </c>
      <c r="B15" t="s">
        <v>106</v>
      </c>
    </row>
    <row r="16" spans="1:3" x14ac:dyDescent="0.25">
      <c r="A16" t="s">
        <v>108</v>
      </c>
      <c r="B16" t="s">
        <v>105</v>
      </c>
    </row>
    <row r="19" spans="1:1" x14ac:dyDescent="0.25">
      <c r="A19" s="18" t="s">
        <v>203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48CB95-49E6-489F-B423-1BB690BC89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расчет</vt:lpstr>
      <vt:lpstr>РК</vt:lpstr>
      <vt:lpstr>до</vt:lpstr>
      <vt:lpstr>после</vt:lpstr>
      <vt:lpstr>обработка</vt:lpstr>
      <vt:lpstr>слияние</vt:lpstr>
      <vt:lpstr>Word</vt:lpstr>
      <vt:lpstr>sys</vt:lpstr>
      <vt:lpstr>разное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2024-06-21T10:24:45Z</dcterms:modified>
</cp:coreProperties>
</file>